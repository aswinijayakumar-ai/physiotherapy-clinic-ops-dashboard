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imelineCaches/timelineCache1.xml" ContentType="application/vnd.ms-excel.timeline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4.xml" ContentType="application/vnd.openxmlformats-officedocument.drawing+xml"/>
  <Override PartName="/xl/slicers/slicer3.xml" ContentType="application/vnd.ms-excel.slicer+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charts/chart19.xml" ContentType="application/vnd.openxmlformats-officedocument.drawingml.chart+xml"/>
  <Override PartName="/xl/charts/style18.xml" ContentType="application/vnd.ms-office.chartstyle+xml"/>
  <Override PartName="/xl/charts/colors18.xml" ContentType="application/vnd.ms-office.chartcolorstyle+xml"/>
  <Override PartName="/xl/charts/chart20.xml" ContentType="application/vnd.openxmlformats-officedocument.drawingml.chart+xml"/>
  <Override PartName="/xl/charts/style19.xml" ContentType="application/vnd.ms-office.chartstyle+xml"/>
  <Override PartName="/xl/charts/colors19.xml" ContentType="application/vnd.ms-office.chartcolorstyle+xml"/>
  <Override PartName="/xl/charts/chart21.xml" ContentType="application/vnd.openxmlformats-officedocument.drawingml.chart+xml"/>
  <Override PartName="/xl/charts/style20.xml" ContentType="application/vnd.ms-office.chartstyle+xml"/>
  <Override PartName="/xl/charts/colors20.xml" ContentType="application/vnd.ms-office.chartcolorstyle+xml"/>
  <Override PartName="/xl/charts/chart22.xml" ContentType="application/vnd.openxmlformats-officedocument.drawingml.chart+xml"/>
  <Override PartName="/xl/charts/style21.xml" ContentType="application/vnd.ms-office.chartstyle+xml"/>
  <Override PartName="/xl/charts/colors21.xml" ContentType="application/vnd.ms-office.chartcolorstyle+xml"/>
  <Override PartName="/xl/charts/chart23.xml" ContentType="application/vnd.openxmlformats-officedocument.drawingml.chart+xml"/>
  <Override PartName="/xl/charts/style22.xml" ContentType="application/vnd.ms-office.chartstyle+xml"/>
  <Override PartName="/xl/charts/colors22.xml" ContentType="application/vnd.ms-office.chartcolorstyle+xml"/>
  <Override PartName="/xl/charts/chart24.xml" ContentType="application/vnd.openxmlformats-officedocument.drawingml.chart+xml"/>
  <Override PartName="/xl/charts/style23.xml" ContentType="application/vnd.ms-office.chartstyle+xml"/>
  <Override PartName="/xl/charts/colors2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aswan\Downloads\Techolas_Project\EXCEL_DASHBOARD\Final\"/>
    </mc:Choice>
  </mc:AlternateContent>
  <xr:revisionPtr revIDLastSave="0" documentId="8_{70901B63-6E69-4800-971F-766CE506D23D}" xr6:coauthVersionLast="47" xr6:coauthVersionMax="47" xr10:uidLastSave="{00000000-0000-0000-0000-000000000000}"/>
  <bookViews>
    <workbookView xWindow="-108" yWindow="-108" windowWidth="23256" windowHeight="12456" xr2:uid="{00000000-000D-0000-FFFF-FFFF00000000}"/>
  </bookViews>
  <sheets>
    <sheet name="Dashboard_Review" sheetId="8" r:id="rId1"/>
    <sheet name="Dashboard_Final" sheetId="7" state="hidden" r:id="rId2"/>
    <sheet name="Pivot_Data" sheetId="6" r:id="rId3"/>
    <sheet name="Appointments" sheetId="1" state="hidden" r:id="rId4"/>
    <sheet name="KPI_Summary" sheetId="2" state="hidden" r:id="rId5"/>
    <sheet name="What_If_Model" sheetId="3" state="hidden" r:id="rId6"/>
    <sheet name="Data_Dictionary" sheetId="4" state="hidden" r:id="rId7"/>
    <sheet name="Dashboard" sheetId="5" state="hidden" r:id="rId8"/>
  </sheets>
  <definedNames>
    <definedName name="NativeTimeline_Appointment_Date">#N/A</definedName>
    <definedName name="Slicer_Clinic">#N/A</definedName>
    <definedName name="Slicer_Clinic1">#N/A</definedName>
    <definedName name="Slicer_Month">#N/A</definedName>
    <definedName name="Slicer_Month1">#N/A</definedName>
    <definedName name="Slicer_Payer_Type">#N/A</definedName>
    <definedName name="Slicer_Payer_Type1">#N/A</definedName>
    <definedName name="Slicer_Therapist">#N/A</definedName>
    <definedName name="Slicer_Therapy_Type">#N/A</definedName>
    <definedName name="Slicer_Therapy_Type1">#N/A</definedName>
  </definedNames>
  <calcPr calcId="191028"/>
  <pivotCaches>
    <pivotCache cacheId="0" r:id="rId9"/>
    <pivotCache cacheId="1" r:id="rId10"/>
  </pivotCaches>
  <extLst>
    <ext xmlns:x14="http://schemas.microsoft.com/office/spreadsheetml/2009/9/main" uri="{BBE1A952-AA13-448e-AADC-164F8A28A991}">
      <x14:slicerCaches>
        <x14:slicerCache r:id="rId11"/>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6"/>
      </x15:timelineCacheRefs>
    </ext>
    <ext xmlns:x15="http://schemas.microsoft.com/office/spreadsheetml/2010/11/main" uri="{46BE6895-7355-4a93-B00E-2C351335B9C9}">
      <x15:slicerCaches xmlns:x14="http://schemas.microsoft.com/office/spreadsheetml/2009/9/main">
        <x14:slicerCache r:id="rId17"/>
        <x14:slicerCache r:id="rId18"/>
        <x14:slicerCache r:id="rId19"/>
        <x14:slicerCache r:id="rId20"/>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7" i="7" l="1"/>
  <c r="I115" i="7" a="1"/>
  <c r="L115" i="7" s="1"/>
  <c r="D44" i="6"/>
  <c r="D43" i="6"/>
  <c r="D42" i="6"/>
  <c r="D41" i="6"/>
  <c r="D40" i="6"/>
  <c r="D39" i="6"/>
  <c r="D38" i="6"/>
  <c r="D37" i="6"/>
  <c r="H31" i="7" s="1"/>
  <c r="G28" i="6"/>
  <c r="G27" i="6"/>
  <c r="G26" i="6"/>
  <c r="G25" i="6"/>
  <c r="G24" i="6"/>
  <c r="G23" i="6"/>
  <c r="G22" i="6"/>
  <c r="G21" i="6"/>
  <c r="G20" i="6"/>
  <c r="G19" i="6"/>
  <c r="G18" i="6"/>
  <c r="G17" i="6"/>
  <c r="G16" i="6"/>
  <c r="G15" i="6"/>
  <c r="G14" i="6"/>
  <c r="J13" i="6" a="1"/>
  <c r="G13" i="6"/>
  <c r="D6" i="6"/>
  <c r="K7" i="7" s="1"/>
  <c r="H43" i="7"/>
  <c r="H42" i="7"/>
  <c r="H41" i="7"/>
  <c r="E84" i="5" a="1"/>
  <c r="V24" i="5"/>
  <c r="O24" i="5"/>
  <c r="V23" i="5"/>
  <c r="O23" i="5"/>
  <c r="V22" i="5"/>
  <c r="O22" i="5"/>
  <c r="V21" i="5"/>
  <c r="V20" i="5"/>
  <c r="V19" i="5"/>
  <c r="V18" i="5"/>
  <c r="V17" i="5"/>
  <c r="V16" i="5"/>
  <c r="R16" i="5" a="1"/>
  <c r="V15" i="5"/>
  <c r="R15" i="5" a="1"/>
  <c r="V14" i="5"/>
  <c r="R14" i="5" a="1"/>
  <c r="V13" i="5"/>
  <c r="R13" i="5" a="1"/>
  <c r="R12" i="5" a="1"/>
  <c r="R11" i="5" a="1"/>
  <c r="R10" i="5" a="1"/>
  <c r="R9" i="5" a="1"/>
  <c r="R8" i="5" a="1"/>
  <c r="O21" i="5" s="1"/>
  <c r="O8" i="5"/>
  <c r="AC7" i="5" a="1"/>
  <c r="AB7" i="5" a="1"/>
  <c r="Y7" i="5" a="1"/>
  <c r="X7" i="5" a="1"/>
  <c r="W7" i="5" a="1"/>
  <c r="V7" i="5" a="1"/>
  <c r="R7" i="5" a="1"/>
  <c r="O7" i="5"/>
  <c r="AC6" i="5" a="1"/>
  <c r="AB6" i="5" a="1"/>
  <c r="Y6" i="5" a="1"/>
  <c r="X6" i="5" a="1"/>
  <c r="W6" i="5" a="1"/>
  <c r="V6" i="5" a="1"/>
  <c r="R6" i="5" a="1"/>
  <c r="O6" i="5" a="1"/>
  <c r="AC5" i="5" a="1"/>
  <c r="AB5" i="5" a="1"/>
  <c r="Y5" i="5" a="1"/>
  <c r="X5" i="5" a="1"/>
  <c r="W5" i="5" a="1"/>
  <c r="V5" i="5" a="1"/>
  <c r="R5" i="5" a="1"/>
  <c r="O5" i="5" a="1"/>
  <c r="J5" i="5"/>
  <c r="G5" i="5"/>
  <c r="D5" i="5"/>
  <c r="A5" i="5"/>
  <c r="AC4" i="5" a="1"/>
  <c r="AB4" i="5" a="1"/>
  <c r="Y4" i="5" a="1"/>
  <c r="X4" i="5" a="1"/>
  <c r="W4" i="5" a="1"/>
  <c r="V4" i="5" a="1"/>
  <c r="R4" i="5" a="1"/>
  <c r="O4" i="5" a="1"/>
  <c r="AC3" i="5" a="1"/>
  <c r="AB3" i="5" a="1"/>
  <c r="Y3" i="5" a="1"/>
  <c r="X3" i="5" a="1"/>
  <c r="W3" i="5" a="1"/>
  <c r="V3" i="5" a="1"/>
  <c r="R3" i="5" a="1"/>
  <c r="O3" i="5" a="1"/>
  <c r="AC2" i="5" a="1"/>
  <c r="AB2" i="5" a="1"/>
  <c r="Y2" i="5" a="1"/>
  <c r="X2" i="5" a="1"/>
  <c r="W2" i="5" a="1"/>
  <c r="V2" i="5" a="1"/>
  <c r="R2" i="5" a="1"/>
  <c r="O2" i="5" a="1"/>
  <c r="F7" i="7"/>
  <c r="P7" i="7"/>
  <c r="F82" i="6"/>
  <c r="G83" i="6"/>
  <c r="F84" i="6"/>
  <c r="G84" i="6"/>
  <c r="G82" i="6"/>
  <c r="F87" i="6"/>
  <c r="G87" i="6"/>
  <c r="F85" i="6"/>
  <c r="G86" i="6"/>
  <c r="F86" i="6"/>
  <c r="G85" i="6"/>
  <c r="F83" i="6"/>
  <c r="H19" i="7" l="1"/>
  <c r="H29" i="7"/>
  <c r="H27" i="7"/>
  <c r="H25" i="7"/>
  <c r="H23" i="7"/>
  <c r="H21" i="7"/>
  <c r="G37" i="6" a="1"/>
  <c r="H40" i="7"/>
  <c r="O115" i="7" a="1"/>
  <c r="R115" i="7" s="1"/>
  <c r="K27" i="6"/>
  <c r="AB8" i="5"/>
  <c r="AC8" i="5"/>
  <c r="I84" i="5" a="1"/>
  <c r="G84" i="5"/>
  <c r="K16" i="6"/>
  <c r="K20" i="6"/>
  <c r="K24" i="6"/>
  <c r="K13" i="6" s="1"/>
  <c r="K17" i="6"/>
  <c r="K21" i="6"/>
  <c r="K25" i="6"/>
  <c r="K14" i="6"/>
  <c r="K18" i="6"/>
  <c r="K22" i="6"/>
  <c r="K26" i="6"/>
  <c r="K15" i="6"/>
  <c r="K19" i="6"/>
  <c r="K23" i="6"/>
  <c r="K84" i="5"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<sst xmlns="http://schemas.openxmlformats.org/spreadsheetml/2006/main" count="26328" uniqueCount="2840">
  <si>
    <t>Appointment_ID</t>
  </si>
  <si>
    <t>Appointment_Date</t>
  </si>
  <si>
    <t>Month</t>
  </si>
  <si>
    <t>Day_of_Week</t>
  </si>
  <si>
    <t>Time_Slot</t>
  </si>
  <si>
    <t>Clinic</t>
  </si>
  <si>
    <t>District</t>
  </si>
  <si>
    <t>Therapist</t>
  </si>
  <si>
    <t>Patient_ID</t>
  </si>
  <si>
    <t>Patient_Type</t>
  </si>
  <si>
    <t>Therapy_Type</t>
  </si>
  <si>
    <t>Payer_Type</t>
  </si>
  <si>
    <t>Referral_Source</t>
  </si>
  <si>
    <t>Appointment_Status</t>
  </si>
  <si>
    <t>Scheduled_Minutes</t>
  </si>
  <si>
    <t>Treated_Minutes</t>
  </si>
  <si>
    <t>Allocated_Shift_Capacity_Minutes</t>
  </si>
  <si>
    <t>Session_Fee_INR</t>
  </si>
  <si>
    <t>Revenue_INR</t>
  </si>
  <si>
    <t>Lost_Revenue_INR</t>
  </si>
  <si>
    <t>No_Show_Flag</t>
  </si>
  <si>
    <t>Completed_Flag</t>
  </si>
  <si>
    <t>Cancellation_Flag</t>
  </si>
  <si>
    <t>Utilization_Target</t>
  </si>
  <si>
    <t>APT-00001</t>
  </si>
  <si>
    <t>Dec</t>
  </si>
  <si>
    <t>Tuesday</t>
  </si>
  <si>
    <t>Evening</t>
  </si>
  <si>
    <t>Palakkad Rehab Clinic</t>
  </si>
  <si>
    <t>Palakkad</t>
  </si>
  <si>
    <t>Meera S</t>
  </si>
  <si>
    <t>PT-1019</t>
  </si>
  <si>
    <t>Chronic Pain</t>
  </si>
  <si>
    <t>Posture Correction</t>
  </si>
  <si>
    <t>Self Pay</t>
  </si>
  <si>
    <t>Corporate Wellness</t>
  </si>
  <si>
    <t>Completed</t>
  </si>
  <si>
    <t>APT-00002</t>
  </si>
  <si>
    <t>Nov</t>
  </si>
  <si>
    <t>Monday</t>
  </si>
  <si>
    <t>Morning</t>
  </si>
  <si>
    <t>Thrissur Physio Center</t>
  </si>
  <si>
    <t>Thrissur</t>
  </si>
  <si>
    <t>Arun Raj</t>
  </si>
  <si>
    <t>PT-1157</t>
  </si>
  <si>
    <t>Post-op Rehab</t>
  </si>
  <si>
    <t>Manual Therapy</t>
  </si>
  <si>
    <t>Neurologist</t>
  </si>
  <si>
    <t>APT-00003</t>
  </si>
  <si>
    <t>Sep</t>
  </si>
  <si>
    <t>Thursday</t>
  </si>
  <si>
    <t>Sreejith K</t>
  </si>
  <si>
    <t>PT-1593</t>
  </si>
  <si>
    <t>New Patient</t>
  </si>
  <si>
    <t>Government Scheme</t>
  </si>
  <si>
    <t>APT-00004</t>
  </si>
  <si>
    <t>Mar</t>
  </si>
  <si>
    <t>Wednesday</t>
  </si>
  <si>
    <t>Ernakulam Advanced Rehab</t>
  </si>
  <si>
    <t>Ernakulam</t>
  </si>
  <si>
    <t>Rohit George</t>
  </si>
  <si>
    <t>PT-1637</t>
  </si>
  <si>
    <t>Follow-up</t>
  </si>
  <si>
    <t>Neuro Rehab</t>
  </si>
  <si>
    <t>Private Insurance</t>
  </si>
  <si>
    <t>Online Search</t>
  </si>
  <si>
    <t>APT-00005</t>
  </si>
  <si>
    <t>Jun</t>
  </si>
  <si>
    <t>Afternoon</t>
  </si>
  <si>
    <t>PT-1605</t>
  </si>
  <si>
    <t>Electrotherapy</t>
  </si>
  <si>
    <t>Self Referral</t>
  </si>
  <si>
    <t>APT-00006</t>
  </si>
  <si>
    <t>Joel Thomas</t>
  </si>
  <si>
    <t>PT-1042</t>
  </si>
  <si>
    <t>APT-00007</t>
  </si>
  <si>
    <t>Feb</t>
  </si>
  <si>
    <t>PT-1548</t>
  </si>
  <si>
    <t>Corporate Tie-up</t>
  </si>
  <si>
    <t>APT-00008</t>
  </si>
  <si>
    <t>PT-1545</t>
  </si>
  <si>
    <t>APT-00009</t>
  </si>
  <si>
    <t>Friday</t>
  </si>
  <si>
    <t>Midday</t>
  </si>
  <si>
    <t>PT-1198</t>
  </si>
  <si>
    <t>Sports Rehab</t>
  </si>
  <si>
    <t>Hospital Discharge</t>
  </si>
  <si>
    <t>APT-00010</t>
  </si>
  <si>
    <t>Saturday</t>
  </si>
  <si>
    <t>Aparna Varma</t>
  </si>
  <si>
    <t>PT-1052</t>
  </si>
  <si>
    <t>APT-00011</t>
  </si>
  <si>
    <t>Apr</t>
  </si>
  <si>
    <t>PT-1513</t>
  </si>
  <si>
    <t>Orthopedic Doctor</t>
  </si>
  <si>
    <t>No-show</t>
  </si>
  <si>
    <t>APT-00012</t>
  </si>
  <si>
    <t>Oct</t>
  </si>
  <si>
    <t>PT-1353</t>
  </si>
  <si>
    <t>Sports Injury</t>
  </si>
  <si>
    <t>APT-00013</t>
  </si>
  <si>
    <t>Jul</t>
  </si>
  <si>
    <t>Anjali Menon</t>
  </si>
  <si>
    <t>PT-1015</t>
  </si>
  <si>
    <t>Exercise Therapy</t>
  </si>
  <si>
    <t>APT-00014</t>
  </si>
  <si>
    <t>PT-1274</t>
  </si>
  <si>
    <t>APT-00015</t>
  </si>
  <si>
    <t>PT-1655</t>
  </si>
  <si>
    <t>APT-00016</t>
  </si>
  <si>
    <t>Aug</t>
  </si>
  <si>
    <t>Priya Mathew</t>
  </si>
  <si>
    <t>PT-1624</t>
  </si>
  <si>
    <t>Cancelled Late</t>
  </si>
  <si>
    <t>APT-00017</t>
  </si>
  <si>
    <t>PT-1653</t>
  </si>
  <si>
    <t>APT-00018</t>
  </si>
  <si>
    <t>Lakshmi Pillai</t>
  </si>
  <si>
    <t>PT-1497</t>
  </si>
  <si>
    <t>APT-00019</t>
  </si>
  <si>
    <t>Deepa Krishnan</t>
  </si>
  <si>
    <t>PT-1103</t>
  </si>
  <si>
    <t>APT-00020</t>
  </si>
  <si>
    <t>PT-1607</t>
  </si>
  <si>
    <t>APT-00021</t>
  </si>
  <si>
    <t>Nisha Thomas</t>
  </si>
  <si>
    <t>PT-1511</t>
  </si>
  <si>
    <t>APT-00022</t>
  </si>
  <si>
    <t>May</t>
  </si>
  <si>
    <t>APT-00023</t>
  </si>
  <si>
    <t>Jan</t>
  </si>
  <si>
    <t>PT-1691</t>
  </si>
  <si>
    <t>APT-00024</t>
  </si>
  <si>
    <t>PT-1190</t>
  </si>
  <si>
    <t>APT-00025</t>
  </si>
  <si>
    <t>Vishnu Nair</t>
  </si>
  <si>
    <t>PT-1332</t>
  </si>
  <si>
    <t>Geriatric Rehab</t>
  </si>
  <si>
    <t>APT-00026</t>
  </si>
  <si>
    <t>PT-1406</t>
  </si>
  <si>
    <t>APT-00027</t>
  </si>
  <si>
    <t>PT-1284</t>
  </si>
  <si>
    <t>APT-00028</t>
  </si>
  <si>
    <t>PT-1470</t>
  </si>
  <si>
    <t>APT-00029</t>
  </si>
  <si>
    <t>PT-1033</t>
  </si>
  <si>
    <t>APT-00030</t>
  </si>
  <si>
    <t>PT-1508</t>
  </si>
  <si>
    <t>APT-00031</t>
  </si>
  <si>
    <t>PT-1696</t>
  </si>
  <si>
    <t>APT-00032</t>
  </si>
  <si>
    <t>Fathima Rahman</t>
  </si>
  <si>
    <t>PT-1289</t>
  </si>
  <si>
    <t>Rescheduled</t>
  </si>
  <si>
    <t>APT-00033</t>
  </si>
  <si>
    <t>PT-1305</t>
  </si>
  <si>
    <t>APT-00034</t>
  </si>
  <si>
    <t>PT-1221</t>
  </si>
  <si>
    <t>APT-00035</t>
  </si>
  <si>
    <t>PT-1434</t>
  </si>
  <si>
    <t>APT-00036</t>
  </si>
  <si>
    <t>PT-1110</t>
  </si>
  <si>
    <t>APT-00037</t>
  </si>
  <si>
    <t>PT-1036</t>
  </si>
  <si>
    <t>APT-00038</t>
  </si>
  <si>
    <t>APT-00039</t>
  </si>
  <si>
    <t>PT-1314</t>
  </si>
  <si>
    <t>APT-00040</t>
  </si>
  <si>
    <t>PT-1269</t>
  </si>
  <si>
    <t>APT-00041</t>
  </si>
  <si>
    <t>PT-1380</t>
  </si>
  <si>
    <t>APT-00042</t>
  </si>
  <si>
    <t>PT-1356</t>
  </si>
  <si>
    <t>APT-00043</t>
  </si>
  <si>
    <t>PT-1594</t>
  </si>
  <si>
    <t>APT-00044</t>
  </si>
  <si>
    <t>PT-1342</t>
  </si>
  <si>
    <t>APT-00045</t>
  </si>
  <si>
    <t>PT-1499</t>
  </si>
  <si>
    <t>APT-00046</t>
  </si>
  <si>
    <t>APT-00047</t>
  </si>
  <si>
    <t>APT-00048</t>
  </si>
  <si>
    <t>PT-1232</t>
  </si>
  <si>
    <t>APT-00049</t>
  </si>
  <si>
    <t>PT-1445</t>
  </si>
  <si>
    <t>APT-00050</t>
  </si>
  <si>
    <t>PT-1096</t>
  </si>
  <si>
    <t>APT-00051</t>
  </si>
  <si>
    <t>PT-1168</t>
  </si>
  <si>
    <t>APT-00052</t>
  </si>
  <si>
    <t>PT-1465</t>
  </si>
  <si>
    <t>APT-00053</t>
  </si>
  <si>
    <t>PT-1261</t>
  </si>
  <si>
    <t>APT-00054</t>
  </si>
  <si>
    <t>PT-1654</t>
  </si>
  <si>
    <t>APT-00055</t>
  </si>
  <si>
    <t>PT-1446</t>
  </si>
  <si>
    <t>APT-00056</t>
  </si>
  <si>
    <t>PT-1634</t>
  </si>
  <si>
    <t>APT-00057</t>
  </si>
  <si>
    <t>PT-1687</t>
  </si>
  <si>
    <t>APT-00058</t>
  </si>
  <si>
    <t>PT-1231</t>
  </si>
  <si>
    <t>APT-00059</t>
  </si>
  <si>
    <t>PT-1621</t>
  </si>
  <si>
    <t>APT-00060</t>
  </si>
  <si>
    <t>PT-1218</t>
  </si>
  <si>
    <t>APT-00061</t>
  </si>
  <si>
    <t>PT-1475</t>
  </si>
  <si>
    <t>APT-00062</t>
  </si>
  <si>
    <t>Rahul P</t>
  </si>
  <si>
    <t>PT-1215</t>
  </si>
  <si>
    <t>APT-00063</t>
  </si>
  <si>
    <t>PT-1235</t>
  </si>
  <si>
    <t>APT-00064</t>
  </si>
  <si>
    <t>PT-1473</t>
  </si>
  <si>
    <t>APT-00065</t>
  </si>
  <si>
    <t>APT-00066</t>
  </si>
  <si>
    <t>PT-1228</t>
  </si>
  <si>
    <t>APT-00067</t>
  </si>
  <si>
    <t>PT-1360</t>
  </si>
  <si>
    <t>APT-00068</t>
  </si>
  <si>
    <t>PT-1604</t>
  </si>
  <si>
    <t>APT-00069</t>
  </si>
  <si>
    <t>PT-1083</t>
  </si>
  <si>
    <t>APT-00070</t>
  </si>
  <si>
    <t>PT-1023</t>
  </si>
  <si>
    <t>APT-00071</t>
  </si>
  <si>
    <t>APT-00072</t>
  </si>
  <si>
    <t>PT-1525</t>
  </si>
  <si>
    <t>APT-00073</t>
  </si>
  <si>
    <t>PT-1051</t>
  </si>
  <si>
    <t>APT-00074</t>
  </si>
  <si>
    <t>PT-1087</t>
  </si>
  <si>
    <t>APT-00075</t>
  </si>
  <si>
    <t>PT-1385</t>
  </si>
  <si>
    <t>APT-00076</t>
  </si>
  <si>
    <t>APT-00077</t>
  </si>
  <si>
    <t>PT-1555</t>
  </si>
  <si>
    <t>APT-00078</t>
  </si>
  <si>
    <t>APT-00079</t>
  </si>
  <si>
    <t>PT-1392</t>
  </si>
  <si>
    <t>APT-00080</t>
  </si>
  <si>
    <t>PT-1196</t>
  </si>
  <si>
    <t>APT-00081</t>
  </si>
  <si>
    <t>PT-1680</t>
  </si>
  <si>
    <t>APT-00082</t>
  </si>
  <si>
    <t>PT-1091</t>
  </si>
  <si>
    <t>APT-00083</t>
  </si>
  <si>
    <t>PT-1551</t>
  </si>
  <si>
    <t>APT-00084</t>
  </si>
  <si>
    <t>PT-1679</t>
  </si>
  <si>
    <t>APT-00085</t>
  </si>
  <si>
    <t>PT-1450</t>
  </si>
  <si>
    <t>APT-00086</t>
  </si>
  <si>
    <t>PT-1629</t>
  </si>
  <si>
    <t>APT-00087</t>
  </si>
  <si>
    <t>PT-1236</t>
  </si>
  <si>
    <t>APT-00088</t>
  </si>
  <si>
    <t>PT-1507</t>
  </si>
  <si>
    <t>APT-00089</t>
  </si>
  <si>
    <t>PT-1364</t>
  </si>
  <si>
    <t>APT-00090</t>
  </si>
  <si>
    <t>PT-1618</t>
  </si>
  <si>
    <t>APT-00091</t>
  </si>
  <si>
    <t>PT-1273</t>
  </si>
  <si>
    <t>APT-00092</t>
  </si>
  <si>
    <t>PT-1337</t>
  </si>
  <si>
    <t>APT-00093</t>
  </si>
  <si>
    <t>PT-1433</t>
  </si>
  <si>
    <t>APT-00094</t>
  </si>
  <si>
    <t>PT-1348</t>
  </si>
  <si>
    <t>APT-00095</t>
  </si>
  <si>
    <t>PT-1424</t>
  </si>
  <si>
    <t>APT-00096</t>
  </si>
  <si>
    <t>PT-1387</t>
  </si>
  <si>
    <t>APT-00097</t>
  </si>
  <si>
    <t>PT-1578</t>
  </si>
  <si>
    <t>APT-00098</t>
  </si>
  <si>
    <t>PT-1125</t>
  </si>
  <si>
    <t>APT-00099</t>
  </si>
  <si>
    <t>PT-1518</t>
  </si>
  <si>
    <t>APT-00100</t>
  </si>
  <si>
    <t>PT-1660</t>
  </si>
  <si>
    <t>APT-00101</t>
  </si>
  <si>
    <t>PT-1537</t>
  </si>
  <si>
    <t>APT-00102</t>
  </si>
  <si>
    <t>Sunday</t>
  </si>
  <si>
    <t>PT-1552</t>
  </si>
  <si>
    <t>APT-00103</t>
  </si>
  <si>
    <t>PT-1326</t>
  </si>
  <si>
    <t>APT-00104</t>
  </si>
  <si>
    <t>PT-1580</t>
  </si>
  <si>
    <t>APT-00105</t>
  </si>
  <si>
    <t>PT-1390</t>
  </si>
  <si>
    <t>APT-00106</t>
  </si>
  <si>
    <t>Divya Nambiar</t>
  </si>
  <si>
    <t>APT-00107</t>
  </si>
  <si>
    <t>PT-1113</t>
  </si>
  <si>
    <t>APT-00108</t>
  </si>
  <si>
    <t>PT-1234</t>
  </si>
  <si>
    <t>APT-00109</t>
  </si>
  <si>
    <t>PT-1615</t>
  </si>
  <si>
    <t>APT-00110</t>
  </si>
  <si>
    <t>PT-1341</t>
  </si>
  <si>
    <t>APT-00111</t>
  </si>
  <si>
    <t>PT-1693</t>
  </si>
  <si>
    <t>APT-00112</t>
  </si>
  <si>
    <t>PT-1069</t>
  </si>
  <si>
    <t>APT-00113</t>
  </si>
  <si>
    <t>PT-1272</t>
  </si>
  <si>
    <t>APT-00114</t>
  </si>
  <si>
    <t>PT-1662</t>
  </si>
  <si>
    <t>APT-00115</t>
  </si>
  <si>
    <t>PT-1376</t>
  </si>
  <si>
    <t>APT-00116</t>
  </si>
  <si>
    <t>PT-1462</t>
  </si>
  <si>
    <t>APT-00117</t>
  </si>
  <si>
    <t>PT-1490</t>
  </si>
  <si>
    <t>APT-00118</t>
  </si>
  <si>
    <t>PT-1483</t>
  </si>
  <si>
    <t>APT-00119</t>
  </si>
  <si>
    <t>PT-1480</t>
  </si>
  <si>
    <t>APT-00120</t>
  </si>
  <si>
    <t>PT-1294</t>
  </si>
  <si>
    <t>APT-00121</t>
  </si>
  <si>
    <t>PT-1482</t>
  </si>
  <si>
    <t>APT-00122</t>
  </si>
  <si>
    <t>PT-1300</t>
  </si>
  <si>
    <t>APT-00123</t>
  </si>
  <si>
    <t>PT-1457</t>
  </si>
  <si>
    <t>APT-00124</t>
  </si>
  <si>
    <t>PT-1285</t>
  </si>
  <si>
    <t>APT-00125</t>
  </si>
  <si>
    <t>PT-1579</t>
  </si>
  <si>
    <t>APT-00126</t>
  </si>
  <si>
    <t>APT-00127</t>
  </si>
  <si>
    <t>PT-1075</t>
  </si>
  <si>
    <t>APT-00128</t>
  </si>
  <si>
    <t>APT-00129</t>
  </si>
  <si>
    <t>PT-1516</t>
  </si>
  <si>
    <t>APT-00130</t>
  </si>
  <si>
    <t>PT-1411</t>
  </si>
  <si>
    <t>APT-00131</t>
  </si>
  <si>
    <t>PT-1338</t>
  </si>
  <si>
    <t>APT-00132</t>
  </si>
  <si>
    <t>PT-1195</t>
  </si>
  <si>
    <t>APT-00133</t>
  </si>
  <si>
    <t>PT-1237</t>
  </si>
  <si>
    <t>APT-00134</t>
  </si>
  <si>
    <t>PT-1602</t>
  </si>
  <si>
    <t>APT-00135</t>
  </si>
  <si>
    <t>PT-1576</t>
  </si>
  <si>
    <t>APT-00136</t>
  </si>
  <si>
    <t>PT-1583</t>
  </si>
  <si>
    <t>APT-00137</t>
  </si>
  <si>
    <t>PT-1515</t>
  </si>
  <si>
    <t>APT-00138</t>
  </si>
  <si>
    <t>PT-1175</t>
  </si>
  <si>
    <t>APT-00139</t>
  </si>
  <si>
    <t>PT-1010</t>
  </si>
  <si>
    <t>APT-00140</t>
  </si>
  <si>
    <t>PT-1340</t>
  </si>
  <si>
    <t>APT-00141</t>
  </si>
  <si>
    <t>PT-1533</t>
  </si>
  <si>
    <t>APT-00142</t>
  </si>
  <si>
    <t>PT-1585</t>
  </si>
  <si>
    <t>APT-00143</t>
  </si>
  <si>
    <t>PT-1239</t>
  </si>
  <si>
    <t>APT-00144</t>
  </si>
  <si>
    <t>PT-1199</t>
  </si>
  <si>
    <t>APT-00145</t>
  </si>
  <si>
    <t>PT-1090</t>
  </si>
  <si>
    <t>APT-00146</t>
  </si>
  <si>
    <t>APT-00147</t>
  </si>
  <si>
    <t>PT-1407</t>
  </si>
  <si>
    <t>APT-00148</t>
  </si>
  <si>
    <t>PT-1206</t>
  </si>
  <si>
    <t>APT-00149</t>
  </si>
  <si>
    <t>PT-1062</t>
  </si>
  <si>
    <t>APT-00150</t>
  </si>
  <si>
    <t>PT-1547</t>
  </si>
  <si>
    <t>APT-00151</t>
  </si>
  <si>
    <t>APT-00152</t>
  </si>
  <si>
    <t>PT-1343</t>
  </si>
  <si>
    <t>APT-00153</t>
  </si>
  <si>
    <t>APT-00154</t>
  </si>
  <si>
    <t>PT-1527</t>
  </si>
  <si>
    <t>APT-00155</t>
  </si>
  <si>
    <t>PT-1561</t>
  </si>
  <si>
    <t>APT-00156</t>
  </si>
  <si>
    <t>PT-1151</t>
  </si>
  <si>
    <t>APT-00157</t>
  </si>
  <si>
    <t>PT-1055</t>
  </si>
  <si>
    <t>APT-00158</t>
  </si>
  <si>
    <t>PT-1374</t>
  </si>
  <si>
    <t>APT-00159</t>
  </si>
  <si>
    <t>PT-1472</t>
  </si>
  <si>
    <t>APT-00160</t>
  </si>
  <si>
    <t>PT-1625</t>
  </si>
  <si>
    <t>APT-00161</t>
  </si>
  <si>
    <t>PT-1317</t>
  </si>
  <si>
    <t>APT-00162</t>
  </si>
  <si>
    <t>PT-1306</t>
  </si>
  <si>
    <t>APT-00163</t>
  </si>
  <si>
    <t>APT-00164</t>
  </si>
  <si>
    <t>APT-00165</t>
  </si>
  <si>
    <t>PT-1177</t>
  </si>
  <si>
    <t>APT-00166</t>
  </si>
  <si>
    <t>PT-1476</t>
  </si>
  <si>
    <t>APT-00167</t>
  </si>
  <si>
    <t>APT-00168</t>
  </si>
  <si>
    <t>PT-1097</t>
  </si>
  <si>
    <t>APT-00169</t>
  </si>
  <si>
    <t>APT-00170</t>
  </si>
  <si>
    <t>APT-00171</t>
  </si>
  <si>
    <t>PT-1640</t>
  </si>
  <si>
    <t>APT-00172</t>
  </si>
  <si>
    <t>PT-1130</t>
  </si>
  <si>
    <t>APT-00173</t>
  </si>
  <si>
    <t>PT-1484</t>
  </si>
  <si>
    <t>APT-00174</t>
  </si>
  <si>
    <t>PT-1169</t>
  </si>
  <si>
    <t>APT-00175</t>
  </si>
  <si>
    <t>PT-1350</t>
  </si>
  <si>
    <t>APT-00176</t>
  </si>
  <si>
    <t>PT-1002</t>
  </si>
  <si>
    <t>APT-00177</t>
  </si>
  <si>
    <t>APT-00178</t>
  </si>
  <si>
    <t>PT-1584</t>
  </si>
  <si>
    <t>APT-00179</t>
  </si>
  <si>
    <t>PT-1225</t>
  </si>
  <si>
    <t>APT-00180</t>
  </si>
  <si>
    <t>PT-1574</t>
  </si>
  <si>
    <t>APT-00181</t>
  </si>
  <si>
    <t>PT-1287</t>
  </si>
  <si>
    <t>APT-00182</t>
  </si>
  <si>
    <t>PT-1611</t>
  </si>
  <si>
    <t>APT-00183</t>
  </si>
  <si>
    <t>APT-00184</t>
  </si>
  <si>
    <t>PT-1443</t>
  </si>
  <si>
    <t>APT-00185</t>
  </si>
  <si>
    <t>PT-1144</t>
  </si>
  <si>
    <t>APT-00186</t>
  </si>
  <si>
    <t>PT-1138</t>
  </si>
  <si>
    <t>APT-00187</t>
  </si>
  <si>
    <t>APT-00188</t>
  </si>
  <si>
    <t>PT-1566</t>
  </si>
  <si>
    <t>APT-00189</t>
  </si>
  <si>
    <t>PT-1526</t>
  </si>
  <si>
    <t>APT-00190</t>
  </si>
  <si>
    <t>PT-1383</t>
  </si>
  <si>
    <t>APT-00191</t>
  </si>
  <si>
    <t>PT-1399</t>
  </si>
  <si>
    <t>APT-00192</t>
  </si>
  <si>
    <t>APT-00193</t>
  </si>
  <si>
    <t>PT-1210</t>
  </si>
  <si>
    <t>APT-00194</t>
  </si>
  <si>
    <t>PT-1367</t>
  </si>
  <si>
    <t>APT-00195</t>
  </si>
  <si>
    <t>PT-1072</t>
  </si>
  <si>
    <t>APT-00196</t>
  </si>
  <si>
    <t>PT-1128</t>
  </si>
  <si>
    <t>APT-00197</t>
  </si>
  <si>
    <t>PT-1227</t>
  </si>
  <si>
    <t>APT-00198</t>
  </si>
  <si>
    <t>PT-1575</t>
  </si>
  <si>
    <t>APT-00199</t>
  </si>
  <si>
    <t>PT-1438</t>
  </si>
  <si>
    <t>APT-00200</t>
  </si>
  <si>
    <t>APT-00201</t>
  </si>
  <si>
    <t>PT-1635</t>
  </si>
  <si>
    <t>APT-00202</t>
  </si>
  <si>
    <t>PT-1630</t>
  </si>
  <si>
    <t>APT-00203</t>
  </si>
  <si>
    <t>PT-1657</t>
  </si>
  <si>
    <t>APT-00204</t>
  </si>
  <si>
    <t>PT-1186</t>
  </si>
  <si>
    <t>APT-00205</t>
  </si>
  <si>
    <t>PT-1581</t>
  </si>
  <si>
    <t>APT-00206</t>
  </si>
  <si>
    <t>APT-00207</t>
  </si>
  <si>
    <t>PT-1370</t>
  </si>
  <si>
    <t>APT-00208</t>
  </si>
  <si>
    <t>PT-1205</t>
  </si>
  <si>
    <t>APT-00209</t>
  </si>
  <si>
    <t>PT-1565</t>
  </si>
  <si>
    <t>APT-00210</t>
  </si>
  <si>
    <t>APT-00211</t>
  </si>
  <si>
    <t>PT-1268</t>
  </si>
  <si>
    <t>APT-00212</t>
  </si>
  <si>
    <t>PT-1330</t>
  </si>
  <si>
    <t>APT-00213</t>
  </si>
  <si>
    <t>PT-1597</t>
  </si>
  <si>
    <t>APT-00214</t>
  </si>
  <si>
    <t>PT-1587</t>
  </si>
  <si>
    <t>APT-00215</t>
  </si>
  <si>
    <t>APT-00216</t>
  </si>
  <si>
    <t>APT-00217</t>
  </si>
  <si>
    <t>APT-00218</t>
  </si>
  <si>
    <t>APT-00219</t>
  </si>
  <si>
    <t>PT-1631</t>
  </si>
  <si>
    <t>APT-00220</t>
  </si>
  <si>
    <t>PT-1534</t>
  </si>
  <si>
    <t>APT-00221</t>
  </si>
  <si>
    <t>PT-1220</t>
  </si>
  <si>
    <t>APT-00222</t>
  </si>
  <si>
    <t>PT-1257</t>
  </si>
  <si>
    <t>APT-00223</t>
  </si>
  <si>
    <t>PT-1045</t>
  </si>
  <si>
    <t>APT-00224</t>
  </si>
  <si>
    <t>PT-1524</t>
  </si>
  <si>
    <t>APT-00225</t>
  </si>
  <si>
    <t>PT-1302</t>
  </si>
  <si>
    <t>APT-00226</t>
  </si>
  <si>
    <t>APT-00227</t>
  </si>
  <si>
    <t>APT-00228</t>
  </si>
  <si>
    <t>PT-1197</t>
  </si>
  <si>
    <t>APT-00229</t>
  </si>
  <si>
    <t>PT-1541</t>
  </si>
  <si>
    <t>APT-00230</t>
  </si>
  <si>
    <t>PT-1589</t>
  </si>
  <si>
    <t>APT-00231</t>
  </si>
  <si>
    <t>PT-1639</t>
  </si>
  <si>
    <t>APT-00232</t>
  </si>
  <si>
    <t>APT-00233</t>
  </si>
  <si>
    <t>PT-1142</t>
  </si>
  <si>
    <t>APT-00234</t>
  </si>
  <si>
    <t>PT-1162</t>
  </si>
  <si>
    <t>APT-00235</t>
  </si>
  <si>
    <t>PT-1009</t>
  </si>
  <si>
    <t>APT-00236</t>
  </si>
  <si>
    <t>PT-1201</t>
  </si>
  <si>
    <t>APT-00237</t>
  </si>
  <si>
    <t>APT-00238</t>
  </si>
  <si>
    <t>PT-1573</t>
  </si>
  <si>
    <t>APT-00239</t>
  </si>
  <si>
    <t>PT-1021</t>
  </si>
  <si>
    <t>APT-00240</t>
  </si>
  <si>
    <t>PT-1436</t>
  </si>
  <si>
    <t>APT-00241</t>
  </si>
  <si>
    <t>APT-00242</t>
  </si>
  <si>
    <t>PT-1153</t>
  </si>
  <si>
    <t>APT-00243</t>
  </si>
  <si>
    <t>PT-1208</t>
  </si>
  <si>
    <t>APT-00244</t>
  </si>
  <si>
    <t>PT-1451</t>
  </si>
  <si>
    <t>APT-00245</t>
  </si>
  <si>
    <t>APT-00246</t>
  </si>
  <si>
    <t>APT-00247</t>
  </si>
  <si>
    <t>APT-00248</t>
  </si>
  <si>
    <t>PT-1554</t>
  </si>
  <si>
    <t>APT-00249</t>
  </si>
  <si>
    <t>APT-00250</t>
  </si>
  <si>
    <t>APT-00251</t>
  </si>
  <si>
    <t>PT-1683</t>
  </si>
  <si>
    <t>APT-00252</t>
  </si>
  <si>
    <t>APT-00253</t>
  </si>
  <si>
    <t>PT-1613</t>
  </si>
  <si>
    <t>APT-00254</t>
  </si>
  <si>
    <t>PT-1645</t>
  </si>
  <si>
    <t>APT-00255</t>
  </si>
  <si>
    <t>PT-1692</t>
  </si>
  <si>
    <t>APT-00256</t>
  </si>
  <si>
    <t>PT-1250</t>
  </si>
  <si>
    <t>APT-00257</t>
  </si>
  <si>
    <t>PT-1179</t>
  </si>
  <si>
    <t>APT-00258</t>
  </si>
  <si>
    <t>PT-1026</t>
  </si>
  <si>
    <t>APT-00259</t>
  </si>
  <si>
    <t>APT-00260</t>
  </si>
  <si>
    <t>PT-1109</t>
  </si>
  <si>
    <t>APT-00261</t>
  </si>
  <si>
    <t>APT-00262</t>
  </si>
  <si>
    <t>PT-1012</t>
  </si>
  <si>
    <t>APT-00263</t>
  </si>
  <si>
    <t>PT-1354</t>
  </si>
  <si>
    <t>APT-00264</t>
  </si>
  <si>
    <t>APT-00265</t>
  </si>
  <si>
    <t>APT-00266</t>
  </si>
  <si>
    <t>PT-1060</t>
  </si>
  <si>
    <t>APT-00267</t>
  </si>
  <si>
    <t>PT-1528</t>
  </si>
  <si>
    <t>APT-00268</t>
  </si>
  <si>
    <t>APT-00269</t>
  </si>
  <si>
    <t>PT-1676</t>
  </si>
  <si>
    <t>APT-00270</t>
  </si>
  <si>
    <t>APT-00271</t>
  </si>
  <si>
    <t>APT-00272</t>
  </si>
  <si>
    <t>PT-1084</t>
  </si>
  <si>
    <t>APT-00273</t>
  </si>
  <si>
    <t>APT-00274</t>
  </si>
  <si>
    <t>APT-00275</t>
  </si>
  <si>
    <t>PT-1092</t>
  </si>
  <si>
    <t>APT-00276</t>
  </si>
  <si>
    <t>APT-00277</t>
  </si>
  <si>
    <t>PT-1400</t>
  </si>
  <si>
    <t>APT-00278</t>
  </si>
  <si>
    <t>PT-1126</t>
  </si>
  <si>
    <t>APT-00279</t>
  </si>
  <si>
    <t>PT-1137</t>
  </si>
  <si>
    <t>APT-00280</t>
  </si>
  <si>
    <t>PT-1365</t>
  </si>
  <si>
    <t>APT-00281</t>
  </si>
  <si>
    <t>PT-1388</t>
  </si>
  <si>
    <t>APT-00282</t>
  </si>
  <si>
    <t>PT-1461</t>
  </si>
  <si>
    <t>APT-00283</t>
  </si>
  <si>
    <t>APT-00284</t>
  </si>
  <si>
    <t>APT-00285</t>
  </si>
  <si>
    <t>APT-00286</t>
  </si>
  <si>
    <t>APT-00287</t>
  </si>
  <si>
    <t>APT-00288</t>
  </si>
  <si>
    <t>PT-1425</t>
  </si>
  <si>
    <t>APT-00289</t>
  </si>
  <si>
    <t>APT-00290</t>
  </si>
  <si>
    <t>PT-1025</t>
  </si>
  <si>
    <t>APT-00291</t>
  </si>
  <si>
    <t>APT-00292</t>
  </si>
  <si>
    <t>PT-1119</t>
  </si>
  <si>
    <t>APT-00293</t>
  </si>
  <si>
    <t>APT-00294</t>
  </si>
  <si>
    <t>PT-1328</t>
  </si>
  <si>
    <t>APT-00295</t>
  </si>
  <si>
    <t>PT-1652</t>
  </si>
  <si>
    <t>APT-00296</t>
  </si>
  <si>
    <t>PT-1617</t>
  </si>
  <si>
    <t>APT-00297</t>
  </si>
  <si>
    <t>APT-00298</t>
  </si>
  <si>
    <t>APT-00299</t>
  </si>
  <si>
    <t>APT-00300</t>
  </si>
  <si>
    <t>PT-1166</t>
  </si>
  <si>
    <t>APT-00301</t>
  </si>
  <si>
    <t>PT-1304</t>
  </si>
  <si>
    <t>APT-00302</t>
  </si>
  <si>
    <t>APT-00303</t>
  </si>
  <si>
    <t>PT-1544</t>
  </si>
  <si>
    <t>APT-00304</t>
  </si>
  <si>
    <t>APT-00305</t>
  </si>
  <si>
    <t>PT-1491</t>
  </si>
  <si>
    <t>APT-00306</t>
  </si>
  <si>
    <t>APT-00307</t>
  </si>
  <si>
    <t>APT-00308</t>
  </si>
  <si>
    <t>PT-1311</t>
  </si>
  <si>
    <t>APT-00309</t>
  </si>
  <si>
    <t>PT-1310</t>
  </si>
  <si>
    <t>APT-00310</t>
  </si>
  <si>
    <t>APT-00311</t>
  </si>
  <si>
    <t>PT-1659</t>
  </si>
  <si>
    <t>APT-00312</t>
  </si>
  <si>
    <t>PT-1690</t>
  </si>
  <si>
    <t>APT-00313</t>
  </si>
  <si>
    <t>PT-1543</t>
  </si>
  <si>
    <t>APT-00314</t>
  </si>
  <si>
    <t>APT-00315</t>
  </si>
  <si>
    <t>APT-00316</t>
  </si>
  <si>
    <t>APT-00317</t>
  </si>
  <si>
    <t>PT-1322</t>
  </si>
  <si>
    <t>APT-00318</t>
  </si>
  <si>
    <t>APT-00319</t>
  </si>
  <si>
    <t>APT-00320</t>
  </si>
  <si>
    <t>PT-1078</t>
  </si>
  <si>
    <t>APT-00321</t>
  </si>
  <si>
    <t>PT-1375</t>
  </si>
  <si>
    <t>APT-00322</t>
  </si>
  <si>
    <t>APT-00323</t>
  </si>
  <si>
    <t>PT-1081</t>
  </si>
  <si>
    <t>APT-00324</t>
  </si>
  <si>
    <t>APT-00325</t>
  </si>
  <si>
    <t>PT-1187</t>
  </si>
  <si>
    <t>APT-00326</t>
  </si>
  <si>
    <t>PT-1018</t>
  </si>
  <si>
    <t>APT-00327</t>
  </si>
  <si>
    <t>PT-1233</t>
  </si>
  <si>
    <t>APT-00328</t>
  </si>
  <si>
    <t>PT-1453</t>
  </si>
  <si>
    <t>APT-00329</t>
  </si>
  <si>
    <t>PT-1487</t>
  </si>
  <si>
    <t>APT-00330</t>
  </si>
  <si>
    <t>PT-1440</t>
  </si>
  <si>
    <t>APT-00331</t>
  </si>
  <si>
    <t>PT-1441</t>
  </si>
  <si>
    <t>APT-00332</t>
  </si>
  <si>
    <t>APT-00333</t>
  </si>
  <si>
    <t>PT-1414</t>
  </si>
  <si>
    <t>APT-00334</t>
  </si>
  <si>
    <t>APT-00335</t>
  </si>
  <si>
    <t>PT-1595</t>
  </si>
  <si>
    <t>APT-00336</t>
  </si>
  <si>
    <t>APT-00337</t>
  </si>
  <si>
    <t>PT-1185</t>
  </si>
  <si>
    <t>APT-00338</t>
  </si>
  <si>
    <t>PT-1429</t>
  </si>
  <si>
    <t>APT-00339</t>
  </si>
  <si>
    <t>PT-1501</t>
  </si>
  <si>
    <t>APT-00340</t>
  </si>
  <si>
    <t>PT-1046</t>
  </si>
  <si>
    <t>APT-00341</t>
  </si>
  <si>
    <t>APT-00342</t>
  </si>
  <si>
    <t>PT-1279</t>
  </si>
  <si>
    <t>APT-00343</t>
  </si>
  <si>
    <t>PT-1320</t>
  </si>
  <si>
    <t>APT-00344</t>
  </si>
  <si>
    <t>PT-1362</t>
  </si>
  <si>
    <t>APT-00345</t>
  </si>
  <si>
    <t>PT-1301</t>
  </si>
  <si>
    <t>APT-00346</t>
  </si>
  <si>
    <t>PT-1318</t>
  </si>
  <si>
    <t>APT-00347</t>
  </si>
  <si>
    <t>PT-1418</t>
  </si>
  <si>
    <t>APT-00348</t>
  </si>
  <si>
    <t>APT-00349</t>
  </si>
  <si>
    <t>PT-1064</t>
  </si>
  <si>
    <t>APT-00350</t>
  </si>
  <si>
    <t>APT-00351</t>
  </si>
  <si>
    <t>PT-1571</t>
  </si>
  <si>
    <t>APT-00352</t>
  </si>
  <si>
    <t>APT-00353</t>
  </si>
  <si>
    <t>APT-00354</t>
  </si>
  <si>
    <t>APT-00355</t>
  </si>
  <si>
    <t>PT-1612</t>
  </si>
  <si>
    <t>APT-00356</t>
  </si>
  <si>
    <t>PT-1442</t>
  </si>
  <si>
    <t>APT-00357</t>
  </si>
  <si>
    <t>PT-1132</t>
  </si>
  <si>
    <t>APT-00358</t>
  </si>
  <si>
    <t>PT-1665</t>
  </si>
  <si>
    <t>APT-00359</t>
  </si>
  <si>
    <t>PT-1562</t>
  </si>
  <si>
    <t>APT-00360</t>
  </si>
  <si>
    <t>PT-1506</t>
  </si>
  <si>
    <t>APT-00361</t>
  </si>
  <si>
    <t>PT-1632</t>
  </si>
  <si>
    <t>APT-00362</t>
  </si>
  <si>
    <t>APT-00363</t>
  </si>
  <si>
    <t>PT-1568</t>
  </si>
  <si>
    <t>APT-00364</t>
  </si>
  <si>
    <t>APT-00365</t>
  </si>
  <si>
    <t>APT-00366</t>
  </si>
  <si>
    <t>PT-1467</t>
  </si>
  <si>
    <t>APT-00367</t>
  </si>
  <si>
    <t>PT-1699</t>
  </si>
  <si>
    <t>APT-00368</t>
  </si>
  <si>
    <t>APT-00369</t>
  </si>
  <si>
    <t>PT-1013</t>
  </si>
  <si>
    <t>APT-00370</t>
  </si>
  <si>
    <t>APT-00371</t>
  </si>
  <si>
    <t>PT-1517</t>
  </si>
  <si>
    <t>APT-00372</t>
  </si>
  <si>
    <t>APT-00373</t>
  </si>
  <si>
    <t>PT-1048</t>
  </si>
  <si>
    <t>APT-00374</t>
  </si>
  <si>
    <t>PT-1106</t>
  </si>
  <si>
    <t>APT-00375</t>
  </si>
  <si>
    <t>PT-1204</t>
  </si>
  <si>
    <t>APT-00376</t>
  </si>
  <si>
    <t>PT-1325</t>
  </si>
  <si>
    <t>APT-00377</t>
  </si>
  <si>
    <t>APT-00378</t>
  </si>
  <si>
    <t>PT-1030</t>
  </si>
  <si>
    <t>APT-00379</t>
  </si>
  <si>
    <t>APT-00380</t>
  </si>
  <si>
    <t>PT-1464</t>
  </si>
  <si>
    <t>APT-00381</t>
  </si>
  <si>
    <t>PT-1120</t>
  </si>
  <si>
    <t>APT-00382</t>
  </si>
  <si>
    <t>APT-00383</t>
  </si>
  <si>
    <t>APT-00384</t>
  </si>
  <si>
    <t>PT-1065</t>
  </si>
  <si>
    <t>APT-00385</t>
  </si>
  <si>
    <t>PT-1116</t>
  </si>
  <si>
    <t>APT-00386</t>
  </si>
  <si>
    <t>PT-1063</t>
  </si>
  <si>
    <t>APT-00387</t>
  </si>
  <si>
    <t>APT-00388</t>
  </si>
  <si>
    <t>APT-00389</t>
  </si>
  <si>
    <t>PT-1359</t>
  </si>
  <si>
    <t>APT-00390</t>
  </si>
  <si>
    <t>PT-1479</t>
  </si>
  <si>
    <t>APT-00391</t>
  </si>
  <si>
    <t>PT-1670</t>
  </si>
  <si>
    <t>APT-00392</t>
  </si>
  <si>
    <t>APT-00393</t>
  </si>
  <si>
    <t>APT-00394</t>
  </si>
  <si>
    <t>APT-00395</t>
  </si>
  <si>
    <t>PT-1278</t>
  </si>
  <si>
    <t>APT-00396</t>
  </si>
  <si>
    <t>APT-00397</t>
  </si>
  <si>
    <t>PT-1313</t>
  </si>
  <si>
    <t>APT-00398</t>
  </si>
  <si>
    <t>PT-1256</t>
  </si>
  <si>
    <t>APT-00399</t>
  </si>
  <si>
    <t>APT-00400</t>
  </si>
  <si>
    <t>PT-1104</t>
  </si>
  <si>
    <t>APT-00401</t>
  </si>
  <si>
    <t>APT-00402</t>
  </si>
  <si>
    <t>PT-1059</t>
  </si>
  <si>
    <t>APT-00403</t>
  </si>
  <si>
    <t>APT-00404</t>
  </si>
  <si>
    <t>PT-1386</t>
  </si>
  <si>
    <t>APT-00405</t>
  </si>
  <si>
    <t>PT-1674</t>
  </si>
  <si>
    <t>APT-00406</t>
  </si>
  <si>
    <t>PT-1672</t>
  </si>
  <si>
    <t>APT-00407</t>
  </si>
  <si>
    <t>PT-1115</t>
  </si>
  <si>
    <t>APT-00408</t>
  </si>
  <si>
    <t>PT-1309</t>
  </si>
  <si>
    <t>APT-00409</t>
  </si>
  <si>
    <t>APT-00410</t>
  </si>
  <si>
    <t>APT-00411</t>
  </si>
  <si>
    <t>PT-1349</t>
  </si>
  <si>
    <t>APT-00412</t>
  </si>
  <si>
    <t>APT-00413</t>
  </si>
  <si>
    <t>APT-00414</t>
  </si>
  <si>
    <t>APT-00415</t>
  </si>
  <si>
    <t>PT-1564</t>
  </si>
  <si>
    <t>APT-00416</t>
  </si>
  <si>
    <t>PT-1089</t>
  </si>
  <si>
    <t>APT-00417</t>
  </si>
  <si>
    <t>PT-1085</t>
  </si>
  <si>
    <t>APT-00418</t>
  </si>
  <si>
    <t>PT-1298</t>
  </si>
  <si>
    <t>APT-00419</t>
  </si>
  <si>
    <t>APT-00420</t>
  </si>
  <si>
    <t>APT-00421</t>
  </si>
  <si>
    <t>APT-00422</t>
  </si>
  <si>
    <t>PT-1280</t>
  </si>
  <si>
    <t>APT-00423</t>
  </si>
  <si>
    <t>APT-00424</t>
  </si>
  <si>
    <t>PT-1409</t>
  </si>
  <si>
    <t>APT-00425</t>
  </si>
  <si>
    <t>APT-00426</t>
  </si>
  <si>
    <t>APT-00427</t>
  </si>
  <si>
    <t>APT-00428</t>
  </si>
  <si>
    <t>APT-00429</t>
  </si>
  <si>
    <t>APT-00430</t>
  </si>
  <si>
    <t>PT-1649</t>
  </si>
  <si>
    <t>APT-00431</t>
  </si>
  <si>
    <t>PT-1037</t>
  </si>
  <si>
    <t>APT-00432</t>
  </si>
  <si>
    <t>APT-00433</t>
  </si>
  <si>
    <t>APT-00434</t>
  </si>
  <si>
    <t>APT-00435</t>
  </si>
  <si>
    <t>PT-1147</t>
  </si>
  <si>
    <t>APT-00436</t>
  </si>
  <si>
    <t>PT-1523</t>
  </si>
  <si>
    <t>APT-00437</t>
  </si>
  <si>
    <t>PT-1182</t>
  </si>
  <si>
    <t>APT-00438</t>
  </si>
  <si>
    <t>PT-1417</t>
  </si>
  <si>
    <t>APT-00439</t>
  </si>
  <si>
    <t>PT-1468</t>
  </si>
  <si>
    <t>APT-00440</t>
  </si>
  <si>
    <t>PT-1553</t>
  </si>
  <si>
    <t>APT-00441</t>
  </si>
  <si>
    <t>APT-00442</t>
  </si>
  <si>
    <t>APT-00443</t>
  </si>
  <si>
    <t>APT-00444</t>
  </si>
  <si>
    <t>APT-00445</t>
  </si>
  <si>
    <t>PT-1068</t>
  </si>
  <si>
    <t>APT-00446</t>
  </si>
  <si>
    <t>APT-00447</t>
  </si>
  <si>
    <t>PT-1242</t>
  </si>
  <si>
    <t>APT-00448</t>
  </si>
  <si>
    <t>PT-1435</t>
  </si>
  <si>
    <t>APT-00449</t>
  </si>
  <si>
    <t>PT-1619</t>
  </si>
  <si>
    <t>APT-00450</t>
  </si>
  <si>
    <t>APT-00451</t>
  </si>
  <si>
    <t>PT-1638</t>
  </si>
  <si>
    <t>APT-00452</t>
  </si>
  <si>
    <t>APT-00453</t>
  </si>
  <si>
    <t>PT-1324</t>
  </si>
  <si>
    <t>APT-00454</t>
  </si>
  <si>
    <t>PT-1105</t>
  </si>
  <si>
    <t>APT-00455</t>
  </si>
  <si>
    <t>PT-1496</t>
  </si>
  <si>
    <t>APT-00456</t>
  </si>
  <si>
    <t>PT-1448</t>
  </si>
  <si>
    <t>APT-00457</t>
  </si>
  <si>
    <t>APT-00458</t>
  </si>
  <si>
    <t>APT-00459</t>
  </si>
  <si>
    <t>PT-1651</t>
  </si>
  <si>
    <t>APT-00460</t>
  </si>
  <si>
    <t>PT-1139</t>
  </si>
  <si>
    <t>APT-00461</t>
  </si>
  <si>
    <t>PT-1329</t>
  </si>
  <si>
    <t>APT-00462</t>
  </si>
  <si>
    <t>APT-00463</t>
  </si>
  <si>
    <t>PT-1419</t>
  </si>
  <si>
    <t>APT-00464</t>
  </si>
  <si>
    <t>APT-00465</t>
  </si>
  <si>
    <t>APT-00466</t>
  </si>
  <si>
    <t>APT-00467</t>
  </si>
  <si>
    <t>APT-00468</t>
  </si>
  <si>
    <t>APT-00469</t>
  </si>
  <si>
    <t>APT-00470</t>
  </si>
  <si>
    <t>APT-00471</t>
  </si>
  <si>
    <t>PT-1296</t>
  </si>
  <si>
    <t>APT-00472</t>
  </si>
  <si>
    <t>APT-00473</t>
  </si>
  <si>
    <t>PT-1459</t>
  </si>
  <si>
    <t>APT-00474</t>
  </si>
  <si>
    <t>APT-00475</t>
  </si>
  <si>
    <t>APT-00476</t>
  </si>
  <si>
    <t>PT-1080</t>
  </si>
  <si>
    <t>APT-00477</t>
  </si>
  <si>
    <t>APT-00478</t>
  </si>
  <si>
    <t>PT-1275</t>
  </si>
  <si>
    <t>APT-00479</t>
  </si>
  <si>
    <t>PT-1609</t>
  </si>
  <si>
    <t>APT-00480</t>
  </si>
  <si>
    <t>APT-00481</t>
  </si>
  <si>
    <t>PT-1391</t>
  </si>
  <si>
    <t>APT-00482</t>
  </si>
  <si>
    <t>APT-00483</t>
  </si>
  <si>
    <t>PT-1188</t>
  </si>
  <si>
    <t>APT-00484</t>
  </si>
  <si>
    <t>APT-00485</t>
  </si>
  <si>
    <t>APT-00486</t>
  </si>
  <si>
    <t>PT-1223</t>
  </si>
  <si>
    <t>APT-00487</t>
  </si>
  <si>
    <t>PT-1627</t>
  </si>
  <si>
    <t>APT-00488</t>
  </si>
  <si>
    <t>PT-1626</t>
  </si>
  <si>
    <t>APT-00489</t>
  </si>
  <si>
    <t>PT-1073</t>
  </si>
  <si>
    <t>APT-00490</t>
  </si>
  <si>
    <t>APT-00491</t>
  </si>
  <si>
    <t>PT-1601</t>
  </si>
  <si>
    <t>APT-00492</t>
  </si>
  <si>
    <t>PT-1240</t>
  </si>
  <si>
    <t>APT-00493</t>
  </si>
  <si>
    <t>APT-00494</t>
  </si>
  <si>
    <t>APT-00495</t>
  </si>
  <si>
    <t>APT-00496</t>
  </si>
  <si>
    <t>PT-1444</t>
  </si>
  <si>
    <t>APT-00497</t>
  </si>
  <si>
    <t>APT-00498</t>
  </si>
  <si>
    <t>APT-00499</t>
  </si>
  <si>
    <t>PT-1122</t>
  </si>
  <si>
    <t>APT-00500</t>
  </si>
  <si>
    <t>APT-00501</t>
  </si>
  <si>
    <t>PT-1384</t>
  </si>
  <si>
    <t>APT-00502</t>
  </si>
  <si>
    <t>PT-1428</t>
  </si>
  <si>
    <t>APT-00503</t>
  </si>
  <si>
    <t>APT-00504</t>
  </si>
  <si>
    <t>PT-1420</t>
  </si>
  <si>
    <t>APT-00505</t>
  </si>
  <si>
    <t>APT-00506</t>
  </si>
  <si>
    <t>PT-1067</t>
  </si>
  <si>
    <t>APT-00507</t>
  </si>
  <si>
    <t>APT-00508</t>
  </si>
  <si>
    <t>PT-1682</t>
  </si>
  <si>
    <t>APT-00509</t>
  </si>
  <si>
    <t>APT-00510</t>
  </si>
  <si>
    <t>PT-1131</t>
  </si>
  <si>
    <t>APT-00511</t>
  </si>
  <si>
    <t>PT-1212</t>
  </si>
  <si>
    <t>APT-00512</t>
  </si>
  <si>
    <t>APT-00513</t>
  </si>
  <si>
    <t>APT-00514</t>
  </si>
  <si>
    <t>APT-00515</t>
  </si>
  <si>
    <t>APT-00516</t>
  </si>
  <si>
    <t>APT-00517</t>
  </si>
  <si>
    <t>APT-00518</t>
  </si>
  <si>
    <t>APT-00519</t>
  </si>
  <si>
    <t>APT-00520</t>
  </si>
  <si>
    <t>APT-00521</t>
  </si>
  <si>
    <t>PT-1549</t>
  </si>
  <si>
    <t>APT-00522</t>
  </si>
  <si>
    <t>APT-00523</t>
  </si>
  <si>
    <t>PT-1035</t>
  </si>
  <si>
    <t>APT-00524</t>
  </si>
  <si>
    <t>PT-1134</t>
  </si>
  <si>
    <t>APT-00525</t>
  </si>
  <si>
    <t>APT-00526</t>
  </si>
  <si>
    <t>PT-1415</t>
  </si>
  <si>
    <t>APT-00527</t>
  </si>
  <si>
    <t>APT-00528</t>
  </si>
  <si>
    <t>PT-1281</t>
  </si>
  <si>
    <t>APT-00529</t>
  </si>
  <si>
    <t>PT-1054</t>
  </si>
  <si>
    <t>APT-00530</t>
  </si>
  <si>
    <t>PT-1432</t>
  </si>
  <si>
    <t>APT-00531</t>
  </si>
  <si>
    <t>PT-1114</t>
  </si>
  <si>
    <t>APT-00532</t>
  </si>
  <si>
    <t>PT-1519</t>
  </si>
  <si>
    <t>APT-00533</t>
  </si>
  <si>
    <t>PT-1697</t>
  </si>
  <si>
    <t>APT-00534</t>
  </si>
  <si>
    <t>PT-1267</t>
  </si>
  <si>
    <t>APT-00535</t>
  </si>
  <si>
    <t>APT-00536</t>
  </si>
  <si>
    <t>APT-00537</t>
  </si>
  <si>
    <t>APT-00538</t>
  </si>
  <si>
    <t>PT-1592</t>
  </si>
  <si>
    <t>APT-00539</t>
  </si>
  <si>
    <t>APT-00540</t>
  </si>
  <si>
    <t>PT-1368</t>
  </si>
  <si>
    <t>APT-00541</t>
  </si>
  <si>
    <t>APT-00542</t>
  </si>
  <si>
    <t>APT-00543</t>
  </si>
  <si>
    <t>PT-1423</t>
  </si>
  <si>
    <t>APT-00544</t>
  </si>
  <si>
    <t>PT-1463</t>
  </si>
  <si>
    <t>APT-00545</t>
  </si>
  <si>
    <t>PT-1656</t>
  </si>
  <si>
    <t>APT-00546</t>
  </si>
  <si>
    <t>APT-00547</t>
  </si>
  <si>
    <t>APT-00548</t>
  </si>
  <si>
    <t>PT-1535</t>
  </si>
  <si>
    <t>APT-00549</t>
  </si>
  <si>
    <t>PT-1088</t>
  </si>
  <si>
    <t>APT-00550</t>
  </si>
  <si>
    <t>APT-00551</t>
  </si>
  <si>
    <t>APT-00552</t>
  </si>
  <si>
    <t>PT-1557</t>
  </si>
  <si>
    <t>APT-00553</t>
  </si>
  <si>
    <t>PT-1675</t>
  </si>
  <si>
    <t>APT-00554</t>
  </si>
  <si>
    <t>APT-00555</t>
  </si>
  <si>
    <t>APT-00556</t>
  </si>
  <si>
    <t>PT-1152</t>
  </si>
  <si>
    <t>APT-00557</t>
  </si>
  <si>
    <t>PT-1474</t>
  </si>
  <si>
    <t>APT-00558</t>
  </si>
  <si>
    <t>PT-1251</t>
  </si>
  <si>
    <t>APT-00559</t>
  </si>
  <si>
    <t>APT-00560</t>
  </si>
  <si>
    <t>APT-00561</t>
  </si>
  <si>
    <t>PT-1255</t>
  </si>
  <si>
    <t>APT-00562</t>
  </si>
  <si>
    <t>PT-1567</t>
  </si>
  <si>
    <t>APT-00563</t>
  </si>
  <si>
    <t>PT-1366</t>
  </si>
  <si>
    <t>APT-00564</t>
  </si>
  <si>
    <t>APT-00565</t>
  </si>
  <si>
    <t>APT-00566</t>
  </si>
  <si>
    <t>APT-00567</t>
  </si>
  <si>
    <t>PT-1478</t>
  </si>
  <si>
    <t>APT-00568</t>
  </si>
  <si>
    <t>APT-00569</t>
  </si>
  <si>
    <t>PT-1098</t>
  </si>
  <si>
    <t>APT-00570</t>
  </si>
  <si>
    <t>PT-1146</t>
  </si>
  <si>
    <t>APT-00571</t>
  </si>
  <si>
    <t>APT-00572</t>
  </si>
  <si>
    <t>APT-00573</t>
  </si>
  <si>
    <t>PT-1049</t>
  </si>
  <si>
    <t>APT-00574</t>
  </si>
  <si>
    <t>PT-1297</t>
  </si>
  <si>
    <t>APT-00575</t>
  </si>
  <si>
    <t>PT-1141</t>
  </si>
  <si>
    <t>APT-00576</t>
  </si>
  <si>
    <t>APT-00577</t>
  </si>
  <si>
    <t>PT-1505</t>
  </si>
  <si>
    <t>APT-00578</t>
  </si>
  <si>
    <t>APT-00579</t>
  </si>
  <si>
    <t>APT-00580</t>
  </si>
  <si>
    <t>APT-00581</t>
  </si>
  <si>
    <t>PT-1550</t>
  </si>
  <si>
    <t>APT-00582</t>
  </si>
  <si>
    <t>PT-1253</t>
  </si>
  <si>
    <t>APT-00583</t>
  </si>
  <si>
    <t>APT-00584</t>
  </si>
  <si>
    <t>APT-00585</t>
  </si>
  <si>
    <t>APT-00586</t>
  </si>
  <si>
    <t>PT-1193</t>
  </si>
  <si>
    <t>APT-00587</t>
  </si>
  <si>
    <t>APT-00588</t>
  </si>
  <si>
    <t>PT-1542</t>
  </si>
  <si>
    <t>APT-00589</t>
  </si>
  <si>
    <t>APT-00590</t>
  </si>
  <si>
    <t>APT-00591</t>
  </si>
  <si>
    <t>APT-00592</t>
  </si>
  <si>
    <t>APT-00593</t>
  </si>
  <si>
    <t>PT-1155</t>
  </si>
  <si>
    <t>APT-00594</t>
  </si>
  <si>
    <t>APT-00595</t>
  </si>
  <si>
    <t>APT-00596</t>
  </si>
  <si>
    <t>APT-00597</t>
  </si>
  <si>
    <t>PT-1686</t>
  </si>
  <si>
    <t>APT-00598</t>
  </si>
  <si>
    <t>APT-00599</t>
  </si>
  <si>
    <t>APT-00600</t>
  </si>
  <si>
    <t>APT-00601</t>
  </si>
  <si>
    <t>PT-1243</t>
  </si>
  <si>
    <t>APT-00602</t>
  </si>
  <si>
    <t>APT-00603</t>
  </si>
  <si>
    <t>APT-00604</t>
  </si>
  <si>
    <t>APT-00605</t>
  </si>
  <si>
    <t>PT-1577</t>
  </si>
  <si>
    <t>APT-00606</t>
  </si>
  <si>
    <t>APT-00607</t>
  </si>
  <si>
    <t>PT-1194</t>
  </si>
  <si>
    <t>APT-00608</t>
  </si>
  <si>
    <t>PT-1663</t>
  </si>
  <si>
    <t>APT-00609</t>
  </si>
  <si>
    <t>APT-00610</t>
  </si>
  <si>
    <t>APT-00611</t>
  </si>
  <si>
    <t>APT-00612</t>
  </si>
  <si>
    <t>PT-1427</t>
  </si>
  <si>
    <t>APT-00613</t>
  </si>
  <si>
    <t>APT-00614</t>
  </si>
  <si>
    <t>APT-00615</t>
  </si>
  <si>
    <t>APT-00616</t>
  </si>
  <si>
    <t>APT-00617</t>
  </si>
  <si>
    <t>APT-00618</t>
  </si>
  <si>
    <t>PT-1503</t>
  </si>
  <si>
    <t>APT-00619</t>
  </si>
  <si>
    <t>PT-1431</t>
  </si>
  <si>
    <t>APT-00620</t>
  </si>
  <si>
    <t>PT-1058</t>
  </si>
  <si>
    <t>APT-00621</t>
  </si>
  <si>
    <t>PT-1129</t>
  </si>
  <si>
    <t>APT-00622</t>
  </si>
  <si>
    <t>PT-1066</t>
  </si>
  <si>
    <t>APT-00623</t>
  </si>
  <si>
    <t>APT-00624</t>
  </si>
  <si>
    <t>APT-00625</t>
  </si>
  <si>
    <t>PT-1416</t>
  </si>
  <si>
    <t>APT-00626</t>
  </si>
  <si>
    <t>PT-1351</t>
  </si>
  <si>
    <t>APT-00627</t>
  </si>
  <si>
    <t>PT-1149</t>
  </si>
  <si>
    <t>APT-00628</t>
  </si>
  <si>
    <t>PT-1163</t>
  </si>
  <si>
    <t>APT-00629</t>
  </si>
  <si>
    <t>APT-00630</t>
  </si>
  <si>
    <t>APT-00631</t>
  </si>
  <si>
    <t>APT-00632</t>
  </si>
  <si>
    <t>PT-1191</t>
  </si>
  <si>
    <t>APT-00633</t>
  </si>
  <si>
    <t>PT-1303</t>
  </si>
  <si>
    <t>APT-00634</t>
  </si>
  <si>
    <t>PT-1094</t>
  </si>
  <si>
    <t>APT-00635</t>
  </si>
  <si>
    <t>APT-00636</t>
  </si>
  <si>
    <t>APT-00637</t>
  </si>
  <si>
    <t>PT-1397</t>
  </si>
  <si>
    <t>APT-00638</t>
  </si>
  <si>
    <t>APT-00639</t>
  </si>
  <si>
    <t>APT-00640</t>
  </si>
  <si>
    <t>PT-1488</t>
  </si>
  <si>
    <t>APT-00641</t>
  </si>
  <si>
    <t>PT-1017</t>
  </si>
  <si>
    <t>APT-00642</t>
  </si>
  <si>
    <t>APT-00643</t>
  </si>
  <si>
    <t>APT-00644</t>
  </si>
  <si>
    <t>PT-1148</t>
  </si>
  <si>
    <t>APT-00645</t>
  </si>
  <si>
    <t>APT-00646</t>
  </si>
  <si>
    <t>PT-1093</t>
  </si>
  <si>
    <t>APT-00647</t>
  </si>
  <si>
    <t>APT-00648</t>
  </si>
  <si>
    <t>PT-1283</t>
  </si>
  <si>
    <t>APT-00649</t>
  </si>
  <si>
    <t>APT-00650</t>
  </si>
  <si>
    <t>APT-00651</t>
  </si>
  <si>
    <t>APT-00652</t>
  </si>
  <si>
    <t>APT-00653</t>
  </si>
  <si>
    <t>APT-00654</t>
  </si>
  <si>
    <t>PT-1076</t>
  </si>
  <si>
    <t>APT-00655</t>
  </si>
  <si>
    <t>PT-1396</t>
  </si>
  <si>
    <t>APT-00656</t>
  </si>
  <si>
    <t>PT-1241</t>
  </si>
  <si>
    <t>APT-00657</t>
  </si>
  <si>
    <t>APT-00658</t>
  </si>
  <si>
    <t>APT-00659</t>
  </si>
  <si>
    <t>APT-00660</t>
  </si>
  <si>
    <t>PT-1079</t>
  </si>
  <si>
    <t>APT-00661</t>
  </si>
  <si>
    <t>APT-00662</t>
  </si>
  <si>
    <t>APT-00663</t>
  </si>
  <si>
    <t>PT-1101</t>
  </si>
  <si>
    <t>APT-00664</t>
  </si>
  <si>
    <t>PT-1173</t>
  </si>
  <si>
    <t>APT-00665</t>
  </si>
  <si>
    <t>APT-00666</t>
  </si>
  <si>
    <t>PT-1282</t>
  </si>
  <si>
    <t>APT-00667</t>
  </si>
  <si>
    <t>APT-00668</t>
  </si>
  <si>
    <t>PT-1357</t>
  </si>
  <si>
    <t>APT-00669</t>
  </si>
  <si>
    <t>APT-00670</t>
  </si>
  <si>
    <t>APT-00671</t>
  </si>
  <si>
    <t>APT-00672</t>
  </si>
  <si>
    <t>PT-1477</t>
  </si>
  <si>
    <t>APT-00673</t>
  </si>
  <si>
    <t>PT-1043</t>
  </si>
  <si>
    <t>APT-00674</t>
  </si>
  <si>
    <t>PT-1658</t>
  </si>
  <si>
    <t>APT-00675</t>
  </si>
  <si>
    <t>APT-00676</t>
  </si>
  <si>
    <t>PT-1492</t>
  </si>
  <si>
    <t>APT-00677</t>
  </si>
  <si>
    <t>PT-1606</t>
  </si>
  <si>
    <t>APT-00678</t>
  </si>
  <si>
    <t>APT-00679</t>
  </si>
  <si>
    <t>PT-1471</t>
  </si>
  <si>
    <t>APT-00680</t>
  </si>
  <si>
    <t>APT-00681</t>
  </si>
  <si>
    <t>PT-1510</t>
  </si>
  <si>
    <t>APT-00682</t>
  </si>
  <si>
    <t>PT-1014</t>
  </si>
  <si>
    <t>APT-00683</t>
  </si>
  <si>
    <t>PT-1053</t>
  </si>
  <si>
    <t>APT-00684</t>
  </si>
  <si>
    <t>APT-00685</t>
  </si>
  <si>
    <t>APT-00686</t>
  </si>
  <si>
    <t>PT-1377</t>
  </si>
  <si>
    <t>APT-00687</t>
  </si>
  <si>
    <t>PT-1572</t>
  </si>
  <si>
    <t>APT-00688</t>
  </si>
  <si>
    <t>PT-1500</t>
  </si>
  <si>
    <t>APT-00689</t>
  </si>
  <si>
    <t>PT-1024</t>
  </si>
  <si>
    <t>APT-00690</t>
  </si>
  <si>
    <t>PT-1070</t>
  </si>
  <si>
    <t>APT-00691</t>
  </si>
  <si>
    <t>APT-00692</t>
  </si>
  <si>
    <t>APT-00693</t>
  </si>
  <si>
    <t>APT-00694</t>
  </si>
  <si>
    <t>APT-00695</t>
  </si>
  <si>
    <t>PT-1372</t>
  </si>
  <si>
    <t>APT-00696</t>
  </si>
  <si>
    <t>APT-00697</t>
  </si>
  <si>
    <t>PT-1379</t>
  </si>
  <si>
    <t>APT-00698</t>
  </si>
  <si>
    <t>APT-00699</t>
  </si>
  <si>
    <t>APT-00700</t>
  </si>
  <si>
    <t>APT-00701</t>
  </si>
  <si>
    <t>APT-00702</t>
  </si>
  <si>
    <t>APT-00703</t>
  </si>
  <si>
    <t>APT-00704</t>
  </si>
  <si>
    <t>PT-1600</t>
  </si>
  <si>
    <t>APT-00705</t>
  </si>
  <si>
    <t>APT-00706</t>
  </si>
  <si>
    <t>APT-00707</t>
  </si>
  <si>
    <t>APT-00708</t>
  </si>
  <si>
    <t>APT-00709</t>
  </si>
  <si>
    <t>APT-00710</t>
  </si>
  <si>
    <t>APT-00711</t>
  </si>
  <si>
    <t>APT-00712</t>
  </si>
  <si>
    <t>PT-1312</t>
  </si>
  <si>
    <t>APT-00713</t>
  </si>
  <si>
    <t>PT-1159</t>
  </si>
  <si>
    <t>APT-00714</t>
  </si>
  <si>
    <t>PT-1133</t>
  </si>
  <si>
    <t>APT-00715</t>
  </si>
  <si>
    <t>APT-00716</t>
  </si>
  <si>
    <t>APT-00717</t>
  </si>
  <si>
    <t>PT-1422</t>
  </si>
  <si>
    <t>APT-00718</t>
  </si>
  <si>
    <t>PT-1347</t>
  </si>
  <si>
    <t>APT-00719</t>
  </si>
  <si>
    <t>PT-1262</t>
  </si>
  <si>
    <t>APT-00720</t>
  </si>
  <si>
    <t>PT-1238</t>
  </si>
  <si>
    <t>APT-00721</t>
  </si>
  <si>
    <t>APT-00722</t>
  </si>
  <si>
    <t>APT-00723</t>
  </si>
  <si>
    <t>APT-00724</t>
  </si>
  <si>
    <t>PT-1291</t>
  </si>
  <si>
    <t>APT-00725</t>
  </si>
  <si>
    <t>APT-00726</t>
  </si>
  <si>
    <t>APT-00727</t>
  </si>
  <si>
    <t>PT-1203</t>
  </si>
  <si>
    <t>APT-00728</t>
  </si>
  <si>
    <t>PT-1124</t>
  </si>
  <si>
    <t>APT-00729</t>
  </si>
  <si>
    <t>APT-00730</t>
  </si>
  <si>
    <t>APT-00731</t>
  </si>
  <si>
    <t>APT-00732</t>
  </si>
  <si>
    <t>APT-00733</t>
  </si>
  <si>
    <t>APT-00734</t>
  </si>
  <si>
    <t>APT-00735</t>
  </si>
  <si>
    <t>APT-00736</t>
  </si>
  <si>
    <t>PT-1292</t>
  </si>
  <si>
    <t>APT-00737</t>
  </si>
  <si>
    <t>APT-00738</t>
  </si>
  <si>
    <t>PT-1082</t>
  </si>
  <si>
    <t>APT-00739</t>
  </si>
  <si>
    <t>APT-00740</t>
  </si>
  <si>
    <t>PT-1219</t>
  </si>
  <si>
    <t>APT-00741</t>
  </si>
  <si>
    <t>APT-00742</t>
  </si>
  <si>
    <t>APT-00743</t>
  </si>
  <si>
    <t>PT-1469</t>
  </si>
  <si>
    <t>APT-00744</t>
  </si>
  <si>
    <t>APT-00745</t>
  </si>
  <si>
    <t>APT-00746</t>
  </si>
  <si>
    <t>APT-00747</t>
  </si>
  <si>
    <t>APT-00748</t>
  </si>
  <si>
    <t>PT-1358</t>
  </si>
  <si>
    <t>APT-00749</t>
  </si>
  <si>
    <t>APT-00750</t>
  </si>
  <si>
    <t>APT-00751</t>
  </si>
  <si>
    <t>APT-00752</t>
  </si>
  <si>
    <t>APT-00753</t>
  </si>
  <si>
    <t>PT-1207</t>
  </si>
  <si>
    <t>APT-00754</t>
  </si>
  <si>
    <t>APT-00755</t>
  </si>
  <si>
    <t>APT-00756</t>
  </si>
  <si>
    <t>APT-00757</t>
  </si>
  <si>
    <t>APT-00758</t>
  </si>
  <si>
    <t>PT-1520</t>
  </si>
  <si>
    <t>APT-00759</t>
  </si>
  <si>
    <t>APT-00760</t>
  </si>
  <si>
    <t>APT-00761</t>
  </si>
  <si>
    <t>APT-00762</t>
  </si>
  <si>
    <t>PT-1493</t>
  </si>
  <si>
    <t>APT-00763</t>
  </si>
  <si>
    <t>APT-00764</t>
  </si>
  <si>
    <t>PT-1413</t>
  </si>
  <si>
    <t>APT-00765</t>
  </si>
  <si>
    <t>APT-00766</t>
  </si>
  <si>
    <t>PT-1248</t>
  </si>
  <si>
    <t>APT-00767</t>
  </si>
  <si>
    <t>APT-00768</t>
  </si>
  <si>
    <t>APT-00769</t>
  </si>
  <si>
    <t>APT-00770</t>
  </si>
  <si>
    <t>PT-1502</t>
  </si>
  <si>
    <t>APT-00771</t>
  </si>
  <si>
    <t>PT-1582</t>
  </si>
  <si>
    <t>APT-00772</t>
  </si>
  <si>
    <t>APT-00773</t>
  </si>
  <si>
    <t>PT-1050</t>
  </si>
  <si>
    <t>APT-00774</t>
  </si>
  <si>
    <t>APT-00775</t>
  </si>
  <si>
    <t>APT-00776</t>
  </si>
  <si>
    <t>APT-00777</t>
  </si>
  <si>
    <t>APT-00778</t>
  </si>
  <si>
    <t>APT-00779</t>
  </si>
  <si>
    <t>APT-00780</t>
  </si>
  <si>
    <t>APT-00781</t>
  </si>
  <si>
    <t>PT-1258</t>
  </si>
  <si>
    <t>APT-00782</t>
  </si>
  <si>
    <t>APT-00783</t>
  </si>
  <si>
    <t>APT-00784</t>
  </si>
  <si>
    <t>PT-1099</t>
  </si>
  <si>
    <t>APT-00785</t>
  </si>
  <si>
    <t>PT-1321</t>
  </si>
  <si>
    <t>APT-00786</t>
  </si>
  <si>
    <t>APT-00787</t>
  </si>
  <si>
    <t>APT-00788</t>
  </si>
  <si>
    <t>APT-00789</t>
  </si>
  <si>
    <t>APT-00790</t>
  </si>
  <si>
    <t>APT-00791</t>
  </si>
  <si>
    <t>APT-00792</t>
  </si>
  <si>
    <t>PT-1108</t>
  </si>
  <si>
    <t>APT-00793</t>
  </si>
  <si>
    <t>APT-00794</t>
  </si>
  <si>
    <t>APT-00795</t>
  </si>
  <si>
    <t>PT-1224</t>
  </si>
  <si>
    <t>APT-00796</t>
  </si>
  <si>
    <t>PT-1086</t>
  </si>
  <si>
    <t>APT-00797</t>
  </si>
  <si>
    <t>APT-00798</t>
  </si>
  <si>
    <t>PT-1034</t>
  </si>
  <si>
    <t>APT-00799</t>
  </si>
  <si>
    <t>APT-00800</t>
  </si>
  <si>
    <t>APT-00801</t>
  </si>
  <si>
    <t>PT-1591</t>
  </si>
  <si>
    <t>APT-00802</t>
  </si>
  <si>
    <t>APT-00803</t>
  </si>
  <si>
    <t>APT-00804</t>
  </si>
  <si>
    <t>APT-00805</t>
  </si>
  <si>
    <t>PT-1071</t>
  </si>
  <si>
    <t>APT-00806</t>
  </si>
  <si>
    <t>APT-00807</t>
  </si>
  <si>
    <t>PT-1246</t>
  </si>
  <si>
    <t>APT-00808</t>
  </si>
  <si>
    <t>APT-00809</t>
  </si>
  <si>
    <t>APT-00810</t>
  </si>
  <si>
    <t>APT-00811</t>
  </si>
  <si>
    <t>APT-00812</t>
  </si>
  <si>
    <t>APT-00813</t>
  </si>
  <si>
    <t>APT-00814</t>
  </si>
  <si>
    <t>APT-00815</t>
  </si>
  <si>
    <t>PT-1028</t>
  </si>
  <si>
    <t>APT-00816</t>
  </si>
  <si>
    <t>APT-00817</t>
  </si>
  <si>
    <t>APT-00818</t>
  </si>
  <si>
    <t>APT-00819</t>
  </si>
  <si>
    <t>APT-00820</t>
  </si>
  <si>
    <t>APT-00821</t>
  </si>
  <si>
    <t>APT-00822</t>
  </si>
  <si>
    <t>PT-1405</t>
  </si>
  <si>
    <t>APT-00823</t>
  </si>
  <si>
    <t>APT-00824</t>
  </si>
  <si>
    <t>APT-00825</t>
  </si>
  <si>
    <t>APT-00826</t>
  </si>
  <si>
    <t>APT-00827</t>
  </si>
  <si>
    <t>APT-00828</t>
  </si>
  <si>
    <t>APT-00829</t>
  </si>
  <si>
    <t>APT-00830</t>
  </si>
  <si>
    <t>APT-00831</t>
  </si>
  <si>
    <t>PT-1498</t>
  </si>
  <si>
    <t>APT-00832</t>
  </si>
  <si>
    <t>APT-00833</t>
  </si>
  <si>
    <t>APT-00834</t>
  </si>
  <si>
    <t>APT-00835</t>
  </si>
  <si>
    <t>APT-00836</t>
  </si>
  <si>
    <t>APT-00837</t>
  </si>
  <si>
    <t>APT-00838</t>
  </si>
  <si>
    <t>PT-1335</t>
  </si>
  <si>
    <t>APT-00839</t>
  </si>
  <si>
    <t>APT-00840</t>
  </si>
  <si>
    <t>PT-1485</t>
  </si>
  <si>
    <t>APT-00841</t>
  </si>
  <si>
    <t>APT-00842</t>
  </si>
  <si>
    <t>APT-00843</t>
  </si>
  <si>
    <t>APT-00844</t>
  </si>
  <si>
    <t>APT-00845</t>
  </si>
  <si>
    <t>PT-1260</t>
  </si>
  <si>
    <t>APT-00846</t>
  </si>
  <si>
    <t>APT-00847</t>
  </si>
  <si>
    <t>APT-00848</t>
  </si>
  <si>
    <t>APT-00849</t>
  </si>
  <si>
    <t>APT-00850</t>
  </si>
  <si>
    <t>APT-00851</t>
  </si>
  <si>
    <t>APT-00852</t>
  </si>
  <si>
    <t>APT-00853</t>
  </si>
  <si>
    <t>APT-00854</t>
  </si>
  <si>
    <t>PT-1254</t>
  </si>
  <si>
    <t>APT-00855</t>
  </si>
  <si>
    <t>APT-00856</t>
  </si>
  <si>
    <t>APT-00857</t>
  </si>
  <si>
    <t>PT-1040</t>
  </si>
  <si>
    <t>APT-00858</t>
  </si>
  <si>
    <t>APT-00859</t>
  </si>
  <si>
    <t>PT-1563</t>
  </si>
  <si>
    <t>APT-00860</t>
  </si>
  <si>
    <t>PT-1112</t>
  </si>
  <si>
    <t>APT-00861</t>
  </si>
  <si>
    <t>PT-1265</t>
  </si>
  <si>
    <t>APT-00862</t>
  </si>
  <si>
    <t>APT-00863</t>
  </si>
  <si>
    <t>APT-00864</t>
  </si>
  <si>
    <t>APT-00865</t>
  </si>
  <si>
    <t>PT-1192</t>
  </si>
  <si>
    <t>APT-00866</t>
  </si>
  <si>
    <t>PT-1307</t>
  </si>
  <si>
    <t>APT-00867</t>
  </si>
  <si>
    <t>PT-1107</t>
  </si>
  <si>
    <t>APT-00868</t>
  </si>
  <si>
    <t>APT-00869</t>
  </si>
  <si>
    <t>PT-1031</t>
  </si>
  <si>
    <t>APT-00870</t>
  </si>
  <si>
    <t>APT-00871</t>
  </si>
  <si>
    <t>APT-00872</t>
  </si>
  <si>
    <t>PT-1596</t>
  </si>
  <si>
    <t>APT-00873</t>
  </si>
  <si>
    <t>APT-00874</t>
  </si>
  <si>
    <t>PT-1509</t>
  </si>
  <si>
    <t>APT-00875</t>
  </si>
  <si>
    <t>PT-1394</t>
  </si>
  <si>
    <t>APT-00876</t>
  </si>
  <si>
    <t>APT-00877</t>
  </si>
  <si>
    <t>PT-1295</t>
  </si>
  <si>
    <t>APT-00878</t>
  </si>
  <si>
    <t>PT-1214</t>
  </si>
  <si>
    <t>APT-00879</t>
  </si>
  <si>
    <t>APT-00880</t>
  </si>
  <si>
    <t>APT-00881</t>
  </si>
  <si>
    <t>APT-00882</t>
  </si>
  <si>
    <t>APT-00883</t>
  </si>
  <si>
    <t>APT-00884</t>
  </si>
  <si>
    <t>PT-1681</t>
  </si>
  <si>
    <t>APT-00885</t>
  </si>
  <si>
    <t>PT-1455</t>
  </si>
  <si>
    <t>APT-00886</t>
  </si>
  <si>
    <t>APT-00887</t>
  </si>
  <si>
    <t>APT-00888</t>
  </si>
  <si>
    <t>APT-00889</t>
  </si>
  <si>
    <t>PT-1123</t>
  </si>
  <si>
    <t>APT-00890</t>
  </si>
  <si>
    <t>APT-00891</t>
  </si>
  <si>
    <t>APT-00892</t>
  </si>
  <si>
    <t>PT-1135</t>
  </si>
  <si>
    <t>APT-00893</t>
  </si>
  <si>
    <t>PT-1156</t>
  </si>
  <si>
    <t>APT-00894</t>
  </si>
  <si>
    <t>APT-00895</t>
  </si>
  <si>
    <t>APT-00896</t>
  </si>
  <si>
    <t>APT-00897</t>
  </si>
  <si>
    <t>APT-00898</t>
  </si>
  <si>
    <t>PT-1184</t>
  </si>
  <si>
    <t>APT-00899</t>
  </si>
  <si>
    <t>APT-00900</t>
  </si>
  <si>
    <t>PT-1229</t>
  </si>
  <si>
    <t>APT-00901</t>
  </si>
  <si>
    <t>PT-1671</t>
  </si>
  <si>
    <t>APT-00902</t>
  </si>
  <si>
    <t>PT-1323</t>
  </si>
  <si>
    <t>APT-00903</t>
  </si>
  <si>
    <t>APT-00904</t>
  </si>
  <si>
    <t>APT-00905</t>
  </si>
  <si>
    <t>APT-00906</t>
  </si>
  <si>
    <t>APT-00907</t>
  </si>
  <si>
    <t>APT-00908</t>
  </si>
  <si>
    <t>APT-00909</t>
  </si>
  <si>
    <t>APT-00910</t>
  </si>
  <si>
    <t>APT-00911</t>
  </si>
  <si>
    <t>APT-00912</t>
  </si>
  <si>
    <t>APT-00913</t>
  </si>
  <si>
    <t>APT-00914</t>
  </si>
  <si>
    <t>APT-00915</t>
  </si>
  <si>
    <t>APT-00916</t>
  </si>
  <si>
    <t>APT-00917</t>
  </si>
  <si>
    <t>APT-00918</t>
  </si>
  <si>
    <t>APT-00919</t>
  </si>
  <si>
    <t>PT-1127</t>
  </si>
  <si>
    <t>APT-00920</t>
  </si>
  <si>
    <t>PT-1381</t>
  </si>
  <si>
    <t>APT-00921</t>
  </si>
  <si>
    <t>APT-00922</t>
  </si>
  <si>
    <t>APT-00923</t>
  </si>
  <si>
    <t>APT-00924</t>
  </si>
  <si>
    <t>APT-00925</t>
  </si>
  <si>
    <t>APT-00926</t>
  </si>
  <si>
    <t>APT-00927</t>
  </si>
  <si>
    <t>APT-00928</t>
  </si>
  <si>
    <t>APT-00929</t>
  </si>
  <si>
    <t>APT-00930</t>
  </si>
  <si>
    <t>PT-1277</t>
  </si>
  <si>
    <t>APT-00931</t>
  </si>
  <si>
    <t>APT-00932</t>
  </si>
  <si>
    <t>APT-00933</t>
  </si>
  <si>
    <t>PT-1466</t>
  </si>
  <si>
    <t>APT-00934</t>
  </si>
  <si>
    <t>APT-00935</t>
  </si>
  <si>
    <t>PT-1458</t>
  </si>
  <si>
    <t>APT-00936</t>
  </si>
  <si>
    <t>APT-00937</t>
  </si>
  <si>
    <t>APT-00938</t>
  </si>
  <si>
    <t>APT-00939</t>
  </si>
  <si>
    <t>APT-00940</t>
  </si>
  <si>
    <t>APT-00941</t>
  </si>
  <si>
    <t>APT-00942</t>
  </si>
  <si>
    <t>APT-00943</t>
  </si>
  <si>
    <t>APT-00944</t>
  </si>
  <si>
    <t>APT-00945</t>
  </si>
  <si>
    <t>APT-00946</t>
  </si>
  <si>
    <t>APT-00947</t>
  </si>
  <si>
    <t>APT-00948</t>
  </si>
  <si>
    <t>APT-00949</t>
  </si>
  <si>
    <t>APT-00950</t>
  </si>
  <si>
    <t>APT-00951</t>
  </si>
  <si>
    <t>APT-00952</t>
  </si>
  <si>
    <t>PT-1181</t>
  </si>
  <si>
    <t>APT-00953</t>
  </si>
  <si>
    <t>APT-00954</t>
  </si>
  <si>
    <t>APT-00955</t>
  </si>
  <si>
    <t>PT-1006</t>
  </si>
  <si>
    <t>APT-00956</t>
  </si>
  <si>
    <t>PT-1610</t>
  </si>
  <si>
    <t>APT-00957</t>
  </si>
  <si>
    <t>APT-00958</t>
  </si>
  <si>
    <t>APT-00959</t>
  </si>
  <si>
    <t>APT-00960</t>
  </si>
  <si>
    <t>APT-00961</t>
  </si>
  <si>
    <t>PT-1514</t>
  </si>
  <si>
    <t>APT-00962</t>
  </si>
  <si>
    <t>APT-00963</t>
  </si>
  <si>
    <t>APT-00964</t>
  </si>
  <si>
    <t>PT-1661</t>
  </si>
  <si>
    <t>APT-00965</t>
  </si>
  <si>
    <t>APT-00966</t>
  </si>
  <si>
    <t>APT-00967</t>
  </si>
  <si>
    <t>APT-00968</t>
  </si>
  <si>
    <t>APT-00969</t>
  </si>
  <si>
    <t>APT-00970</t>
  </si>
  <si>
    <t>APT-00971</t>
  </si>
  <si>
    <t>APT-00972</t>
  </si>
  <si>
    <t>APT-00973</t>
  </si>
  <si>
    <t>APT-00974</t>
  </si>
  <si>
    <t>APT-00975</t>
  </si>
  <si>
    <t>PT-1646</t>
  </si>
  <si>
    <t>APT-00976</t>
  </si>
  <si>
    <t>APT-00977</t>
  </si>
  <si>
    <t>APT-00978</t>
  </si>
  <si>
    <t>APT-00979</t>
  </si>
  <si>
    <t>APT-00980</t>
  </si>
  <si>
    <t>PT-1398</t>
  </si>
  <si>
    <t>APT-00981</t>
  </si>
  <si>
    <t>PT-1677</t>
  </si>
  <si>
    <t>APT-00982</t>
  </si>
  <si>
    <t>PT-1217</t>
  </si>
  <si>
    <t>APT-00983</t>
  </si>
  <si>
    <t>APT-00984</t>
  </si>
  <si>
    <t>APT-00985</t>
  </si>
  <si>
    <t>PT-1620</t>
  </si>
  <si>
    <t>APT-00986</t>
  </si>
  <si>
    <t>PT-1688</t>
  </si>
  <si>
    <t>APT-00987</t>
  </si>
  <si>
    <t>APT-00988</t>
  </si>
  <si>
    <t>PT-1039</t>
  </si>
  <si>
    <t>APT-00989</t>
  </si>
  <si>
    <t>APT-00990</t>
  </si>
  <si>
    <t>APT-00991</t>
  </si>
  <si>
    <t>APT-00992</t>
  </si>
  <si>
    <t>APT-00993</t>
  </si>
  <si>
    <t>PT-1641</t>
  </si>
  <si>
    <t>APT-00994</t>
  </si>
  <si>
    <t>APT-00995</t>
  </si>
  <si>
    <t>APT-00996</t>
  </si>
  <si>
    <t>PT-1259</t>
  </si>
  <si>
    <t>APT-00997</t>
  </si>
  <si>
    <t>PT-1140</t>
  </si>
  <si>
    <t>APT-00998</t>
  </si>
  <si>
    <t>APT-00999</t>
  </si>
  <si>
    <t>APT-01000</t>
  </si>
  <si>
    <t>APT-01001</t>
  </si>
  <si>
    <t>APT-01002</t>
  </si>
  <si>
    <t>APT-01003</t>
  </si>
  <si>
    <t>PT-1685</t>
  </si>
  <si>
    <t>APT-01004</t>
  </si>
  <si>
    <t>APT-01005</t>
  </si>
  <si>
    <t>APT-01006</t>
  </si>
  <si>
    <t>PT-1664</t>
  </si>
  <si>
    <t>APT-01007</t>
  </si>
  <si>
    <t>PT-1481</t>
  </si>
  <si>
    <t>APT-01008</t>
  </si>
  <si>
    <t>APT-01009</t>
  </si>
  <si>
    <t>APT-01010</t>
  </si>
  <si>
    <t>APT-01011</t>
  </si>
  <si>
    <t>PT-1522</t>
  </si>
  <si>
    <t>APT-01012</t>
  </si>
  <si>
    <t>PT-1029</t>
  </si>
  <si>
    <t>APT-01013</t>
  </si>
  <si>
    <t>APT-01014</t>
  </si>
  <si>
    <t>APT-01015</t>
  </si>
  <si>
    <t>PT-1100</t>
  </si>
  <si>
    <t>APT-01016</t>
  </si>
  <si>
    <t>APT-01017</t>
  </si>
  <si>
    <t>APT-01018</t>
  </si>
  <si>
    <t>APT-01019</t>
  </si>
  <si>
    <t>APT-01020</t>
  </si>
  <si>
    <t>PT-1180</t>
  </si>
  <si>
    <t>APT-01021</t>
  </si>
  <si>
    <t>APT-01022</t>
  </si>
  <si>
    <t>APT-01023</t>
  </si>
  <si>
    <t>APT-01024</t>
  </si>
  <si>
    <t>APT-01025</t>
  </si>
  <si>
    <t>APT-01026</t>
  </si>
  <si>
    <t>APT-01027</t>
  </si>
  <si>
    <t>APT-01028</t>
  </si>
  <si>
    <t>APT-01029</t>
  </si>
  <si>
    <t>APT-01030</t>
  </si>
  <si>
    <t>APT-01031</t>
  </si>
  <si>
    <t>APT-01032</t>
  </si>
  <si>
    <t>APT-01033</t>
  </si>
  <si>
    <t>APT-01034</t>
  </si>
  <si>
    <t>PT-1636</t>
  </si>
  <si>
    <t>APT-01035</t>
  </si>
  <si>
    <t>PT-1176</t>
  </si>
  <si>
    <t>APT-01036</t>
  </si>
  <si>
    <t>APT-01037</t>
  </si>
  <si>
    <t>APT-01038</t>
  </si>
  <si>
    <t>PT-1249</t>
  </si>
  <si>
    <t>APT-01039</t>
  </si>
  <si>
    <t>APT-01040</t>
  </si>
  <si>
    <t>APT-01041</t>
  </si>
  <si>
    <t>APT-01042</t>
  </si>
  <si>
    <t>APT-01043</t>
  </si>
  <si>
    <t>APT-01044</t>
  </si>
  <si>
    <t>APT-01045</t>
  </si>
  <si>
    <t>APT-01046</t>
  </si>
  <si>
    <t>APT-01047</t>
  </si>
  <si>
    <t>PT-1454</t>
  </si>
  <si>
    <t>APT-01048</t>
  </si>
  <si>
    <t>PT-1489</t>
  </si>
  <si>
    <t>APT-01049</t>
  </si>
  <si>
    <t>APT-01050</t>
  </si>
  <si>
    <t>APT-01051</t>
  </si>
  <si>
    <t>APT-01052</t>
  </si>
  <si>
    <t>APT-01053</t>
  </si>
  <si>
    <t>APT-01054</t>
  </si>
  <si>
    <t>PT-1643</t>
  </si>
  <si>
    <t>APT-01055</t>
  </si>
  <si>
    <t>APT-01056</t>
  </si>
  <si>
    <t>PT-1512</t>
  </si>
  <si>
    <t>APT-01057</t>
  </si>
  <si>
    <t>APT-01058</t>
  </si>
  <si>
    <t>APT-01059</t>
  </si>
  <si>
    <t>PT-1352</t>
  </si>
  <si>
    <t>APT-01060</t>
  </si>
  <si>
    <t>APT-01061</t>
  </si>
  <si>
    <t>APT-01062</t>
  </si>
  <si>
    <t>APT-01063</t>
  </si>
  <si>
    <t>APT-01064</t>
  </si>
  <si>
    <t>APT-01065</t>
  </si>
  <si>
    <t>APT-01066</t>
  </si>
  <si>
    <t>APT-01067</t>
  </si>
  <si>
    <t>PT-1559</t>
  </si>
  <si>
    <t>APT-01068</t>
  </si>
  <si>
    <t>APT-01069</t>
  </si>
  <si>
    <t>PT-1111</t>
  </si>
  <si>
    <t>APT-01070</t>
  </si>
  <si>
    <t>APT-01071</t>
  </si>
  <si>
    <t>APT-01072</t>
  </si>
  <si>
    <t>APT-01073</t>
  </si>
  <si>
    <t>APT-01074</t>
  </si>
  <si>
    <t>APT-01075</t>
  </si>
  <si>
    <t>PT-1590</t>
  </si>
  <si>
    <t>APT-01076</t>
  </si>
  <si>
    <t>PT-1000</t>
  </si>
  <si>
    <t>APT-01077</t>
  </si>
  <si>
    <t>APT-01078</t>
  </si>
  <si>
    <t>APT-01079</t>
  </si>
  <si>
    <t>APT-01080</t>
  </si>
  <si>
    <t>APT-01081</t>
  </si>
  <si>
    <t>APT-01082</t>
  </si>
  <si>
    <t>APT-01083</t>
  </si>
  <si>
    <t>APT-01084</t>
  </si>
  <si>
    <t>APT-01085</t>
  </si>
  <si>
    <t>APT-01086</t>
  </si>
  <si>
    <t>APT-01087</t>
  </si>
  <si>
    <t>APT-01088</t>
  </si>
  <si>
    <t>APT-01089</t>
  </si>
  <si>
    <t>APT-01090</t>
  </si>
  <si>
    <t>PT-1486</t>
  </si>
  <si>
    <t>APT-01091</t>
  </si>
  <si>
    <t>PT-1200</t>
  </si>
  <si>
    <t>APT-01092</t>
  </si>
  <si>
    <t>APT-01093</t>
  </si>
  <si>
    <t>APT-01094</t>
  </si>
  <si>
    <t>APT-01095</t>
  </si>
  <si>
    <t>APT-01096</t>
  </si>
  <si>
    <t>PT-1421</t>
  </si>
  <si>
    <t>APT-01097</t>
  </si>
  <si>
    <t>APT-01098</t>
  </si>
  <si>
    <t>APT-01099</t>
  </si>
  <si>
    <t>APT-01100</t>
  </si>
  <si>
    <t>PT-1056</t>
  </si>
  <si>
    <t>APT-01101</t>
  </si>
  <si>
    <t>APT-01102</t>
  </si>
  <si>
    <t>APT-01103</t>
  </si>
  <si>
    <t>APT-01104</t>
  </si>
  <si>
    <t>PT-1495</t>
  </si>
  <si>
    <t>APT-01105</t>
  </si>
  <si>
    <t>APT-01106</t>
  </si>
  <si>
    <t>APT-01107</t>
  </si>
  <si>
    <t>APT-01108</t>
  </si>
  <si>
    <t>APT-01109</t>
  </si>
  <si>
    <t>PT-1395</t>
  </si>
  <si>
    <t>APT-01110</t>
  </si>
  <si>
    <t>APT-01111</t>
  </si>
  <si>
    <t>APT-01112</t>
  </si>
  <si>
    <t>APT-01113</t>
  </si>
  <si>
    <t>APT-01114</t>
  </si>
  <si>
    <t>APT-01115</t>
  </si>
  <si>
    <t>PT-1430</t>
  </si>
  <si>
    <t>APT-01116</t>
  </si>
  <si>
    <t>APT-01117</t>
  </si>
  <si>
    <t>APT-01118</t>
  </si>
  <si>
    <t>APT-01119</t>
  </si>
  <si>
    <t>APT-01120</t>
  </si>
  <si>
    <t>PT-1226</t>
  </si>
  <si>
    <t>APT-01121</t>
  </si>
  <si>
    <t>APT-01122</t>
  </si>
  <si>
    <t>APT-01123</t>
  </si>
  <si>
    <t>PT-1336</t>
  </si>
  <si>
    <t>APT-01124</t>
  </si>
  <si>
    <t>APT-01125</t>
  </si>
  <si>
    <t>APT-01126</t>
  </si>
  <si>
    <t>PT-1095</t>
  </si>
  <si>
    <t>APT-01127</t>
  </si>
  <si>
    <t>APT-01128</t>
  </si>
  <si>
    <t>APT-01129</t>
  </si>
  <si>
    <t>APT-01130</t>
  </si>
  <si>
    <t>APT-01131</t>
  </si>
  <si>
    <t>APT-01132</t>
  </si>
  <si>
    <t>APT-01133</t>
  </si>
  <si>
    <t>APT-01134</t>
  </si>
  <si>
    <t>APT-01135</t>
  </si>
  <si>
    <t>APT-01136</t>
  </si>
  <si>
    <t>APT-01137</t>
  </si>
  <si>
    <t>APT-01138</t>
  </si>
  <si>
    <t>PT-1439</t>
  </si>
  <si>
    <t>APT-01139</t>
  </si>
  <si>
    <t>PT-1136</t>
  </si>
  <si>
    <t>APT-01140</t>
  </si>
  <si>
    <t>APT-01141</t>
  </si>
  <si>
    <t>APT-01142</t>
  </si>
  <si>
    <t>APT-01143</t>
  </si>
  <si>
    <t>APT-01144</t>
  </si>
  <si>
    <t>PT-1171</t>
  </si>
  <si>
    <t>APT-01145</t>
  </si>
  <si>
    <t>PT-1004</t>
  </si>
  <si>
    <t>APT-01146</t>
  </si>
  <si>
    <t>APT-01147</t>
  </si>
  <si>
    <t>APT-01148</t>
  </si>
  <si>
    <t>PT-1032</t>
  </si>
  <si>
    <t>APT-01149</t>
  </si>
  <si>
    <t>APT-01150</t>
  </si>
  <si>
    <t>PT-1623</t>
  </si>
  <si>
    <t>APT-01151</t>
  </si>
  <si>
    <t>PT-1003</t>
  </si>
  <si>
    <t>APT-01152</t>
  </si>
  <si>
    <t>APT-01153</t>
  </si>
  <si>
    <t>APT-01154</t>
  </si>
  <si>
    <t>APT-01155</t>
  </si>
  <si>
    <t>APT-01156</t>
  </si>
  <si>
    <t>PT-1044</t>
  </si>
  <si>
    <t>APT-01157</t>
  </si>
  <si>
    <t>PT-1614</t>
  </si>
  <si>
    <t>APT-01158</t>
  </si>
  <si>
    <t>APT-01159</t>
  </si>
  <si>
    <t>APT-01160</t>
  </si>
  <si>
    <t>APT-01161</t>
  </si>
  <si>
    <t>APT-01162</t>
  </si>
  <si>
    <t>APT-01163</t>
  </si>
  <si>
    <t>APT-01164</t>
  </si>
  <si>
    <t>APT-01165</t>
  </si>
  <si>
    <t>PT-1020</t>
  </si>
  <si>
    <t>APT-01166</t>
  </si>
  <si>
    <t>APT-01167</t>
  </si>
  <si>
    <t>APT-01168</t>
  </si>
  <si>
    <t>PT-1694</t>
  </si>
  <si>
    <t>APT-01169</t>
  </si>
  <si>
    <t>APT-01170</t>
  </si>
  <si>
    <t>APT-01171</t>
  </si>
  <si>
    <t>APT-01172</t>
  </si>
  <si>
    <t>APT-01173</t>
  </si>
  <si>
    <t>APT-01174</t>
  </si>
  <si>
    <t>APT-01175</t>
  </si>
  <si>
    <t>APT-01176</t>
  </si>
  <si>
    <t>APT-01177</t>
  </si>
  <si>
    <t>APT-01178</t>
  </si>
  <si>
    <t>APT-01179</t>
  </si>
  <si>
    <t>APT-01180</t>
  </si>
  <si>
    <t>APT-01181</t>
  </si>
  <si>
    <t>APT-01182</t>
  </si>
  <si>
    <t>APT-01183</t>
  </si>
  <si>
    <t>APT-01184</t>
  </si>
  <si>
    <t>PT-1648</t>
  </si>
  <si>
    <t>APT-01185</t>
  </si>
  <si>
    <t>APT-01186</t>
  </si>
  <si>
    <t>APT-01187</t>
  </si>
  <si>
    <t>APT-01188</t>
  </si>
  <si>
    <t>APT-01189</t>
  </si>
  <si>
    <t>PT-1401</t>
  </si>
  <si>
    <t>APT-01190</t>
  </si>
  <si>
    <t>APT-01191</t>
  </si>
  <si>
    <t>APT-01192</t>
  </si>
  <si>
    <t>APT-01193</t>
  </si>
  <si>
    <t>APT-01194</t>
  </si>
  <si>
    <t>APT-01195</t>
  </si>
  <si>
    <t>PT-1252</t>
  </si>
  <si>
    <t>APT-01196</t>
  </si>
  <si>
    <t>APT-01197</t>
  </si>
  <si>
    <t>PT-1334</t>
  </si>
  <si>
    <t>APT-01198</t>
  </si>
  <si>
    <t>APT-01199</t>
  </si>
  <si>
    <t>APT-01200</t>
  </si>
  <si>
    <t>APT-01201</t>
  </si>
  <si>
    <t>APT-01202</t>
  </si>
  <si>
    <t>APT-01203</t>
  </si>
  <si>
    <t>APT-01204</t>
  </si>
  <si>
    <t>APT-01205</t>
  </si>
  <si>
    <t>APT-01206</t>
  </si>
  <si>
    <t>APT-01207</t>
  </si>
  <si>
    <t>PT-1538</t>
  </si>
  <si>
    <t>APT-01208</t>
  </si>
  <si>
    <t>APT-01209</t>
  </si>
  <si>
    <t>APT-01210</t>
  </si>
  <si>
    <t>APT-01211</t>
  </si>
  <si>
    <t>APT-01212</t>
  </si>
  <si>
    <t>APT-01213</t>
  </si>
  <si>
    <t>PT-1531</t>
  </si>
  <si>
    <t>APT-01214</t>
  </si>
  <si>
    <t>APT-01215</t>
  </si>
  <si>
    <t>APT-01216</t>
  </si>
  <si>
    <t>APT-01217</t>
  </si>
  <si>
    <t>PT-1403</t>
  </si>
  <si>
    <t>APT-01218</t>
  </si>
  <si>
    <t>APT-01219</t>
  </si>
  <si>
    <t>APT-01220</t>
  </si>
  <si>
    <t>PT-1308</t>
  </si>
  <si>
    <t>APT-01221</t>
  </si>
  <si>
    <t>APT-01222</t>
  </si>
  <si>
    <t>APT-01223</t>
  </si>
  <si>
    <t>APT-01224</t>
  </si>
  <si>
    <t>APT-01225</t>
  </si>
  <si>
    <t>APT-01226</t>
  </si>
  <si>
    <t>APT-01227</t>
  </si>
  <si>
    <t>APT-01228</t>
  </si>
  <si>
    <t>APT-01229</t>
  </si>
  <si>
    <t>APT-01230</t>
  </si>
  <si>
    <t>APT-01231</t>
  </si>
  <si>
    <t>APT-01232</t>
  </si>
  <si>
    <t>PT-1074</t>
  </si>
  <si>
    <t>APT-01233</t>
  </si>
  <si>
    <t>APT-01234</t>
  </si>
  <si>
    <t>APT-01235</t>
  </si>
  <si>
    <t>APT-01236</t>
  </si>
  <si>
    <t>APT-01237</t>
  </si>
  <si>
    <t>APT-01238</t>
  </si>
  <si>
    <t>PT-1286</t>
  </si>
  <si>
    <t>APT-01239</t>
  </si>
  <si>
    <t>APT-01240</t>
  </si>
  <si>
    <t>APT-01241</t>
  </si>
  <si>
    <t>APT-01242</t>
  </si>
  <si>
    <t>APT-01243</t>
  </si>
  <si>
    <t>APT-01244</t>
  </si>
  <si>
    <t>APT-01245</t>
  </si>
  <si>
    <t>APT-01246</t>
  </si>
  <si>
    <t>PT-1689</t>
  </si>
  <si>
    <t>APT-01247</t>
  </si>
  <si>
    <t>APT-01248</t>
  </si>
  <si>
    <t>APT-01249</t>
  </si>
  <si>
    <t>APT-01250</t>
  </si>
  <si>
    <t>APT-01251</t>
  </si>
  <si>
    <t>APT-01252</t>
  </si>
  <si>
    <t>PT-1536</t>
  </si>
  <si>
    <t>APT-01253</t>
  </si>
  <si>
    <t>APT-01254</t>
  </si>
  <si>
    <t>APT-01255</t>
  </si>
  <si>
    <t>PT-1529</t>
  </si>
  <si>
    <t>APT-01256</t>
  </si>
  <si>
    <t>APT-01257</t>
  </si>
  <si>
    <t>APT-01258</t>
  </si>
  <si>
    <t>APT-01259</t>
  </si>
  <si>
    <t>APT-01260</t>
  </si>
  <si>
    <t>APT-01261</t>
  </si>
  <si>
    <t>APT-01262</t>
  </si>
  <si>
    <t>APT-01263</t>
  </si>
  <si>
    <t>APT-01264</t>
  </si>
  <si>
    <t>APT-01265</t>
  </si>
  <si>
    <t>APT-01266</t>
  </si>
  <si>
    <t>APT-01267</t>
  </si>
  <si>
    <t>PT-1007</t>
  </si>
  <si>
    <t>APT-01268</t>
  </si>
  <si>
    <t>PT-1504</t>
  </si>
  <si>
    <t>APT-01269</t>
  </si>
  <si>
    <t>APT-01270</t>
  </si>
  <si>
    <t>APT-01271</t>
  </si>
  <si>
    <t>APT-01272</t>
  </si>
  <si>
    <t>APT-01273</t>
  </si>
  <si>
    <t>APT-01274</t>
  </si>
  <si>
    <t>APT-01275</t>
  </si>
  <si>
    <t>APT-01276</t>
  </si>
  <si>
    <t>APT-01277</t>
  </si>
  <si>
    <t>APT-01278</t>
  </si>
  <si>
    <t>APT-01279</t>
  </si>
  <si>
    <t>APT-01280</t>
  </si>
  <si>
    <t>PT-1373</t>
  </si>
  <si>
    <t>APT-01281</t>
  </si>
  <si>
    <t>APT-01282</t>
  </si>
  <si>
    <t>APT-01283</t>
  </si>
  <si>
    <t>APT-01284</t>
  </si>
  <si>
    <t>APT-01285</t>
  </si>
  <si>
    <t>PT-1276</t>
  </si>
  <si>
    <t>APT-01286</t>
  </si>
  <si>
    <t>APT-01287</t>
  </si>
  <si>
    <t>APT-01288</t>
  </si>
  <si>
    <t>APT-01289</t>
  </si>
  <si>
    <t>APT-01290</t>
  </si>
  <si>
    <t>APT-01291</t>
  </si>
  <si>
    <t>PT-1247</t>
  </si>
  <si>
    <t>APT-01292</t>
  </si>
  <si>
    <t>APT-01293</t>
  </si>
  <si>
    <t>APT-01294</t>
  </si>
  <si>
    <t>APT-01295</t>
  </si>
  <si>
    <t>APT-01296</t>
  </si>
  <si>
    <t>APT-01297</t>
  </si>
  <si>
    <t>APT-01298</t>
  </si>
  <si>
    <t>APT-01299</t>
  </si>
  <si>
    <t>PT-1316</t>
  </si>
  <si>
    <t>APT-01300</t>
  </si>
  <si>
    <t>PT-1598</t>
  </si>
  <si>
    <t>APT-01301</t>
  </si>
  <si>
    <t>APT-01302</t>
  </si>
  <si>
    <t>PT-1644</t>
  </si>
  <si>
    <t>APT-01303</t>
  </si>
  <si>
    <t>APT-01304</t>
  </si>
  <si>
    <t>APT-01305</t>
  </si>
  <si>
    <t>APT-01306</t>
  </si>
  <si>
    <t>APT-01307</t>
  </si>
  <si>
    <t>PT-1290</t>
  </si>
  <si>
    <t>APT-01308</t>
  </si>
  <si>
    <t>APT-01309</t>
  </si>
  <si>
    <t>PT-1449</t>
  </si>
  <si>
    <t>APT-01310</t>
  </si>
  <si>
    <t>APT-01311</t>
  </si>
  <si>
    <t>APT-01312</t>
  </si>
  <si>
    <t>APT-01313</t>
  </si>
  <si>
    <t>APT-01314</t>
  </si>
  <si>
    <t>PT-1293</t>
  </si>
  <si>
    <t>APT-01315</t>
  </si>
  <si>
    <t>APT-01316</t>
  </si>
  <si>
    <t>PT-1161</t>
  </si>
  <si>
    <t>APT-01317</t>
  </si>
  <si>
    <t>APT-01318</t>
  </si>
  <si>
    <t>APT-01319</t>
  </si>
  <si>
    <t>APT-01320</t>
  </si>
  <si>
    <t>APT-01321</t>
  </si>
  <si>
    <t>APT-01322</t>
  </si>
  <si>
    <t>APT-01323</t>
  </si>
  <si>
    <t>APT-01324</t>
  </si>
  <si>
    <t>APT-01325</t>
  </si>
  <si>
    <t>APT-01326</t>
  </si>
  <si>
    <t>PT-1673</t>
  </si>
  <si>
    <t>APT-01327</t>
  </si>
  <si>
    <t>APT-01328</t>
  </si>
  <si>
    <t>APT-01329</t>
  </si>
  <si>
    <t>APT-01330</t>
  </si>
  <si>
    <t>APT-01331</t>
  </si>
  <si>
    <t>APT-01332</t>
  </si>
  <si>
    <t>PT-1263</t>
  </si>
  <si>
    <t>APT-01333</t>
  </si>
  <si>
    <t>APT-01334</t>
  </si>
  <si>
    <t>APT-01335</t>
  </si>
  <si>
    <t>APT-01336</t>
  </si>
  <si>
    <t>APT-01337</t>
  </si>
  <si>
    <t>APT-01338</t>
  </si>
  <si>
    <t>APT-01339</t>
  </si>
  <si>
    <t>APT-01340</t>
  </si>
  <si>
    <t>APT-01341</t>
  </si>
  <si>
    <t>APT-01342</t>
  </si>
  <si>
    <t>APT-01343</t>
  </si>
  <si>
    <t>APT-01344</t>
  </si>
  <si>
    <t>APT-01345</t>
  </si>
  <si>
    <t>APT-01346</t>
  </si>
  <si>
    <t>APT-01347</t>
  </si>
  <si>
    <t>PT-1570</t>
  </si>
  <si>
    <t>APT-01348</t>
  </si>
  <si>
    <t>PT-1172</t>
  </si>
  <si>
    <t>APT-01349</t>
  </si>
  <si>
    <t>APT-01350</t>
  </si>
  <si>
    <t>APT-01351</t>
  </si>
  <si>
    <t>APT-01352</t>
  </si>
  <si>
    <t>PT-1447</t>
  </si>
  <si>
    <t>APT-01353</t>
  </si>
  <si>
    <t>PT-1266</t>
  </si>
  <si>
    <t>APT-01354</t>
  </si>
  <si>
    <t>PT-1183</t>
  </si>
  <si>
    <t>APT-01355</t>
  </si>
  <si>
    <t>APT-01356</t>
  </si>
  <si>
    <t>PT-1616</t>
  </si>
  <si>
    <t>APT-01357</t>
  </si>
  <si>
    <t>APT-01358</t>
  </si>
  <si>
    <t>APT-01359</t>
  </si>
  <si>
    <t>APT-01360</t>
  </si>
  <si>
    <t>APT-01361</t>
  </si>
  <si>
    <t>APT-01362</t>
  </si>
  <si>
    <t>APT-01363</t>
  </si>
  <si>
    <t>APT-01364</t>
  </si>
  <si>
    <t>PT-1389</t>
  </si>
  <si>
    <t>APT-01365</t>
  </si>
  <si>
    <t>APT-01366</t>
  </si>
  <si>
    <t>PT-1154</t>
  </si>
  <si>
    <t>APT-01367</t>
  </si>
  <si>
    <t>APT-01368</t>
  </si>
  <si>
    <t>APT-01369</t>
  </si>
  <si>
    <t>APT-01370</t>
  </si>
  <si>
    <t>PT-1603</t>
  </si>
  <si>
    <t>APT-01371</t>
  </si>
  <si>
    <t>APT-01372</t>
  </si>
  <si>
    <t>APT-01373</t>
  </si>
  <si>
    <t>PT-1339</t>
  </si>
  <si>
    <t>APT-01374</t>
  </si>
  <si>
    <t>APT-01375</t>
  </si>
  <si>
    <t>APT-01376</t>
  </si>
  <si>
    <t>APT-01377</t>
  </si>
  <si>
    <t>APT-01378</t>
  </si>
  <si>
    <t>APT-01379</t>
  </si>
  <si>
    <t>APT-01380</t>
  </si>
  <si>
    <t>APT-01381</t>
  </si>
  <si>
    <t>APT-01382</t>
  </si>
  <si>
    <t>APT-01383</t>
  </si>
  <si>
    <t>APT-01384</t>
  </si>
  <si>
    <t>APT-01385</t>
  </si>
  <si>
    <t>APT-01386</t>
  </si>
  <si>
    <t>APT-01387</t>
  </si>
  <si>
    <t>APT-01388</t>
  </si>
  <si>
    <t>APT-01389</t>
  </si>
  <si>
    <t>APT-01390</t>
  </si>
  <si>
    <t>APT-01391</t>
  </si>
  <si>
    <t>PT-1382</t>
  </si>
  <si>
    <t>APT-01392</t>
  </si>
  <si>
    <t>APT-01393</t>
  </si>
  <si>
    <t>APT-01394</t>
  </si>
  <si>
    <t>APT-01395</t>
  </si>
  <si>
    <t>APT-01396</t>
  </si>
  <si>
    <t>APT-01397</t>
  </si>
  <si>
    <t>APT-01398</t>
  </si>
  <si>
    <t>APT-01399</t>
  </si>
  <si>
    <t>APT-01400</t>
  </si>
  <si>
    <t>APT-01401</t>
  </si>
  <si>
    <t>APT-01402</t>
  </si>
  <si>
    <t>APT-01403</t>
  </si>
  <si>
    <t>APT-01404</t>
  </si>
  <si>
    <t>PT-1345</t>
  </si>
  <si>
    <t>APT-01405</t>
  </si>
  <si>
    <t>APT-01406</t>
  </si>
  <si>
    <t>APT-01407</t>
  </si>
  <si>
    <t>APT-01408</t>
  </si>
  <si>
    <t>APT-01409</t>
  </si>
  <si>
    <t>PT-1650</t>
  </si>
  <si>
    <t>APT-01410</t>
  </si>
  <si>
    <t>APT-01411</t>
  </si>
  <si>
    <t>PT-1667</t>
  </si>
  <si>
    <t>APT-01412</t>
  </si>
  <si>
    <t>APT-01413</t>
  </si>
  <si>
    <t>PT-1426</t>
  </si>
  <si>
    <t>APT-01414</t>
  </si>
  <si>
    <t>APT-01415</t>
  </si>
  <si>
    <t>APT-01416</t>
  </si>
  <si>
    <t>APT-01417</t>
  </si>
  <si>
    <t>PT-1189</t>
  </si>
  <si>
    <t>APT-01418</t>
  </si>
  <si>
    <t>PT-1684</t>
  </si>
  <si>
    <t>APT-01419</t>
  </si>
  <si>
    <t>APT-01420</t>
  </si>
  <si>
    <t>APT-01421</t>
  </si>
  <si>
    <t>APT-01422</t>
  </si>
  <si>
    <t>APT-01423</t>
  </si>
  <si>
    <t>APT-01424</t>
  </si>
  <si>
    <t>APT-01425</t>
  </si>
  <si>
    <t>PT-1530</t>
  </si>
  <si>
    <t>APT-01426</t>
  </si>
  <si>
    <t>APT-01427</t>
  </si>
  <si>
    <t>APT-01428</t>
  </si>
  <si>
    <t>APT-01429</t>
  </si>
  <si>
    <t>APT-01430</t>
  </si>
  <si>
    <t>APT-01431</t>
  </si>
  <si>
    <t>APT-01432</t>
  </si>
  <si>
    <t>APT-01433</t>
  </si>
  <si>
    <t>APT-01434</t>
  </si>
  <si>
    <t>PT-1546</t>
  </si>
  <si>
    <t>APT-01435</t>
  </si>
  <si>
    <t>APT-01436</t>
  </si>
  <si>
    <t>APT-01437</t>
  </si>
  <si>
    <t>APT-01438</t>
  </si>
  <si>
    <t>APT-01439</t>
  </si>
  <si>
    <t>APT-01440</t>
  </si>
  <si>
    <t>APT-01441</t>
  </si>
  <si>
    <t>APT-01442</t>
  </si>
  <si>
    <t>APT-01443</t>
  </si>
  <si>
    <t>APT-01444</t>
  </si>
  <si>
    <t>APT-01445</t>
  </si>
  <si>
    <t>APT-01446</t>
  </si>
  <si>
    <t>APT-01447</t>
  </si>
  <si>
    <t>APT-01448</t>
  </si>
  <si>
    <t>APT-01449</t>
  </si>
  <si>
    <t>APT-01450</t>
  </si>
  <si>
    <t>PT-1118</t>
  </si>
  <si>
    <t>APT-01451</t>
  </si>
  <si>
    <t>APT-01452</t>
  </si>
  <si>
    <t>APT-01453</t>
  </si>
  <si>
    <t>APT-01454</t>
  </si>
  <si>
    <t>APT-01455</t>
  </si>
  <si>
    <t>APT-01456</t>
  </si>
  <si>
    <t>APT-01457</t>
  </si>
  <si>
    <t>PT-1494</t>
  </si>
  <si>
    <t>APT-01458</t>
  </si>
  <si>
    <t>PT-1057</t>
  </si>
  <si>
    <t>APT-01459</t>
  </si>
  <si>
    <t>APT-01460</t>
  </si>
  <si>
    <t>APT-01461</t>
  </si>
  <si>
    <t>APT-01462</t>
  </si>
  <si>
    <t>APT-01463</t>
  </si>
  <si>
    <t>PT-1412</t>
  </si>
  <si>
    <t>APT-01464</t>
  </si>
  <si>
    <t>APT-01465</t>
  </si>
  <si>
    <t>PT-1408</t>
  </si>
  <si>
    <t>APT-01466</t>
  </si>
  <si>
    <t>APT-01467</t>
  </si>
  <si>
    <t>APT-01468</t>
  </si>
  <si>
    <t>APT-01469</t>
  </si>
  <si>
    <t>APT-01470</t>
  </si>
  <si>
    <t>APT-01471</t>
  </si>
  <si>
    <t>APT-01472</t>
  </si>
  <si>
    <t>APT-01473</t>
  </si>
  <si>
    <t>APT-01474</t>
  </si>
  <si>
    <t>APT-01475</t>
  </si>
  <si>
    <t>APT-01476</t>
  </si>
  <si>
    <t>APT-01477</t>
  </si>
  <si>
    <t>APT-01478</t>
  </si>
  <si>
    <t>APT-01479</t>
  </si>
  <si>
    <t>APT-01480</t>
  </si>
  <si>
    <t>APT-01481</t>
  </si>
  <si>
    <t>APT-01482</t>
  </si>
  <si>
    <t>APT-01483</t>
  </si>
  <si>
    <t>APT-01484</t>
  </si>
  <si>
    <t>APT-01485</t>
  </si>
  <si>
    <t>APT-01486</t>
  </si>
  <si>
    <t>APT-01487</t>
  </si>
  <si>
    <t>APT-01488</t>
  </si>
  <si>
    <t>APT-01489</t>
  </si>
  <si>
    <t>APT-01490</t>
  </si>
  <si>
    <t>APT-01491</t>
  </si>
  <si>
    <t>APT-01492</t>
  </si>
  <si>
    <t>APT-01493</t>
  </si>
  <si>
    <t>APT-01494</t>
  </si>
  <si>
    <t>APT-01495</t>
  </si>
  <si>
    <t>APT-01496</t>
  </si>
  <si>
    <t>APT-01497</t>
  </si>
  <si>
    <t>APT-01498</t>
  </si>
  <si>
    <t>APT-01499</t>
  </si>
  <si>
    <t>APT-01500</t>
  </si>
  <si>
    <t>APT-01501</t>
  </si>
  <si>
    <t>APT-01502</t>
  </si>
  <si>
    <t>APT-01503</t>
  </si>
  <si>
    <t>APT-01504</t>
  </si>
  <si>
    <t>PT-1160</t>
  </si>
  <si>
    <t>APT-01505</t>
  </si>
  <si>
    <t>APT-01506</t>
  </si>
  <si>
    <t>APT-01507</t>
  </si>
  <si>
    <t>APT-01508</t>
  </si>
  <si>
    <t>APT-01509</t>
  </si>
  <si>
    <t>APT-01510</t>
  </si>
  <si>
    <t>APT-01511</t>
  </si>
  <si>
    <t>APT-01512</t>
  </si>
  <si>
    <t>APT-01513</t>
  </si>
  <si>
    <t>APT-01514</t>
  </si>
  <si>
    <t>PT-1393</t>
  </si>
  <si>
    <t>APT-01515</t>
  </si>
  <si>
    <t>APT-01516</t>
  </si>
  <si>
    <t>APT-01517</t>
  </si>
  <si>
    <t>APT-01518</t>
  </si>
  <si>
    <t>PT-1216</t>
  </si>
  <si>
    <t>APT-01519</t>
  </si>
  <si>
    <t>APT-01520</t>
  </si>
  <si>
    <t>APT-01521</t>
  </si>
  <si>
    <t>APT-01522</t>
  </si>
  <si>
    <t>APT-01523</t>
  </si>
  <si>
    <t>APT-01524</t>
  </si>
  <si>
    <t>PT-1668</t>
  </si>
  <si>
    <t>APT-01525</t>
  </si>
  <si>
    <t>APT-01526</t>
  </si>
  <si>
    <t>APT-01527</t>
  </si>
  <si>
    <t>APT-01528</t>
  </si>
  <si>
    <t>APT-01529</t>
  </si>
  <si>
    <t>APT-01530</t>
  </si>
  <si>
    <t>APT-01531</t>
  </si>
  <si>
    <t>APT-01532</t>
  </si>
  <si>
    <t>APT-01533</t>
  </si>
  <si>
    <t>APT-01534</t>
  </si>
  <si>
    <t>APT-01535</t>
  </si>
  <si>
    <t>PT-1102</t>
  </si>
  <si>
    <t>APT-01536</t>
  </si>
  <si>
    <t>APT-01537</t>
  </si>
  <si>
    <t>APT-01538</t>
  </si>
  <si>
    <t>PT-1452</t>
  </si>
  <si>
    <t>APT-01539</t>
  </si>
  <si>
    <t>APT-01540</t>
  </si>
  <si>
    <t>PT-1361</t>
  </si>
  <si>
    <t>APT-01541</t>
  </si>
  <si>
    <t>APT-01542</t>
  </si>
  <si>
    <t>APT-01543</t>
  </si>
  <si>
    <t>APT-01544</t>
  </si>
  <si>
    <t>APT-01545</t>
  </si>
  <si>
    <t>APT-01546</t>
  </si>
  <si>
    <t>APT-01547</t>
  </si>
  <si>
    <t>APT-01548</t>
  </si>
  <si>
    <t>APT-01549</t>
  </si>
  <si>
    <t>APT-01550</t>
  </si>
  <si>
    <t>APT-01551</t>
  </si>
  <si>
    <t>APT-01552</t>
  </si>
  <si>
    <t>APT-01553</t>
  </si>
  <si>
    <t>APT-01554</t>
  </si>
  <si>
    <t>APT-01555</t>
  </si>
  <si>
    <t>APT-01556</t>
  </si>
  <si>
    <t>APT-01557</t>
  </si>
  <si>
    <t>APT-01558</t>
  </si>
  <si>
    <t>APT-01559</t>
  </si>
  <si>
    <t>APT-01560</t>
  </si>
  <si>
    <t>APT-01561</t>
  </si>
  <si>
    <t>PT-1642</t>
  </si>
  <si>
    <t>APT-01562</t>
  </si>
  <si>
    <t>PT-1333</t>
  </si>
  <si>
    <t>APT-01563</t>
  </si>
  <si>
    <t>APT-01564</t>
  </si>
  <si>
    <t>PT-1170</t>
  </si>
  <si>
    <t>APT-01565</t>
  </si>
  <si>
    <t>APT-01566</t>
  </si>
  <si>
    <t>APT-01567</t>
  </si>
  <si>
    <t>APT-01568</t>
  </si>
  <si>
    <t>APT-01569</t>
  </si>
  <si>
    <t>APT-01570</t>
  </si>
  <si>
    <t>PT-1158</t>
  </si>
  <si>
    <t>APT-01571</t>
  </si>
  <si>
    <t>APT-01572</t>
  </si>
  <si>
    <t>APT-01573</t>
  </si>
  <si>
    <t>APT-01574</t>
  </si>
  <si>
    <t>APT-01575</t>
  </si>
  <si>
    <t>PT-1005</t>
  </si>
  <si>
    <t>APT-01576</t>
  </si>
  <si>
    <t>APT-01577</t>
  </si>
  <si>
    <t>APT-01578</t>
  </si>
  <si>
    <t>APT-01579</t>
  </si>
  <si>
    <t>APT-01580</t>
  </si>
  <si>
    <t>APT-01581</t>
  </si>
  <si>
    <t>PT-1299</t>
  </si>
  <si>
    <t>APT-01582</t>
  </si>
  <si>
    <t>APT-01583</t>
  </si>
  <si>
    <t>APT-01584</t>
  </si>
  <si>
    <t>APT-01585</t>
  </si>
  <si>
    <t>APT-01586</t>
  </si>
  <si>
    <t>APT-01587</t>
  </si>
  <si>
    <t>APT-01588</t>
  </si>
  <si>
    <t>APT-01589</t>
  </si>
  <si>
    <t>APT-01590</t>
  </si>
  <si>
    <t>PT-1117</t>
  </si>
  <si>
    <t>APT-01591</t>
  </si>
  <si>
    <t>APT-01592</t>
  </si>
  <si>
    <t>APT-01593</t>
  </si>
  <si>
    <t>APT-01594</t>
  </si>
  <si>
    <t>APT-01595</t>
  </si>
  <si>
    <t>PT-1319</t>
  </si>
  <si>
    <t>APT-01596</t>
  </si>
  <si>
    <t>PT-1230</t>
  </si>
  <si>
    <t>APT-01597</t>
  </si>
  <si>
    <t>APT-01598</t>
  </si>
  <si>
    <t>PT-1178</t>
  </si>
  <si>
    <t>APT-01599</t>
  </si>
  <si>
    <t>APT-01600</t>
  </si>
  <si>
    <t>PT-1539</t>
  </si>
  <si>
    <t>APT-01601</t>
  </si>
  <si>
    <t>APT-01602</t>
  </si>
  <si>
    <t>APT-01603</t>
  </si>
  <si>
    <t>APT-01604</t>
  </si>
  <si>
    <t>APT-01605</t>
  </si>
  <si>
    <t>APT-01606</t>
  </si>
  <si>
    <t>APT-01607</t>
  </si>
  <si>
    <t>APT-01608</t>
  </si>
  <si>
    <t>APT-01609</t>
  </si>
  <si>
    <t>APT-01610</t>
  </si>
  <si>
    <t>APT-01611</t>
  </si>
  <si>
    <t>APT-01612</t>
  </si>
  <si>
    <t>APT-01613</t>
  </si>
  <si>
    <t>APT-01614</t>
  </si>
  <si>
    <t>APT-01615</t>
  </si>
  <si>
    <t>APT-01616</t>
  </si>
  <si>
    <t>APT-01617</t>
  </si>
  <si>
    <t>APT-01618</t>
  </si>
  <si>
    <t>APT-01619</t>
  </si>
  <si>
    <t>APT-01620</t>
  </si>
  <si>
    <t>APT-01621</t>
  </si>
  <si>
    <t>APT-01622</t>
  </si>
  <si>
    <t>APT-01623</t>
  </si>
  <si>
    <t>APT-01624</t>
  </si>
  <si>
    <t>PT-1344</t>
  </si>
  <si>
    <t>APT-01625</t>
  </si>
  <si>
    <t>PT-1588</t>
  </si>
  <si>
    <t>APT-01626</t>
  </si>
  <si>
    <t>APT-01627</t>
  </si>
  <si>
    <t>PT-1264</t>
  </si>
  <si>
    <t>APT-01628</t>
  </si>
  <si>
    <t>PT-1016</t>
  </si>
  <si>
    <t>APT-01629</t>
  </si>
  <si>
    <t>APT-01630</t>
  </si>
  <si>
    <t>APT-01631</t>
  </si>
  <si>
    <t>APT-01632</t>
  </si>
  <si>
    <t>APT-01633</t>
  </si>
  <si>
    <t>APT-01634</t>
  </si>
  <si>
    <t>APT-01635</t>
  </si>
  <si>
    <t>APT-01636</t>
  </si>
  <si>
    <t>APT-01637</t>
  </si>
  <si>
    <t>PT-1001</t>
  </si>
  <si>
    <t>APT-01638</t>
  </si>
  <si>
    <t>APT-01639</t>
  </si>
  <si>
    <t>APT-01640</t>
  </si>
  <si>
    <t>APT-01641</t>
  </si>
  <si>
    <t>APT-01642</t>
  </si>
  <si>
    <t>APT-01643</t>
  </si>
  <si>
    <t>APT-01644</t>
  </si>
  <si>
    <t>APT-01645</t>
  </si>
  <si>
    <t>APT-01646</t>
  </si>
  <si>
    <t>APT-01647</t>
  </si>
  <si>
    <t>APT-01648</t>
  </si>
  <si>
    <t>APT-01649</t>
  </si>
  <si>
    <t>APT-01650</t>
  </si>
  <si>
    <t>PT-1622</t>
  </si>
  <si>
    <t>APT-01651</t>
  </si>
  <si>
    <t>PT-1346</t>
  </si>
  <si>
    <t>APT-01652</t>
  </si>
  <si>
    <t>APT-01653</t>
  </si>
  <si>
    <t>APT-01654</t>
  </si>
  <si>
    <t>APT-01655</t>
  </si>
  <si>
    <t>APT-01656</t>
  </si>
  <si>
    <t>APT-01657</t>
  </si>
  <si>
    <t>APT-01658</t>
  </si>
  <si>
    <t>APT-01659</t>
  </si>
  <si>
    <t>APT-01660</t>
  </si>
  <si>
    <t>APT-01661</t>
  </si>
  <si>
    <t>APT-01662</t>
  </si>
  <si>
    <t>PT-1077</t>
  </si>
  <si>
    <t>APT-01663</t>
  </si>
  <si>
    <t>APT-01664</t>
  </si>
  <si>
    <t>APT-01665</t>
  </si>
  <si>
    <t>APT-01666</t>
  </si>
  <si>
    <t>APT-01667</t>
  </si>
  <si>
    <t>APT-01668</t>
  </si>
  <si>
    <t>APT-01669</t>
  </si>
  <si>
    <t>APT-01670</t>
  </si>
  <si>
    <t>APT-01671</t>
  </si>
  <si>
    <t>APT-01672</t>
  </si>
  <si>
    <t>APT-01673</t>
  </si>
  <si>
    <t>APT-01674</t>
  </si>
  <si>
    <t>APT-01675</t>
  </si>
  <si>
    <t>APT-01676</t>
  </si>
  <si>
    <t>APT-01677</t>
  </si>
  <si>
    <t>PT-1327</t>
  </si>
  <si>
    <t>APT-01678</t>
  </si>
  <si>
    <t>APT-01679</t>
  </si>
  <si>
    <t>APT-01680</t>
  </si>
  <si>
    <t>APT-01681</t>
  </si>
  <si>
    <t>APT-01682</t>
  </si>
  <si>
    <t>APT-01683</t>
  </si>
  <si>
    <t>APT-01684</t>
  </si>
  <si>
    <t>APT-01685</t>
  </si>
  <si>
    <t>APT-01686</t>
  </si>
  <si>
    <t>APT-01687</t>
  </si>
  <si>
    <t>APT-01688</t>
  </si>
  <si>
    <t>APT-01689</t>
  </si>
  <si>
    <t>PT-1061</t>
  </si>
  <si>
    <t>APT-01690</t>
  </si>
  <si>
    <t>APT-01691</t>
  </si>
  <si>
    <t>APT-01692</t>
  </si>
  <si>
    <t>APT-01693</t>
  </si>
  <si>
    <t>APT-01694</t>
  </si>
  <si>
    <t>APT-01695</t>
  </si>
  <si>
    <t>APT-01696</t>
  </si>
  <si>
    <t>APT-01697</t>
  </si>
  <si>
    <t>APT-01698</t>
  </si>
  <si>
    <t>APT-01699</t>
  </si>
  <si>
    <t>APT-01700</t>
  </si>
  <si>
    <t>APT-01701</t>
  </si>
  <si>
    <t>PT-1222</t>
  </si>
  <si>
    <t>APT-01702</t>
  </si>
  <si>
    <t>APT-01703</t>
  </si>
  <si>
    <t>APT-01704</t>
  </si>
  <si>
    <t>APT-01705</t>
  </si>
  <si>
    <t>APT-01706</t>
  </si>
  <si>
    <t>APT-01707</t>
  </si>
  <si>
    <t>PT-1569</t>
  </si>
  <si>
    <t>APT-01708</t>
  </si>
  <si>
    <t>APT-01709</t>
  </si>
  <si>
    <t>APT-01710</t>
  </si>
  <si>
    <t>APT-01711</t>
  </si>
  <si>
    <t>APT-01712</t>
  </si>
  <si>
    <t>APT-01713</t>
  </si>
  <si>
    <t>APT-01714</t>
  </si>
  <si>
    <t>PT-1369</t>
  </si>
  <si>
    <t>APT-01715</t>
  </si>
  <si>
    <t>APT-01716</t>
  </si>
  <si>
    <t>APT-01717</t>
  </si>
  <si>
    <t>APT-01718</t>
  </si>
  <si>
    <t>APT-01719</t>
  </si>
  <si>
    <t>APT-01720</t>
  </si>
  <si>
    <t>APT-01721</t>
  </si>
  <si>
    <t>APT-01722</t>
  </si>
  <si>
    <t>APT-01723</t>
  </si>
  <si>
    <t>APT-01724</t>
  </si>
  <si>
    <t>APT-01725</t>
  </si>
  <si>
    <t>APT-01726</t>
  </si>
  <si>
    <t>APT-01727</t>
  </si>
  <si>
    <t>APT-01728</t>
  </si>
  <si>
    <t>APT-01729</t>
  </si>
  <si>
    <t>APT-01730</t>
  </si>
  <si>
    <t>APT-01731</t>
  </si>
  <si>
    <t>APT-01732</t>
  </si>
  <si>
    <t>APT-01733</t>
  </si>
  <si>
    <t>APT-01734</t>
  </si>
  <si>
    <t>APT-01735</t>
  </si>
  <si>
    <t>APT-01736</t>
  </si>
  <si>
    <t>APT-01737</t>
  </si>
  <si>
    <t>APT-01738</t>
  </si>
  <si>
    <t>APT-01739</t>
  </si>
  <si>
    <t>APT-01740</t>
  </si>
  <si>
    <t>APT-01741</t>
  </si>
  <si>
    <t>APT-01742</t>
  </si>
  <si>
    <t>PT-1211</t>
  </si>
  <si>
    <t>APT-01743</t>
  </si>
  <si>
    <t>APT-01744</t>
  </si>
  <si>
    <t>APT-01745</t>
  </si>
  <si>
    <t>APT-01746</t>
  </si>
  <si>
    <t>APT-01747</t>
  </si>
  <si>
    <t>APT-01748</t>
  </si>
  <si>
    <t>APT-01749</t>
  </si>
  <si>
    <t>APT-01750</t>
  </si>
  <si>
    <t>APT-01751</t>
  </si>
  <si>
    <t>APT-01752</t>
  </si>
  <si>
    <t>APT-01753</t>
  </si>
  <si>
    <t>APT-01754</t>
  </si>
  <si>
    <t>APT-01755</t>
  </si>
  <si>
    <t>APT-01756</t>
  </si>
  <si>
    <t>APT-01757</t>
  </si>
  <si>
    <t>PT-1410</t>
  </si>
  <si>
    <t>APT-01758</t>
  </si>
  <si>
    <t>APT-01759</t>
  </si>
  <si>
    <t>APT-01760</t>
  </si>
  <si>
    <t>APT-01761</t>
  </si>
  <si>
    <t>APT-01762</t>
  </si>
  <si>
    <t>APT-01763</t>
  </si>
  <si>
    <t>APT-01764</t>
  </si>
  <si>
    <t>APT-01765</t>
  </si>
  <si>
    <t>APT-01766</t>
  </si>
  <si>
    <t>APT-01767</t>
  </si>
  <si>
    <t>APT-01768</t>
  </si>
  <si>
    <t>APT-01769</t>
  </si>
  <si>
    <t>APT-01770</t>
  </si>
  <si>
    <t>APT-01771</t>
  </si>
  <si>
    <t>APT-01772</t>
  </si>
  <si>
    <t>APT-01773</t>
  </si>
  <si>
    <t>APT-01774</t>
  </si>
  <si>
    <t>APT-01775</t>
  </si>
  <si>
    <t>APT-01776</t>
  </si>
  <si>
    <t>APT-01777</t>
  </si>
  <si>
    <t>APT-01778</t>
  </si>
  <si>
    <t>APT-01779</t>
  </si>
  <si>
    <t>PT-1331</t>
  </si>
  <si>
    <t>APT-01780</t>
  </si>
  <si>
    <t>APT-01781</t>
  </si>
  <si>
    <t>APT-01782</t>
  </si>
  <si>
    <t>APT-01783</t>
  </si>
  <si>
    <t>APT-01784</t>
  </si>
  <si>
    <t>APT-01785</t>
  </si>
  <si>
    <t>APT-01786</t>
  </si>
  <si>
    <t>APT-01787</t>
  </si>
  <si>
    <t>APT-01788</t>
  </si>
  <si>
    <t>APT-01789</t>
  </si>
  <si>
    <t>APT-01790</t>
  </si>
  <si>
    <t>APT-01791</t>
  </si>
  <si>
    <t>APT-01792</t>
  </si>
  <si>
    <t>APT-01793</t>
  </si>
  <si>
    <t>APT-01794</t>
  </si>
  <si>
    <t>APT-01795</t>
  </si>
  <si>
    <t>APT-01796</t>
  </si>
  <si>
    <t>APT-01797</t>
  </si>
  <si>
    <t>APT-01798</t>
  </si>
  <si>
    <t>APT-01799</t>
  </si>
  <si>
    <t>APT-01800</t>
  </si>
  <si>
    <t>APT-01801</t>
  </si>
  <si>
    <t>APT-01802</t>
  </si>
  <si>
    <t>APT-01803</t>
  </si>
  <si>
    <t>APT-01804</t>
  </si>
  <si>
    <t>APT-01805</t>
  </si>
  <si>
    <t>APT-01806</t>
  </si>
  <si>
    <t>APT-01807</t>
  </si>
  <si>
    <t>APT-01808</t>
  </si>
  <si>
    <t>APT-01809</t>
  </si>
  <si>
    <t>APT-01810</t>
  </si>
  <si>
    <t>APT-01811</t>
  </si>
  <si>
    <t>APT-01812</t>
  </si>
  <si>
    <t>APT-01813</t>
  </si>
  <si>
    <t>APT-01814</t>
  </si>
  <si>
    <t>APT-01815</t>
  </si>
  <si>
    <t>APT-01816</t>
  </si>
  <si>
    <t>APT-01817</t>
  </si>
  <si>
    <t>APT-01818</t>
  </si>
  <si>
    <t>APT-01819</t>
  </si>
  <si>
    <t>APT-01820</t>
  </si>
  <si>
    <t>APT-01821</t>
  </si>
  <si>
    <t>APT-01822</t>
  </si>
  <si>
    <t>APT-01823</t>
  </si>
  <si>
    <t>APT-01824</t>
  </si>
  <si>
    <t>APT-01825</t>
  </si>
  <si>
    <t>APT-01826</t>
  </si>
  <si>
    <t>APT-01827</t>
  </si>
  <si>
    <t>APT-01828</t>
  </si>
  <si>
    <t>APT-01829</t>
  </si>
  <si>
    <t>APT-01830</t>
  </si>
  <si>
    <t>APT-01831</t>
  </si>
  <si>
    <t>APT-01832</t>
  </si>
  <si>
    <t>APT-01833</t>
  </si>
  <si>
    <t>APT-01834</t>
  </si>
  <si>
    <t>APT-01835</t>
  </si>
  <si>
    <t>APT-01836</t>
  </si>
  <si>
    <t>APT-01837</t>
  </si>
  <si>
    <t>APT-01838</t>
  </si>
  <si>
    <t>APT-01839</t>
  </si>
  <si>
    <t>PT-1586</t>
  </si>
  <si>
    <t>APT-01840</t>
  </si>
  <si>
    <t>APT-01841</t>
  </si>
  <si>
    <t>APT-01842</t>
  </si>
  <si>
    <t>APT-01843</t>
  </si>
  <si>
    <t>APT-01844</t>
  </si>
  <si>
    <t>PT-1666</t>
  </si>
  <si>
    <t>APT-01845</t>
  </si>
  <si>
    <t>APT-01846</t>
  </si>
  <si>
    <t>APT-01847</t>
  </si>
  <si>
    <t>APT-01848</t>
  </si>
  <si>
    <t>APT-01849</t>
  </si>
  <si>
    <t>APT-01850</t>
  </si>
  <si>
    <t>APT-01851</t>
  </si>
  <si>
    <t>APT-01852</t>
  </si>
  <si>
    <t>APT-01853</t>
  </si>
  <si>
    <t>APT-01854</t>
  </si>
  <si>
    <t>APT-01855</t>
  </si>
  <si>
    <t>APT-01856</t>
  </si>
  <si>
    <t>APT-01857</t>
  </si>
  <si>
    <t>APT-01858</t>
  </si>
  <si>
    <t>APT-01859</t>
  </si>
  <si>
    <t>APT-01860</t>
  </si>
  <si>
    <t>APT-01861</t>
  </si>
  <si>
    <t>APT-01862</t>
  </si>
  <si>
    <t>APT-01863</t>
  </si>
  <si>
    <t>APT-01864</t>
  </si>
  <si>
    <t>APT-01865</t>
  </si>
  <si>
    <t>APT-01866</t>
  </si>
  <si>
    <t>APT-01867</t>
  </si>
  <si>
    <t>APT-01868</t>
  </si>
  <si>
    <t>APT-01869</t>
  </si>
  <si>
    <t>APT-01870</t>
  </si>
  <si>
    <t>APT-01871</t>
  </si>
  <si>
    <t>APT-01872</t>
  </si>
  <si>
    <t>APT-01873</t>
  </si>
  <si>
    <t>PT-1698</t>
  </si>
  <si>
    <t>APT-01874</t>
  </si>
  <si>
    <t>APT-01875</t>
  </si>
  <si>
    <t>APT-01876</t>
  </si>
  <si>
    <t>APT-01877</t>
  </si>
  <si>
    <t>APT-01878</t>
  </si>
  <si>
    <t>APT-01879</t>
  </si>
  <si>
    <t>APT-01880</t>
  </si>
  <si>
    <t>APT-01881</t>
  </si>
  <si>
    <t>APT-01882</t>
  </si>
  <si>
    <t>APT-01883</t>
  </si>
  <si>
    <t>APT-01884</t>
  </si>
  <si>
    <t>APT-01885</t>
  </si>
  <si>
    <t>APT-01886</t>
  </si>
  <si>
    <t>APT-01887</t>
  </si>
  <si>
    <t>APT-01888</t>
  </si>
  <si>
    <t>APT-01889</t>
  </si>
  <si>
    <t>APT-01890</t>
  </si>
  <si>
    <t>APT-01891</t>
  </si>
  <si>
    <t>APT-01892</t>
  </si>
  <si>
    <t>APT-01893</t>
  </si>
  <si>
    <t>APT-01894</t>
  </si>
  <si>
    <t>APT-01895</t>
  </si>
  <si>
    <t>APT-01896</t>
  </si>
  <si>
    <t>APT-01897</t>
  </si>
  <si>
    <t>APT-01898</t>
  </si>
  <si>
    <t>APT-01899</t>
  </si>
  <si>
    <t>APT-01900</t>
  </si>
  <si>
    <t>APT-01901</t>
  </si>
  <si>
    <t>APT-01902</t>
  </si>
  <si>
    <t>APT-01903</t>
  </si>
  <si>
    <t>APT-01904</t>
  </si>
  <si>
    <t>APT-01905</t>
  </si>
  <si>
    <t>APT-01906</t>
  </si>
  <si>
    <t>APT-01907</t>
  </si>
  <si>
    <t>APT-01908</t>
  </si>
  <si>
    <t>APT-01909</t>
  </si>
  <si>
    <t>APT-01910</t>
  </si>
  <si>
    <t>APT-01911</t>
  </si>
  <si>
    <t>APT-01912</t>
  </si>
  <si>
    <t>APT-01913</t>
  </si>
  <si>
    <t>APT-01914</t>
  </si>
  <si>
    <t>APT-01915</t>
  </si>
  <si>
    <t>APT-01916</t>
  </si>
  <si>
    <t>APT-01917</t>
  </si>
  <si>
    <t>APT-01918</t>
  </si>
  <si>
    <t>APT-01919</t>
  </si>
  <si>
    <t>APT-01920</t>
  </si>
  <si>
    <t>PT-1164</t>
  </si>
  <si>
    <t>APT-01921</t>
  </si>
  <si>
    <t>APT-01922</t>
  </si>
  <si>
    <t>APT-01923</t>
  </si>
  <si>
    <t>APT-01924</t>
  </si>
  <si>
    <t>APT-01925</t>
  </si>
  <si>
    <t>APT-01926</t>
  </si>
  <si>
    <t>APT-01927</t>
  </si>
  <si>
    <t>APT-01928</t>
  </si>
  <si>
    <t>APT-01929</t>
  </si>
  <si>
    <t>APT-01930</t>
  </si>
  <si>
    <t>APT-01931</t>
  </si>
  <si>
    <t>APT-01932</t>
  </si>
  <si>
    <t>APT-01933</t>
  </si>
  <si>
    <t>APT-01934</t>
  </si>
  <si>
    <t>APT-01935</t>
  </si>
  <si>
    <t>APT-01936</t>
  </si>
  <si>
    <t>APT-01937</t>
  </si>
  <si>
    <t>APT-01938</t>
  </si>
  <si>
    <t>APT-01939</t>
  </si>
  <si>
    <t>APT-01940</t>
  </si>
  <si>
    <t>APT-01941</t>
  </si>
  <si>
    <t>PT-1011</t>
  </si>
  <si>
    <t>APT-01942</t>
  </si>
  <si>
    <t>APT-01943</t>
  </si>
  <si>
    <t>APT-01944</t>
  </si>
  <si>
    <t>APT-01945</t>
  </si>
  <si>
    <t>APT-01946</t>
  </si>
  <si>
    <t>APT-01947</t>
  </si>
  <si>
    <t>APT-01948</t>
  </si>
  <si>
    <t>APT-01949</t>
  </si>
  <si>
    <t>APT-01950</t>
  </si>
  <si>
    <t>APT-01951</t>
  </si>
  <si>
    <t>APT-01952</t>
  </si>
  <si>
    <t>APT-01953</t>
  </si>
  <si>
    <t>APT-01954</t>
  </si>
  <si>
    <t>APT-01955</t>
  </si>
  <si>
    <t>APT-01956</t>
  </si>
  <si>
    <t>APT-01957</t>
  </si>
  <si>
    <t>APT-01958</t>
  </si>
  <si>
    <t>APT-01959</t>
  </si>
  <si>
    <t>APT-01960</t>
  </si>
  <si>
    <t>PT-1245</t>
  </si>
  <si>
    <t>APT-01961</t>
  </si>
  <si>
    <t>APT-01962</t>
  </si>
  <si>
    <t>APT-01963</t>
  </si>
  <si>
    <t>APT-01964</t>
  </si>
  <si>
    <t>APT-01965</t>
  </si>
  <si>
    <t>APT-01966</t>
  </si>
  <si>
    <t>APT-01967</t>
  </si>
  <si>
    <t>PT-1647</t>
  </si>
  <si>
    <t>APT-01968</t>
  </si>
  <si>
    <t>APT-01969</t>
  </si>
  <si>
    <t>APT-01970</t>
  </si>
  <si>
    <t>APT-01971</t>
  </si>
  <si>
    <t>APT-01972</t>
  </si>
  <si>
    <t>APT-01973</t>
  </si>
  <si>
    <t>APT-01974</t>
  </si>
  <si>
    <t>APT-01975</t>
  </si>
  <si>
    <t>APT-01976</t>
  </si>
  <si>
    <t>APT-01977</t>
  </si>
  <si>
    <t>APT-01978</t>
  </si>
  <si>
    <t>APT-01979</t>
  </si>
  <si>
    <t>APT-01980</t>
  </si>
  <si>
    <t>APT-01981</t>
  </si>
  <si>
    <t>APT-01982</t>
  </si>
  <si>
    <t>APT-01983</t>
  </si>
  <si>
    <t>APT-01984</t>
  </si>
  <si>
    <t>PT-1038</t>
  </si>
  <si>
    <t>APT-01985</t>
  </si>
  <si>
    <t>APT-01986</t>
  </si>
  <si>
    <t>APT-01987</t>
  </si>
  <si>
    <t>APT-01988</t>
  </si>
  <si>
    <t>APT-01989</t>
  </si>
  <si>
    <t>PT-1027</t>
  </si>
  <si>
    <t>APT-01990</t>
  </si>
  <si>
    <t>APT-01991</t>
  </si>
  <si>
    <t>APT-01992</t>
  </si>
  <si>
    <t>APT-01993</t>
  </si>
  <si>
    <t>APT-01994</t>
  </si>
  <si>
    <t>PT-1540</t>
  </si>
  <si>
    <t>APT-01995</t>
  </si>
  <si>
    <t>APT-01996</t>
  </si>
  <si>
    <t>APT-01997</t>
  </si>
  <si>
    <t>PT-1209</t>
  </si>
  <si>
    <t>APT-01998</t>
  </si>
  <si>
    <t>APT-01999</t>
  </si>
  <si>
    <t>APT-02000</t>
  </si>
  <si>
    <t>Metric</t>
  </si>
  <si>
    <t>Value</t>
  </si>
  <si>
    <t>Total Appointments</t>
  </si>
  <si>
    <t>Total Revenue INR</t>
  </si>
  <si>
    <t>Overall No-Show %</t>
  </si>
  <si>
    <t>Average Utilization %</t>
  </si>
  <si>
    <t>Lost Revenue INR</t>
  </si>
  <si>
    <t>No_Show_Reduction_%</t>
  </si>
  <si>
    <t>Potential_Recovered_Revenue_INR</t>
  </si>
  <si>
    <t>Remaining_No_Show_Loss_INR</t>
  </si>
  <si>
    <t>Field</t>
  </si>
  <si>
    <t>Dashboard Use</t>
  </si>
  <si>
    <t>Unique appointment identifier</t>
  </si>
  <si>
    <t>Scheduled date across 2025</t>
  </si>
  <si>
    <t>Clinic/District</t>
  </si>
  <si>
    <t>Three Kerala regions: Palakkad, Thrissur, Ernakulam</t>
  </si>
  <si>
    <t>Completed, No-show, Cancelled Late, or Rescheduled</t>
  </si>
  <si>
    <t>Earned revenue for completed sessions</t>
  </si>
  <si>
    <t>Potential revenue missed for no-shows/late cancellations</t>
  </si>
  <si>
    <t>Average this field to calculate No-Show %</t>
  </si>
  <si>
    <t>Use SUM(Treated_Minutes)/SUM(Allocated_Shift_Capacity_Minutes) for utilization</t>
  </si>
  <si>
    <t>85% benchmark</t>
  </si>
  <si>
    <t>EXCEL CLINICAL OPS DASHBOARD  |  OUTPATIENT REHAB OPTIMIZATION</t>
  </si>
  <si>
    <t>FY 2024-25</t>
  </si>
  <si>
    <t>Day of Week</t>
  </si>
  <si>
    <t>No-Show Rate</t>
  </si>
  <si>
    <t>Utilization %</t>
  </si>
  <si>
    <t>85% Target</t>
  </si>
  <si>
    <t>Total Revenue Generated</t>
  </si>
  <si>
    <t>Overall No-Show Rate</t>
  </si>
  <si>
    <t>Avg Therapist Utilization</t>
  </si>
  <si>
    <t>Total Lost Revenue</t>
  </si>
  <si>
    <t>from Completed Sessions</t>
  </si>
  <si>
    <t>Goal &lt;10%</t>
  </si>
  <si>
    <t>Target: 85%</t>
  </si>
  <si>
    <t>from Missed Appointments</t>
  </si>
  <si>
    <t>NO-SHOW RATE BY DAY OF WEEK</t>
  </si>
  <si>
    <t>THERAPIST UTILIZATION VS 85% TARGET</t>
  </si>
  <si>
    <t>VOLUME &amp; STATUS BREAKDOWN BY CLINICAL SPECIALITY / THERAPY</t>
  </si>
  <si>
    <t>NO-SHOW RECOVERY PIPELINE MATRIX</t>
  </si>
  <si>
    <t>Target No-Show Reduction Goal</t>
  </si>
  <si>
    <t>Total No-Shows</t>
  </si>
  <si>
    <t>Saved Appointments</t>
  </si>
  <si>
    <t>Avg Session Fee</t>
  </si>
  <si>
    <t>Recovered Revenue Pipeline</t>
  </si>
  <si>
    <t>Formula: Saved Appointments = Total No-Shows × Reduction Goal. Recovered Revenue Pipeline = Saved Appointments × Average Session Fee for visible no-show appointments.</t>
  </si>
  <si>
    <t>Select Therapist:</t>
  </si>
  <si>
    <t>Utilization %:</t>
  </si>
  <si>
    <t>Total Appointments:</t>
  </si>
  <si>
    <t>No-Show Count:</t>
  </si>
  <si>
    <t>Revenue Generated (INR):</t>
  </si>
  <si>
    <t>Therapy Type</t>
  </si>
  <si>
    <t>Revenue Generated</t>
  </si>
  <si>
    <t>Revenue Lost</t>
  </si>
  <si>
    <t>Total</t>
  </si>
  <si>
    <t>REVENUE CLINIC X THERAPY</t>
  </si>
  <si>
    <t>THERAPIST DETAILS</t>
  </si>
  <si>
    <t>MONTHLY APPOINTMENT VOLUME TREND</t>
  </si>
  <si>
    <t xml:space="preserve">Month </t>
  </si>
  <si>
    <t>Appointments</t>
  </si>
  <si>
    <t>Grand Total</t>
  </si>
  <si>
    <t>No-Show Count</t>
  </si>
  <si>
    <t>(All)</t>
  </si>
  <si>
    <t>Treated Minutes</t>
  </si>
  <si>
    <t>Allocated Minutes</t>
  </si>
  <si>
    <t>Count</t>
  </si>
  <si>
    <t>Utilization%</t>
  </si>
  <si>
    <t>Target 85%</t>
  </si>
  <si>
    <t>THERAPIST UTILIZATION vs TARGET 85%</t>
  </si>
  <si>
    <t>REVENUE CLINIC x THERAPY</t>
  </si>
  <si>
    <t>No-show count</t>
  </si>
  <si>
    <t>Revenue Generated (INR)</t>
  </si>
  <si>
    <t>APPOINTMENT VOLUME TREND</t>
  </si>
  <si>
    <t>Sum of Revenue_INR</t>
  </si>
  <si>
    <t>Sum of Lost_Revenue_INR</t>
  </si>
  <si>
    <t>Row Labels</t>
  </si>
  <si>
    <t>Y-2025</t>
  </si>
  <si>
    <t>No Show rate</t>
  </si>
  <si>
    <t>Total Sum of Revenue_INR</t>
  </si>
  <si>
    <t>Total Sum of Lost_Revenue_INR</t>
  </si>
  <si>
    <t>~</t>
  </si>
  <si>
    <t>Column Labels</t>
  </si>
  <si>
    <t>Values</t>
  </si>
  <si>
    <t>Revenue</t>
  </si>
  <si>
    <t>Sum of No_Show_Flag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</si>
</sst>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yyyy\-mm\-dd"/>
    <numFmt numFmtId="165" formatCode="\₹#,##0"/>
    <numFmt numFmtId="166" formatCode="0.0%"/>
    <numFmt numFmtId="167" formatCode="#,##0.0"/>
    <numFmt numFmtId="168" formatCode="[$₹-4009]\ #,##0"/>
  </numFmts>
  <fonts count="36" x14ac:knownFonts="1">
    <font>
      <sz val="11"/>
      <color theme="1"/>
      <name val="Calibri"/>
      <family val="2"/>
      <scheme val="minor"/>
    </font>
    <font>
      <b/>
      <sz val="11"/>
      <color rgb="FFFFFFFF"/>
      <name val="Calibri"/>
    </font>
    <font>
      <sz val="10"/>
      <color theme="1"/>
      <name val="Aptos"/>
    </font>
    <font>
      <b/>
      <sz val="11"/>
      <color rgb="FF172B4D"/>
      <name val="Calibri"/>
      <family val="2"/>
      <scheme val="minor"/>
    </font>
    <font>
      <b/>
      <sz val="11"/>
      <color rgb="FF263238"/>
      <name val="Aptos"/>
    </font>
    <font>
      <sz val="11"/>
      <color rgb="FF263238"/>
      <name val="Aptos"/>
    </font>
    <font>
      <b/>
      <sz val="16"/>
      <color theme="0"/>
      <name val="Calibri"/>
      <family val="2"/>
      <scheme val="minor"/>
    </font>
    <font>
      <b/>
      <sz val="16"/>
      <color theme="0"/>
      <name val="Aptos"/>
    </font>
    <font>
      <b/>
      <sz val="11"/>
      <color rgb="FFFFFFFF"/>
      <name val="Calibri"/>
      <family val="2"/>
      <scheme val="minor"/>
    </font>
    <font>
      <sz val="11"/>
      <color theme="0"/>
      <name val="Calibri"/>
      <family val="2"/>
      <scheme val="minor"/>
    </font>
    <font>
      <i/>
      <sz val="11"/>
      <color rgb="FF44546A"/>
      <name val="Calibri"/>
      <family val="2"/>
      <scheme val="minor"/>
    </font>
    <font>
      <b/>
      <sz val="11"/>
      <color theme="1"/>
      <name val="Calibri"/>
      <family val="2"/>
      <scheme val="minor"/>
    </font>
    <font>
      <sz val="11"/>
      <name val="Calibri"/>
      <family val="2"/>
      <scheme val="minor"/>
    </font>
    <font>
      <b/>
      <sz val="11"/>
      <color theme="0"/>
      <name val="Arial"/>
      <family val="2"/>
    </font>
    <font>
      <b/>
      <sz val="10"/>
      <name val="Arial"/>
      <family val="2"/>
    </font>
    <font>
      <sz val="10"/>
      <name val="Arial"/>
      <family val="2"/>
    </font>
    <font>
      <b/>
      <sz val="36"/>
      <color theme="1"/>
      <name val="Calibri"/>
      <family val="2"/>
      <scheme val="minor"/>
    </font>
    <font>
      <b/>
      <sz val="36"/>
      <color rgb="FF172B4D"/>
      <name val="Calibri"/>
      <family val="2"/>
      <scheme val="minor"/>
    </font>
    <font>
      <b/>
      <sz val="24"/>
      <color rgb="FF007C89"/>
      <name val="Aptos"/>
      <family val="2"/>
    </font>
    <font>
      <b/>
      <sz val="24"/>
      <color rgb="FF1F3A68"/>
      <name val="Aptos"/>
      <family val="2"/>
    </font>
    <font>
      <b/>
      <sz val="24"/>
      <color rgb="FFA66A00"/>
      <name val="Aptos"/>
      <family val="2"/>
    </font>
    <font>
      <b/>
      <sz val="11"/>
      <color rgb="FFFFFFFF"/>
      <name val="Arial"/>
      <family val="2"/>
    </font>
    <font>
      <b/>
      <sz val="11"/>
      <name val="Calibri"/>
      <family val="2"/>
      <scheme val="minor"/>
    </font>
    <font>
      <b/>
      <sz val="18"/>
      <color theme="1"/>
      <name val="Aptos"/>
      <family val="2"/>
    </font>
    <font>
      <b/>
      <sz val="36"/>
      <color rgb="FF007C89"/>
      <name val="Aptos"/>
      <family val="2"/>
    </font>
    <font>
      <b/>
      <sz val="36"/>
      <color rgb="FF1F3A68"/>
      <name val="Aptos"/>
      <family val="2"/>
    </font>
    <font>
      <b/>
      <sz val="36"/>
      <color rgb="FFA66A00"/>
      <name val="Aptos"/>
      <family val="2"/>
    </font>
    <font>
      <sz val="14"/>
      <color theme="1"/>
      <name val="Aptos"/>
      <family val="2"/>
    </font>
    <font>
      <sz val="11"/>
      <color rgb="FF263238"/>
      <name val="Aptos"/>
      <family val="2"/>
    </font>
    <font>
      <b/>
      <sz val="14"/>
      <color theme="0"/>
      <name val="Aptos"/>
      <family val="2"/>
    </font>
    <font>
      <sz val="8"/>
      <name val="Calibri"/>
      <family val="2"/>
      <scheme val="minor"/>
    </font>
    <font>
      <b/>
      <sz val="12"/>
      <color theme="1"/>
      <name val="Aptos"/>
      <family val="2"/>
    </font>
    <font>
      <sz val="22"/>
      <color theme="0"/>
      <name val="Aptos ExtraBold"/>
      <family val="2"/>
    </font>
    <font>
      <b/>
      <sz val="10"/>
      <color theme="0"/>
      <name val="Aptos"/>
      <family val="2"/>
    </font>
    <font>
      <b/>
      <sz val="14"/>
      <color theme="1"/>
      <name val="Aptos"/>
      <family val="2"/>
    </font>
    <font>
      <b/>
      <sz val="12"/>
      <name val="Calibri"/>
      <family val="2"/>
      <scheme val="minor"/>
    </font>
  </fonts>
  <fills count="22">
    <fill>
      <patternFill patternType="none"/>
    </fill>
    <fill>
      <patternFill patternType="gray125"/>
    </fill>
    <fill>
      <patternFill patternType="solid">
        <fgColor rgb="FF1F4E78"/>
      </patternFill>
    </fill>
    <fill>
      <patternFill patternType="solid">
        <fgColor rgb="FFFFFFFF"/>
        <bgColor indexed="64"/>
      </patternFill>
    </fill>
    <fill>
      <patternFill patternType="solid">
        <fgColor rgb="FFF3F6F8"/>
        <bgColor indexed="64"/>
      </patternFill>
    </fill>
    <fill>
      <patternFill patternType="solid">
        <fgColor rgb="FFD7F0F1"/>
        <bgColor indexed="64"/>
      </patternFill>
    </fill>
    <fill>
      <patternFill patternType="solid">
        <fgColor rgb="FFD7DBE8"/>
        <bgColor indexed="64"/>
      </patternFill>
    </fill>
    <fill>
      <patternFill patternType="solid">
        <fgColor rgb="FFF4E6B3"/>
        <bgColor indexed="64"/>
      </patternFill>
    </fill>
    <fill>
      <patternFill patternType="solid">
        <fgColor rgb="FFE9EEF5"/>
        <bgColor indexed="64"/>
      </patternFill>
    </fill>
    <fill>
      <patternFill patternType="solid">
        <fgColor theme="3"/>
        <bgColor indexed="64"/>
      </patternFill>
    </fill>
    <fill>
      <patternFill patternType="solid">
        <fgColor theme="9" tint="0.79998168889431442"/>
        <bgColor indexed="64"/>
      </patternFill>
    </fill>
    <fill>
      <patternFill patternType="solid">
        <fgColor theme="0"/>
        <bgColor indexed="64"/>
      </patternFill>
    </fill>
    <fill>
      <patternFill patternType="solid">
        <fgColor rgb="FFFFF2CC"/>
        <bgColor indexed="64"/>
      </patternFill>
    </fill>
    <fill>
      <patternFill patternType="solid">
        <fgColor rgb="FF4472C4"/>
        <bgColor indexed="64"/>
      </patternFill>
    </fill>
    <fill>
      <patternFill patternType="solid">
        <fgColor theme="7" tint="0.59999389629810485"/>
        <bgColor indexed="64"/>
      </patternFill>
    </fill>
    <fill>
      <patternFill patternType="solid">
        <fgColor rgb="FF7030A0"/>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3"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6" tint="0.79998168889431442"/>
        <bgColor indexed="64"/>
      </patternFill>
    </fill>
  </fills>
  <borders count="28">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top style="thin">
        <color rgb="FFD9E2F3"/>
      </top>
      <bottom/>
      <diagonal/>
    </border>
    <border>
      <left/>
      <right/>
      <top/>
      <bottom style="thin">
        <color rgb="FFD9E2F3"/>
      </bottom>
      <diagonal/>
    </border>
    <border>
      <left style="thin">
        <color rgb="FFD9E2F3"/>
      </left>
      <right/>
      <top style="thin">
        <color rgb="FFD9E2F3"/>
      </top>
      <bottom/>
      <diagonal/>
    </border>
    <border>
      <left style="thin">
        <color rgb="FFD9E2F3"/>
      </left>
      <right/>
      <top/>
      <bottom/>
      <diagonal/>
    </border>
    <border>
      <left style="thin">
        <color rgb="FFD9E2F3"/>
      </left>
      <right/>
      <top/>
      <bottom style="thin">
        <color rgb="FFD9E2F3"/>
      </bottom>
      <diagonal/>
    </border>
    <border>
      <left/>
      <right style="thin">
        <color rgb="FFD9E2F3"/>
      </right>
      <top style="thin">
        <color rgb="FFD9E2F3"/>
      </top>
      <bottom/>
      <diagonal/>
    </border>
    <border>
      <left/>
      <right style="thin">
        <color rgb="FFD9E2F3"/>
      </right>
      <top/>
      <bottom/>
      <diagonal/>
    </border>
    <border>
      <left/>
      <right style="thin">
        <color rgb="FFD9E2F3"/>
      </right>
      <top/>
      <bottom style="thin">
        <color rgb="FFD9E2F3"/>
      </bottom>
      <diagonal/>
    </border>
    <border>
      <left/>
      <right/>
      <top style="thick">
        <color rgb="FFFFFFFF"/>
      </top>
      <bottom/>
      <diagonal/>
    </border>
    <border>
      <left/>
      <right/>
      <top/>
      <bottom style="thick">
        <color rgb="FFFFFFFF"/>
      </bottom>
      <diagonal/>
    </border>
    <border>
      <left style="thick">
        <color rgb="FFFFFFFF"/>
      </left>
      <right/>
      <top style="thick">
        <color rgb="FFFFFFFF"/>
      </top>
      <bottom/>
      <diagonal/>
    </border>
    <border>
      <left style="thick">
        <color rgb="FFFFFFFF"/>
      </left>
      <right/>
      <top/>
      <bottom/>
      <diagonal/>
    </border>
    <border>
      <left style="thick">
        <color rgb="FFFFFFFF"/>
      </left>
      <right/>
      <top/>
      <bottom style="thick">
        <color rgb="FFFFFFFF"/>
      </bottom>
      <diagonal/>
    </border>
    <border>
      <left/>
      <right style="thick">
        <color rgb="FFFFFFFF"/>
      </right>
      <top style="thick">
        <color rgb="FFFFFFFF"/>
      </top>
      <bottom/>
      <diagonal/>
    </border>
    <border>
      <left/>
      <right style="thick">
        <color rgb="FFFFFFFF"/>
      </right>
      <top/>
      <bottom/>
      <diagonal/>
    </border>
    <border>
      <left/>
      <right style="thick">
        <color rgb="FFFFFFFF"/>
      </right>
      <top/>
      <bottom style="thick">
        <color rgb="FFFFFFFF"/>
      </bottom>
      <diagonal/>
    </border>
    <border>
      <left style="thin">
        <color rgb="FFBFBFBF"/>
      </left>
      <right style="thin">
        <color rgb="FFBFBFBF"/>
      </right>
      <top style="thin">
        <color rgb="FFBFBFBF"/>
      </top>
      <bottom style="thin">
        <color rgb="FFBFBFBF"/>
      </bottom>
      <diagonal/>
    </border>
    <border>
      <left/>
      <right/>
      <top style="thin">
        <color theme="0"/>
      </top>
      <bottom/>
      <diagonal/>
    </border>
    <border>
      <left style="thick">
        <color theme="0"/>
      </left>
      <right style="thick">
        <color theme="0"/>
      </right>
      <top style="thick">
        <color theme="0"/>
      </top>
      <bottom style="thick">
        <color theme="0"/>
      </bottom>
      <diagonal/>
    </border>
    <border>
      <left style="thick">
        <color theme="0"/>
      </left>
      <right/>
      <top style="thick">
        <color theme="0"/>
      </top>
      <bottom/>
      <diagonal/>
    </border>
    <border>
      <left/>
      <right/>
      <top style="thick">
        <color theme="0"/>
      </top>
      <bottom/>
      <diagonal/>
    </border>
    <border>
      <left/>
      <right style="thick">
        <color theme="0"/>
      </right>
      <top style="thick">
        <color theme="0"/>
      </top>
      <bottom/>
      <diagonal/>
    </border>
    <border>
      <left style="thick">
        <color theme="0"/>
      </left>
      <right/>
      <top/>
      <bottom style="thick">
        <color theme="0"/>
      </bottom>
      <diagonal/>
    </border>
    <border>
      <left/>
      <right/>
      <top/>
      <bottom style="thick">
        <color theme="0"/>
      </bottom>
      <diagonal/>
    </border>
    <border>
      <left/>
      <right style="thick">
        <color theme="0"/>
      </right>
      <top/>
      <bottom style="thick">
        <color theme="0"/>
      </bottom>
      <diagonal/>
    </border>
  </borders>
  <cellStyleXfs count="1">
    <xf numFmtId="0" fontId="0" fillId="0" borderId="0"/>
  </cellStyleXfs>
  <cellXfs count="146">
    <xf numFmtId="0" fontId="0" fillId="0" borderId="0" xfId="0"/>
    <xf numFmtId="164" fontId="0" fillId="0" borderId="0" xfId="0" applyNumberFormat="1"/>
    <xf numFmtId="0" fontId="1" fillId="2" borderId="1" xfId="0" applyFont="1" applyFill="1" applyBorder="1" applyAlignment="1">
      <alignment horizontal="center"/>
    </xf>
    <xf numFmtId="0" fontId="1" fillId="2" borderId="2" xfId="0" applyFont="1" applyFill="1" applyBorder="1" applyAlignment="1">
      <alignment horizontal="center"/>
    </xf>
    <xf numFmtId="0" fontId="2" fillId="4" borderId="0" xfId="0" applyFont="1" applyFill="1" applyAlignment="1">
      <alignment vertical="center" wrapText="1"/>
    </xf>
    <xf numFmtId="0" fontId="2" fillId="3" borderId="0" xfId="0" applyFont="1" applyFill="1" applyAlignment="1">
      <alignment vertical="center" wrapText="1"/>
    </xf>
    <xf numFmtId="0" fontId="2" fillId="3" borderId="4" xfId="0" applyFont="1" applyFill="1" applyBorder="1" applyAlignment="1">
      <alignment vertical="center" wrapText="1"/>
    </xf>
    <xf numFmtId="0" fontId="2" fillId="11" borderId="0" xfId="0" applyFont="1" applyFill="1" applyAlignment="1">
      <alignment vertical="center" wrapText="1"/>
    </xf>
    <xf numFmtId="0" fontId="0" fillId="3" borderId="0" xfId="0" applyFill="1"/>
    <xf numFmtId="0" fontId="0" fillId="3" borderId="6" xfId="0" applyFill="1" applyBorder="1"/>
    <xf numFmtId="0" fontId="0" fillId="3" borderId="9" xfId="0" applyFill="1" applyBorder="1"/>
    <xf numFmtId="0" fontId="0" fillId="11" borderId="0" xfId="0" applyFill="1"/>
    <xf numFmtId="0" fontId="12" fillId="0" borderId="0" xfId="0" applyFont="1"/>
    <xf numFmtId="166" fontId="12" fillId="0" borderId="0" xfId="0" applyNumberFormat="1" applyFont="1"/>
    <xf numFmtId="166" fontId="15" fillId="0" borderId="19" xfId="0" applyNumberFormat="1" applyFont="1" applyBorder="1" applyAlignment="1">
      <alignment horizontal="center" vertical="center"/>
    </xf>
    <xf numFmtId="0" fontId="15" fillId="0" borderId="19" xfId="0" applyFont="1" applyBorder="1" applyAlignment="1">
      <alignment horizontal="center" vertical="center"/>
    </xf>
    <xf numFmtId="3" fontId="15" fillId="0" borderId="19" xfId="0" applyNumberFormat="1" applyFont="1" applyBorder="1" applyAlignment="1">
      <alignment horizontal="center" vertical="center"/>
    </xf>
    <xf numFmtId="0" fontId="15" fillId="0" borderId="0" xfId="0" applyFont="1" applyAlignment="1">
      <alignment horizontal="center" vertical="center"/>
    </xf>
    <xf numFmtId="0" fontId="8" fillId="13" borderId="1" xfId="0" applyFont="1" applyFill="1" applyBorder="1"/>
    <xf numFmtId="0" fontId="12" fillId="0" borderId="1" xfId="0" applyFont="1" applyBorder="1"/>
    <xf numFmtId="165" fontId="0" fillId="0" borderId="1" xfId="0" applyNumberFormat="1" applyBorder="1"/>
    <xf numFmtId="0" fontId="22" fillId="0" borderId="1" xfId="0" applyFont="1" applyBorder="1"/>
    <xf numFmtId="165" fontId="11" fillId="0" borderId="1" xfId="0" applyNumberFormat="1" applyFont="1" applyBorder="1"/>
    <xf numFmtId="0" fontId="12" fillId="0" borderId="1" xfId="0" applyFont="1" applyBorder="1" applyAlignment="1">
      <alignment horizontal="left" vertical="center"/>
    </xf>
    <xf numFmtId="3" fontId="12" fillId="0" borderId="1" xfId="0" applyNumberFormat="1" applyFont="1" applyBorder="1" applyAlignment="1">
      <alignment horizontal="center" vertical="center"/>
    </xf>
    <xf numFmtId="0" fontId="3" fillId="11" borderId="0" xfId="0" applyFont="1" applyFill="1"/>
    <xf numFmtId="0" fontId="0" fillId="0" borderId="0" xfId="0" applyAlignment="1">
      <alignment horizontal="center" vertical="center"/>
    </xf>
    <xf numFmtId="0" fontId="13" fillId="11" borderId="0" xfId="0" applyFont="1" applyFill="1" applyAlignment="1">
      <alignment vertical="center"/>
    </xf>
    <xf numFmtId="0" fontId="14" fillId="0" borderId="0" xfId="0" applyFont="1" applyAlignment="1">
      <alignment horizontal="left" vertical="center"/>
    </xf>
    <xf numFmtId="0" fontId="14" fillId="11" borderId="0" xfId="0" applyFont="1" applyFill="1" applyAlignment="1">
      <alignment horizontal="left" vertical="center"/>
    </xf>
    <xf numFmtId="165" fontId="0" fillId="0" borderId="0" xfId="0" applyNumberFormat="1"/>
    <xf numFmtId="166" fontId="0" fillId="0" borderId="0" xfId="0" applyNumberFormat="1"/>
    <xf numFmtId="0" fontId="11" fillId="0" borderId="0" xfId="0" applyFont="1"/>
    <xf numFmtId="0" fontId="8" fillId="13" borderId="0" xfId="0" applyFont="1" applyFill="1"/>
    <xf numFmtId="0" fontId="0" fillId="0" borderId="0" xfId="0" pivotButton="1"/>
    <xf numFmtId="9" fontId="0" fillId="0" borderId="0" xfId="0" applyNumberFormat="1"/>
    <xf numFmtId="0" fontId="0" fillId="0" borderId="20" xfId="0" applyBorder="1"/>
    <xf numFmtId="0" fontId="0" fillId="0" borderId="0" xfId="0" applyAlignment="1">
      <alignment horizontal="left"/>
    </xf>
    <xf numFmtId="168" fontId="0" fillId="0" borderId="0" xfId="0" applyNumberFormat="1"/>
    <xf numFmtId="0" fontId="0" fillId="14" borderId="0" xfId="0" applyFill="1"/>
    <xf numFmtId="0" fontId="0" fillId="14" borderId="6" xfId="0" applyFill="1" applyBorder="1"/>
    <xf numFmtId="0" fontId="0" fillId="14" borderId="9" xfId="0" applyFill="1" applyBorder="1"/>
    <xf numFmtId="0" fontId="8" fillId="13" borderId="2" xfId="0" applyFont="1" applyFill="1" applyBorder="1"/>
    <xf numFmtId="0" fontId="0" fillId="0" borderId="0" xfId="0" applyAlignment="1">
      <alignment horizontal="left" indent="1"/>
    </xf>
    <xf numFmtId="0" fontId="33" fillId="15" borderId="0" xfId="0" applyFont="1" applyFill="1" applyAlignment="1">
      <alignment horizontal="center" vertical="center"/>
    </xf>
    <xf numFmtId="0" fontId="33" fillId="15" borderId="9" xfId="0" applyFont="1" applyFill="1" applyBorder="1" applyAlignment="1">
      <alignment horizontal="center" vertical="center"/>
    </xf>
    <xf numFmtId="0" fontId="21" fillId="9" borderId="6" xfId="0" applyFont="1" applyFill="1" applyBorder="1" applyAlignment="1">
      <alignment horizontal="center" vertical="center"/>
    </xf>
    <xf numFmtId="0" fontId="21" fillId="9" borderId="0" xfId="0" applyFont="1" applyFill="1" applyAlignment="1">
      <alignment horizontal="center" vertical="center"/>
    </xf>
    <xf numFmtId="0" fontId="10" fillId="14" borderId="1" xfId="0" applyFont="1" applyFill="1" applyBorder="1" applyAlignment="1">
      <alignment horizontal="center" wrapText="1"/>
    </xf>
    <xf numFmtId="0" fontId="33" fillId="15" borderId="6" xfId="0" applyFont="1" applyFill="1" applyBorder="1" applyAlignment="1">
      <alignment horizontal="center" vertical="center"/>
    </xf>
    <xf numFmtId="9" fontId="16" fillId="10" borderId="6" xfId="0" applyNumberFormat="1" applyFont="1" applyFill="1" applyBorder="1" applyAlignment="1">
      <alignment horizontal="center" vertical="center"/>
    </xf>
    <xf numFmtId="9" fontId="16" fillId="10" borderId="0" xfId="0" applyNumberFormat="1" applyFont="1" applyFill="1" applyAlignment="1">
      <alignment horizontal="center" vertical="center"/>
    </xf>
    <xf numFmtId="3" fontId="17" fillId="16" borderId="0" xfId="0" applyNumberFormat="1" applyFont="1" applyFill="1" applyAlignment="1">
      <alignment horizontal="center" vertical="center"/>
    </xf>
    <xf numFmtId="165" fontId="17" fillId="17" borderId="0" xfId="0" applyNumberFormat="1" applyFont="1" applyFill="1" applyAlignment="1">
      <alignment horizontal="center" vertical="center"/>
    </xf>
    <xf numFmtId="165" fontId="17" fillId="17" borderId="9" xfId="0" applyNumberFormat="1" applyFont="1" applyFill="1" applyBorder="1" applyAlignment="1">
      <alignment horizontal="center" vertical="center"/>
    </xf>
    <xf numFmtId="165" fontId="17" fillId="18" borderId="0" xfId="0" applyNumberFormat="1" applyFont="1" applyFill="1" applyAlignment="1">
      <alignment horizontal="center" vertical="center"/>
    </xf>
    <xf numFmtId="165" fontId="17" fillId="18" borderId="9" xfId="0" applyNumberFormat="1" applyFont="1" applyFill="1" applyBorder="1" applyAlignment="1">
      <alignment horizontal="center" vertical="center"/>
    </xf>
    <xf numFmtId="165" fontId="17" fillId="19" borderId="6" xfId="0" applyNumberFormat="1" applyFont="1" applyFill="1" applyBorder="1" applyAlignment="1">
      <alignment horizontal="center" vertical="center"/>
    </xf>
    <xf numFmtId="165" fontId="17" fillId="19" borderId="0" xfId="0" applyNumberFormat="1" applyFont="1" applyFill="1" applyAlignment="1">
      <alignment horizontal="center" vertical="center"/>
    </xf>
    <xf numFmtId="0" fontId="29" fillId="9" borderId="22" xfId="0" applyFont="1" applyFill="1" applyBorder="1" applyAlignment="1">
      <alignment horizontal="center" vertical="center"/>
    </xf>
    <xf numFmtId="0" fontId="29" fillId="9" borderId="23" xfId="0" applyFont="1" applyFill="1" applyBorder="1" applyAlignment="1">
      <alignment horizontal="center" vertical="center"/>
    </xf>
    <xf numFmtId="0" fontId="29" fillId="9" borderId="24" xfId="0" applyFont="1" applyFill="1" applyBorder="1" applyAlignment="1">
      <alignment horizontal="center" vertical="center"/>
    </xf>
    <xf numFmtId="0" fontId="29" fillId="9" borderId="25" xfId="0" applyFont="1" applyFill="1" applyBorder="1" applyAlignment="1">
      <alignment horizontal="center" vertical="center"/>
    </xf>
    <xf numFmtId="0" fontId="29" fillId="9" borderId="26" xfId="0" applyFont="1" applyFill="1" applyBorder="1" applyAlignment="1">
      <alignment horizontal="center" vertical="center"/>
    </xf>
    <xf numFmtId="0" fontId="29" fillId="9" borderId="27" xfId="0" applyFont="1" applyFill="1" applyBorder="1" applyAlignment="1">
      <alignment horizontal="center" vertical="center"/>
    </xf>
    <xf numFmtId="0" fontId="29" fillId="9" borderId="21" xfId="0" applyFont="1" applyFill="1" applyBorder="1" applyAlignment="1">
      <alignment horizontal="center" vertical="center"/>
    </xf>
    <xf numFmtId="0" fontId="31" fillId="14" borderId="21" xfId="0" applyFont="1" applyFill="1" applyBorder="1" applyAlignment="1">
      <alignment horizontal="left" vertical="center"/>
    </xf>
    <xf numFmtId="0" fontId="31" fillId="14" borderId="21" xfId="0" applyFont="1" applyFill="1" applyBorder="1" applyAlignment="1">
      <alignment horizontal="center" vertical="center"/>
    </xf>
    <xf numFmtId="9" fontId="31" fillId="14" borderId="21" xfId="0" applyNumberFormat="1" applyFont="1" applyFill="1" applyBorder="1" applyAlignment="1">
      <alignment horizontal="center" vertical="center"/>
    </xf>
    <xf numFmtId="168" fontId="31" fillId="14" borderId="21" xfId="0" applyNumberFormat="1" applyFont="1" applyFill="1" applyBorder="1" applyAlignment="1">
      <alignment horizontal="center" vertical="center"/>
    </xf>
    <xf numFmtId="9" fontId="35" fillId="14" borderId="21" xfId="0" applyNumberFormat="1" applyFont="1" applyFill="1" applyBorder="1" applyAlignment="1">
      <alignment horizontal="center" vertical="center"/>
    </xf>
    <xf numFmtId="0" fontId="34" fillId="14" borderId="21" xfId="0" applyFont="1" applyFill="1" applyBorder="1" applyAlignment="1">
      <alignment horizontal="left" vertical="center"/>
    </xf>
    <xf numFmtId="0" fontId="32" fillId="9" borderId="0" xfId="0" applyFont="1" applyFill="1" applyAlignment="1">
      <alignment horizontal="center"/>
    </xf>
    <xf numFmtId="0" fontId="27" fillId="14" borderId="0" xfId="0" applyFont="1" applyFill="1" applyAlignment="1">
      <alignment horizontal="center" vertical="center"/>
    </xf>
    <xf numFmtId="0" fontId="2" fillId="20" borderId="21" xfId="0" applyFont="1" applyFill="1" applyBorder="1" applyAlignment="1">
      <alignment horizontal="center" vertical="center" wrapText="1"/>
    </xf>
    <xf numFmtId="0" fontId="2" fillId="16" borderId="21" xfId="0" applyFont="1" applyFill="1" applyBorder="1" applyAlignment="1">
      <alignment horizontal="center" vertical="center" wrapText="1"/>
    </xf>
    <xf numFmtId="0" fontId="2" fillId="21" borderId="21" xfId="0" applyFont="1" applyFill="1" applyBorder="1" applyAlignment="1">
      <alignment horizontal="center" vertical="center" wrapText="1"/>
    </xf>
    <xf numFmtId="0" fontId="2" fillId="10" borderId="21" xfId="0" applyFont="1" applyFill="1" applyBorder="1" applyAlignment="1">
      <alignment horizontal="center" vertical="center" wrapText="1"/>
    </xf>
    <xf numFmtId="168" fontId="24" fillId="14" borderId="0" xfId="0" applyNumberFormat="1" applyFont="1" applyFill="1" applyAlignment="1">
      <alignment horizontal="center"/>
    </xf>
    <xf numFmtId="10" fontId="25" fillId="14" borderId="0" xfId="0" applyNumberFormat="1" applyFont="1" applyFill="1" applyAlignment="1">
      <alignment horizontal="center"/>
    </xf>
    <xf numFmtId="0" fontId="23" fillId="14" borderId="0" xfId="0" applyFont="1" applyFill="1" applyAlignment="1">
      <alignment horizontal="center" vertical="center"/>
    </xf>
    <xf numFmtId="168" fontId="26" fillId="14" borderId="0" xfId="0" applyNumberFormat="1" applyFont="1" applyFill="1" applyAlignment="1">
      <alignment horizontal="center"/>
    </xf>
    <xf numFmtId="0" fontId="13" fillId="2" borderId="0" xfId="0" applyFont="1" applyFill="1" applyAlignment="1">
      <alignment horizontal="left" vertical="center"/>
    </xf>
    <xf numFmtId="0" fontId="9" fillId="0" borderId="0" xfId="0" applyFont="1"/>
    <xf numFmtId="0" fontId="21" fillId="9" borderId="5" xfId="0" applyFont="1" applyFill="1" applyBorder="1" applyAlignment="1">
      <alignment horizontal="center" vertical="center"/>
    </xf>
    <xf numFmtId="0" fontId="21" fillId="9" borderId="3" xfId="0" applyFont="1" applyFill="1" applyBorder="1" applyAlignment="1">
      <alignment horizontal="center" vertical="center"/>
    </xf>
    <xf numFmtId="0" fontId="21" fillId="9" borderId="8" xfId="0" applyFont="1" applyFill="1" applyBorder="1" applyAlignment="1">
      <alignment horizontal="center" vertical="center"/>
    </xf>
    <xf numFmtId="0" fontId="13" fillId="9" borderId="0" xfId="0" applyFont="1" applyFill="1" applyAlignment="1">
      <alignment horizontal="center" vertical="center"/>
    </xf>
    <xf numFmtId="0" fontId="4" fillId="0" borderId="13" xfId="0" applyFont="1" applyBorder="1" applyAlignment="1">
      <alignment horizontal="center" vertical="center" wrapText="1"/>
    </xf>
    <xf numFmtId="0" fontId="4" fillId="0" borderId="11" xfId="0" applyFont="1" applyBorder="1" applyAlignment="1">
      <alignment horizontal="center" vertical="center" wrapText="1"/>
    </xf>
    <xf numFmtId="0" fontId="4" fillId="0" borderId="16" xfId="0" applyFont="1" applyBorder="1" applyAlignment="1">
      <alignment horizontal="center" vertical="center" wrapText="1"/>
    </xf>
    <xf numFmtId="165" fontId="20" fillId="0" borderId="14" xfId="0" applyNumberFormat="1" applyFont="1" applyBorder="1" applyAlignment="1">
      <alignment horizontal="center" vertical="center" wrapText="1"/>
    </xf>
    <xf numFmtId="165" fontId="20" fillId="0" borderId="0" xfId="0" applyNumberFormat="1" applyFont="1" applyAlignment="1">
      <alignment horizontal="center" vertical="center" wrapText="1"/>
    </xf>
    <xf numFmtId="165" fontId="20" fillId="0" borderId="17" xfId="0" applyNumberFormat="1" applyFont="1" applyBorder="1" applyAlignment="1">
      <alignment horizontal="center" vertical="center" wrapText="1"/>
    </xf>
    <xf numFmtId="0" fontId="28" fillId="0" borderId="14" xfId="0" applyFont="1" applyBorder="1" applyAlignment="1">
      <alignment horizontal="center" vertical="center" wrapText="1"/>
    </xf>
    <xf numFmtId="0" fontId="5" fillId="0" borderId="0" xfId="0" applyFont="1" applyAlignment="1">
      <alignment horizontal="center" vertical="center" wrapText="1"/>
    </xf>
    <xf numFmtId="0" fontId="5" fillId="0" borderId="17" xfId="0" applyFont="1" applyBorder="1" applyAlignment="1">
      <alignment horizontal="center" vertical="center" wrapText="1"/>
    </xf>
    <xf numFmtId="165" fontId="18" fillId="0" borderId="14" xfId="0" applyNumberFormat="1" applyFont="1" applyBorder="1" applyAlignment="1">
      <alignment horizontal="center" vertical="center" wrapText="1"/>
    </xf>
    <xf numFmtId="165" fontId="18" fillId="0" borderId="0" xfId="0" applyNumberFormat="1" applyFont="1" applyAlignment="1">
      <alignment horizontal="center" vertical="center" wrapText="1"/>
    </xf>
    <xf numFmtId="166" fontId="19" fillId="0" borderId="14" xfId="0" applyNumberFormat="1" applyFont="1" applyBorder="1" applyAlignment="1">
      <alignment horizontal="center" vertical="center" wrapText="1"/>
    </xf>
    <xf numFmtId="166" fontId="19" fillId="0" borderId="0" xfId="0" applyNumberFormat="1" applyFont="1" applyAlignment="1">
      <alignment horizontal="center" vertical="center" wrapText="1"/>
    </xf>
    <xf numFmtId="0" fontId="7" fillId="9" borderId="0" xfId="0" applyFont="1" applyFill="1" applyAlignment="1">
      <alignment horizontal="center" vertical="center" wrapText="1"/>
    </xf>
    <xf numFmtId="0" fontId="7" fillId="9" borderId="12" xfId="0" applyFont="1" applyFill="1" applyBorder="1" applyAlignment="1">
      <alignment horizontal="center" vertical="center" wrapText="1"/>
    </xf>
    <xf numFmtId="0" fontId="2" fillId="6" borderId="14" xfId="0" applyFont="1" applyFill="1" applyBorder="1" applyAlignment="1">
      <alignment horizontal="center" vertical="center" wrapText="1"/>
    </xf>
    <xf numFmtId="0" fontId="2" fillId="6" borderId="0" xfId="0" applyFont="1" applyFill="1" applyAlignment="1">
      <alignment horizontal="center" vertical="center" wrapText="1"/>
    </xf>
    <xf numFmtId="0" fontId="2" fillId="6" borderId="17" xfId="0" applyFont="1" applyFill="1" applyBorder="1" applyAlignment="1">
      <alignment horizontal="center" vertical="center" wrapText="1"/>
    </xf>
    <xf numFmtId="0" fontId="2" fillId="5" borderId="14" xfId="0" applyFont="1" applyFill="1" applyBorder="1" applyAlignment="1">
      <alignment horizontal="center" vertical="center" wrapText="1"/>
    </xf>
    <xf numFmtId="0" fontId="2" fillId="5" borderId="0" xfId="0" applyFont="1" applyFill="1" applyAlignment="1">
      <alignment horizontal="center" vertical="center" wrapText="1"/>
    </xf>
    <xf numFmtId="0" fontId="2" fillId="5" borderId="17" xfId="0" applyFont="1" applyFill="1" applyBorder="1" applyAlignment="1">
      <alignment horizontal="center" vertical="center" wrapText="1"/>
    </xf>
    <xf numFmtId="0" fontId="2" fillId="10" borderId="14" xfId="0" applyFont="1" applyFill="1" applyBorder="1" applyAlignment="1">
      <alignment horizontal="center" vertical="center" wrapText="1"/>
    </xf>
    <xf numFmtId="0" fontId="2" fillId="10" borderId="0" xfId="0" applyFont="1" applyFill="1" applyAlignment="1">
      <alignment horizontal="center" vertical="center" wrapText="1"/>
    </xf>
    <xf numFmtId="0" fontId="2" fillId="10" borderId="17" xfId="0" applyFont="1" applyFill="1" applyBorder="1" applyAlignment="1">
      <alignment horizontal="center" vertical="center" wrapText="1"/>
    </xf>
    <xf numFmtId="0" fontId="2" fillId="7" borderId="14" xfId="0" applyFont="1" applyFill="1" applyBorder="1" applyAlignment="1">
      <alignment horizontal="center" vertical="center" wrapText="1"/>
    </xf>
    <xf numFmtId="0" fontId="2" fillId="7" borderId="0" xfId="0" applyFont="1" applyFill="1" applyAlignment="1">
      <alignment horizontal="center" vertical="center" wrapText="1"/>
    </xf>
    <xf numFmtId="0" fontId="2" fillId="7" borderId="17" xfId="0" applyFont="1" applyFill="1" applyBorder="1" applyAlignment="1">
      <alignment horizontal="center" vertical="center" wrapText="1"/>
    </xf>
    <xf numFmtId="0" fontId="6" fillId="9" borderId="0" xfId="0" applyFont="1" applyFill="1" applyAlignment="1">
      <alignment horizontal="center" vertical="center"/>
    </xf>
    <xf numFmtId="0" fontId="6" fillId="9" borderId="12" xfId="0" applyFont="1" applyFill="1" applyBorder="1" applyAlignment="1">
      <alignment horizontal="center" vertical="center"/>
    </xf>
    <xf numFmtId="0" fontId="2" fillId="6" borderId="15" xfId="0" applyFont="1" applyFill="1" applyBorder="1" applyAlignment="1">
      <alignment horizontal="center" vertical="center" wrapText="1"/>
    </xf>
    <xf numFmtId="0" fontId="2" fillId="6" borderId="12" xfId="0" applyFont="1" applyFill="1" applyBorder="1" applyAlignment="1">
      <alignment horizontal="center" vertical="center" wrapText="1"/>
    </xf>
    <xf numFmtId="0" fontId="2" fillId="6" borderId="18" xfId="0" applyFont="1" applyFill="1" applyBorder="1" applyAlignment="1">
      <alignment horizontal="center" vertical="center" wrapText="1"/>
    </xf>
    <xf numFmtId="0" fontId="2" fillId="7" borderId="15" xfId="0" applyFont="1" applyFill="1" applyBorder="1" applyAlignment="1">
      <alignment horizontal="center" vertical="center" wrapText="1"/>
    </xf>
    <xf numFmtId="0" fontId="2" fillId="7" borderId="12" xfId="0" applyFont="1" applyFill="1" applyBorder="1" applyAlignment="1">
      <alignment horizontal="center" vertical="center" wrapText="1"/>
    </xf>
    <xf numFmtId="0" fontId="2" fillId="7" borderId="18" xfId="0" applyFont="1" applyFill="1" applyBorder="1" applyAlignment="1">
      <alignment horizontal="center" vertical="center" wrapText="1"/>
    </xf>
    <xf numFmtId="0" fontId="21" fillId="9" borderId="5" xfId="0" applyFont="1" applyFill="1" applyBorder="1" applyAlignment="1">
      <alignment horizontal="center" vertical="center" wrapText="1"/>
    </xf>
    <xf numFmtId="0" fontId="21" fillId="9" borderId="3" xfId="0" applyFont="1" applyFill="1" applyBorder="1" applyAlignment="1">
      <alignment horizontal="center" vertical="center" wrapText="1"/>
    </xf>
    <xf numFmtId="0" fontId="21" fillId="9" borderId="8" xfId="0" applyFont="1" applyFill="1" applyBorder="1" applyAlignment="1">
      <alignment horizontal="center" vertical="center" wrapText="1"/>
    </xf>
    <xf numFmtId="0" fontId="3" fillId="11" borderId="0" xfId="0" applyFont="1" applyFill="1" applyAlignment="1">
      <alignment horizontal="center"/>
    </xf>
    <xf numFmtId="0" fontId="2" fillId="5" borderId="15" xfId="0" applyFont="1" applyFill="1" applyBorder="1" applyAlignment="1">
      <alignment horizontal="center" vertical="center" wrapText="1"/>
    </xf>
    <xf numFmtId="0" fontId="2" fillId="5" borderId="12" xfId="0" applyFont="1" applyFill="1" applyBorder="1" applyAlignment="1">
      <alignment horizontal="center" vertical="center" wrapText="1"/>
    </xf>
    <xf numFmtId="0" fontId="2" fillId="5" borderId="18" xfId="0" applyFont="1" applyFill="1" applyBorder="1" applyAlignment="1">
      <alignment horizontal="center" vertical="center" wrapText="1"/>
    </xf>
    <xf numFmtId="0" fontId="3" fillId="8" borderId="6" xfId="0" applyFont="1" applyFill="1" applyBorder="1" applyAlignment="1">
      <alignment horizontal="center"/>
    </xf>
    <xf numFmtId="0" fontId="3" fillId="8" borderId="0" xfId="0" applyFont="1" applyFill="1" applyAlignment="1">
      <alignment horizontal="center"/>
    </xf>
    <xf numFmtId="0" fontId="3" fillId="8" borderId="9" xfId="0" applyFont="1" applyFill="1" applyBorder="1" applyAlignment="1">
      <alignment horizontal="center"/>
    </xf>
    <xf numFmtId="0" fontId="10" fillId="0" borderId="6" xfId="0" applyFont="1" applyBorder="1" applyAlignment="1">
      <alignment wrapText="1"/>
    </xf>
    <xf numFmtId="0" fontId="10" fillId="0" borderId="0" xfId="0" applyFont="1" applyAlignment="1">
      <alignment wrapText="1"/>
    </xf>
    <xf numFmtId="0" fontId="10" fillId="0" borderId="9" xfId="0" applyFont="1" applyBorder="1" applyAlignment="1">
      <alignment wrapText="1"/>
    </xf>
    <xf numFmtId="0" fontId="10" fillId="0" borderId="7" xfId="0" applyFont="1" applyBorder="1" applyAlignment="1">
      <alignment wrapText="1"/>
    </xf>
    <xf numFmtId="0" fontId="10" fillId="0" borderId="4" xfId="0" applyFont="1" applyBorder="1" applyAlignment="1">
      <alignment wrapText="1"/>
    </xf>
    <xf numFmtId="0" fontId="10" fillId="0" borderId="10" xfId="0" applyFont="1" applyBorder="1" applyAlignment="1">
      <alignment wrapText="1"/>
    </xf>
    <xf numFmtId="9" fontId="16" fillId="12" borderId="6" xfId="0" applyNumberFormat="1" applyFont="1" applyFill="1" applyBorder="1" applyAlignment="1">
      <alignment horizontal="center" vertical="center"/>
    </xf>
    <xf numFmtId="9" fontId="16" fillId="12" borderId="0" xfId="0" applyNumberFormat="1" applyFont="1" applyFill="1" applyAlignment="1">
      <alignment horizontal="center" vertical="center"/>
    </xf>
    <xf numFmtId="3" fontId="17" fillId="0" borderId="0" xfId="0" applyNumberFormat="1" applyFont="1" applyAlignment="1">
      <alignment horizontal="center" vertical="center"/>
    </xf>
    <xf numFmtId="167" fontId="17" fillId="0" borderId="0" xfId="0" applyNumberFormat="1" applyFont="1" applyAlignment="1">
      <alignment horizontal="center" vertical="center"/>
    </xf>
    <xf numFmtId="165" fontId="17" fillId="0" borderId="0" xfId="0" applyNumberFormat="1" applyFont="1" applyAlignment="1">
      <alignment horizontal="center" vertical="center"/>
    </xf>
    <xf numFmtId="165" fontId="17" fillId="0" borderId="9" xfId="0" applyNumberFormat="1" applyFont="1" applyBorder="1" applyAlignment="1">
      <alignment horizontal="center" vertical="center"/>
    </xf>
    <xf numFmtId="0" fontId="0" fillId="0" borderId="0" xfId="0" applyNumberFormat="1"/>
  </cellXfs>
  <cellStyles count="1">
    <cellStyle name="Normal" xfId="0" builtinId="0"/>
  </cellStyles>
  <dxfs count="968">
    <dxf>
      <numFmt numFmtId="168" formatCode="[$₹-4009]\ #,##0"/>
    </dxf>
    <dxf>
      <font>
        <b/>
      </font>
    </dxf>
    <dxf>
      <font>
        <b/>
      </font>
    </dxf>
    <dxf>
      <font>
        <b/>
      </font>
    </dxf>
    <dxf>
      <fill>
        <patternFill patternType="solid">
          <fgColor indexed="64"/>
          <bgColor rgb="FF4472C4"/>
        </patternFill>
      </fill>
    </dxf>
    <dxf>
      <fill>
        <patternFill patternType="solid">
          <fgColor indexed="64"/>
          <bgColor rgb="FF4472C4"/>
        </patternFill>
      </fill>
    </dxf>
    <dxf>
      <fill>
        <patternFill patternType="solid">
          <fgColor indexed="64"/>
          <bgColor rgb="FF4472C4"/>
        </patternFill>
      </fill>
    </dxf>
    <dxf>
      <font>
        <color rgb="FFFFFFFF"/>
      </font>
    </dxf>
    <dxf>
      <font>
        <color rgb="FFFFFFFF"/>
      </font>
    </dxf>
    <dxf>
      <font>
        <color rgb="FFFFFFFF"/>
      </font>
    </dxf>
    <dxf>
      <numFmt numFmtId="165" formatCode="\₹#,##0"/>
    </dxf>
    <dxf>
      <font>
        <b/>
      </font>
    </dxf>
    <dxf>
      <font>
        <b/>
      </font>
    </dxf>
    <dxf>
      <font>
        <b/>
      </font>
    </dxf>
    <dxf>
      <font>
        <b/>
      </font>
    </dxf>
    <dxf>
      <fill>
        <patternFill patternType="solid">
          <fgColor indexed="64"/>
          <bgColor rgb="FF4472C4"/>
        </patternFill>
      </fill>
    </dxf>
    <dxf>
      <fill>
        <patternFill patternType="solid">
          <fgColor indexed="64"/>
          <bgColor rgb="FF4472C4"/>
        </patternFill>
      </fill>
    </dxf>
    <dxf>
      <fill>
        <patternFill patternType="solid">
          <fgColor indexed="64"/>
          <bgColor rgb="FF4472C4"/>
        </patternFill>
      </fill>
    </dxf>
    <dxf>
      <fill>
        <patternFill patternType="solid">
          <fgColor indexed="64"/>
          <bgColor rgb="FF4472C4"/>
        </patternFill>
      </fill>
    </dxf>
    <dxf>
      <font>
        <color rgb="FFFFFFFF"/>
      </font>
    </dxf>
    <dxf>
      <font>
        <color rgb="FFFFFFFF"/>
      </font>
    </dxf>
    <dxf>
      <font>
        <color rgb="FFFFFFFF"/>
      </font>
    </dxf>
    <dxf>
      <font>
        <color rgb="FFFFFFFF"/>
      </font>
    </dxf>
    <dxf>
      <font>
        <b/>
      </font>
    </dxf>
    <dxf>
      <font>
        <b/>
      </font>
    </dxf>
    <dxf>
      <font>
        <b/>
      </font>
    </dxf>
    <dxf>
      <font>
        <b/>
      </font>
    </dxf>
    <dxf>
      <font>
        <b/>
      </font>
    </dxf>
    <dxf>
      <font>
        <b/>
      </font>
    </dxf>
    <dxf>
      <font>
        <b/>
      </font>
    </dxf>
    <dxf>
      <fill>
        <patternFill patternType="solid">
          <fgColor indexed="64"/>
          <bgColor rgb="FF4472C4"/>
        </patternFill>
      </fill>
    </dxf>
    <dxf>
      <fill>
        <patternFill patternType="solid">
          <fgColor indexed="64"/>
          <bgColor rgb="FF4472C4"/>
        </patternFill>
      </fill>
    </dxf>
    <dxf>
      <fill>
        <patternFill patternType="solid">
          <fgColor indexed="64"/>
          <bgColor rgb="FF4472C4"/>
        </patternFill>
      </fill>
    </dxf>
    <dxf>
      <fill>
        <patternFill patternType="solid">
          <fgColor indexed="64"/>
          <bgColor rgb="FF4472C4"/>
        </patternFill>
      </fill>
    </dxf>
    <dxf>
      <fill>
        <patternFill patternType="solid">
          <fgColor indexed="64"/>
          <bgColor rgb="FF4472C4"/>
        </patternFill>
      </fill>
    </dxf>
    <dxf>
      <fill>
        <patternFill patternType="solid">
          <fgColor indexed="64"/>
          <bgColor rgb="FF4472C4"/>
        </patternFill>
      </fill>
    </dxf>
    <dxf>
      <fill>
        <patternFill patternType="solid">
          <fgColor indexed="64"/>
          <bgColor rgb="FF4472C4"/>
        </patternFill>
      </fill>
    </dxf>
    <dxf>
      <font>
        <color rgb="FFFFFFFF"/>
      </font>
    </dxf>
    <dxf>
      <font>
        <color rgb="FFFFFFFF"/>
      </font>
    </dxf>
    <dxf>
      <font>
        <color rgb="FFFFFFFF"/>
      </font>
    </dxf>
    <dxf>
      <font>
        <color rgb="FFFFFFFF"/>
      </font>
    </dxf>
    <dxf>
      <font>
        <color rgb="FFFFFFFF"/>
      </font>
    </dxf>
    <dxf>
      <font>
        <color rgb="FFFFFFFF"/>
      </font>
    </dxf>
    <dxf>
      <font>
        <color rgb="FFFFFFFF"/>
      </font>
    </dxf>
    <dxf>
      <font>
        <b/>
      </font>
    </dxf>
    <dxf>
      <font>
        <b/>
      </font>
    </dxf>
    <dxf>
      <fill>
        <patternFill patternType="solid">
          <fgColor indexed="64"/>
          <bgColor rgb="FF4472C4"/>
        </patternFill>
      </fill>
    </dxf>
    <dxf>
      <fill>
        <patternFill patternType="solid">
          <fgColor indexed="64"/>
          <bgColor rgb="FF4472C4"/>
        </patternFill>
      </fill>
    </dxf>
    <dxf>
      <font>
        <color rgb="FFFFFFFF"/>
      </font>
    </dxf>
    <dxf>
      <font>
        <color rgb="FFFFFFFF"/>
      </font>
    </dxf>
    <dxf>
      <font>
        <b/>
      </font>
    </dxf>
    <dxf>
      <font>
        <b/>
      </font>
    </dxf>
    <dxf>
      <fill>
        <patternFill patternType="solid">
          <fgColor indexed="64"/>
          <bgColor rgb="FF4472C4"/>
        </patternFill>
      </fill>
    </dxf>
    <dxf>
      <fill>
        <patternFill patternType="solid">
          <fgColor indexed="64"/>
          <bgColor rgb="FF4472C4"/>
        </patternFill>
      </fill>
    </dxf>
    <dxf>
      <font>
        <color rgb="FFFFFFFF"/>
      </font>
    </dxf>
    <dxf>
      <font>
        <color rgb="FFFFFFFF"/>
      </font>
    </dxf>
    <dxf>
      <numFmt numFmtId="168" formatCode="[$₹-4009]\ #,##0"/>
    </dxf>
    <dxf>
      <font>
        <b/>
      </font>
    </dxf>
    <dxf>
      <font>
        <b/>
      </font>
    </dxf>
    <dxf>
      <font>
        <b/>
      </font>
    </dxf>
    <dxf>
      <font>
        <b/>
      </font>
    </dxf>
    <dxf>
      <font>
        <b/>
      </font>
    </dxf>
    <dxf>
      <font>
        <b/>
      </font>
    </dxf>
    <dxf>
      <font>
        <b/>
      </font>
    </dxf>
    <dxf>
      <fill>
        <patternFill patternType="solid">
          <fgColor indexed="64"/>
          <bgColor rgb="FF4472C4"/>
        </patternFill>
      </fill>
    </dxf>
    <dxf>
      <fill>
        <patternFill patternType="solid">
          <fgColor indexed="64"/>
          <bgColor rgb="FF4472C4"/>
        </patternFill>
      </fill>
    </dxf>
    <dxf>
      <fill>
        <patternFill patternType="solid">
          <fgColor indexed="64"/>
          <bgColor rgb="FF4472C4"/>
        </patternFill>
      </fill>
    </dxf>
    <dxf>
      <fill>
        <patternFill patternType="solid">
          <fgColor indexed="64"/>
          <bgColor rgb="FF4472C4"/>
        </patternFill>
      </fill>
    </dxf>
    <dxf>
      <fill>
        <patternFill patternType="solid">
          <fgColor indexed="64"/>
          <bgColor rgb="FF4472C4"/>
        </patternFill>
      </fill>
    </dxf>
    <dxf>
      <fill>
        <patternFill patternType="solid">
          <fgColor indexed="64"/>
          <bgColor rgb="FF4472C4"/>
        </patternFill>
      </fill>
    </dxf>
    <dxf>
      <fill>
        <patternFill patternType="solid">
          <fgColor indexed="64"/>
          <bgColor rgb="FF4472C4"/>
        </patternFill>
      </fill>
    </dxf>
    <dxf>
      <font>
        <color rgb="FFFFFFFF"/>
      </font>
    </dxf>
    <dxf>
      <font>
        <color rgb="FFFFFFFF"/>
      </font>
    </dxf>
    <dxf>
      <font>
        <color rgb="FFFFFFFF"/>
      </font>
    </dxf>
    <dxf>
      <font>
        <color rgb="FFFFFFFF"/>
      </font>
    </dxf>
    <dxf>
      <font>
        <color rgb="FFFFFFFF"/>
      </font>
    </dxf>
    <dxf>
      <font>
        <color rgb="FFFFFFFF"/>
      </font>
    </dxf>
    <dxf>
      <font>
        <color rgb="FFFFFFFF"/>
      </font>
    </dxf>
    <dxf>
      <font>
        <b/>
      </font>
    </dxf>
    <dxf>
      <font>
        <b/>
      </font>
    </dxf>
    <dxf>
      <fill>
        <patternFill patternType="solid">
          <fgColor indexed="64"/>
          <bgColor rgb="FF4472C4"/>
        </patternFill>
      </fill>
    </dxf>
    <dxf>
      <fill>
        <patternFill patternType="solid">
          <fgColor indexed="64"/>
          <bgColor rgb="FF4472C4"/>
        </patternFill>
      </fill>
    </dxf>
    <dxf>
      <font>
        <color rgb="FFFFFFFF"/>
      </font>
    </dxf>
    <dxf>
      <font>
        <color rgb="FFFFFFFF"/>
      </font>
    </dxf>
    <dxf>
      <font>
        <b/>
      </font>
    </dxf>
    <dxf>
      <font>
        <b/>
      </font>
    </dxf>
    <dxf>
      <fill>
        <patternFill patternType="solid">
          <fgColor indexed="64"/>
          <bgColor rgb="FF4472C4"/>
        </patternFill>
      </fill>
    </dxf>
    <dxf>
      <fill>
        <patternFill patternType="solid">
          <fgColor indexed="64"/>
          <bgColor rgb="FF4472C4"/>
        </patternFill>
      </fill>
    </dxf>
    <dxf>
      <font>
        <color rgb="FFFFFFFF"/>
      </font>
    </dxf>
    <dxf>
      <font>
        <color rgb="FFFFFFFF"/>
      </font>
    </dxf>
    <dxf>
      <font>
        <b/>
      </font>
    </dxf>
    <dxf>
      <font>
        <b/>
      </font>
    </dxf>
    <dxf>
      <font>
        <b/>
      </font>
    </dxf>
    <dxf>
      <fill>
        <patternFill patternType="solid">
          <fgColor indexed="64"/>
          <bgColor rgb="FF4472C4"/>
        </patternFill>
      </fill>
    </dxf>
    <dxf>
      <fill>
        <patternFill patternType="solid">
          <fgColor indexed="64"/>
          <bgColor rgb="FF4472C4"/>
        </patternFill>
      </fill>
    </dxf>
    <dxf>
      <fill>
        <patternFill patternType="solid">
          <fgColor indexed="64"/>
          <bgColor rgb="FF4472C4"/>
        </patternFill>
      </fill>
    </dxf>
    <dxf>
      <font>
        <color rgb="FFFFFFFF"/>
      </font>
    </dxf>
    <dxf>
      <font>
        <color rgb="FFFFFFFF"/>
      </font>
    </dxf>
    <dxf>
      <font>
        <color rgb="FFFFFFFF"/>
      </font>
    </dxf>
    <dxf>
      <numFmt numFmtId="165" formatCode="\₹#,##0"/>
    </dxf>
    <dxf>
      <font>
        <b/>
      </font>
    </dxf>
    <dxf>
      <font>
        <b/>
      </font>
    </dxf>
    <dxf>
      <font>
        <b/>
      </font>
    </dxf>
    <dxf>
      <font>
        <b/>
      </font>
    </dxf>
    <dxf>
      <fill>
        <patternFill patternType="solid">
          <fgColor indexed="64"/>
          <bgColor rgb="FF4472C4"/>
        </patternFill>
      </fill>
    </dxf>
    <dxf>
      <fill>
        <patternFill patternType="solid">
          <fgColor indexed="64"/>
          <bgColor rgb="FF4472C4"/>
        </patternFill>
      </fill>
    </dxf>
    <dxf>
      <fill>
        <patternFill patternType="solid">
          <fgColor indexed="64"/>
          <bgColor rgb="FF4472C4"/>
        </patternFill>
      </fill>
    </dxf>
    <dxf>
      <fill>
        <patternFill patternType="solid">
          <fgColor indexed="64"/>
          <bgColor rgb="FF4472C4"/>
        </patternFill>
      </fill>
    </dxf>
    <dxf>
      <font>
        <color rgb="FFFFFFFF"/>
      </font>
    </dxf>
    <dxf>
      <font>
        <color rgb="FFFFFFFF"/>
      </font>
    </dxf>
    <dxf>
      <font>
        <color rgb="FFFFFFFF"/>
      </font>
    </dxf>
    <dxf>
      <font>
        <color rgb="FFFFFFFF"/>
      </font>
    </dxf>
    <dxf>
      <numFmt numFmtId="168" formatCode="[$₹-4009]\ #,##0"/>
    </dxf>
    <dxf>
      <font>
        <b/>
      </font>
    </dxf>
    <dxf>
      <font>
        <b/>
      </font>
    </dxf>
    <dxf>
      <font>
        <b/>
      </font>
    </dxf>
    <dxf>
      <font>
        <b/>
      </font>
    </dxf>
    <dxf>
      <font>
        <b/>
      </font>
    </dxf>
    <dxf>
      <font>
        <b/>
      </font>
    </dxf>
    <dxf>
      <font>
        <b/>
      </font>
    </dxf>
    <dxf>
      <fill>
        <patternFill patternType="solid">
          <fgColor indexed="64"/>
          <bgColor rgb="FF4472C4"/>
        </patternFill>
      </fill>
    </dxf>
    <dxf>
      <fill>
        <patternFill patternType="solid">
          <fgColor indexed="64"/>
          <bgColor rgb="FF4472C4"/>
        </patternFill>
      </fill>
    </dxf>
    <dxf>
      <fill>
        <patternFill patternType="solid">
          <fgColor indexed="64"/>
          <bgColor rgb="FF4472C4"/>
        </patternFill>
      </fill>
    </dxf>
    <dxf>
      <fill>
        <patternFill patternType="solid">
          <fgColor indexed="64"/>
          <bgColor rgb="FF4472C4"/>
        </patternFill>
      </fill>
    </dxf>
    <dxf>
      <fill>
        <patternFill patternType="solid">
          <fgColor indexed="64"/>
          <bgColor rgb="FF4472C4"/>
        </patternFill>
      </fill>
    </dxf>
    <dxf>
      <fill>
        <patternFill patternType="solid">
          <fgColor indexed="64"/>
          <bgColor rgb="FF4472C4"/>
        </patternFill>
      </fill>
    </dxf>
    <dxf>
      <fill>
        <patternFill patternType="solid">
          <fgColor indexed="64"/>
          <bgColor rgb="FF4472C4"/>
        </patternFill>
      </fill>
    </dxf>
    <dxf>
      <font>
        <color rgb="FFFFFFFF"/>
      </font>
    </dxf>
    <dxf>
      <font>
        <color rgb="FFFFFFFF"/>
      </font>
    </dxf>
    <dxf>
      <font>
        <color rgb="FFFFFFFF"/>
      </font>
    </dxf>
    <dxf>
      <font>
        <color rgb="FFFFFFFF"/>
      </font>
    </dxf>
    <dxf>
      <font>
        <color rgb="FFFFFFFF"/>
      </font>
    </dxf>
    <dxf>
      <font>
        <color rgb="FFFFFFFF"/>
      </font>
    </dxf>
    <dxf>
      <font>
        <color rgb="FFFFFFFF"/>
      </font>
    </dxf>
    <dxf>
      <font>
        <b/>
      </font>
    </dxf>
    <dxf>
      <font>
        <b/>
      </font>
    </dxf>
    <dxf>
      <fill>
        <patternFill patternType="solid">
          <fgColor indexed="64"/>
          <bgColor rgb="FF4472C4"/>
        </patternFill>
      </fill>
    </dxf>
    <dxf>
      <fill>
        <patternFill patternType="solid">
          <fgColor indexed="64"/>
          <bgColor rgb="FF4472C4"/>
        </patternFill>
      </fill>
    </dxf>
    <dxf>
      <font>
        <color rgb="FFFFFFFF"/>
      </font>
    </dxf>
    <dxf>
      <font>
        <color rgb="FFFFFFFF"/>
      </font>
    </dxf>
    <dxf>
      <font>
        <b/>
      </font>
    </dxf>
    <dxf>
      <font>
        <b/>
      </font>
    </dxf>
    <dxf>
      <fill>
        <patternFill patternType="solid">
          <fgColor indexed="64"/>
          <bgColor rgb="FF4472C4"/>
        </patternFill>
      </fill>
    </dxf>
    <dxf>
      <fill>
        <patternFill patternType="solid">
          <fgColor indexed="64"/>
          <bgColor rgb="FF4472C4"/>
        </patternFill>
      </fill>
    </dxf>
    <dxf>
      <font>
        <color rgb="FFFFFFFF"/>
      </font>
    </dxf>
    <dxf>
      <font>
        <color rgb="FFFFFFFF"/>
      </font>
    </dxf>
    <dxf>
      <font>
        <b/>
      </font>
    </dxf>
    <dxf>
      <font>
        <b/>
      </font>
    </dxf>
    <dxf>
      <font>
        <b/>
      </font>
    </dxf>
    <dxf>
      <fill>
        <patternFill patternType="solid">
          <fgColor indexed="64"/>
          <bgColor rgb="FF4472C4"/>
        </patternFill>
      </fill>
    </dxf>
    <dxf>
      <fill>
        <patternFill patternType="solid">
          <fgColor indexed="64"/>
          <bgColor rgb="FF4472C4"/>
        </patternFill>
      </fill>
    </dxf>
    <dxf>
      <fill>
        <patternFill patternType="solid">
          <fgColor indexed="64"/>
          <bgColor rgb="FF4472C4"/>
        </patternFill>
      </fill>
    </dxf>
    <dxf>
      <font>
        <color rgb="FFFFFFFF"/>
      </font>
    </dxf>
    <dxf>
      <font>
        <color rgb="FFFFFFFF"/>
      </font>
    </dxf>
    <dxf>
      <font>
        <color rgb="FFFFFFFF"/>
      </font>
    </dxf>
    <dxf>
      <numFmt numFmtId="165" formatCode="\₹#,##0"/>
    </dxf>
    <dxf>
      <font>
        <b/>
      </font>
    </dxf>
    <dxf>
      <font>
        <b/>
      </font>
    </dxf>
    <dxf>
      <font>
        <b/>
      </font>
    </dxf>
    <dxf>
      <font>
        <b/>
      </font>
    </dxf>
    <dxf>
      <fill>
        <patternFill patternType="solid">
          <fgColor indexed="64"/>
          <bgColor rgb="FF4472C4"/>
        </patternFill>
      </fill>
    </dxf>
    <dxf>
      <fill>
        <patternFill patternType="solid">
          <fgColor indexed="64"/>
          <bgColor rgb="FF4472C4"/>
        </patternFill>
      </fill>
    </dxf>
    <dxf>
      <fill>
        <patternFill patternType="solid">
          <fgColor indexed="64"/>
          <bgColor rgb="FF4472C4"/>
        </patternFill>
      </fill>
    </dxf>
    <dxf>
      <fill>
        <patternFill patternType="solid">
          <fgColor indexed="64"/>
          <bgColor rgb="FF4472C4"/>
        </patternFill>
      </fill>
    </dxf>
    <dxf>
      <font>
        <color rgb="FFFFFFFF"/>
      </font>
    </dxf>
    <dxf>
      <font>
        <color rgb="FFFFFFFF"/>
      </font>
    </dxf>
    <dxf>
      <font>
        <color rgb="FFFFFFFF"/>
      </font>
    </dxf>
    <dxf>
      <font>
        <color rgb="FFFFFFFF"/>
      </font>
    </dxf>
    <dxf>
      <numFmt numFmtId="168" formatCode="[$₹-4009]\ #,##0"/>
    </dxf>
    <dxf>
      <font>
        <b/>
      </font>
    </dxf>
    <dxf>
      <font>
        <b/>
      </font>
    </dxf>
    <dxf>
      <font>
        <b/>
      </font>
    </dxf>
    <dxf>
      <font>
        <b/>
      </font>
    </dxf>
    <dxf>
      <font>
        <b/>
      </font>
    </dxf>
    <dxf>
      <font>
        <b/>
      </font>
    </dxf>
    <dxf>
      <font>
        <b/>
      </font>
    </dxf>
    <dxf>
      <fill>
        <patternFill patternType="solid">
          <fgColor indexed="64"/>
          <bgColor rgb="FF4472C4"/>
        </patternFill>
      </fill>
    </dxf>
    <dxf>
      <fill>
        <patternFill patternType="solid">
          <fgColor indexed="64"/>
          <bgColor rgb="FF4472C4"/>
        </patternFill>
      </fill>
    </dxf>
    <dxf>
      <fill>
        <patternFill patternType="solid">
          <fgColor indexed="64"/>
          <bgColor rgb="FF4472C4"/>
        </patternFill>
      </fill>
    </dxf>
    <dxf>
      <fill>
        <patternFill patternType="solid">
          <fgColor indexed="64"/>
          <bgColor rgb="FF4472C4"/>
        </patternFill>
      </fill>
    </dxf>
    <dxf>
      <fill>
        <patternFill patternType="solid">
          <fgColor indexed="64"/>
          <bgColor rgb="FF4472C4"/>
        </patternFill>
      </fill>
    </dxf>
    <dxf>
      <fill>
        <patternFill patternType="solid">
          <fgColor indexed="64"/>
          <bgColor rgb="FF4472C4"/>
        </patternFill>
      </fill>
    </dxf>
    <dxf>
      <fill>
        <patternFill patternType="solid">
          <fgColor indexed="64"/>
          <bgColor rgb="FF4472C4"/>
        </patternFill>
      </fill>
    </dxf>
    <dxf>
      <font>
        <color rgb="FFFFFFFF"/>
      </font>
    </dxf>
    <dxf>
      <font>
        <color rgb="FFFFFFFF"/>
      </font>
    </dxf>
    <dxf>
      <font>
        <color rgb="FFFFFFFF"/>
      </font>
    </dxf>
    <dxf>
      <font>
        <color rgb="FFFFFFFF"/>
      </font>
    </dxf>
    <dxf>
      <font>
        <color rgb="FFFFFFFF"/>
      </font>
    </dxf>
    <dxf>
      <font>
        <color rgb="FFFFFFFF"/>
      </font>
    </dxf>
    <dxf>
      <font>
        <color rgb="FFFFFFFF"/>
      </font>
    </dxf>
    <dxf>
      <font>
        <b/>
      </font>
    </dxf>
    <dxf>
      <font>
        <b/>
      </font>
    </dxf>
    <dxf>
      <fill>
        <patternFill patternType="solid">
          <fgColor indexed="64"/>
          <bgColor rgb="FF4472C4"/>
        </patternFill>
      </fill>
    </dxf>
    <dxf>
      <fill>
        <patternFill patternType="solid">
          <fgColor indexed="64"/>
          <bgColor rgb="FF4472C4"/>
        </patternFill>
      </fill>
    </dxf>
    <dxf>
      <font>
        <color rgb="FFFFFFFF"/>
      </font>
    </dxf>
    <dxf>
      <font>
        <color rgb="FFFFFFFF"/>
      </font>
    </dxf>
    <dxf>
      <font>
        <b/>
      </font>
    </dxf>
    <dxf>
      <font>
        <b/>
      </font>
    </dxf>
    <dxf>
      <fill>
        <patternFill patternType="solid">
          <fgColor indexed="64"/>
          <bgColor rgb="FF4472C4"/>
        </patternFill>
      </fill>
    </dxf>
    <dxf>
      <fill>
        <patternFill patternType="solid">
          <fgColor indexed="64"/>
          <bgColor rgb="FF4472C4"/>
        </patternFill>
      </fill>
    </dxf>
    <dxf>
      <font>
        <color rgb="FFFFFFFF"/>
      </font>
    </dxf>
    <dxf>
      <font>
        <color rgb="FFFFFFFF"/>
      </font>
    </dxf>
    <dxf>
      <font>
        <b/>
      </font>
    </dxf>
    <dxf>
      <font>
        <b/>
      </font>
    </dxf>
    <dxf>
      <font>
        <b/>
      </font>
    </dxf>
    <dxf>
      <fill>
        <patternFill patternType="solid">
          <fgColor indexed="64"/>
          <bgColor rgb="FF4472C4"/>
        </patternFill>
      </fill>
    </dxf>
    <dxf>
      <fill>
        <patternFill patternType="solid">
          <fgColor indexed="64"/>
          <bgColor rgb="FF4472C4"/>
        </patternFill>
      </fill>
    </dxf>
    <dxf>
      <fill>
        <patternFill patternType="solid">
          <fgColor indexed="64"/>
          <bgColor rgb="FF4472C4"/>
        </patternFill>
      </fill>
    </dxf>
    <dxf>
      <font>
        <color rgb="FFFFFFFF"/>
      </font>
    </dxf>
    <dxf>
      <font>
        <color rgb="FFFFFFFF"/>
      </font>
    </dxf>
    <dxf>
      <font>
        <color rgb="FFFFFFFF"/>
      </font>
    </dxf>
    <dxf>
      <numFmt numFmtId="165" formatCode="\₹#,##0"/>
    </dxf>
    <dxf>
      <font>
        <b/>
      </font>
    </dxf>
    <dxf>
      <font>
        <b/>
      </font>
    </dxf>
    <dxf>
      <font>
        <b/>
      </font>
    </dxf>
    <dxf>
      <font>
        <b/>
      </font>
    </dxf>
    <dxf>
      <fill>
        <patternFill patternType="solid">
          <fgColor indexed="64"/>
          <bgColor rgb="FF4472C4"/>
        </patternFill>
      </fill>
    </dxf>
    <dxf>
      <fill>
        <patternFill patternType="solid">
          <fgColor indexed="64"/>
          <bgColor rgb="FF4472C4"/>
        </patternFill>
      </fill>
    </dxf>
    <dxf>
      <fill>
        <patternFill patternType="solid">
          <fgColor indexed="64"/>
          <bgColor rgb="FF4472C4"/>
        </patternFill>
      </fill>
    </dxf>
    <dxf>
      <fill>
        <patternFill patternType="solid">
          <fgColor indexed="64"/>
          <bgColor rgb="FF4472C4"/>
        </patternFill>
      </fill>
    </dxf>
    <dxf>
      <font>
        <color rgb="FFFFFFFF"/>
      </font>
    </dxf>
    <dxf>
      <font>
        <color rgb="FFFFFFFF"/>
      </font>
    </dxf>
    <dxf>
      <font>
        <color rgb="FFFFFFFF"/>
      </font>
    </dxf>
    <dxf>
      <font>
        <color rgb="FFFFFFFF"/>
      </font>
    </dxf>
    <dxf>
      <numFmt numFmtId="168" formatCode="[$₹-4009]\ #,##0"/>
    </dxf>
    <dxf>
      <font>
        <b/>
      </font>
    </dxf>
    <dxf>
      <font>
        <b/>
      </font>
    </dxf>
    <dxf>
      <font>
        <b/>
      </font>
    </dxf>
    <dxf>
      <fill>
        <patternFill patternType="solid">
          <fgColor indexed="64"/>
          <bgColor rgb="FF4472C4"/>
        </patternFill>
      </fill>
    </dxf>
    <dxf>
      <fill>
        <patternFill patternType="solid">
          <fgColor indexed="64"/>
          <bgColor rgb="FF4472C4"/>
        </patternFill>
      </fill>
    </dxf>
    <dxf>
      <fill>
        <patternFill patternType="solid">
          <fgColor indexed="64"/>
          <bgColor rgb="FF4472C4"/>
        </patternFill>
      </fill>
    </dxf>
    <dxf>
      <font>
        <color rgb="FFFFFFFF"/>
      </font>
    </dxf>
    <dxf>
      <font>
        <color rgb="FFFFFFFF"/>
      </font>
    </dxf>
    <dxf>
      <font>
        <color rgb="FFFFFFFF"/>
      </font>
    </dxf>
    <dxf>
      <numFmt numFmtId="165" formatCode="\₹#,##0"/>
    </dxf>
    <dxf>
      <font>
        <b/>
      </font>
    </dxf>
    <dxf>
      <font>
        <b/>
      </font>
    </dxf>
    <dxf>
      <font>
        <b/>
      </font>
    </dxf>
    <dxf>
      <font>
        <b/>
      </font>
    </dxf>
    <dxf>
      <fill>
        <patternFill patternType="solid">
          <fgColor indexed="64"/>
          <bgColor rgb="FF4472C4"/>
        </patternFill>
      </fill>
    </dxf>
    <dxf>
      <fill>
        <patternFill patternType="solid">
          <fgColor indexed="64"/>
          <bgColor rgb="FF4472C4"/>
        </patternFill>
      </fill>
    </dxf>
    <dxf>
      <fill>
        <patternFill patternType="solid">
          <fgColor indexed="64"/>
          <bgColor rgb="FF4472C4"/>
        </patternFill>
      </fill>
    </dxf>
    <dxf>
      <fill>
        <patternFill patternType="solid">
          <fgColor indexed="64"/>
          <bgColor rgb="FF4472C4"/>
        </patternFill>
      </fill>
    </dxf>
    <dxf>
      <font>
        <color rgb="FFFFFFFF"/>
      </font>
    </dxf>
    <dxf>
      <font>
        <color rgb="FFFFFFFF"/>
      </font>
    </dxf>
    <dxf>
      <font>
        <color rgb="FFFFFFFF"/>
      </font>
    </dxf>
    <dxf>
      <font>
        <color rgb="FFFFFFFF"/>
      </font>
    </dxf>
    <dxf>
      <font>
        <b/>
      </font>
    </dxf>
    <dxf>
      <font>
        <b/>
      </font>
    </dxf>
    <dxf>
      <font>
        <b/>
      </font>
    </dxf>
    <dxf>
      <font>
        <b/>
      </font>
    </dxf>
    <dxf>
      <font>
        <b/>
      </font>
    </dxf>
    <dxf>
      <font>
        <b/>
      </font>
    </dxf>
    <dxf>
      <font>
        <b/>
      </font>
    </dxf>
    <dxf>
      <fill>
        <patternFill patternType="solid">
          <fgColor indexed="64"/>
          <bgColor rgb="FF4472C4"/>
        </patternFill>
      </fill>
    </dxf>
    <dxf>
      <fill>
        <patternFill patternType="solid">
          <fgColor indexed="64"/>
          <bgColor rgb="FF4472C4"/>
        </patternFill>
      </fill>
    </dxf>
    <dxf>
      <fill>
        <patternFill patternType="solid">
          <fgColor indexed="64"/>
          <bgColor rgb="FF4472C4"/>
        </patternFill>
      </fill>
    </dxf>
    <dxf>
      <fill>
        <patternFill patternType="solid">
          <fgColor indexed="64"/>
          <bgColor rgb="FF4472C4"/>
        </patternFill>
      </fill>
    </dxf>
    <dxf>
      <fill>
        <patternFill patternType="solid">
          <fgColor indexed="64"/>
          <bgColor rgb="FF4472C4"/>
        </patternFill>
      </fill>
    </dxf>
    <dxf>
      <fill>
        <patternFill patternType="solid">
          <fgColor indexed="64"/>
          <bgColor rgb="FF4472C4"/>
        </patternFill>
      </fill>
    </dxf>
    <dxf>
      <fill>
        <patternFill patternType="solid">
          <fgColor indexed="64"/>
          <bgColor rgb="FF4472C4"/>
        </patternFill>
      </fill>
    </dxf>
    <dxf>
      <font>
        <color rgb="FFFFFFFF"/>
      </font>
    </dxf>
    <dxf>
      <font>
        <color rgb="FFFFFFFF"/>
      </font>
    </dxf>
    <dxf>
      <font>
        <color rgb="FFFFFFFF"/>
      </font>
    </dxf>
    <dxf>
      <font>
        <color rgb="FFFFFFFF"/>
      </font>
    </dxf>
    <dxf>
      <font>
        <color rgb="FFFFFFFF"/>
      </font>
    </dxf>
    <dxf>
      <font>
        <color rgb="FFFFFFFF"/>
      </font>
    </dxf>
    <dxf>
      <font>
        <color rgb="FFFFFFFF"/>
      </font>
    </dxf>
    <dxf>
      <font>
        <b/>
      </font>
    </dxf>
    <dxf>
      <font>
        <b/>
      </font>
    </dxf>
    <dxf>
      <fill>
        <patternFill patternType="solid">
          <fgColor indexed="64"/>
          <bgColor rgb="FF4472C4"/>
        </patternFill>
      </fill>
    </dxf>
    <dxf>
      <fill>
        <patternFill patternType="solid">
          <fgColor indexed="64"/>
          <bgColor rgb="FF4472C4"/>
        </patternFill>
      </fill>
    </dxf>
    <dxf>
      <font>
        <color rgb="FFFFFFFF"/>
      </font>
    </dxf>
    <dxf>
      <font>
        <color rgb="FFFFFFFF"/>
      </font>
    </dxf>
    <dxf>
      <font>
        <b/>
      </font>
    </dxf>
    <dxf>
      <font>
        <b/>
      </font>
    </dxf>
    <dxf>
      <fill>
        <patternFill patternType="solid">
          <fgColor indexed="64"/>
          <bgColor rgb="FF4472C4"/>
        </patternFill>
      </fill>
    </dxf>
    <dxf>
      <fill>
        <patternFill patternType="solid">
          <fgColor indexed="64"/>
          <bgColor rgb="FF4472C4"/>
        </patternFill>
      </fill>
    </dxf>
    <dxf>
      <font>
        <color rgb="FFFFFFFF"/>
      </font>
    </dxf>
    <dxf>
      <font>
        <color rgb="FFFFFFFF"/>
      </font>
    </dxf>
    <dxf>
      <numFmt numFmtId="168" formatCode="[$₹-4009]\ #,##0"/>
    </dxf>
    <dxf>
      <font>
        <b/>
      </font>
    </dxf>
    <dxf>
      <font>
        <b/>
      </font>
    </dxf>
    <dxf>
      <font>
        <b/>
      </font>
    </dxf>
    <dxf>
      <fill>
        <patternFill patternType="solid">
          <fgColor indexed="64"/>
          <bgColor rgb="FF4472C4"/>
        </patternFill>
      </fill>
    </dxf>
    <dxf>
      <fill>
        <patternFill patternType="solid">
          <fgColor indexed="64"/>
          <bgColor rgb="FF4472C4"/>
        </patternFill>
      </fill>
    </dxf>
    <dxf>
      <fill>
        <patternFill patternType="solid">
          <fgColor indexed="64"/>
          <bgColor rgb="FF4472C4"/>
        </patternFill>
      </fill>
    </dxf>
    <dxf>
      <font>
        <color rgb="FFFFFFFF"/>
      </font>
    </dxf>
    <dxf>
      <font>
        <color rgb="FFFFFFFF"/>
      </font>
    </dxf>
    <dxf>
      <font>
        <color rgb="FFFFFFFF"/>
      </font>
    </dxf>
    <dxf>
      <numFmt numFmtId="165" formatCode="\₹#,##0"/>
    </dxf>
    <dxf>
      <font>
        <b/>
      </font>
    </dxf>
    <dxf>
      <font>
        <b/>
      </font>
    </dxf>
    <dxf>
      <font>
        <b/>
      </font>
    </dxf>
    <dxf>
      <font>
        <b/>
      </font>
    </dxf>
    <dxf>
      <fill>
        <patternFill patternType="solid">
          <fgColor indexed="64"/>
          <bgColor rgb="FF4472C4"/>
        </patternFill>
      </fill>
    </dxf>
    <dxf>
      <fill>
        <patternFill patternType="solid">
          <fgColor indexed="64"/>
          <bgColor rgb="FF4472C4"/>
        </patternFill>
      </fill>
    </dxf>
    <dxf>
      <fill>
        <patternFill patternType="solid">
          <fgColor indexed="64"/>
          <bgColor rgb="FF4472C4"/>
        </patternFill>
      </fill>
    </dxf>
    <dxf>
      <fill>
        <patternFill patternType="solid">
          <fgColor indexed="64"/>
          <bgColor rgb="FF4472C4"/>
        </patternFill>
      </fill>
    </dxf>
    <dxf>
      <font>
        <color rgb="FFFFFFFF"/>
      </font>
    </dxf>
    <dxf>
      <font>
        <color rgb="FFFFFFFF"/>
      </font>
    </dxf>
    <dxf>
      <font>
        <color rgb="FFFFFFFF"/>
      </font>
    </dxf>
    <dxf>
      <font>
        <color rgb="FFFFFFFF"/>
      </font>
    </dxf>
    <dxf>
      <font>
        <b/>
      </font>
    </dxf>
    <dxf>
      <font>
        <b/>
      </font>
    </dxf>
    <dxf>
      <font>
        <b/>
      </font>
    </dxf>
    <dxf>
      <font>
        <b/>
      </font>
    </dxf>
    <dxf>
      <font>
        <b/>
      </font>
    </dxf>
    <dxf>
      <font>
        <b/>
      </font>
    </dxf>
    <dxf>
      <font>
        <b/>
      </font>
    </dxf>
    <dxf>
      <fill>
        <patternFill patternType="solid">
          <fgColor indexed="64"/>
          <bgColor rgb="FF4472C4"/>
        </patternFill>
      </fill>
    </dxf>
    <dxf>
      <fill>
        <patternFill patternType="solid">
          <fgColor indexed="64"/>
          <bgColor rgb="FF4472C4"/>
        </patternFill>
      </fill>
    </dxf>
    <dxf>
      <fill>
        <patternFill patternType="solid">
          <fgColor indexed="64"/>
          <bgColor rgb="FF4472C4"/>
        </patternFill>
      </fill>
    </dxf>
    <dxf>
      <fill>
        <patternFill patternType="solid">
          <fgColor indexed="64"/>
          <bgColor rgb="FF4472C4"/>
        </patternFill>
      </fill>
    </dxf>
    <dxf>
      <fill>
        <patternFill patternType="solid">
          <fgColor indexed="64"/>
          <bgColor rgb="FF4472C4"/>
        </patternFill>
      </fill>
    </dxf>
    <dxf>
      <fill>
        <patternFill patternType="solid">
          <fgColor indexed="64"/>
          <bgColor rgb="FF4472C4"/>
        </patternFill>
      </fill>
    </dxf>
    <dxf>
      <fill>
        <patternFill patternType="solid">
          <fgColor indexed="64"/>
          <bgColor rgb="FF4472C4"/>
        </patternFill>
      </fill>
    </dxf>
    <dxf>
      <font>
        <color rgb="FFFFFFFF"/>
      </font>
    </dxf>
    <dxf>
      <font>
        <color rgb="FFFFFFFF"/>
      </font>
    </dxf>
    <dxf>
      <font>
        <color rgb="FFFFFFFF"/>
      </font>
    </dxf>
    <dxf>
      <font>
        <color rgb="FFFFFFFF"/>
      </font>
    </dxf>
    <dxf>
      <font>
        <color rgb="FFFFFFFF"/>
      </font>
    </dxf>
    <dxf>
      <font>
        <color rgb="FFFFFFFF"/>
      </font>
    </dxf>
    <dxf>
      <font>
        <color rgb="FFFFFFFF"/>
      </font>
    </dxf>
    <dxf>
      <font>
        <b/>
      </font>
    </dxf>
    <dxf>
      <font>
        <b/>
      </font>
    </dxf>
    <dxf>
      <fill>
        <patternFill patternType="solid">
          <fgColor indexed="64"/>
          <bgColor rgb="FF4472C4"/>
        </patternFill>
      </fill>
    </dxf>
    <dxf>
      <fill>
        <patternFill patternType="solid">
          <fgColor indexed="64"/>
          <bgColor rgb="FF4472C4"/>
        </patternFill>
      </fill>
    </dxf>
    <dxf>
      <font>
        <color rgb="FFFFFFFF"/>
      </font>
    </dxf>
    <dxf>
      <font>
        <color rgb="FFFFFFFF"/>
      </font>
    </dxf>
    <dxf>
      <font>
        <b/>
      </font>
    </dxf>
    <dxf>
      <font>
        <b/>
      </font>
    </dxf>
    <dxf>
      <fill>
        <patternFill patternType="solid">
          <fgColor indexed="64"/>
          <bgColor rgb="FF4472C4"/>
        </patternFill>
      </fill>
    </dxf>
    <dxf>
      <fill>
        <patternFill patternType="solid">
          <fgColor indexed="64"/>
          <bgColor rgb="FF4472C4"/>
        </patternFill>
      </fill>
    </dxf>
    <dxf>
      <font>
        <color rgb="FFFFFFFF"/>
      </font>
    </dxf>
    <dxf>
      <font>
        <color rgb="FFFFFFFF"/>
      </font>
    </dxf>
    <dxf>
      <numFmt numFmtId="168" formatCode="[$₹-4009]\ #,##0"/>
    </dxf>
    <dxf>
      <font>
        <b/>
      </font>
    </dxf>
    <dxf>
      <font>
        <b/>
      </font>
    </dxf>
    <dxf>
      <font>
        <b/>
      </font>
    </dxf>
    <dxf>
      <fill>
        <patternFill patternType="solid">
          <fgColor indexed="64"/>
          <bgColor rgb="FF4472C4"/>
        </patternFill>
      </fill>
    </dxf>
    <dxf>
      <fill>
        <patternFill patternType="solid">
          <fgColor indexed="64"/>
          <bgColor rgb="FF4472C4"/>
        </patternFill>
      </fill>
    </dxf>
    <dxf>
      <fill>
        <patternFill patternType="solid">
          <fgColor indexed="64"/>
          <bgColor rgb="FF4472C4"/>
        </patternFill>
      </fill>
    </dxf>
    <dxf>
      <font>
        <color rgb="FFFFFFFF"/>
      </font>
    </dxf>
    <dxf>
      <font>
        <color rgb="FFFFFFFF"/>
      </font>
    </dxf>
    <dxf>
      <font>
        <color rgb="FFFFFFFF"/>
      </font>
    </dxf>
    <dxf>
      <numFmt numFmtId="165" formatCode="\₹#,##0"/>
    </dxf>
    <dxf>
      <font>
        <b/>
      </font>
    </dxf>
    <dxf>
      <font>
        <b/>
      </font>
    </dxf>
    <dxf>
      <font>
        <b/>
      </font>
    </dxf>
    <dxf>
      <font>
        <b/>
      </font>
    </dxf>
    <dxf>
      <fill>
        <patternFill patternType="solid">
          <fgColor indexed="64"/>
          <bgColor rgb="FF4472C4"/>
        </patternFill>
      </fill>
    </dxf>
    <dxf>
      <fill>
        <patternFill patternType="solid">
          <fgColor indexed="64"/>
          <bgColor rgb="FF4472C4"/>
        </patternFill>
      </fill>
    </dxf>
    <dxf>
      <fill>
        <patternFill patternType="solid">
          <fgColor indexed="64"/>
          <bgColor rgb="FF4472C4"/>
        </patternFill>
      </fill>
    </dxf>
    <dxf>
      <fill>
        <patternFill patternType="solid">
          <fgColor indexed="64"/>
          <bgColor rgb="FF4472C4"/>
        </patternFill>
      </fill>
    </dxf>
    <dxf>
      <font>
        <color rgb="FFFFFFFF"/>
      </font>
    </dxf>
    <dxf>
      <font>
        <color rgb="FFFFFFFF"/>
      </font>
    </dxf>
    <dxf>
      <font>
        <color rgb="FFFFFFFF"/>
      </font>
    </dxf>
    <dxf>
      <font>
        <color rgb="FFFFFFFF"/>
      </font>
    </dxf>
    <dxf>
      <font>
        <b/>
      </font>
    </dxf>
    <dxf>
      <font>
        <b/>
      </font>
    </dxf>
    <dxf>
      <font>
        <b/>
      </font>
    </dxf>
    <dxf>
      <font>
        <b/>
      </font>
    </dxf>
    <dxf>
      <font>
        <b/>
      </font>
    </dxf>
    <dxf>
      <font>
        <b/>
      </font>
    </dxf>
    <dxf>
      <font>
        <b/>
      </font>
    </dxf>
    <dxf>
      <fill>
        <patternFill patternType="solid">
          <fgColor indexed="64"/>
          <bgColor rgb="FF4472C4"/>
        </patternFill>
      </fill>
    </dxf>
    <dxf>
      <fill>
        <patternFill patternType="solid">
          <fgColor indexed="64"/>
          <bgColor rgb="FF4472C4"/>
        </patternFill>
      </fill>
    </dxf>
    <dxf>
      <fill>
        <patternFill patternType="solid">
          <fgColor indexed="64"/>
          <bgColor rgb="FF4472C4"/>
        </patternFill>
      </fill>
    </dxf>
    <dxf>
      <fill>
        <patternFill patternType="solid">
          <fgColor indexed="64"/>
          <bgColor rgb="FF4472C4"/>
        </patternFill>
      </fill>
    </dxf>
    <dxf>
      <fill>
        <patternFill patternType="solid">
          <fgColor indexed="64"/>
          <bgColor rgb="FF4472C4"/>
        </patternFill>
      </fill>
    </dxf>
    <dxf>
      <fill>
        <patternFill patternType="solid">
          <fgColor indexed="64"/>
          <bgColor rgb="FF4472C4"/>
        </patternFill>
      </fill>
    </dxf>
    <dxf>
      <fill>
        <patternFill patternType="solid">
          <fgColor indexed="64"/>
          <bgColor rgb="FF4472C4"/>
        </patternFill>
      </fill>
    </dxf>
    <dxf>
      <font>
        <color rgb="FFFFFFFF"/>
      </font>
    </dxf>
    <dxf>
      <font>
        <color rgb="FFFFFFFF"/>
      </font>
    </dxf>
    <dxf>
      <font>
        <color rgb="FFFFFFFF"/>
      </font>
    </dxf>
    <dxf>
      <font>
        <color rgb="FFFFFFFF"/>
      </font>
    </dxf>
    <dxf>
      <font>
        <color rgb="FFFFFFFF"/>
      </font>
    </dxf>
    <dxf>
      <font>
        <color rgb="FFFFFFFF"/>
      </font>
    </dxf>
    <dxf>
      <font>
        <color rgb="FFFFFFFF"/>
      </font>
    </dxf>
    <dxf>
      <font>
        <b/>
      </font>
    </dxf>
    <dxf>
      <font>
        <b/>
      </font>
    </dxf>
    <dxf>
      <fill>
        <patternFill patternType="solid">
          <fgColor indexed="64"/>
          <bgColor rgb="FF4472C4"/>
        </patternFill>
      </fill>
    </dxf>
    <dxf>
      <fill>
        <patternFill patternType="solid">
          <fgColor indexed="64"/>
          <bgColor rgb="FF4472C4"/>
        </patternFill>
      </fill>
    </dxf>
    <dxf>
      <font>
        <color rgb="FFFFFFFF"/>
      </font>
    </dxf>
    <dxf>
      <font>
        <color rgb="FFFFFFFF"/>
      </font>
    </dxf>
    <dxf>
      <font>
        <b/>
      </font>
    </dxf>
    <dxf>
      <font>
        <b/>
      </font>
    </dxf>
    <dxf>
      <fill>
        <patternFill patternType="solid">
          <fgColor indexed="64"/>
          <bgColor rgb="FF4472C4"/>
        </patternFill>
      </fill>
    </dxf>
    <dxf>
      <fill>
        <patternFill patternType="solid">
          <fgColor indexed="64"/>
          <bgColor rgb="FF4472C4"/>
        </patternFill>
      </fill>
    </dxf>
    <dxf>
      <font>
        <color rgb="FFFFFFFF"/>
      </font>
    </dxf>
    <dxf>
      <font>
        <color rgb="FFFFFFFF"/>
      </font>
    </dxf>
    <dxf>
      <numFmt numFmtId="168" formatCode="[$₹-4009]\ #,##0"/>
    </dxf>
    <dxf>
      <font>
        <b/>
      </font>
    </dxf>
    <dxf>
      <font>
        <b/>
      </font>
    </dxf>
    <dxf>
      <font>
        <b/>
      </font>
    </dxf>
    <dxf>
      <font>
        <b/>
      </font>
    </dxf>
    <dxf>
      <font>
        <b/>
      </font>
    </dxf>
    <dxf>
      <font>
        <b/>
      </font>
    </dxf>
    <dxf>
      <font>
        <b/>
      </font>
    </dxf>
    <dxf>
      <fill>
        <patternFill patternType="solid">
          <fgColor indexed="64"/>
          <bgColor rgb="FF4472C4"/>
        </patternFill>
      </fill>
    </dxf>
    <dxf>
      <fill>
        <patternFill patternType="solid">
          <fgColor indexed="64"/>
          <bgColor rgb="FF4472C4"/>
        </patternFill>
      </fill>
    </dxf>
    <dxf>
      <fill>
        <patternFill patternType="solid">
          <fgColor indexed="64"/>
          <bgColor rgb="FF4472C4"/>
        </patternFill>
      </fill>
    </dxf>
    <dxf>
      <fill>
        <patternFill patternType="solid">
          <fgColor indexed="64"/>
          <bgColor rgb="FF4472C4"/>
        </patternFill>
      </fill>
    </dxf>
    <dxf>
      <fill>
        <patternFill patternType="solid">
          <fgColor indexed="64"/>
          <bgColor rgb="FF4472C4"/>
        </patternFill>
      </fill>
    </dxf>
    <dxf>
      <fill>
        <patternFill patternType="solid">
          <fgColor indexed="64"/>
          <bgColor rgb="FF4472C4"/>
        </patternFill>
      </fill>
    </dxf>
    <dxf>
      <fill>
        <patternFill patternType="solid">
          <fgColor indexed="64"/>
          <bgColor rgb="FF4472C4"/>
        </patternFill>
      </fill>
    </dxf>
    <dxf>
      <font>
        <color rgb="FFFFFFFF"/>
      </font>
    </dxf>
    <dxf>
      <font>
        <color rgb="FFFFFFFF"/>
      </font>
    </dxf>
    <dxf>
      <font>
        <color rgb="FFFFFFFF"/>
      </font>
    </dxf>
    <dxf>
      <font>
        <color rgb="FFFFFFFF"/>
      </font>
    </dxf>
    <dxf>
      <font>
        <color rgb="FFFFFFFF"/>
      </font>
    </dxf>
    <dxf>
      <font>
        <color rgb="FFFFFFFF"/>
      </font>
    </dxf>
    <dxf>
      <font>
        <color rgb="FFFFFFFF"/>
      </font>
    </dxf>
    <dxf>
      <font>
        <b/>
      </font>
    </dxf>
    <dxf>
      <font>
        <b/>
      </font>
    </dxf>
    <dxf>
      <fill>
        <patternFill patternType="solid">
          <fgColor indexed="64"/>
          <bgColor rgb="FF4472C4"/>
        </patternFill>
      </fill>
    </dxf>
    <dxf>
      <fill>
        <patternFill patternType="solid">
          <fgColor indexed="64"/>
          <bgColor rgb="FF4472C4"/>
        </patternFill>
      </fill>
    </dxf>
    <dxf>
      <font>
        <color rgb="FFFFFFFF"/>
      </font>
    </dxf>
    <dxf>
      <font>
        <color rgb="FFFFFFFF"/>
      </font>
    </dxf>
    <dxf>
      <font>
        <b/>
      </font>
    </dxf>
    <dxf>
      <font>
        <b/>
      </font>
    </dxf>
    <dxf>
      <fill>
        <patternFill patternType="solid">
          <fgColor indexed="64"/>
          <bgColor rgb="FF4472C4"/>
        </patternFill>
      </fill>
    </dxf>
    <dxf>
      <fill>
        <patternFill patternType="solid">
          <fgColor indexed="64"/>
          <bgColor rgb="FF4472C4"/>
        </patternFill>
      </fill>
    </dxf>
    <dxf>
      <font>
        <color rgb="FFFFFFFF"/>
      </font>
    </dxf>
    <dxf>
      <font>
        <color rgb="FFFFFFFF"/>
      </font>
    </dxf>
    <dxf>
      <font>
        <b/>
      </font>
    </dxf>
    <dxf>
      <font>
        <b/>
      </font>
    </dxf>
    <dxf>
      <font>
        <b/>
      </font>
    </dxf>
    <dxf>
      <fill>
        <patternFill patternType="solid">
          <fgColor indexed="64"/>
          <bgColor rgb="FF4472C4"/>
        </patternFill>
      </fill>
    </dxf>
    <dxf>
      <fill>
        <patternFill patternType="solid">
          <fgColor indexed="64"/>
          <bgColor rgb="FF4472C4"/>
        </patternFill>
      </fill>
    </dxf>
    <dxf>
      <fill>
        <patternFill patternType="solid">
          <fgColor indexed="64"/>
          <bgColor rgb="FF4472C4"/>
        </patternFill>
      </fill>
    </dxf>
    <dxf>
      <font>
        <color rgb="FFFFFFFF"/>
      </font>
    </dxf>
    <dxf>
      <font>
        <color rgb="FFFFFFFF"/>
      </font>
    </dxf>
    <dxf>
      <font>
        <color rgb="FFFFFFFF"/>
      </font>
    </dxf>
    <dxf>
      <numFmt numFmtId="165" formatCode="\₹#,##0"/>
    </dxf>
    <dxf>
      <font>
        <b/>
      </font>
    </dxf>
    <dxf>
      <font>
        <b/>
      </font>
    </dxf>
    <dxf>
      <font>
        <b/>
      </font>
    </dxf>
    <dxf>
      <font>
        <b/>
      </font>
    </dxf>
    <dxf>
      <fill>
        <patternFill patternType="solid">
          <fgColor indexed="64"/>
          <bgColor rgb="FF4472C4"/>
        </patternFill>
      </fill>
    </dxf>
    <dxf>
      <fill>
        <patternFill patternType="solid">
          <fgColor indexed="64"/>
          <bgColor rgb="FF4472C4"/>
        </patternFill>
      </fill>
    </dxf>
    <dxf>
      <fill>
        <patternFill patternType="solid">
          <fgColor indexed="64"/>
          <bgColor rgb="FF4472C4"/>
        </patternFill>
      </fill>
    </dxf>
    <dxf>
      <fill>
        <patternFill patternType="solid">
          <fgColor indexed="64"/>
          <bgColor rgb="FF4472C4"/>
        </patternFill>
      </fill>
    </dxf>
    <dxf>
      <font>
        <color rgb="FFFFFFFF"/>
      </font>
    </dxf>
    <dxf>
      <font>
        <color rgb="FFFFFFFF"/>
      </font>
    </dxf>
    <dxf>
      <font>
        <color rgb="FFFFFFFF"/>
      </font>
    </dxf>
    <dxf>
      <font>
        <color rgb="FFFFFFFF"/>
      </font>
    </dxf>
    <dxf>
      <numFmt numFmtId="168" formatCode="[$₹-4009]\ #,##0"/>
    </dxf>
    <dxf>
      <font>
        <b/>
      </font>
    </dxf>
    <dxf>
      <font>
        <b/>
      </font>
    </dxf>
    <dxf>
      <font>
        <b/>
      </font>
    </dxf>
    <dxf>
      <fill>
        <patternFill patternType="solid">
          <fgColor indexed="64"/>
          <bgColor rgb="FF4472C4"/>
        </patternFill>
      </fill>
    </dxf>
    <dxf>
      <fill>
        <patternFill patternType="solid">
          <fgColor indexed="64"/>
          <bgColor rgb="FF4472C4"/>
        </patternFill>
      </fill>
    </dxf>
    <dxf>
      <fill>
        <patternFill patternType="solid">
          <fgColor indexed="64"/>
          <bgColor rgb="FF4472C4"/>
        </patternFill>
      </fill>
    </dxf>
    <dxf>
      <font>
        <color rgb="FFFFFFFF"/>
      </font>
    </dxf>
    <dxf>
      <font>
        <color rgb="FFFFFFFF"/>
      </font>
    </dxf>
    <dxf>
      <font>
        <color rgb="FFFFFFFF"/>
      </font>
    </dxf>
    <dxf>
      <numFmt numFmtId="165" formatCode="\₹#,##0"/>
    </dxf>
    <dxf>
      <font>
        <b/>
      </font>
    </dxf>
    <dxf>
      <font>
        <b/>
      </font>
    </dxf>
    <dxf>
      <font>
        <b/>
      </font>
    </dxf>
    <dxf>
      <font>
        <b/>
      </font>
    </dxf>
    <dxf>
      <fill>
        <patternFill patternType="solid">
          <fgColor indexed="64"/>
          <bgColor rgb="FF4472C4"/>
        </patternFill>
      </fill>
    </dxf>
    <dxf>
      <fill>
        <patternFill patternType="solid">
          <fgColor indexed="64"/>
          <bgColor rgb="FF4472C4"/>
        </patternFill>
      </fill>
    </dxf>
    <dxf>
      <fill>
        <patternFill patternType="solid">
          <fgColor indexed="64"/>
          <bgColor rgb="FF4472C4"/>
        </patternFill>
      </fill>
    </dxf>
    <dxf>
      <fill>
        <patternFill patternType="solid">
          <fgColor indexed="64"/>
          <bgColor rgb="FF4472C4"/>
        </patternFill>
      </fill>
    </dxf>
    <dxf>
      <font>
        <color rgb="FFFFFFFF"/>
      </font>
    </dxf>
    <dxf>
      <font>
        <color rgb="FFFFFFFF"/>
      </font>
    </dxf>
    <dxf>
      <font>
        <color rgb="FFFFFFFF"/>
      </font>
    </dxf>
    <dxf>
      <font>
        <color rgb="FFFFFFFF"/>
      </font>
    </dxf>
    <dxf>
      <font>
        <b/>
      </font>
    </dxf>
    <dxf>
      <font>
        <b/>
      </font>
    </dxf>
    <dxf>
      <font>
        <b/>
      </font>
    </dxf>
    <dxf>
      <font>
        <b/>
      </font>
    </dxf>
    <dxf>
      <font>
        <b/>
      </font>
    </dxf>
    <dxf>
      <font>
        <b/>
      </font>
    </dxf>
    <dxf>
      <font>
        <b/>
      </font>
    </dxf>
    <dxf>
      <fill>
        <patternFill patternType="solid">
          <fgColor indexed="64"/>
          <bgColor rgb="FF4472C4"/>
        </patternFill>
      </fill>
    </dxf>
    <dxf>
      <fill>
        <patternFill patternType="solid">
          <fgColor indexed="64"/>
          <bgColor rgb="FF4472C4"/>
        </patternFill>
      </fill>
    </dxf>
    <dxf>
      <fill>
        <patternFill patternType="solid">
          <fgColor indexed="64"/>
          <bgColor rgb="FF4472C4"/>
        </patternFill>
      </fill>
    </dxf>
    <dxf>
      <fill>
        <patternFill patternType="solid">
          <fgColor indexed="64"/>
          <bgColor rgb="FF4472C4"/>
        </patternFill>
      </fill>
    </dxf>
    <dxf>
      <fill>
        <patternFill patternType="solid">
          <fgColor indexed="64"/>
          <bgColor rgb="FF4472C4"/>
        </patternFill>
      </fill>
    </dxf>
    <dxf>
      <fill>
        <patternFill patternType="solid">
          <fgColor indexed="64"/>
          <bgColor rgb="FF4472C4"/>
        </patternFill>
      </fill>
    </dxf>
    <dxf>
      <fill>
        <patternFill patternType="solid">
          <fgColor indexed="64"/>
          <bgColor rgb="FF4472C4"/>
        </patternFill>
      </fill>
    </dxf>
    <dxf>
      <font>
        <color rgb="FFFFFFFF"/>
      </font>
    </dxf>
    <dxf>
      <font>
        <color rgb="FFFFFFFF"/>
      </font>
    </dxf>
    <dxf>
      <font>
        <color rgb="FFFFFFFF"/>
      </font>
    </dxf>
    <dxf>
      <font>
        <color rgb="FFFFFFFF"/>
      </font>
    </dxf>
    <dxf>
      <font>
        <color rgb="FFFFFFFF"/>
      </font>
    </dxf>
    <dxf>
      <font>
        <color rgb="FFFFFFFF"/>
      </font>
    </dxf>
    <dxf>
      <font>
        <color rgb="FFFFFFFF"/>
      </font>
    </dxf>
    <dxf>
      <font>
        <b/>
      </font>
    </dxf>
    <dxf>
      <font>
        <b/>
      </font>
    </dxf>
    <dxf>
      <fill>
        <patternFill patternType="solid">
          <fgColor indexed="64"/>
          <bgColor rgb="FF4472C4"/>
        </patternFill>
      </fill>
    </dxf>
    <dxf>
      <fill>
        <patternFill patternType="solid">
          <fgColor indexed="64"/>
          <bgColor rgb="FF4472C4"/>
        </patternFill>
      </fill>
    </dxf>
    <dxf>
      <font>
        <color rgb="FFFFFFFF"/>
      </font>
    </dxf>
    <dxf>
      <font>
        <color rgb="FFFFFFFF"/>
      </font>
    </dxf>
    <dxf>
      <font>
        <b/>
      </font>
    </dxf>
    <dxf>
      <font>
        <b/>
      </font>
    </dxf>
    <dxf>
      <fill>
        <patternFill patternType="solid">
          <fgColor indexed="64"/>
          <bgColor rgb="FF4472C4"/>
        </patternFill>
      </fill>
    </dxf>
    <dxf>
      <fill>
        <patternFill patternType="solid">
          <fgColor indexed="64"/>
          <bgColor rgb="FF4472C4"/>
        </patternFill>
      </fill>
    </dxf>
    <dxf>
      <font>
        <color rgb="FFFFFFFF"/>
      </font>
    </dxf>
    <dxf>
      <font>
        <color rgb="FFFFFFFF"/>
      </font>
    </dxf>
    <dxf>
      <numFmt numFmtId="168" formatCode="[$₹-4009]\ #,##0"/>
    </dxf>
    <dxf>
      <font>
        <b/>
      </font>
    </dxf>
    <dxf>
      <font>
        <b/>
      </font>
    </dxf>
    <dxf>
      <font>
        <b/>
      </font>
    </dxf>
    <dxf>
      <fill>
        <patternFill patternType="solid">
          <fgColor indexed="64"/>
          <bgColor rgb="FF4472C4"/>
        </patternFill>
      </fill>
    </dxf>
    <dxf>
      <fill>
        <patternFill patternType="solid">
          <fgColor indexed="64"/>
          <bgColor rgb="FF4472C4"/>
        </patternFill>
      </fill>
    </dxf>
    <dxf>
      <fill>
        <patternFill patternType="solid">
          <fgColor indexed="64"/>
          <bgColor rgb="FF4472C4"/>
        </patternFill>
      </fill>
    </dxf>
    <dxf>
      <font>
        <color rgb="FFFFFFFF"/>
      </font>
    </dxf>
    <dxf>
      <font>
        <color rgb="FFFFFFFF"/>
      </font>
    </dxf>
    <dxf>
      <font>
        <color rgb="FFFFFFFF"/>
      </font>
    </dxf>
    <dxf>
      <numFmt numFmtId="165" formatCode="\₹#,##0"/>
    </dxf>
    <dxf>
      <font>
        <b/>
      </font>
    </dxf>
    <dxf>
      <font>
        <b/>
      </font>
    </dxf>
    <dxf>
      <font>
        <b/>
      </font>
    </dxf>
    <dxf>
      <font>
        <b/>
      </font>
    </dxf>
    <dxf>
      <fill>
        <patternFill patternType="solid">
          <fgColor indexed="64"/>
          <bgColor rgb="FF4472C4"/>
        </patternFill>
      </fill>
    </dxf>
    <dxf>
      <fill>
        <patternFill patternType="solid">
          <fgColor indexed="64"/>
          <bgColor rgb="FF4472C4"/>
        </patternFill>
      </fill>
    </dxf>
    <dxf>
      <fill>
        <patternFill patternType="solid">
          <fgColor indexed="64"/>
          <bgColor rgb="FF4472C4"/>
        </patternFill>
      </fill>
    </dxf>
    <dxf>
      <fill>
        <patternFill patternType="solid">
          <fgColor indexed="64"/>
          <bgColor rgb="FF4472C4"/>
        </patternFill>
      </fill>
    </dxf>
    <dxf>
      <font>
        <color rgb="FFFFFFFF"/>
      </font>
    </dxf>
    <dxf>
      <font>
        <color rgb="FFFFFFFF"/>
      </font>
    </dxf>
    <dxf>
      <font>
        <color rgb="FFFFFFFF"/>
      </font>
    </dxf>
    <dxf>
      <font>
        <color rgb="FFFFFFFF"/>
      </font>
    </dxf>
    <dxf>
      <font>
        <b/>
      </font>
    </dxf>
    <dxf>
      <font>
        <b/>
      </font>
    </dxf>
    <dxf>
      <font>
        <b/>
      </font>
    </dxf>
    <dxf>
      <font>
        <b/>
      </font>
    </dxf>
    <dxf>
      <font>
        <b/>
      </font>
    </dxf>
    <dxf>
      <font>
        <b/>
      </font>
    </dxf>
    <dxf>
      <font>
        <b/>
      </font>
    </dxf>
    <dxf>
      <fill>
        <patternFill patternType="solid">
          <fgColor indexed="64"/>
          <bgColor rgb="FF4472C4"/>
        </patternFill>
      </fill>
    </dxf>
    <dxf>
      <fill>
        <patternFill patternType="solid">
          <fgColor indexed="64"/>
          <bgColor rgb="FF4472C4"/>
        </patternFill>
      </fill>
    </dxf>
    <dxf>
      <fill>
        <patternFill patternType="solid">
          <fgColor indexed="64"/>
          <bgColor rgb="FF4472C4"/>
        </patternFill>
      </fill>
    </dxf>
    <dxf>
      <fill>
        <patternFill patternType="solid">
          <fgColor indexed="64"/>
          <bgColor rgb="FF4472C4"/>
        </patternFill>
      </fill>
    </dxf>
    <dxf>
      <fill>
        <patternFill patternType="solid">
          <fgColor indexed="64"/>
          <bgColor rgb="FF4472C4"/>
        </patternFill>
      </fill>
    </dxf>
    <dxf>
      <fill>
        <patternFill patternType="solid">
          <fgColor indexed="64"/>
          <bgColor rgb="FF4472C4"/>
        </patternFill>
      </fill>
    </dxf>
    <dxf>
      <fill>
        <patternFill patternType="solid">
          <fgColor indexed="64"/>
          <bgColor rgb="FF4472C4"/>
        </patternFill>
      </fill>
    </dxf>
    <dxf>
      <font>
        <color rgb="FFFFFFFF"/>
      </font>
    </dxf>
    <dxf>
      <font>
        <color rgb="FFFFFFFF"/>
      </font>
    </dxf>
    <dxf>
      <font>
        <color rgb="FFFFFFFF"/>
      </font>
    </dxf>
    <dxf>
      <font>
        <color rgb="FFFFFFFF"/>
      </font>
    </dxf>
    <dxf>
      <font>
        <color rgb="FFFFFFFF"/>
      </font>
    </dxf>
    <dxf>
      <font>
        <color rgb="FFFFFFFF"/>
      </font>
    </dxf>
    <dxf>
      <font>
        <color rgb="FFFFFFFF"/>
      </font>
    </dxf>
    <dxf>
      <font>
        <b/>
      </font>
    </dxf>
    <dxf>
      <font>
        <b/>
      </font>
    </dxf>
    <dxf>
      <fill>
        <patternFill patternType="solid">
          <fgColor indexed="64"/>
          <bgColor rgb="FF4472C4"/>
        </patternFill>
      </fill>
    </dxf>
    <dxf>
      <fill>
        <patternFill patternType="solid">
          <fgColor indexed="64"/>
          <bgColor rgb="FF4472C4"/>
        </patternFill>
      </fill>
    </dxf>
    <dxf>
      <font>
        <color rgb="FFFFFFFF"/>
      </font>
    </dxf>
    <dxf>
      <font>
        <color rgb="FFFFFFFF"/>
      </font>
    </dxf>
    <dxf>
      <font>
        <b/>
      </font>
    </dxf>
    <dxf>
      <font>
        <b/>
      </font>
    </dxf>
    <dxf>
      <fill>
        <patternFill patternType="solid">
          <fgColor indexed="64"/>
          <bgColor rgb="FF4472C4"/>
        </patternFill>
      </fill>
    </dxf>
    <dxf>
      <fill>
        <patternFill patternType="solid">
          <fgColor indexed="64"/>
          <bgColor rgb="FF4472C4"/>
        </patternFill>
      </fill>
    </dxf>
    <dxf>
      <font>
        <color rgb="FFFFFFFF"/>
      </font>
    </dxf>
    <dxf>
      <font>
        <color rgb="FFFFFFFF"/>
      </font>
    </dxf>
    <dxf>
      <numFmt numFmtId="168" formatCode="[$₹-4009]\ #,##0"/>
    </dxf>
    <dxf>
      <font>
        <b/>
      </font>
    </dxf>
    <dxf>
      <font>
        <b/>
      </font>
    </dxf>
    <dxf>
      <font>
        <b/>
      </font>
    </dxf>
    <dxf>
      <fill>
        <patternFill patternType="solid">
          <fgColor indexed="64"/>
          <bgColor rgb="FF4472C4"/>
        </patternFill>
      </fill>
    </dxf>
    <dxf>
      <fill>
        <patternFill patternType="solid">
          <fgColor indexed="64"/>
          <bgColor rgb="FF4472C4"/>
        </patternFill>
      </fill>
    </dxf>
    <dxf>
      <fill>
        <patternFill patternType="solid">
          <fgColor indexed="64"/>
          <bgColor rgb="FF4472C4"/>
        </patternFill>
      </fill>
    </dxf>
    <dxf>
      <font>
        <color rgb="FFFFFFFF"/>
      </font>
    </dxf>
    <dxf>
      <font>
        <color rgb="FFFFFFFF"/>
      </font>
    </dxf>
    <dxf>
      <font>
        <color rgb="FFFFFFFF"/>
      </font>
    </dxf>
    <dxf>
      <numFmt numFmtId="165" formatCode="\₹#,##0"/>
    </dxf>
    <dxf>
      <font>
        <b/>
      </font>
    </dxf>
    <dxf>
      <font>
        <b/>
      </font>
    </dxf>
    <dxf>
      <font>
        <b/>
      </font>
    </dxf>
    <dxf>
      <font>
        <b/>
      </font>
    </dxf>
    <dxf>
      <fill>
        <patternFill patternType="solid">
          <fgColor indexed="64"/>
          <bgColor rgb="FF4472C4"/>
        </patternFill>
      </fill>
    </dxf>
    <dxf>
      <fill>
        <patternFill patternType="solid">
          <fgColor indexed="64"/>
          <bgColor rgb="FF4472C4"/>
        </patternFill>
      </fill>
    </dxf>
    <dxf>
      <fill>
        <patternFill patternType="solid">
          <fgColor indexed="64"/>
          <bgColor rgb="FF4472C4"/>
        </patternFill>
      </fill>
    </dxf>
    <dxf>
      <fill>
        <patternFill patternType="solid">
          <fgColor indexed="64"/>
          <bgColor rgb="FF4472C4"/>
        </patternFill>
      </fill>
    </dxf>
    <dxf>
      <font>
        <color rgb="FFFFFFFF"/>
      </font>
    </dxf>
    <dxf>
      <font>
        <color rgb="FFFFFFFF"/>
      </font>
    </dxf>
    <dxf>
      <font>
        <color rgb="FFFFFFFF"/>
      </font>
    </dxf>
    <dxf>
      <font>
        <color rgb="FFFFFFFF"/>
      </font>
    </dxf>
    <dxf>
      <font>
        <b/>
      </font>
    </dxf>
    <dxf>
      <font>
        <b/>
      </font>
    </dxf>
    <dxf>
      <font>
        <b/>
      </font>
    </dxf>
    <dxf>
      <font>
        <b/>
      </font>
    </dxf>
    <dxf>
      <font>
        <b/>
      </font>
    </dxf>
    <dxf>
      <font>
        <b/>
      </font>
    </dxf>
    <dxf>
      <font>
        <b/>
      </font>
    </dxf>
    <dxf>
      <fill>
        <patternFill patternType="solid">
          <fgColor indexed="64"/>
          <bgColor rgb="FF4472C4"/>
        </patternFill>
      </fill>
    </dxf>
    <dxf>
      <fill>
        <patternFill patternType="solid">
          <fgColor indexed="64"/>
          <bgColor rgb="FF4472C4"/>
        </patternFill>
      </fill>
    </dxf>
    <dxf>
      <fill>
        <patternFill patternType="solid">
          <fgColor indexed="64"/>
          <bgColor rgb="FF4472C4"/>
        </patternFill>
      </fill>
    </dxf>
    <dxf>
      <fill>
        <patternFill patternType="solid">
          <fgColor indexed="64"/>
          <bgColor rgb="FF4472C4"/>
        </patternFill>
      </fill>
    </dxf>
    <dxf>
      <fill>
        <patternFill patternType="solid">
          <fgColor indexed="64"/>
          <bgColor rgb="FF4472C4"/>
        </patternFill>
      </fill>
    </dxf>
    <dxf>
      <fill>
        <patternFill patternType="solid">
          <fgColor indexed="64"/>
          <bgColor rgb="FF4472C4"/>
        </patternFill>
      </fill>
    </dxf>
    <dxf>
      <fill>
        <patternFill patternType="solid">
          <fgColor indexed="64"/>
          <bgColor rgb="FF4472C4"/>
        </patternFill>
      </fill>
    </dxf>
    <dxf>
      <font>
        <color rgb="FFFFFFFF"/>
      </font>
    </dxf>
    <dxf>
      <font>
        <color rgb="FFFFFFFF"/>
      </font>
    </dxf>
    <dxf>
      <font>
        <color rgb="FFFFFFFF"/>
      </font>
    </dxf>
    <dxf>
      <font>
        <color rgb="FFFFFFFF"/>
      </font>
    </dxf>
    <dxf>
      <font>
        <color rgb="FFFFFFFF"/>
      </font>
    </dxf>
    <dxf>
      <font>
        <color rgb="FFFFFFFF"/>
      </font>
    </dxf>
    <dxf>
      <font>
        <color rgb="FFFFFFFF"/>
      </font>
    </dxf>
    <dxf>
      <font>
        <b/>
      </font>
    </dxf>
    <dxf>
      <font>
        <b/>
      </font>
    </dxf>
    <dxf>
      <fill>
        <patternFill patternType="solid">
          <fgColor indexed="64"/>
          <bgColor rgb="FF4472C4"/>
        </patternFill>
      </fill>
    </dxf>
    <dxf>
      <fill>
        <patternFill patternType="solid">
          <fgColor indexed="64"/>
          <bgColor rgb="FF4472C4"/>
        </patternFill>
      </fill>
    </dxf>
    <dxf>
      <font>
        <color rgb="FFFFFFFF"/>
      </font>
    </dxf>
    <dxf>
      <font>
        <color rgb="FFFFFFFF"/>
      </font>
    </dxf>
    <dxf>
      <font>
        <b/>
      </font>
    </dxf>
    <dxf>
      <font>
        <b/>
      </font>
    </dxf>
    <dxf>
      <fill>
        <patternFill patternType="solid">
          <fgColor indexed="64"/>
          <bgColor rgb="FF4472C4"/>
        </patternFill>
      </fill>
    </dxf>
    <dxf>
      <fill>
        <patternFill patternType="solid">
          <fgColor indexed="64"/>
          <bgColor rgb="FF4472C4"/>
        </patternFill>
      </fill>
    </dxf>
    <dxf>
      <font>
        <color rgb="FFFFFFFF"/>
      </font>
    </dxf>
    <dxf>
      <font>
        <color rgb="FFFFFFFF"/>
      </font>
    </dxf>
    <dxf>
      <numFmt numFmtId="168" formatCode="[$₹-4009]\ #,##0"/>
    </dxf>
    <dxf>
      <font>
        <b/>
      </font>
    </dxf>
    <dxf>
      <font>
        <b/>
      </font>
    </dxf>
    <dxf>
      <font>
        <b/>
      </font>
    </dxf>
    <dxf>
      <fill>
        <patternFill patternType="solid">
          <fgColor indexed="64"/>
          <bgColor rgb="FF4472C4"/>
        </patternFill>
      </fill>
    </dxf>
    <dxf>
      <fill>
        <patternFill patternType="solid">
          <fgColor indexed="64"/>
          <bgColor rgb="FF4472C4"/>
        </patternFill>
      </fill>
    </dxf>
    <dxf>
      <fill>
        <patternFill patternType="solid">
          <fgColor indexed="64"/>
          <bgColor rgb="FF4472C4"/>
        </patternFill>
      </fill>
    </dxf>
    <dxf>
      <font>
        <color rgb="FFFFFFFF"/>
      </font>
    </dxf>
    <dxf>
      <font>
        <color rgb="FFFFFFFF"/>
      </font>
    </dxf>
    <dxf>
      <font>
        <color rgb="FFFFFFFF"/>
      </font>
    </dxf>
    <dxf>
      <numFmt numFmtId="165" formatCode="\₹#,##0"/>
    </dxf>
    <dxf>
      <font>
        <b/>
      </font>
    </dxf>
    <dxf>
      <font>
        <b/>
      </font>
    </dxf>
    <dxf>
      <font>
        <b/>
      </font>
    </dxf>
    <dxf>
      <font>
        <b/>
      </font>
    </dxf>
    <dxf>
      <fill>
        <patternFill patternType="solid">
          <fgColor indexed="64"/>
          <bgColor rgb="FF4472C4"/>
        </patternFill>
      </fill>
    </dxf>
    <dxf>
      <fill>
        <patternFill patternType="solid">
          <fgColor indexed="64"/>
          <bgColor rgb="FF4472C4"/>
        </patternFill>
      </fill>
    </dxf>
    <dxf>
      <fill>
        <patternFill patternType="solid">
          <fgColor indexed="64"/>
          <bgColor rgb="FF4472C4"/>
        </patternFill>
      </fill>
    </dxf>
    <dxf>
      <fill>
        <patternFill patternType="solid">
          <fgColor indexed="64"/>
          <bgColor rgb="FF4472C4"/>
        </patternFill>
      </fill>
    </dxf>
    <dxf>
      <font>
        <color rgb="FFFFFFFF"/>
      </font>
    </dxf>
    <dxf>
      <font>
        <color rgb="FFFFFFFF"/>
      </font>
    </dxf>
    <dxf>
      <font>
        <color rgb="FFFFFFFF"/>
      </font>
    </dxf>
    <dxf>
      <font>
        <color rgb="FFFFFFFF"/>
      </font>
    </dxf>
    <dxf>
      <font>
        <b/>
      </font>
    </dxf>
    <dxf>
      <font>
        <b/>
      </font>
    </dxf>
    <dxf>
      <font>
        <b/>
      </font>
    </dxf>
    <dxf>
      <font>
        <b/>
      </font>
    </dxf>
    <dxf>
      <font>
        <b/>
      </font>
    </dxf>
    <dxf>
      <font>
        <b/>
      </font>
    </dxf>
    <dxf>
      <font>
        <b/>
      </font>
    </dxf>
    <dxf>
      <fill>
        <patternFill patternType="solid">
          <fgColor indexed="64"/>
          <bgColor rgb="FF4472C4"/>
        </patternFill>
      </fill>
    </dxf>
    <dxf>
      <fill>
        <patternFill patternType="solid">
          <fgColor indexed="64"/>
          <bgColor rgb="FF4472C4"/>
        </patternFill>
      </fill>
    </dxf>
    <dxf>
      <fill>
        <patternFill patternType="solid">
          <fgColor indexed="64"/>
          <bgColor rgb="FF4472C4"/>
        </patternFill>
      </fill>
    </dxf>
    <dxf>
      <fill>
        <patternFill patternType="solid">
          <fgColor indexed="64"/>
          <bgColor rgb="FF4472C4"/>
        </patternFill>
      </fill>
    </dxf>
    <dxf>
      <fill>
        <patternFill patternType="solid">
          <fgColor indexed="64"/>
          <bgColor rgb="FF4472C4"/>
        </patternFill>
      </fill>
    </dxf>
    <dxf>
      <fill>
        <patternFill patternType="solid">
          <fgColor indexed="64"/>
          <bgColor rgb="FF4472C4"/>
        </patternFill>
      </fill>
    </dxf>
    <dxf>
      <fill>
        <patternFill patternType="solid">
          <fgColor indexed="64"/>
          <bgColor rgb="FF4472C4"/>
        </patternFill>
      </fill>
    </dxf>
    <dxf>
      <font>
        <color rgb="FFFFFFFF"/>
      </font>
    </dxf>
    <dxf>
      <font>
        <color rgb="FFFFFFFF"/>
      </font>
    </dxf>
    <dxf>
      <font>
        <color rgb="FFFFFFFF"/>
      </font>
    </dxf>
    <dxf>
      <font>
        <color rgb="FFFFFFFF"/>
      </font>
    </dxf>
    <dxf>
      <font>
        <color rgb="FFFFFFFF"/>
      </font>
    </dxf>
    <dxf>
      <font>
        <color rgb="FFFFFFFF"/>
      </font>
    </dxf>
    <dxf>
      <font>
        <color rgb="FFFFFFFF"/>
      </font>
    </dxf>
    <dxf>
      <font>
        <b/>
      </font>
    </dxf>
    <dxf>
      <font>
        <b/>
      </font>
    </dxf>
    <dxf>
      <fill>
        <patternFill patternType="solid">
          <fgColor indexed="64"/>
          <bgColor rgb="FF4472C4"/>
        </patternFill>
      </fill>
    </dxf>
    <dxf>
      <fill>
        <patternFill patternType="solid">
          <fgColor indexed="64"/>
          <bgColor rgb="FF4472C4"/>
        </patternFill>
      </fill>
    </dxf>
    <dxf>
      <font>
        <color rgb="FFFFFFFF"/>
      </font>
    </dxf>
    <dxf>
      <font>
        <color rgb="FFFFFFFF"/>
      </font>
    </dxf>
    <dxf>
      <font>
        <b/>
      </font>
    </dxf>
    <dxf>
      <font>
        <b/>
      </font>
    </dxf>
    <dxf>
      <fill>
        <patternFill patternType="solid">
          <fgColor indexed="64"/>
          <bgColor rgb="FF4472C4"/>
        </patternFill>
      </fill>
    </dxf>
    <dxf>
      <fill>
        <patternFill patternType="solid">
          <fgColor indexed="64"/>
          <bgColor rgb="FF4472C4"/>
        </patternFill>
      </fill>
    </dxf>
    <dxf>
      <font>
        <color rgb="FFFFFFFF"/>
      </font>
    </dxf>
    <dxf>
      <font>
        <color rgb="FFFFFFFF"/>
      </font>
    </dxf>
    <dxf>
      <numFmt numFmtId="168" formatCode="[$₹-4009]\ #,##0"/>
    </dxf>
    <dxf>
      <font>
        <b/>
      </font>
    </dxf>
    <dxf>
      <font>
        <b/>
      </font>
    </dxf>
    <dxf>
      <font>
        <b/>
      </font>
    </dxf>
    <dxf>
      <fill>
        <patternFill patternType="solid">
          <fgColor indexed="64"/>
          <bgColor rgb="FF4472C4"/>
        </patternFill>
      </fill>
    </dxf>
    <dxf>
      <fill>
        <patternFill patternType="solid">
          <fgColor indexed="64"/>
          <bgColor rgb="FF4472C4"/>
        </patternFill>
      </fill>
    </dxf>
    <dxf>
      <fill>
        <patternFill patternType="solid">
          <fgColor indexed="64"/>
          <bgColor rgb="FF4472C4"/>
        </patternFill>
      </fill>
    </dxf>
    <dxf>
      <font>
        <color rgb="FFFFFFFF"/>
      </font>
    </dxf>
    <dxf>
      <font>
        <color rgb="FFFFFFFF"/>
      </font>
    </dxf>
    <dxf>
      <font>
        <color rgb="FFFFFFFF"/>
      </font>
    </dxf>
    <dxf>
      <numFmt numFmtId="165" formatCode="\₹#,##0"/>
    </dxf>
    <dxf>
      <font>
        <b/>
      </font>
    </dxf>
    <dxf>
      <font>
        <b/>
      </font>
    </dxf>
    <dxf>
      <font>
        <b/>
      </font>
    </dxf>
    <dxf>
      <font>
        <b/>
      </font>
    </dxf>
    <dxf>
      <fill>
        <patternFill patternType="solid">
          <fgColor indexed="64"/>
          <bgColor rgb="FF4472C4"/>
        </patternFill>
      </fill>
    </dxf>
    <dxf>
      <fill>
        <patternFill patternType="solid">
          <fgColor indexed="64"/>
          <bgColor rgb="FF4472C4"/>
        </patternFill>
      </fill>
    </dxf>
    <dxf>
      <fill>
        <patternFill patternType="solid">
          <fgColor indexed="64"/>
          <bgColor rgb="FF4472C4"/>
        </patternFill>
      </fill>
    </dxf>
    <dxf>
      <fill>
        <patternFill patternType="solid">
          <fgColor indexed="64"/>
          <bgColor rgb="FF4472C4"/>
        </patternFill>
      </fill>
    </dxf>
    <dxf>
      <font>
        <color rgb="FFFFFFFF"/>
      </font>
    </dxf>
    <dxf>
      <font>
        <color rgb="FFFFFFFF"/>
      </font>
    </dxf>
    <dxf>
      <font>
        <color rgb="FFFFFFFF"/>
      </font>
    </dxf>
    <dxf>
      <font>
        <color rgb="FFFFFFFF"/>
      </font>
    </dxf>
    <dxf>
      <font>
        <b/>
      </font>
    </dxf>
    <dxf>
      <font>
        <b/>
      </font>
    </dxf>
    <dxf>
      <font>
        <b/>
      </font>
    </dxf>
    <dxf>
      <font>
        <b/>
      </font>
    </dxf>
    <dxf>
      <font>
        <b/>
      </font>
    </dxf>
    <dxf>
      <font>
        <b/>
      </font>
    </dxf>
    <dxf>
      <font>
        <b/>
      </font>
    </dxf>
    <dxf>
      <fill>
        <patternFill patternType="solid">
          <fgColor indexed="64"/>
          <bgColor rgb="FF4472C4"/>
        </patternFill>
      </fill>
    </dxf>
    <dxf>
      <fill>
        <patternFill patternType="solid">
          <fgColor indexed="64"/>
          <bgColor rgb="FF4472C4"/>
        </patternFill>
      </fill>
    </dxf>
    <dxf>
      <fill>
        <patternFill patternType="solid">
          <fgColor indexed="64"/>
          <bgColor rgb="FF4472C4"/>
        </patternFill>
      </fill>
    </dxf>
    <dxf>
      <fill>
        <patternFill patternType="solid">
          <fgColor indexed="64"/>
          <bgColor rgb="FF4472C4"/>
        </patternFill>
      </fill>
    </dxf>
    <dxf>
      <fill>
        <patternFill patternType="solid">
          <fgColor indexed="64"/>
          <bgColor rgb="FF4472C4"/>
        </patternFill>
      </fill>
    </dxf>
    <dxf>
      <fill>
        <patternFill patternType="solid">
          <fgColor indexed="64"/>
          <bgColor rgb="FF4472C4"/>
        </patternFill>
      </fill>
    </dxf>
    <dxf>
      <fill>
        <patternFill patternType="solid">
          <fgColor indexed="64"/>
          <bgColor rgb="FF4472C4"/>
        </patternFill>
      </fill>
    </dxf>
    <dxf>
      <font>
        <color rgb="FFFFFFFF"/>
      </font>
    </dxf>
    <dxf>
      <font>
        <color rgb="FFFFFFFF"/>
      </font>
    </dxf>
    <dxf>
      <font>
        <color rgb="FFFFFFFF"/>
      </font>
    </dxf>
    <dxf>
      <font>
        <color rgb="FFFFFFFF"/>
      </font>
    </dxf>
    <dxf>
      <font>
        <color rgb="FFFFFFFF"/>
      </font>
    </dxf>
    <dxf>
      <font>
        <color rgb="FFFFFFFF"/>
      </font>
    </dxf>
    <dxf>
      <font>
        <color rgb="FFFFFFFF"/>
      </font>
    </dxf>
    <dxf>
      <font>
        <b/>
      </font>
    </dxf>
    <dxf>
      <font>
        <b/>
      </font>
    </dxf>
    <dxf>
      <fill>
        <patternFill patternType="solid">
          <fgColor indexed="64"/>
          <bgColor rgb="FF4472C4"/>
        </patternFill>
      </fill>
    </dxf>
    <dxf>
      <fill>
        <patternFill patternType="solid">
          <fgColor indexed="64"/>
          <bgColor rgb="FF4472C4"/>
        </patternFill>
      </fill>
    </dxf>
    <dxf>
      <font>
        <color rgb="FFFFFFFF"/>
      </font>
    </dxf>
    <dxf>
      <font>
        <color rgb="FFFFFFFF"/>
      </font>
    </dxf>
    <dxf>
      <font>
        <b/>
      </font>
    </dxf>
    <dxf>
      <font>
        <b/>
      </font>
    </dxf>
    <dxf>
      <fill>
        <patternFill patternType="solid">
          <fgColor indexed="64"/>
          <bgColor rgb="FF4472C4"/>
        </patternFill>
      </fill>
    </dxf>
    <dxf>
      <fill>
        <patternFill patternType="solid">
          <fgColor indexed="64"/>
          <bgColor rgb="FF4472C4"/>
        </patternFill>
      </fill>
    </dxf>
    <dxf>
      <font>
        <color rgb="FFFFFFFF"/>
      </font>
    </dxf>
    <dxf>
      <font>
        <color rgb="FFFFFFFF"/>
      </font>
    </dxf>
    <dxf>
      <numFmt numFmtId="168" formatCode="[$₹-4009]\ #,##0"/>
    </dxf>
    <dxf>
      <font>
        <b/>
      </font>
    </dxf>
    <dxf>
      <font>
        <b/>
      </font>
    </dxf>
    <dxf>
      <font>
        <b/>
      </font>
    </dxf>
    <dxf>
      <fill>
        <patternFill patternType="solid">
          <fgColor indexed="64"/>
          <bgColor rgb="FF4472C4"/>
        </patternFill>
      </fill>
    </dxf>
    <dxf>
      <fill>
        <patternFill patternType="solid">
          <fgColor indexed="64"/>
          <bgColor rgb="FF4472C4"/>
        </patternFill>
      </fill>
    </dxf>
    <dxf>
      <fill>
        <patternFill patternType="solid">
          <fgColor indexed="64"/>
          <bgColor rgb="FF4472C4"/>
        </patternFill>
      </fill>
    </dxf>
    <dxf>
      <font>
        <color rgb="FFFFFFFF"/>
      </font>
    </dxf>
    <dxf>
      <font>
        <color rgb="FFFFFFFF"/>
      </font>
    </dxf>
    <dxf>
      <font>
        <color rgb="FFFFFFFF"/>
      </font>
    </dxf>
    <dxf>
      <numFmt numFmtId="165" formatCode="\₹#,##0"/>
    </dxf>
    <dxf>
      <font>
        <b/>
      </font>
    </dxf>
    <dxf>
      <font>
        <b/>
      </font>
    </dxf>
    <dxf>
      <font>
        <b/>
      </font>
    </dxf>
    <dxf>
      <font>
        <b/>
      </font>
    </dxf>
    <dxf>
      <fill>
        <patternFill patternType="solid">
          <fgColor indexed="64"/>
          <bgColor rgb="FF4472C4"/>
        </patternFill>
      </fill>
    </dxf>
    <dxf>
      <fill>
        <patternFill patternType="solid">
          <fgColor indexed="64"/>
          <bgColor rgb="FF4472C4"/>
        </patternFill>
      </fill>
    </dxf>
    <dxf>
      <fill>
        <patternFill patternType="solid">
          <fgColor indexed="64"/>
          <bgColor rgb="FF4472C4"/>
        </patternFill>
      </fill>
    </dxf>
    <dxf>
      <fill>
        <patternFill patternType="solid">
          <fgColor indexed="64"/>
          <bgColor rgb="FF4472C4"/>
        </patternFill>
      </fill>
    </dxf>
    <dxf>
      <font>
        <color rgb="FFFFFFFF"/>
      </font>
    </dxf>
    <dxf>
      <font>
        <color rgb="FFFFFFFF"/>
      </font>
    </dxf>
    <dxf>
      <font>
        <color rgb="FFFFFFFF"/>
      </font>
    </dxf>
    <dxf>
      <font>
        <color rgb="FFFFFFFF"/>
      </font>
    </dxf>
    <dxf>
      <font>
        <b/>
      </font>
    </dxf>
    <dxf>
      <font>
        <b/>
      </font>
    </dxf>
    <dxf>
      <font>
        <b/>
      </font>
    </dxf>
    <dxf>
      <font>
        <b/>
      </font>
    </dxf>
    <dxf>
      <font>
        <b/>
      </font>
    </dxf>
    <dxf>
      <font>
        <b/>
      </font>
    </dxf>
    <dxf>
      <font>
        <b/>
      </font>
    </dxf>
    <dxf>
      <fill>
        <patternFill patternType="solid">
          <fgColor indexed="64"/>
          <bgColor rgb="FF4472C4"/>
        </patternFill>
      </fill>
    </dxf>
    <dxf>
      <fill>
        <patternFill patternType="solid">
          <fgColor indexed="64"/>
          <bgColor rgb="FF4472C4"/>
        </patternFill>
      </fill>
    </dxf>
    <dxf>
      <fill>
        <patternFill patternType="solid">
          <fgColor indexed="64"/>
          <bgColor rgb="FF4472C4"/>
        </patternFill>
      </fill>
    </dxf>
    <dxf>
      <fill>
        <patternFill patternType="solid">
          <fgColor indexed="64"/>
          <bgColor rgb="FF4472C4"/>
        </patternFill>
      </fill>
    </dxf>
    <dxf>
      <fill>
        <patternFill patternType="solid">
          <fgColor indexed="64"/>
          <bgColor rgb="FF4472C4"/>
        </patternFill>
      </fill>
    </dxf>
    <dxf>
      <fill>
        <patternFill patternType="solid">
          <fgColor indexed="64"/>
          <bgColor rgb="FF4472C4"/>
        </patternFill>
      </fill>
    </dxf>
    <dxf>
      <fill>
        <patternFill patternType="solid">
          <fgColor indexed="64"/>
          <bgColor rgb="FF4472C4"/>
        </patternFill>
      </fill>
    </dxf>
    <dxf>
      <font>
        <color rgb="FFFFFFFF"/>
      </font>
    </dxf>
    <dxf>
      <font>
        <color rgb="FFFFFFFF"/>
      </font>
    </dxf>
    <dxf>
      <font>
        <color rgb="FFFFFFFF"/>
      </font>
    </dxf>
    <dxf>
      <font>
        <color rgb="FFFFFFFF"/>
      </font>
    </dxf>
    <dxf>
      <font>
        <color rgb="FFFFFFFF"/>
      </font>
    </dxf>
    <dxf>
      <font>
        <color rgb="FFFFFFFF"/>
      </font>
    </dxf>
    <dxf>
      <font>
        <color rgb="FFFFFFFF"/>
      </font>
    </dxf>
    <dxf>
      <font>
        <b/>
      </font>
    </dxf>
    <dxf>
      <font>
        <b/>
      </font>
    </dxf>
    <dxf>
      <fill>
        <patternFill patternType="solid">
          <fgColor indexed="64"/>
          <bgColor rgb="FF4472C4"/>
        </patternFill>
      </fill>
    </dxf>
    <dxf>
      <fill>
        <patternFill patternType="solid">
          <fgColor indexed="64"/>
          <bgColor rgb="FF4472C4"/>
        </patternFill>
      </fill>
    </dxf>
    <dxf>
      <font>
        <color rgb="FFFFFFFF"/>
      </font>
    </dxf>
    <dxf>
      <font>
        <color rgb="FFFFFFFF"/>
      </font>
    </dxf>
    <dxf>
      <font>
        <b/>
      </font>
    </dxf>
    <dxf>
      <font>
        <b/>
      </font>
    </dxf>
    <dxf>
      <fill>
        <patternFill patternType="solid">
          <fgColor indexed="64"/>
          <bgColor rgb="FF4472C4"/>
        </patternFill>
      </fill>
    </dxf>
    <dxf>
      <fill>
        <patternFill patternType="solid">
          <fgColor indexed="64"/>
          <bgColor rgb="FF4472C4"/>
        </patternFill>
      </fill>
    </dxf>
    <dxf>
      <font>
        <color rgb="FFFFFFFF"/>
      </font>
    </dxf>
    <dxf>
      <font>
        <color rgb="FFFFFFFF"/>
      </font>
    </dxf>
    <dxf>
      <numFmt numFmtId="168" formatCode="[$₹-4009]\ #,##0"/>
    </dxf>
    <dxf>
      <font>
        <b/>
      </font>
    </dxf>
    <dxf>
      <font>
        <b/>
      </font>
    </dxf>
    <dxf>
      <font>
        <b/>
      </font>
    </dxf>
    <dxf>
      <fill>
        <patternFill patternType="solid">
          <fgColor indexed="64"/>
          <bgColor rgb="FF4472C4"/>
        </patternFill>
      </fill>
    </dxf>
    <dxf>
      <fill>
        <patternFill patternType="solid">
          <fgColor indexed="64"/>
          <bgColor rgb="FF4472C4"/>
        </patternFill>
      </fill>
    </dxf>
    <dxf>
      <fill>
        <patternFill patternType="solid">
          <fgColor indexed="64"/>
          <bgColor rgb="FF4472C4"/>
        </patternFill>
      </fill>
    </dxf>
    <dxf>
      <font>
        <color rgb="FFFFFFFF"/>
      </font>
    </dxf>
    <dxf>
      <font>
        <color rgb="FFFFFFFF"/>
      </font>
    </dxf>
    <dxf>
      <font>
        <color rgb="FFFFFFFF"/>
      </font>
    </dxf>
    <dxf>
      <numFmt numFmtId="165" formatCode="\₹#,##0"/>
    </dxf>
    <dxf>
      <font>
        <b/>
      </font>
    </dxf>
    <dxf>
      <font>
        <b/>
      </font>
    </dxf>
    <dxf>
      <font>
        <b/>
      </font>
    </dxf>
    <dxf>
      <font>
        <b/>
      </font>
    </dxf>
    <dxf>
      <fill>
        <patternFill patternType="solid">
          <fgColor indexed="64"/>
          <bgColor rgb="FF4472C4"/>
        </patternFill>
      </fill>
    </dxf>
    <dxf>
      <fill>
        <patternFill patternType="solid">
          <fgColor indexed="64"/>
          <bgColor rgb="FF4472C4"/>
        </patternFill>
      </fill>
    </dxf>
    <dxf>
      <fill>
        <patternFill patternType="solid">
          <fgColor indexed="64"/>
          <bgColor rgb="FF4472C4"/>
        </patternFill>
      </fill>
    </dxf>
    <dxf>
      <fill>
        <patternFill patternType="solid">
          <fgColor indexed="64"/>
          <bgColor rgb="FF4472C4"/>
        </patternFill>
      </fill>
    </dxf>
    <dxf>
      <font>
        <color rgb="FFFFFFFF"/>
      </font>
    </dxf>
    <dxf>
      <font>
        <color rgb="FFFFFFFF"/>
      </font>
    </dxf>
    <dxf>
      <font>
        <color rgb="FFFFFFFF"/>
      </font>
    </dxf>
    <dxf>
      <font>
        <color rgb="FFFFFFFF"/>
      </font>
    </dxf>
    <dxf>
      <font>
        <b/>
      </font>
    </dxf>
    <dxf>
      <font>
        <b/>
      </font>
    </dxf>
    <dxf>
      <font>
        <b/>
      </font>
    </dxf>
    <dxf>
      <font>
        <b/>
      </font>
    </dxf>
    <dxf>
      <font>
        <b/>
      </font>
    </dxf>
    <dxf>
      <font>
        <b/>
      </font>
    </dxf>
    <dxf>
      <font>
        <b/>
      </font>
    </dxf>
    <dxf>
      <fill>
        <patternFill patternType="solid">
          <fgColor indexed="64"/>
          <bgColor rgb="FF4472C4"/>
        </patternFill>
      </fill>
    </dxf>
    <dxf>
      <fill>
        <patternFill patternType="solid">
          <fgColor indexed="64"/>
          <bgColor rgb="FF4472C4"/>
        </patternFill>
      </fill>
    </dxf>
    <dxf>
      <fill>
        <patternFill patternType="solid">
          <fgColor indexed="64"/>
          <bgColor rgb="FF4472C4"/>
        </patternFill>
      </fill>
    </dxf>
    <dxf>
      <fill>
        <patternFill patternType="solid">
          <fgColor indexed="64"/>
          <bgColor rgb="FF4472C4"/>
        </patternFill>
      </fill>
    </dxf>
    <dxf>
      <fill>
        <patternFill patternType="solid">
          <fgColor indexed="64"/>
          <bgColor rgb="FF4472C4"/>
        </patternFill>
      </fill>
    </dxf>
    <dxf>
      <fill>
        <patternFill patternType="solid">
          <fgColor indexed="64"/>
          <bgColor rgb="FF4472C4"/>
        </patternFill>
      </fill>
    </dxf>
    <dxf>
      <fill>
        <patternFill patternType="solid">
          <fgColor indexed="64"/>
          <bgColor rgb="FF4472C4"/>
        </patternFill>
      </fill>
    </dxf>
    <dxf>
      <font>
        <color rgb="FFFFFFFF"/>
      </font>
    </dxf>
    <dxf>
      <font>
        <color rgb="FFFFFFFF"/>
      </font>
    </dxf>
    <dxf>
      <font>
        <color rgb="FFFFFFFF"/>
      </font>
    </dxf>
    <dxf>
      <font>
        <color rgb="FFFFFFFF"/>
      </font>
    </dxf>
    <dxf>
      <font>
        <color rgb="FFFFFFFF"/>
      </font>
    </dxf>
    <dxf>
      <font>
        <color rgb="FFFFFFFF"/>
      </font>
    </dxf>
    <dxf>
      <font>
        <color rgb="FFFFFFFF"/>
      </font>
    </dxf>
    <dxf>
      <font>
        <b/>
      </font>
    </dxf>
    <dxf>
      <font>
        <b/>
      </font>
    </dxf>
    <dxf>
      <fill>
        <patternFill patternType="solid">
          <fgColor indexed="64"/>
          <bgColor rgb="FF4472C4"/>
        </patternFill>
      </fill>
    </dxf>
    <dxf>
      <fill>
        <patternFill patternType="solid">
          <fgColor indexed="64"/>
          <bgColor rgb="FF4472C4"/>
        </patternFill>
      </fill>
    </dxf>
    <dxf>
      <font>
        <color rgb="FFFFFFFF"/>
      </font>
    </dxf>
    <dxf>
      <font>
        <color rgb="FFFFFFFF"/>
      </font>
    </dxf>
    <dxf>
      <font>
        <b/>
      </font>
    </dxf>
    <dxf>
      <font>
        <b/>
      </font>
    </dxf>
    <dxf>
      <fill>
        <patternFill patternType="solid">
          <fgColor indexed="64"/>
          <bgColor rgb="FF4472C4"/>
        </patternFill>
      </fill>
    </dxf>
    <dxf>
      <fill>
        <patternFill patternType="solid">
          <fgColor indexed="64"/>
          <bgColor rgb="FF4472C4"/>
        </patternFill>
      </fill>
    </dxf>
    <dxf>
      <font>
        <color rgb="FFFFFFFF"/>
      </font>
    </dxf>
    <dxf>
      <font>
        <color rgb="FFFFFFFF"/>
      </font>
    </dxf>
    <dxf>
      <numFmt numFmtId="168" formatCode="[$₹-4009]\ #,##0"/>
    </dxf>
    <dxf>
      <font>
        <b/>
      </font>
    </dxf>
    <dxf>
      <font>
        <b/>
      </font>
    </dxf>
    <dxf>
      <font>
        <b/>
      </font>
    </dxf>
    <dxf>
      <fill>
        <patternFill patternType="solid">
          <fgColor indexed="64"/>
          <bgColor rgb="FF4472C4"/>
        </patternFill>
      </fill>
    </dxf>
    <dxf>
      <fill>
        <patternFill patternType="solid">
          <fgColor indexed="64"/>
          <bgColor rgb="FF4472C4"/>
        </patternFill>
      </fill>
    </dxf>
    <dxf>
      <fill>
        <patternFill patternType="solid">
          <fgColor indexed="64"/>
          <bgColor rgb="FF4472C4"/>
        </patternFill>
      </fill>
    </dxf>
    <dxf>
      <font>
        <color rgb="FFFFFFFF"/>
      </font>
    </dxf>
    <dxf>
      <font>
        <color rgb="FFFFFFFF"/>
      </font>
    </dxf>
    <dxf>
      <font>
        <color rgb="FFFFFFFF"/>
      </font>
    </dxf>
    <dxf>
      <numFmt numFmtId="165" formatCode="\₹#,##0"/>
    </dxf>
    <dxf>
      <font>
        <b/>
      </font>
    </dxf>
    <dxf>
      <font>
        <b/>
      </font>
    </dxf>
    <dxf>
      <font>
        <b/>
      </font>
    </dxf>
    <dxf>
      <font>
        <b/>
      </font>
    </dxf>
    <dxf>
      <fill>
        <patternFill patternType="solid">
          <fgColor indexed="64"/>
          <bgColor rgb="FF4472C4"/>
        </patternFill>
      </fill>
    </dxf>
    <dxf>
      <fill>
        <patternFill patternType="solid">
          <fgColor indexed="64"/>
          <bgColor rgb="FF4472C4"/>
        </patternFill>
      </fill>
    </dxf>
    <dxf>
      <fill>
        <patternFill patternType="solid">
          <fgColor indexed="64"/>
          <bgColor rgb="FF4472C4"/>
        </patternFill>
      </fill>
    </dxf>
    <dxf>
      <fill>
        <patternFill patternType="solid">
          <fgColor indexed="64"/>
          <bgColor rgb="FF4472C4"/>
        </patternFill>
      </fill>
    </dxf>
    <dxf>
      <font>
        <color rgb="FFFFFFFF"/>
      </font>
    </dxf>
    <dxf>
      <font>
        <color rgb="FFFFFFFF"/>
      </font>
    </dxf>
    <dxf>
      <font>
        <color rgb="FFFFFFFF"/>
      </font>
    </dxf>
    <dxf>
      <font>
        <color rgb="FFFFFFFF"/>
      </font>
    </dxf>
    <dxf>
      <font>
        <b/>
      </font>
    </dxf>
    <dxf>
      <font>
        <b/>
      </font>
    </dxf>
    <dxf>
      <font>
        <b/>
      </font>
    </dxf>
    <dxf>
      <font>
        <b/>
      </font>
    </dxf>
    <dxf>
      <font>
        <b/>
      </font>
    </dxf>
    <dxf>
      <font>
        <b/>
      </font>
    </dxf>
    <dxf>
      <font>
        <b/>
      </font>
    </dxf>
    <dxf>
      <fill>
        <patternFill patternType="solid">
          <fgColor indexed="64"/>
          <bgColor rgb="FF4472C4"/>
        </patternFill>
      </fill>
    </dxf>
    <dxf>
      <fill>
        <patternFill patternType="solid">
          <fgColor indexed="64"/>
          <bgColor rgb="FF4472C4"/>
        </patternFill>
      </fill>
    </dxf>
    <dxf>
      <fill>
        <patternFill patternType="solid">
          <fgColor indexed="64"/>
          <bgColor rgb="FF4472C4"/>
        </patternFill>
      </fill>
    </dxf>
    <dxf>
      <fill>
        <patternFill patternType="solid">
          <fgColor indexed="64"/>
          <bgColor rgb="FF4472C4"/>
        </patternFill>
      </fill>
    </dxf>
    <dxf>
      <fill>
        <patternFill patternType="solid">
          <fgColor indexed="64"/>
          <bgColor rgb="FF4472C4"/>
        </patternFill>
      </fill>
    </dxf>
    <dxf>
      <fill>
        <patternFill patternType="solid">
          <fgColor indexed="64"/>
          <bgColor rgb="FF4472C4"/>
        </patternFill>
      </fill>
    </dxf>
    <dxf>
      <fill>
        <patternFill patternType="solid">
          <fgColor indexed="64"/>
          <bgColor rgb="FF4472C4"/>
        </patternFill>
      </fill>
    </dxf>
    <dxf>
      <font>
        <color rgb="FFFFFFFF"/>
      </font>
    </dxf>
    <dxf>
      <font>
        <color rgb="FFFFFFFF"/>
      </font>
    </dxf>
    <dxf>
      <font>
        <color rgb="FFFFFFFF"/>
      </font>
    </dxf>
    <dxf>
      <font>
        <color rgb="FFFFFFFF"/>
      </font>
    </dxf>
    <dxf>
      <font>
        <color rgb="FFFFFFFF"/>
      </font>
    </dxf>
    <dxf>
      <font>
        <color rgb="FFFFFFFF"/>
      </font>
    </dxf>
    <dxf>
      <font>
        <color rgb="FFFFFFFF"/>
      </font>
    </dxf>
    <dxf>
      <font>
        <b/>
      </font>
    </dxf>
    <dxf>
      <font>
        <b/>
      </font>
    </dxf>
    <dxf>
      <fill>
        <patternFill patternType="solid">
          <fgColor indexed="64"/>
          <bgColor rgb="FF4472C4"/>
        </patternFill>
      </fill>
    </dxf>
    <dxf>
      <fill>
        <patternFill patternType="solid">
          <fgColor indexed="64"/>
          <bgColor rgb="FF4472C4"/>
        </patternFill>
      </fill>
    </dxf>
    <dxf>
      <font>
        <color rgb="FFFFFFFF"/>
      </font>
    </dxf>
    <dxf>
      <font>
        <color rgb="FFFFFFFF"/>
      </font>
    </dxf>
    <dxf>
      <font>
        <b/>
      </font>
    </dxf>
    <dxf>
      <font>
        <b/>
      </font>
    </dxf>
    <dxf>
      <fill>
        <patternFill patternType="solid">
          <fgColor indexed="64"/>
          <bgColor rgb="FF4472C4"/>
        </patternFill>
      </fill>
    </dxf>
    <dxf>
      <fill>
        <patternFill patternType="solid">
          <fgColor indexed="64"/>
          <bgColor rgb="FF4472C4"/>
        </patternFill>
      </fill>
    </dxf>
    <dxf>
      <font>
        <color rgb="FFFFFFFF"/>
      </font>
    </dxf>
    <dxf>
      <font>
        <color rgb="FFFFFFFF"/>
      </font>
    </dxf>
    <dxf>
      <numFmt numFmtId="164" formatCode="yyyy\-mm\-dd"/>
    </dxf>
    <dxf>
      <border>
        <top style="thin">
          <color auto="1"/>
        </top>
      </border>
    </dxf>
    <dxf>
      <border>
        <bottom style="thin">
          <color auto="1"/>
        </bottom>
      </border>
    </dxf>
    <dxf>
      <font>
        <b/>
        <i val="0"/>
        <strike val="0"/>
        <condense val="0"/>
        <extend val="0"/>
        <outline val="0"/>
        <shadow val="0"/>
        <u val="none"/>
        <vertAlign val="baseline"/>
        <sz val="11"/>
        <color rgb="FFFFFFFF"/>
        <name val="Calibri"/>
        <scheme val="none"/>
      </font>
      <fill>
        <patternFill patternType="solid">
          <fgColor indexed="64"/>
          <bgColor rgb="FF1F4E78"/>
        </patternFill>
      </fill>
      <alignment horizontal="center" vertical="bottom" textRotation="0" wrapText="0" indent="0" justifyLastLine="0" shrinkToFit="0" readingOrder="0"/>
      <border diagonalUp="0" diagonalDown="0">
        <left style="thin">
          <color auto="1"/>
        </left>
        <right style="thin">
          <color auto="1"/>
        </right>
        <top/>
        <bottom/>
        <vertical style="thin">
          <color auto="1"/>
        </vertical>
      </border>
    </dxf>
    <dxf>
      <numFmt numFmtId="168" formatCode="[$₹-4009]\ #,##0"/>
    </dxf>
    <dxf>
      <numFmt numFmtId="168" formatCode="[$₹-4009]\ #,##0"/>
    </dxf>
    <dxf>
      <alignment horizontal="left" vertical="bottom" textRotation="0" wrapText="0" indent="0" justifyLastLine="0" shrinkToFit="0" readingOrder="0"/>
    </dxf>
    <dxf>
      <border outline="0">
        <top style="thin">
          <color auto="1"/>
        </top>
      </border>
    </dxf>
    <dxf>
      <border outline="0">
        <bottom style="thin">
          <color auto="1"/>
        </bottom>
      </border>
    </dxf>
    <dxf>
      <font>
        <b/>
        <i val="0"/>
        <strike val="0"/>
        <condense val="0"/>
        <extend val="0"/>
        <outline val="0"/>
        <shadow val="0"/>
        <u val="none"/>
        <vertAlign val="baseline"/>
        <sz val="11"/>
        <color rgb="FFFFFFFF"/>
        <name val="Calibri"/>
        <family val="2"/>
        <scheme val="minor"/>
      </font>
      <fill>
        <patternFill patternType="solid">
          <fgColor indexed="64"/>
          <bgColor rgb="FF4472C4"/>
        </patternFill>
      </fill>
      <border diagonalUp="0" diagonalDown="0" outline="0">
        <left style="thin">
          <color auto="1"/>
        </left>
        <right style="thin">
          <color auto="1"/>
        </right>
        <top/>
        <bottom/>
      </border>
    </dxf>
    <dxf>
      <font>
        <color rgb="FFFFFFFF"/>
      </font>
    </dxf>
    <dxf>
      <fill>
        <patternFill patternType="solid">
          <fgColor indexed="64"/>
          <bgColor rgb="FF4472C4"/>
        </patternFill>
      </fill>
    </dxf>
    <dxf>
      <font>
        <b/>
      </font>
    </dxf>
    <dxf>
      <numFmt numFmtId="165" formatCode="\₹#,##0"/>
    </dxf>
    <dxf>
      <numFmt numFmtId="166" formatCode="0.0%"/>
    </dxf>
    <dxf>
      <numFmt numFmtId="165" formatCode="\₹#,##0"/>
    </dxf>
    <dxf>
      <font>
        <color rgb="FFFFFFFF"/>
      </font>
    </dxf>
    <dxf>
      <font>
        <color rgb="FFFFFFFF"/>
      </font>
    </dxf>
    <dxf>
      <font>
        <color rgb="FFFFFFFF"/>
      </font>
    </dxf>
    <dxf>
      <font>
        <color rgb="FFFFFFFF"/>
      </font>
    </dxf>
    <dxf>
      <font>
        <color rgb="FFFFFFFF"/>
      </font>
    </dxf>
    <dxf>
      <font>
        <color rgb="FFFFFFFF"/>
      </font>
    </dxf>
    <dxf>
      <font>
        <color rgb="FFFFFFFF"/>
      </font>
    </dxf>
    <dxf>
      <fill>
        <patternFill patternType="solid">
          <fgColor indexed="64"/>
          <bgColor rgb="FF4472C4"/>
        </patternFill>
      </fill>
    </dxf>
    <dxf>
      <fill>
        <patternFill patternType="solid">
          <fgColor indexed="64"/>
          <bgColor rgb="FF4472C4"/>
        </patternFill>
      </fill>
    </dxf>
    <dxf>
      <fill>
        <patternFill patternType="solid">
          <fgColor indexed="64"/>
          <bgColor rgb="FF4472C4"/>
        </patternFill>
      </fill>
    </dxf>
    <dxf>
      <fill>
        <patternFill patternType="solid">
          <fgColor indexed="64"/>
          <bgColor rgb="FF4472C4"/>
        </patternFill>
      </fill>
    </dxf>
    <dxf>
      <fill>
        <patternFill patternType="solid">
          <fgColor indexed="64"/>
          <bgColor rgb="FF4472C4"/>
        </patternFill>
      </fill>
    </dxf>
    <dxf>
      <fill>
        <patternFill patternType="solid">
          <fgColor indexed="64"/>
          <bgColor rgb="FF4472C4"/>
        </patternFill>
      </fill>
    </dxf>
    <dxf>
      <fill>
        <patternFill patternType="solid">
          <fgColor indexed="64"/>
          <bgColor rgb="FF4472C4"/>
        </patternFill>
      </fill>
    </dxf>
    <dxf>
      <font>
        <b/>
      </font>
    </dxf>
    <dxf>
      <font>
        <b/>
      </font>
    </dxf>
    <dxf>
      <font>
        <b/>
      </font>
    </dxf>
    <dxf>
      <font>
        <b/>
      </font>
    </dxf>
    <dxf>
      <font>
        <b/>
      </font>
    </dxf>
    <dxf>
      <font>
        <b/>
      </font>
    </dxf>
    <dxf>
      <font>
        <b/>
      </font>
    </dxf>
    <dxf>
      <numFmt numFmtId="168" formatCode="[$₹-4009]\ #,##0"/>
    </dxf>
    <dxf>
      <font>
        <color rgb="FFFFFFFF"/>
      </font>
    </dxf>
    <dxf>
      <font>
        <color rgb="FFFFFFFF"/>
      </font>
    </dxf>
    <dxf>
      <font>
        <color rgb="FFFFFFFF"/>
      </font>
    </dxf>
    <dxf>
      <font>
        <color rgb="FFFFFFFF"/>
      </font>
    </dxf>
    <dxf>
      <fill>
        <patternFill patternType="solid">
          <fgColor indexed="64"/>
          <bgColor rgb="FF4472C4"/>
        </patternFill>
      </fill>
    </dxf>
    <dxf>
      <fill>
        <patternFill patternType="solid">
          <fgColor indexed="64"/>
          <bgColor rgb="FF4472C4"/>
        </patternFill>
      </fill>
    </dxf>
    <dxf>
      <fill>
        <patternFill patternType="solid">
          <fgColor indexed="64"/>
          <bgColor rgb="FF4472C4"/>
        </patternFill>
      </fill>
    </dxf>
    <dxf>
      <fill>
        <patternFill patternType="solid">
          <fgColor indexed="64"/>
          <bgColor rgb="FF4472C4"/>
        </patternFill>
      </fill>
    </dxf>
    <dxf>
      <font>
        <b/>
      </font>
    </dxf>
    <dxf>
      <font>
        <b/>
      </font>
    </dxf>
    <dxf>
      <font>
        <b/>
      </font>
    </dxf>
    <dxf>
      <font>
        <b/>
      </font>
    </dxf>
    <dxf>
      <numFmt numFmtId="165" formatCode="\₹#,##0"/>
    </dxf>
    <dxf>
      <font>
        <color rgb="FFFFFFFF"/>
      </font>
    </dxf>
    <dxf>
      <font>
        <color rgb="FFFFFFFF"/>
      </font>
    </dxf>
    <dxf>
      <font>
        <color rgb="FFFFFFFF"/>
      </font>
    </dxf>
    <dxf>
      <fill>
        <patternFill patternType="solid">
          <fgColor indexed="64"/>
          <bgColor rgb="FF4472C4"/>
        </patternFill>
      </fill>
    </dxf>
    <dxf>
      <fill>
        <patternFill patternType="solid">
          <fgColor indexed="64"/>
          <bgColor rgb="FF4472C4"/>
        </patternFill>
      </fill>
    </dxf>
    <dxf>
      <fill>
        <patternFill patternType="solid">
          <fgColor indexed="64"/>
          <bgColor rgb="FF4472C4"/>
        </patternFill>
      </fill>
    </dxf>
    <dxf>
      <font>
        <b/>
      </font>
    </dxf>
    <dxf>
      <font>
        <b/>
      </font>
    </dxf>
    <dxf>
      <font>
        <b/>
      </font>
    </dxf>
    <dxf>
      <font>
        <color rgb="FFFFFFFF"/>
      </font>
    </dxf>
    <dxf>
      <font>
        <color rgb="FFFFFFFF"/>
      </font>
    </dxf>
    <dxf>
      <fill>
        <patternFill patternType="solid">
          <fgColor indexed="64"/>
          <bgColor rgb="FF4472C4"/>
        </patternFill>
      </fill>
    </dxf>
    <dxf>
      <fill>
        <patternFill patternType="solid">
          <fgColor indexed="64"/>
          <bgColor rgb="FF4472C4"/>
        </patternFill>
      </fill>
    </dxf>
    <dxf>
      <font>
        <b/>
      </font>
    </dxf>
    <dxf>
      <font>
        <b/>
      </font>
    </dxf>
    <dxf>
      <font>
        <color rgb="FFFFFFFF"/>
      </font>
    </dxf>
    <dxf>
      <font>
        <color rgb="FFFFFFFF"/>
      </font>
    </dxf>
    <dxf>
      <fill>
        <patternFill patternType="solid">
          <fgColor indexed="64"/>
          <bgColor rgb="FF4472C4"/>
        </patternFill>
      </fill>
    </dxf>
    <dxf>
      <fill>
        <patternFill patternType="solid">
          <fgColor indexed="64"/>
          <bgColor rgb="FF4472C4"/>
        </patternFill>
      </fill>
    </dxf>
    <dxf>
      <font>
        <b/>
      </font>
    </dxf>
    <dxf>
      <font>
        <b/>
      </font>
    </dxf>
  </dxfs>
  <tableStyles count="0" defaultTableStyle="TableStyleMedium9" defaultPivotStyle="PivotStyleLight16"/>
  <colors>
    <mruColors>
      <color rgb="FF007C89"/>
      <color rgb="FFA6A6A6"/>
      <color rgb="FFFD4141"/>
      <color rgb="FFFF6600"/>
      <color rgb="FFCC66FF"/>
      <color rgb="FFF8696B"/>
      <color rgb="FF63BE7B"/>
      <color rgb="FFA66A00"/>
      <color rgb="FF1F3A6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microsoft.com/office/2007/relationships/slicerCache" Target="slicerCaches/slicerCache7.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microsoft.com/office/2007/relationships/slicerCache" Target="slicerCaches/slicerCache2.xml"/><Relationship Id="rId17" Type="http://schemas.microsoft.com/office/2007/relationships/slicerCache" Target="slicerCaches/slicerCache6.xml"/><Relationship Id="rId25" Type="http://schemas.openxmlformats.org/officeDocument/2006/relationships/calcChain" Target="calcChain.xml"/><Relationship Id="rId2" Type="http://schemas.openxmlformats.org/officeDocument/2006/relationships/worksheet" Target="worksheets/sheet2.xml"/><Relationship Id="rId16" Type="http://schemas.microsoft.com/office/2011/relationships/timelineCache" Target="timelineCaches/timelineCache1.xml"/><Relationship Id="rId20" Type="http://schemas.microsoft.com/office/2007/relationships/slicerCache" Target="slicerCaches/slicerCache9.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24" Type="http://schemas.openxmlformats.org/officeDocument/2006/relationships/sheetMetadata" Target="metadata.xml"/><Relationship Id="rId5" Type="http://schemas.openxmlformats.org/officeDocument/2006/relationships/worksheet" Target="worksheets/sheet5.xml"/><Relationship Id="rId15" Type="http://schemas.microsoft.com/office/2007/relationships/slicerCache" Target="slicerCaches/slicerCache5.xml"/><Relationship Id="rId23" Type="http://schemas.openxmlformats.org/officeDocument/2006/relationships/sharedStrings" Target="sharedStrings.xml"/><Relationship Id="rId10" Type="http://schemas.openxmlformats.org/officeDocument/2006/relationships/pivotCacheDefinition" Target="pivotCache/pivotCacheDefinition2.xml"/><Relationship Id="rId19" Type="http://schemas.microsoft.com/office/2007/relationships/slicerCache" Target="slicerCaches/slicerCache8.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4.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9.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0.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1.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2.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3.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4.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layout>
        <c:manualLayout>
          <c:xMode val="edge"/>
          <c:yMode val="edge"/>
          <c:x val="3.6201224846894163E-2"/>
          <c:y val="2.777777777777777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2"/>
              </a:solidFill>
              <a:latin typeface="Aptos" panose="020B0004020202020204" pitchFamily="34" charset="0"/>
              <a:ea typeface="+mn-ea"/>
              <a:cs typeface="+mn-cs"/>
            </a:defRPr>
          </a:pPr>
          <a:endParaRPr lang="en-US"/>
        </a:p>
      </c:txPr>
    </c:title>
    <c:autoTitleDeleted val="0"/>
    <c:plotArea>
      <c:layout/>
      <c:barChart>
        <c:barDir val="bar"/>
        <c:grouping val="clustered"/>
        <c:varyColors val="0"/>
        <c:ser>
          <c:idx val="0"/>
          <c:order val="0"/>
          <c:tx>
            <c:strRef>
              <c:f>Pivot_Data!$G$36</c:f>
              <c:strCache>
                <c:ptCount val="1"/>
                <c:pt idx="0">
                  <c:v>No Show rate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Aptos" panose="020B00040202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Pivot_Data!$F$37:$F$43</c:f>
              <c:strCache>
                <c:ptCount val="7"/>
                <c:pt idx="0">
                  <c:v>Monday</c:v>
                </c:pt>
                <c:pt idx="1">
                  <c:v>Tuesday</c:v>
                </c:pt>
                <c:pt idx="2">
                  <c:v>Wednesday</c:v>
                </c:pt>
                <c:pt idx="3">
                  <c:v>Thursday</c:v>
                </c:pt>
                <c:pt idx="4">
                  <c:v>Friday</c:v>
                </c:pt>
                <c:pt idx="5">
                  <c:v>Saturday</c:v>
                </c:pt>
                <c:pt idx="6">
                  <c:v>Sunday</c:v>
                </c:pt>
              </c:strCache>
            </c:strRef>
          </c:cat>
          <c:val>
            <c:numRef>
              <c:f>Pivot_Data!$G$37:$G$43</c:f>
              <c:numCache>
                <c:formatCode>0%</c:formatCode>
                <c:ptCount val="7"/>
                <c:pt idx="0">
                  <c:v>6.4516129032258063E-2</c:v>
                </c:pt>
                <c:pt idx="1">
                  <c:v>0.19085487077534791</c:v>
                </c:pt>
                <c:pt idx="2">
                  <c:v>0.14331210191082802</c:v>
                </c:pt>
                <c:pt idx="3">
                  <c:v>0.14576271186440679</c:v>
                </c:pt>
                <c:pt idx="4">
                  <c:v>0.11481481481481481</c:v>
                </c:pt>
                <c:pt idx="5">
                  <c:v>0.1118421052631579</c:v>
                </c:pt>
                <c:pt idx="6">
                  <c:v>0.18021201413427562</c:v>
                </c:pt>
              </c:numCache>
            </c:numRef>
          </c:val>
          <c:extLst>
            <c:ext xmlns:c16="http://schemas.microsoft.com/office/drawing/2014/chart" uri="{C3380CC4-5D6E-409C-BE32-E72D297353CC}">
              <c16:uniqueId val="{00000000-C186-4E0E-8AE1-AEF40C357108}"/>
            </c:ext>
          </c:extLst>
        </c:ser>
        <c:dLbls>
          <c:showLegendKey val="0"/>
          <c:showVal val="0"/>
          <c:showCatName val="0"/>
          <c:showSerName val="0"/>
          <c:showPercent val="0"/>
          <c:showBubbleSize val="0"/>
        </c:dLbls>
        <c:gapWidth val="46"/>
        <c:overlap val="1"/>
        <c:axId val="2114324832"/>
        <c:axId val="2114324352"/>
      </c:barChart>
      <c:catAx>
        <c:axId val="21143248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2"/>
                </a:solidFill>
                <a:latin typeface="Aptos" panose="020B0004020202020204" pitchFamily="34" charset="0"/>
                <a:ea typeface="+mn-ea"/>
                <a:cs typeface="+mn-cs"/>
              </a:defRPr>
            </a:pPr>
            <a:endParaRPr lang="en-US"/>
          </a:p>
        </c:txPr>
        <c:crossAx val="2114324352"/>
        <c:crosses val="autoZero"/>
        <c:auto val="1"/>
        <c:lblAlgn val="ctr"/>
        <c:lblOffset val="100"/>
        <c:noMultiLvlLbl val="0"/>
      </c:catAx>
      <c:valAx>
        <c:axId val="2114324352"/>
        <c:scaling>
          <c:orientation val="minMax"/>
        </c:scaling>
        <c:delete val="0"/>
        <c:axPos val="b"/>
        <c:majorGridlines>
          <c:spPr>
            <a:ln w="9525" cap="flat" cmpd="sng" algn="ctr">
              <a:no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4324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kumimoji="0" lang="en-US" sz="1400" b="1" i="0" u="none" strike="noStrike" kern="1200" cap="none" spc="0" normalizeH="0" baseline="0" noProof="0">
                <a:ln>
                  <a:noFill/>
                </a:ln>
                <a:solidFill>
                  <a:srgbClr val="1F497D"/>
                </a:solidFill>
                <a:effectLst/>
                <a:uLnTx/>
                <a:uFillTx/>
                <a:latin typeface="Aptos" panose="020B0004020202020204" pitchFamily="34" charset="0"/>
              </a:rPr>
              <a:t>Utilization vs Target 85%</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Pivot_Data!$K$12</c:f>
              <c:strCache>
                <c:ptCount val="1"/>
                <c:pt idx="0">
                  <c:v>Utilization%</c:v>
                </c:pt>
              </c:strCache>
            </c:strRef>
          </c:tx>
          <c:spPr>
            <a:solidFill>
              <a:schemeClr val="accent6">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Pivot_Data!$J$13:$J$27</c:f>
              <c:strCache>
                <c:ptCount val="15"/>
                <c:pt idx="0">
                  <c:v>Anjali Menon</c:v>
                </c:pt>
                <c:pt idx="1">
                  <c:v>Aparna Varma</c:v>
                </c:pt>
                <c:pt idx="2">
                  <c:v>Arun Raj</c:v>
                </c:pt>
                <c:pt idx="3">
                  <c:v>Deepa Krishnan</c:v>
                </c:pt>
                <c:pt idx="4">
                  <c:v>Divya Nambiar</c:v>
                </c:pt>
                <c:pt idx="5">
                  <c:v>Fathima Rahman</c:v>
                </c:pt>
                <c:pt idx="6">
                  <c:v>Joel Thomas</c:v>
                </c:pt>
                <c:pt idx="7">
                  <c:v>Lakshmi Pillai</c:v>
                </c:pt>
                <c:pt idx="8">
                  <c:v>Meera S</c:v>
                </c:pt>
                <c:pt idx="9">
                  <c:v>Nisha Thomas</c:v>
                </c:pt>
                <c:pt idx="10">
                  <c:v>Priya Mathew</c:v>
                </c:pt>
                <c:pt idx="11">
                  <c:v>Rahul P</c:v>
                </c:pt>
                <c:pt idx="12">
                  <c:v>Rohit George</c:v>
                </c:pt>
                <c:pt idx="13">
                  <c:v>Sreejith K</c:v>
                </c:pt>
                <c:pt idx="14">
                  <c:v>Vishnu Nair</c:v>
                </c:pt>
              </c:strCache>
            </c:strRef>
          </c:cat>
          <c:val>
            <c:numRef>
              <c:f>Pivot_Data!$K$13:$K$27</c:f>
              <c:numCache>
                <c:formatCode>0%</c:formatCode>
                <c:ptCount val="15"/>
                <c:pt idx="0">
                  <c:v>0.6159373796997305</c:v>
                </c:pt>
                <c:pt idx="1">
                  <c:v>0.66660131359670638</c:v>
                </c:pt>
                <c:pt idx="2">
                  <c:v>0.60706596548194713</c:v>
                </c:pt>
                <c:pt idx="3">
                  <c:v>0.55374818301377471</c:v>
                </c:pt>
                <c:pt idx="4">
                  <c:v>0.64746000815697657</c:v>
                </c:pt>
                <c:pt idx="5">
                  <c:v>0.64746520708874311</c:v>
                </c:pt>
                <c:pt idx="6">
                  <c:v>0.66186793840394009</c:v>
                </c:pt>
                <c:pt idx="7">
                  <c:v>0.66237376602745879</c:v>
                </c:pt>
                <c:pt idx="8">
                  <c:v>0.58411353225940077</c:v>
                </c:pt>
                <c:pt idx="9">
                  <c:v>0.62809716068233545</c:v>
                </c:pt>
                <c:pt idx="10">
                  <c:v>0.6186574963757121</c:v>
                </c:pt>
                <c:pt idx="11">
                  <c:v>0.63237148579482227</c:v>
                </c:pt>
                <c:pt idx="12">
                  <c:v>0.6410119441892268</c:v>
                </c:pt>
                <c:pt idx="13">
                  <c:v>0.58284635987338695</c:v>
                </c:pt>
                <c:pt idx="14">
                  <c:v>0.61320978291781214</c:v>
                </c:pt>
              </c:numCache>
            </c:numRef>
          </c:val>
          <c:extLst>
            <c:ext xmlns:c16="http://schemas.microsoft.com/office/drawing/2014/chart" uri="{C3380CC4-5D6E-409C-BE32-E72D297353CC}">
              <c16:uniqueId val="{00000000-8093-4025-8777-33EA95DF571A}"/>
            </c:ext>
          </c:extLst>
        </c:ser>
        <c:dLbls>
          <c:showLegendKey val="0"/>
          <c:showVal val="0"/>
          <c:showCatName val="0"/>
          <c:showSerName val="0"/>
          <c:showPercent val="0"/>
          <c:showBubbleSize val="0"/>
        </c:dLbls>
        <c:gapWidth val="219"/>
        <c:axId val="2133707040"/>
        <c:axId val="2133708480"/>
      </c:barChart>
      <c:lineChart>
        <c:grouping val="standard"/>
        <c:varyColors val="0"/>
        <c:ser>
          <c:idx val="1"/>
          <c:order val="1"/>
          <c:tx>
            <c:strRef>
              <c:f>Pivot_Data!$L$12</c:f>
              <c:strCache>
                <c:ptCount val="1"/>
                <c:pt idx="0">
                  <c:v>Target 85%</c:v>
                </c:pt>
              </c:strCache>
            </c:strRef>
          </c:tx>
          <c:spPr>
            <a:ln w="28575" cap="rnd">
              <a:solidFill>
                <a:schemeClr val="accent6">
                  <a:shade val="76000"/>
                </a:schemeClr>
              </a:solidFill>
              <a:round/>
            </a:ln>
            <a:effectLst/>
          </c:spPr>
          <c:marker>
            <c:symbol val="none"/>
          </c:marker>
          <c:cat>
            <c:strRef>
              <c:f>Pivot_Data!$J$13:$J$27</c:f>
              <c:strCache>
                <c:ptCount val="15"/>
                <c:pt idx="0">
                  <c:v>Anjali Menon</c:v>
                </c:pt>
                <c:pt idx="1">
                  <c:v>Aparna Varma</c:v>
                </c:pt>
                <c:pt idx="2">
                  <c:v>Arun Raj</c:v>
                </c:pt>
                <c:pt idx="3">
                  <c:v>Deepa Krishnan</c:v>
                </c:pt>
                <c:pt idx="4">
                  <c:v>Divya Nambiar</c:v>
                </c:pt>
                <c:pt idx="5">
                  <c:v>Fathima Rahman</c:v>
                </c:pt>
                <c:pt idx="6">
                  <c:v>Joel Thomas</c:v>
                </c:pt>
                <c:pt idx="7">
                  <c:v>Lakshmi Pillai</c:v>
                </c:pt>
                <c:pt idx="8">
                  <c:v>Meera S</c:v>
                </c:pt>
                <c:pt idx="9">
                  <c:v>Nisha Thomas</c:v>
                </c:pt>
                <c:pt idx="10">
                  <c:v>Priya Mathew</c:v>
                </c:pt>
                <c:pt idx="11">
                  <c:v>Rahul P</c:v>
                </c:pt>
                <c:pt idx="12">
                  <c:v>Rohit George</c:v>
                </c:pt>
                <c:pt idx="13">
                  <c:v>Sreejith K</c:v>
                </c:pt>
                <c:pt idx="14">
                  <c:v>Vishnu Nair</c:v>
                </c:pt>
              </c:strCache>
            </c:strRef>
          </c:cat>
          <c:val>
            <c:numRef>
              <c:f>Pivot_Data!$L$13:$L$27</c:f>
              <c:numCache>
                <c:formatCode>0%</c:formatCode>
                <c:ptCount val="15"/>
                <c:pt idx="0">
                  <c:v>0.85</c:v>
                </c:pt>
                <c:pt idx="1">
                  <c:v>0.85</c:v>
                </c:pt>
                <c:pt idx="2">
                  <c:v>0.85</c:v>
                </c:pt>
                <c:pt idx="3">
                  <c:v>0.85</c:v>
                </c:pt>
                <c:pt idx="4">
                  <c:v>0.85</c:v>
                </c:pt>
                <c:pt idx="5">
                  <c:v>0.85</c:v>
                </c:pt>
                <c:pt idx="6">
                  <c:v>0.85</c:v>
                </c:pt>
                <c:pt idx="7">
                  <c:v>0.85</c:v>
                </c:pt>
                <c:pt idx="8">
                  <c:v>0.85</c:v>
                </c:pt>
                <c:pt idx="9">
                  <c:v>0.85</c:v>
                </c:pt>
                <c:pt idx="10">
                  <c:v>0.85</c:v>
                </c:pt>
                <c:pt idx="11">
                  <c:v>0.85</c:v>
                </c:pt>
                <c:pt idx="12">
                  <c:v>0.85</c:v>
                </c:pt>
                <c:pt idx="13">
                  <c:v>0.85</c:v>
                </c:pt>
                <c:pt idx="14">
                  <c:v>0.85</c:v>
                </c:pt>
              </c:numCache>
            </c:numRef>
          </c:val>
          <c:smooth val="0"/>
          <c:extLst>
            <c:ext xmlns:c16="http://schemas.microsoft.com/office/drawing/2014/chart" uri="{C3380CC4-5D6E-409C-BE32-E72D297353CC}">
              <c16:uniqueId val="{00000001-8093-4025-8777-33EA95DF571A}"/>
            </c:ext>
          </c:extLst>
        </c:ser>
        <c:dLbls>
          <c:showLegendKey val="0"/>
          <c:showVal val="0"/>
          <c:showCatName val="0"/>
          <c:showSerName val="0"/>
          <c:showPercent val="0"/>
          <c:showBubbleSize val="0"/>
        </c:dLbls>
        <c:marker val="1"/>
        <c:smooth val="0"/>
        <c:axId val="2133707040"/>
        <c:axId val="2133708480"/>
      </c:lineChart>
      <c:catAx>
        <c:axId val="2133707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3708480"/>
        <c:crosses val="autoZero"/>
        <c:auto val="1"/>
        <c:lblAlgn val="ctr"/>
        <c:lblOffset val="100"/>
        <c:noMultiLvlLbl val="0"/>
      </c:catAx>
      <c:valAx>
        <c:axId val="2133708480"/>
        <c:scaling>
          <c:orientation val="minMax"/>
        </c:scaling>
        <c:delete val="1"/>
        <c:axPos val="l"/>
        <c:numFmt formatCode="0%" sourceLinked="1"/>
        <c:majorTickMark val="none"/>
        <c:minorTickMark val="none"/>
        <c:tickLblPos val="nextTo"/>
        <c:crossAx val="21337070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[Physiotherapy_Clinic_Operational_Efficiency_Dashboard.xlsx]Pivot_Data!PivotTable1</c:name>
    <c:fmtId val="6"/>
  </c:pivotSource>
  <c:chart>
    <c:autoTitleDeleted val="1"/>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800" b="1" i="0" u="none" strike="noStrike" kern="1200" baseline="0">
                  <a:solidFill>
                    <a:sysClr val="windowText" lastClr="000000"/>
                  </a:solidFill>
                  <a:latin typeface="Aptos"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4"/>
        <c:spPr>
          <a:solidFill>
            <a:schemeClr val="accent1"/>
          </a:solidFill>
          <a:ln w="19050">
            <a:solidFill>
              <a:schemeClr val="lt1"/>
            </a:solidFill>
          </a:ln>
          <a:effectLst/>
        </c:spPr>
        <c:dLbl>
          <c:idx val="0"/>
          <c:layout>
            <c:manualLayout>
              <c:x val="0.31372549019607843"/>
              <c:y val="-4.2042022159787223E-2"/>
            </c:manualLayout>
          </c:layout>
          <c:spPr>
            <a:noFill/>
            <a:ln>
              <a:noFill/>
            </a:ln>
            <a:effectLst/>
          </c:spPr>
          <c:txPr>
            <a:bodyPr rot="0" spcFirstLastPara="1" vertOverflow="ellipsis" vert="horz" wrap="none" lIns="38100" tIns="19050" rIns="38100" bIns="19050" anchor="ctr" anchorCtr="1">
              <a:spAutoFit/>
            </a:bodyPr>
            <a:lstStyle/>
            <a:p>
              <a:pPr>
                <a:defRPr sz="800" b="1" i="0" u="none" strike="noStrike" kern="1200" baseline="0">
                  <a:solidFill>
                    <a:sysClr val="windowText" lastClr="000000"/>
                  </a:solidFill>
                  <a:latin typeface="Aptos"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5"/>
        <c:spPr>
          <a:solidFill>
            <a:schemeClr val="accent3"/>
          </a:solidFill>
          <a:ln w="19050">
            <a:solidFill>
              <a:schemeClr val="lt1"/>
            </a:solidFill>
          </a:ln>
          <a:effectLst/>
        </c:spPr>
        <c:dLbl>
          <c:idx val="0"/>
          <c:layout>
            <c:manualLayout>
              <c:x val="-0.29065743944636679"/>
              <c:y val="8.4084044319574225E-2"/>
            </c:manualLayout>
          </c:layout>
          <c:spPr>
            <a:noFill/>
            <a:ln>
              <a:noFill/>
            </a:ln>
            <a:effectLst/>
          </c:spPr>
          <c:txPr>
            <a:bodyPr rot="0" spcFirstLastPara="1" vertOverflow="ellipsis" vert="horz" wrap="none" lIns="38100" tIns="19050" rIns="38100" bIns="19050" anchor="ctr" anchorCtr="1">
              <a:spAutoFit/>
            </a:bodyPr>
            <a:lstStyle/>
            <a:p>
              <a:pPr>
                <a:defRPr sz="800" b="1" i="0" u="none" strike="noStrike" kern="1200" baseline="0">
                  <a:solidFill>
                    <a:sysClr val="windowText" lastClr="000000"/>
                  </a:solidFill>
                  <a:latin typeface="Aptos"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6"/>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800" b="1" i="0" u="none" strike="noStrike" kern="1200" baseline="0">
                  <a:solidFill>
                    <a:sysClr val="windowText" lastClr="000000"/>
                  </a:solidFill>
                  <a:latin typeface="Aptos"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7"/>
        <c:spPr>
          <a:solidFill>
            <a:schemeClr val="accent1"/>
          </a:solidFill>
          <a:ln w="19050">
            <a:solidFill>
              <a:schemeClr val="lt1"/>
            </a:solidFill>
          </a:ln>
          <a:effectLst/>
        </c:spPr>
        <c:dLbl>
          <c:idx val="0"/>
          <c:layout>
            <c:manualLayout>
              <c:x val="0.22145328719723184"/>
              <c:y val="9.0090047485258104E-2"/>
            </c:manualLayout>
          </c:layout>
          <c:spPr>
            <a:noFill/>
            <a:ln>
              <a:noFill/>
            </a:ln>
            <a:effectLst/>
          </c:spPr>
          <c:txPr>
            <a:bodyPr rot="0" spcFirstLastPara="1" vertOverflow="ellipsis" vert="horz" wrap="none" lIns="38100" tIns="19050" rIns="38100" bIns="19050" anchor="ctr" anchorCtr="1">
              <a:spAutoFit/>
            </a:bodyPr>
            <a:lstStyle/>
            <a:p>
              <a:pPr>
                <a:defRPr sz="800" b="1" i="0" u="none" strike="noStrike" kern="1200" baseline="0">
                  <a:solidFill>
                    <a:sysClr val="windowText" lastClr="000000"/>
                  </a:solidFill>
                  <a:latin typeface="Aptos"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8"/>
        <c:spPr>
          <a:solidFill>
            <a:schemeClr val="accent3"/>
          </a:solidFill>
          <a:ln w="19050">
            <a:solidFill>
              <a:schemeClr val="lt1"/>
            </a:solidFill>
          </a:ln>
          <a:effectLst/>
        </c:spPr>
        <c:dLbl>
          <c:idx val="0"/>
          <c:layout>
            <c:manualLayout>
              <c:x val="-0.19838523644752018"/>
              <c:y val="-1.2012006331367746E-2"/>
            </c:manualLayout>
          </c:layout>
          <c:spPr>
            <a:noFill/>
            <a:ln>
              <a:noFill/>
            </a:ln>
            <a:effectLst/>
          </c:spPr>
          <c:txPr>
            <a:bodyPr rot="0" spcFirstLastPara="1" vertOverflow="ellipsis" vert="horz" wrap="none" lIns="38100" tIns="19050" rIns="38100" bIns="19050" anchor="ctr" anchorCtr="1">
              <a:spAutoFit/>
            </a:bodyPr>
            <a:lstStyle/>
            <a:p>
              <a:pPr>
                <a:defRPr sz="800" b="1" i="0" u="none" strike="noStrike" kern="1200" baseline="0">
                  <a:solidFill>
                    <a:sysClr val="windowText" lastClr="000000"/>
                  </a:solidFill>
                  <a:latin typeface="Aptos"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9"/>
        <c:marker>
          <c:symbol val="none"/>
        </c:marker>
        <c:dLbl>
          <c:idx val="0"/>
          <c:spPr>
            <a:noFill/>
            <a:ln>
              <a:noFill/>
            </a:ln>
            <a:effectLst/>
          </c:spPr>
          <c:txPr>
            <a:bodyPr rot="0" spcFirstLastPara="1" vertOverflow="clip" horzOverflow="clip" vert="horz" wrap="none" lIns="38100" tIns="19050" rIns="38100" bIns="19050" anchor="ctr" anchorCtr="1">
              <a:spAutoFit/>
            </a:bodyPr>
            <a:lstStyle/>
            <a:p>
              <a:pPr>
                <a:defRPr sz="800" b="1" i="0" u="none" strike="noStrike" kern="1200" baseline="0">
                  <a:solidFill>
                    <a:sysClr val="windowText" lastClr="000000"/>
                  </a:solidFill>
                  <a:latin typeface="Aptos"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20"/>
        <c:spPr>
          <a:solidFill>
            <a:schemeClr val="accent1"/>
          </a:solidFill>
          <a:ln w="19050">
            <a:solidFill>
              <a:schemeClr val="lt1"/>
            </a:solidFill>
          </a:ln>
          <a:effectLst/>
        </c:spPr>
        <c:dLbl>
          <c:idx val="0"/>
          <c:layout>
            <c:manualLayout>
              <c:x val="0.13379469434832755"/>
              <c:y val="0.1741740918048322"/>
            </c:manualLayout>
          </c:layout>
          <c:spPr>
            <a:noFill/>
            <a:ln>
              <a:noFill/>
            </a:ln>
            <a:effectLst/>
          </c:spPr>
          <c:txPr>
            <a:bodyPr rot="0" spcFirstLastPara="1" vertOverflow="clip" horzOverflow="clip" vert="horz" wrap="none" lIns="38100" tIns="19050" rIns="38100" bIns="19050" anchor="ctr" anchorCtr="1">
              <a:spAutoFit/>
            </a:bodyPr>
            <a:lstStyle/>
            <a:p>
              <a:pPr>
                <a:defRPr sz="800" b="1" i="0" u="none" strike="noStrike" kern="1200" baseline="0">
                  <a:solidFill>
                    <a:sysClr val="windowText" lastClr="000000"/>
                  </a:solidFill>
                  <a:latin typeface="Aptos"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21"/>
        <c:spPr>
          <a:solidFill>
            <a:schemeClr val="accent3"/>
          </a:solidFill>
          <a:ln w="19050">
            <a:solidFill>
              <a:schemeClr val="lt1"/>
            </a:solidFill>
          </a:ln>
          <a:effectLst/>
        </c:spPr>
        <c:dLbl>
          <c:idx val="0"/>
          <c:layout>
            <c:manualLayout>
              <c:x val="-0.20761245674740483"/>
              <c:y val="-9.0090047485258104E-2"/>
            </c:manualLayout>
          </c:layout>
          <c:spPr>
            <a:noFill/>
            <a:ln>
              <a:noFill/>
            </a:ln>
            <a:effectLst/>
          </c:spPr>
          <c:txPr>
            <a:bodyPr rot="0" spcFirstLastPara="1" vertOverflow="clip" horzOverflow="clip" vert="horz" wrap="none" lIns="38100" tIns="19050" rIns="38100" bIns="19050" anchor="ctr" anchorCtr="1">
              <a:spAutoFit/>
            </a:bodyPr>
            <a:lstStyle/>
            <a:p>
              <a:pPr>
                <a:defRPr sz="800" b="1" i="0" u="none" strike="noStrike" kern="1200" baseline="0">
                  <a:solidFill>
                    <a:sysClr val="windowText" lastClr="000000"/>
                  </a:solidFill>
                  <a:latin typeface="Aptos"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doughnutChart>
        <c:varyColors val="1"/>
        <c:ser>
          <c:idx val="0"/>
          <c:order val="0"/>
          <c:tx>
            <c:strRef>
              <c:f>Pivot_Data!$B$106:$B$107</c:f>
              <c:strCache>
                <c:ptCount val="1"/>
                <c:pt idx="0">
                  <c:v>Ernakulam Advanced Rehab</c:v>
                </c:pt>
              </c:strCache>
            </c:strRef>
          </c:tx>
          <c:explosion val="12"/>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9C7-4108-822C-E5F48CA7AE7F}"/>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69C7-4108-822C-E5F48CA7AE7F}"/>
              </c:ext>
            </c:extLst>
          </c:dPt>
          <c:dLbls>
            <c:dLbl>
              <c:idx val="0"/>
              <c:layout>
                <c:manualLayout>
                  <c:x val="0.31372549019607843"/>
                  <c:y val="-4.20420221597872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9C7-4108-822C-E5F48CA7AE7F}"/>
                </c:ext>
              </c:extLst>
            </c:dLbl>
            <c:dLbl>
              <c:idx val="1"/>
              <c:layout>
                <c:manualLayout>
                  <c:x val="-0.29065743944636679"/>
                  <c:y val="8.408404431957422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9C7-4108-822C-E5F48CA7AE7F}"/>
                </c:ext>
              </c:extLst>
            </c:dLbl>
            <c:spPr>
              <a:noFill/>
              <a:ln>
                <a:noFill/>
              </a:ln>
              <a:effectLst/>
            </c:spPr>
            <c:txPr>
              <a:bodyPr rot="0" spcFirstLastPara="1" vertOverflow="ellipsis" vert="horz" wrap="none" lIns="38100" tIns="19050" rIns="38100" bIns="19050" anchor="ctr" anchorCtr="1">
                <a:spAutoFit/>
              </a:bodyPr>
              <a:lstStyle/>
              <a:p>
                <a:pPr>
                  <a:defRPr sz="800" b="1" i="0" u="none" strike="noStrike" kern="1200" baseline="0">
                    <a:solidFill>
                      <a:sysClr val="windowText" lastClr="000000"/>
                    </a:solidFill>
                    <a:latin typeface="Aptos" panose="020B0004020202020204" pitchFamily="34" charset="0"/>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c15:spPr>
              </c:ext>
            </c:extLst>
          </c:dLbls>
          <c:cat>
            <c:strRef>
              <c:f>Pivot_Data!$A$108:$A$109</c:f>
              <c:strCache>
                <c:ptCount val="2"/>
                <c:pt idx="0">
                  <c:v>Revenue</c:v>
                </c:pt>
                <c:pt idx="1">
                  <c:v>Revenue Lost</c:v>
                </c:pt>
              </c:strCache>
            </c:strRef>
          </c:cat>
          <c:val>
            <c:numRef>
              <c:f>Pivot_Data!$B$108:$B$109</c:f>
              <c:numCache>
                <c:formatCode>[$₹-4009]\ #,##0</c:formatCode>
                <c:ptCount val="2"/>
                <c:pt idx="0">
                  <c:v>779650</c:v>
                </c:pt>
                <c:pt idx="1">
                  <c:v>172500</c:v>
                </c:pt>
              </c:numCache>
            </c:numRef>
          </c:val>
          <c:extLst>
            <c:ext xmlns:c16="http://schemas.microsoft.com/office/drawing/2014/chart" uri="{C3380CC4-5D6E-409C-BE32-E72D297353CC}">
              <c16:uniqueId val="{00000004-69C7-4108-822C-E5F48CA7AE7F}"/>
            </c:ext>
          </c:extLst>
        </c:ser>
        <c:ser>
          <c:idx val="1"/>
          <c:order val="1"/>
          <c:tx>
            <c:strRef>
              <c:f>Pivot_Data!$C$106:$C$107</c:f>
              <c:strCache>
                <c:ptCount val="1"/>
                <c:pt idx="0">
                  <c:v>Palakkad Rehab Clinic</c:v>
                </c:pt>
              </c:strCache>
            </c:strRef>
          </c:tx>
          <c:dPt>
            <c:idx val="0"/>
            <c:bubble3D val="0"/>
            <c:spPr>
              <a:solidFill>
                <a:schemeClr val="accent1"/>
              </a:solidFill>
              <a:ln w="19050">
                <a:solidFill>
                  <a:schemeClr val="lt1"/>
                </a:solidFill>
              </a:ln>
              <a:effectLst/>
            </c:spPr>
          </c:dPt>
          <c:dPt>
            <c:idx val="1"/>
            <c:bubble3D val="0"/>
            <c:spPr>
              <a:solidFill>
                <a:schemeClr val="accent3"/>
              </a:solidFill>
              <a:ln w="19050">
                <a:solidFill>
                  <a:schemeClr val="lt1"/>
                </a:solidFill>
              </a:ln>
              <a:effectLst/>
            </c:spPr>
          </c:dPt>
          <c:dLbls>
            <c:dLbl>
              <c:idx val="0"/>
              <c:layout>
                <c:manualLayout>
                  <c:x val="0.22145328719723184"/>
                  <c:y val="9.0090047485258104E-2"/>
                </c:manualLayout>
              </c:layout>
              <c:showLegendKey val="0"/>
              <c:showVal val="1"/>
              <c:showCatName val="0"/>
              <c:showSerName val="0"/>
              <c:showPercent val="0"/>
              <c:showBubbleSize val="0"/>
              <c:extLst>
                <c:ext xmlns:c15="http://schemas.microsoft.com/office/drawing/2012/chart" uri="{CE6537A1-D6FC-4f65-9D91-7224C49458BB}"/>
              </c:extLst>
            </c:dLbl>
            <c:dLbl>
              <c:idx val="1"/>
              <c:layout>
                <c:manualLayout>
                  <c:x val="-0.19838523644752018"/>
                  <c:y val="-1.2012006331367746E-2"/>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none" lIns="38100" tIns="19050" rIns="38100" bIns="19050" anchor="ctr" anchorCtr="1">
                <a:spAutoFit/>
              </a:bodyPr>
              <a:lstStyle/>
              <a:p>
                <a:pPr>
                  <a:defRPr sz="800" b="1" i="0" u="none" strike="noStrike" kern="1200" baseline="0">
                    <a:solidFill>
                      <a:sysClr val="windowText" lastClr="000000"/>
                    </a:solidFill>
                    <a:latin typeface="Aptos" panose="020B0004020202020204" pitchFamily="34" charset="0"/>
                    <a:ea typeface="+mn-ea"/>
                    <a:cs typeface="+mn-cs"/>
                  </a:defRPr>
                </a:pPr>
                <a:endParaRPr lang="en-US"/>
              </a:p>
            </c:txPr>
            <c:showLegendKey val="0"/>
            <c:showVal val="1"/>
            <c:showCatName val="0"/>
            <c:showSerName val="0"/>
            <c:showPercent val="0"/>
            <c:showBubbleSize val="0"/>
            <c:showLeaderLines val="1"/>
            <c:extLst>
              <c:ext xmlns:c15="http://schemas.microsoft.com/office/drawing/2012/chart" uri="{CE6537A1-D6FC-4f65-9D91-7224C49458BB}">
                <c15:spPr xmlns:c15="http://schemas.microsoft.com/office/drawing/2012/chart">
                  <a:prstGeom prst="rect">
                    <a:avLst/>
                  </a:prstGeom>
                </c15:spPr>
              </c:ext>
            </c:extLst>
          </c:dLbls>
          <c:cat>
            <c:strRef>
              <c:f>Pivot_Data!$A$108:$A$109</c:f>
              <c:strCache>
                <c:ptCount val="2"/>
                <c:pt idx="0">
                  <c:v>Revenue</c:v>
                </c:pt>
                <c:pt idx="1">
                  <c:v>Revenue Lost</c:v>
                </c:pt>
              </c:strCache>
            </c:strRef>
          </c:cat>
          <c:val>
            <c:numRef>
              <c:f>Pivot_Data!$C$108:$C$109</c:f>
              <c:numCache>
                <c:formatCode>[$₹-4009]\ #,##0</c:formatCode>
                <c:ptCount val="2"/>
                <c:pt idx="0">
                  <c:v>531250</c:v>
                </c:pt>
                <c:pt idx="1">
                  <c:v>182400</c:v>
                </c:pt>
              </c:numCache>
            </c:numRef>
          </c:val>
          <c:extLst>
            <c:ext xmlns:c16="http://schemas.microsoft.com/office/drawing/2014/chart" uri="{C3380CC4-5D6E-409C-BE32-E72D297353CC}">
              <c16:uniqueId val="{0000000D-9B7E-4428-B3E7-7F158607BB0C}"/>
            </c:ext>
          </c:extLst>
        </c:ser>
        <c:ser>
          <c:idx val="2"/>
          <c:order val="2"/>
          <c:tx>
            <c:strRef>
              <c:f>Pivot_Data!$D$106:$D$107</c:f>
              <c:strCache>
                <c:ptCount val="1"/>
                <c:pt idx="0">
                  <c:v>Thrissur Physio Center</c:v>
                </c:pt>
              </c:strCache>
            </c:strRef>
          </c:tx>
          <c:dPt>
            <c:idx val="0"/>
            <c:bubble3D val="0"/>
            <c:spPr>
              <a:solidFill>
                <a:schemeClr val="accent1"/>
              </a:solidFill>
              <a:ln w="19050">
                <a:solidFill>
                  <a:schemeClr val="lt1"/>
                </a:solidFill>
              </a:ln>
              <a:effectLst/>
            </c:spPr>
          </c:dPt>
          <c:dPt>
            <c:idx val="1"/>
            <c:bubble3D val="0"/>
            <c:spPr>
              <a:solidFill>
                <a:schemeClr val="accent3"/>
              </a:solidFill>
              <a:ln w="19050">
                <a:solidFill>
                  <a:schemeClr val="lt1"/>
                </a:solidFill>
              </a:ln>
              <a:effectLst/>
            </c:spPr>
          </c:dPt>
          <c:dLbls>
            <c:dLbl>
              <c:idx val="0"/>
              <c:layout>
                <c:manualLayout>
                  <c:x val="0.13379469434832755"/>
                  <c:y val="0.1741740918048322"/>
                </c:manualLayout>
              </c:layout>
              <c:showLegendKey val="0"/>
              <c:showVal val="1"/>
              <c:showCatName val="0"/>
              <c:showSerName val="0"/>
              <c:showPercent val="0"/>
              <c:showBubbleSize val="0"/>
              <c:extLst>
                <c:ext xmlns:c15="http://schemas.microsoft.com/office/drawing/2012/chart" uri="{CE6537A1-D6FC-4f65-9D91-7224C49458BB}"/>
              </c:extLst>
            </c:dLbl>
            <c:dLbl>
              <c:idx val="1"/>
              <c:layout>
                <c:manualLayout>
                  <c:x val="-0.20761245674740483"/>
                  <c:y val="-9.0090047485258104E-2"/>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clip" horzOverflow="clip" vert="horz" wrap="none" lIns="38100" tIns="19050" rIns="38100" bIns="19050" anchor="ctr" anchorCtr="1">
                <a:spAutoFit/>
              </a:bodyPr>
              <a:lstStyle/>
              <a:p>
                <a:pPr>
                  <a:defRPr sz="800" b="1" i="0" u="none" strike="noStrike" kern="1200" baseline="0">
                    <a:solidFill>
                      <a:sysClr val="windowText" lastClr="000000"/>
                    </a:solidFill>
                    <a:latin typeface="Aptos" panose="020B0004020202020204" pitchFamily="34" charset="0"/>
                    <a:ea typeface="+mn-ea"/>
                    <a:cs typeface="+mn-cs"/>
                  </a:defRPr>
                </a:pPr>
                <a:endParaRPr lang="en-US"/>
              </a:p>
            </c:txPr>
            <c:showLegendKey val="0"/>
            <c:showVal val="1"/>
            <c:showCatName val="0"/>
            <c:showSerName val="0"/>
            <c:showPercent val="0"/>
            <c:showBubbleSize val="0"/>
            <c:showLeaderLines val="1"/>
            <c:extLst>
              <c:ext xmlns:c15="http://schemas.microsoft.com/office/drawing/2012/chart" uri="{CE6537A1-D6FC-4f65-9D91-7224C49458BB}">
                <c15:spPr xmlns:c15="http://schemas.microsoft.com/office/drawing/2012/chart">
                  <a:prstGeom prst="rect">
                    <a:avLst/>
                  </a:prstGeom>
                </c15:spPr>
              </c:ext>
            </c:extLst>
          </c:dLbls>
          <c:cat>
            <c:strRef>
              <c:f>Pivot_Data!$A$108:$A$109</c:f>
              <c:strCache>
                <c:ptCount val="2"/>
                <c:pt idx="0">
                  <c:v>Revenue</c:v>
                </c:pt>
                <c:pt idx="1">
                  <c:v>Revenue Lost</c:v>
                </c:pt>
              </c:strCache>
            </c:strRef>
          </c:cat>
          <c:val>
            <c:numRef>
              <c:f>Pivot_Data!$D$108:$D$109</c:f>
              <c:numCache>
                <c:formatCode>[$₹-4009]\ #,##0</c:formatCode>
                <c:ptCount val="2"/>
                <c:pt idx="0">
                  <c:v>680000</c:v>
                </c:pt>
                <c:pt idx="1">
                  <c:v>188450</c:v>
                </c:pt>
              </c:numCache>
            </c:numRef>
          </c:val>
          <c:extLst>
            <c:ext xmlns:c16="http://schemas.microsoft.com/office/drawing/2014/chart" uri="{C3380CC4-5D6E-409C-BE32-E72D297353CC}">
              <c16:uniqueId val="{0000000E-9B7E-4428-B3E7-7F158607BB0C}"/>
            </c:ext>
          </c:extLst>
        </c:ser>
        <c:dLbls>
          <c:showLegendKey val="0"/>
          <c:showVal val="0"/>
          <c:showCatName val="0"/>
          <c:showSerName val="0"/>
          <c:showPercent val="0"/>
          <c:showBubbleSize val="0"/>
          <c:showLeaderLines val="1"/>
        </c:dLbls>
        <c:firstSliceAng val="0"/>
        <c:holeSize val="35"/>
      </c:doughnutChart>
      <c:spPr>
        <a:noFill/>
        <a:ln>
          <a:noFill/>
        </a:ln>
        <a:effectLst/>
      </c:spPr>
    </c:plotArea>
    <c:legend>
      <c:legendPos val="t"/>
      <c:legendEntry>
        <c:idx val="0"/>
        <c:txPr>
          <a:bodyPr rot="0" spcFirstLastPara="1" vertOverflow="ellipsis" vert="horz" wrap="square" anchor="ctr" anchorCtr="1"/>
          <a:lstStyle/>
          <a:p>
            <a:pPr>
              <a:defRPr sz="900" b="0" i="0" u="none" strike="noStrike" kern="1200" baseline="0">
                <a:solidFill>
                  <a:schemeClr val="tx2"/>
                </a:solidFill>
                <a:latin typeface="Aptos" panose="020B0004020202020204" pitchFamily="34" charset="0"/>
                <a:ea typeface="+mn-ea"/>
                <a:cs typeface="+mn-cs"/>
              </a:defRPr>
            </a:pPr>
            <a:endParaRPr lang="en-US"/>
          </a:p>
        </c:txPr>
      </c:legendEntry>
      <c:legendEntry>
        <c:idx val="1"/>
        <c:txPr>
          <a:bodyPr rot="0" spcFirstLastPara="1" vertOverflow="ellipsis" vert="horz" wrap="square" anchor="ctr" anchorCtr="1"/>
          <a:lstStyle/>
          <a:p>
            <a:pPr>
              <a:defRPr sz="900" b="0" i="0" u="none" strike="noStrike" kern="1200" baseline="0">
                <a:solidFill>
                  <a:schemeClr val="tx2"/>
                </a:solidFill>
                <a:latin typeface="Aptos" panose="020B0004020202020204" pitchFamily="34" charset="0"/>
                <a:ea typeface="+mn-ea"/>
                <a:cs typeface="+mn-cs"/>
              </a:defRPr>
            </a:pPr>
            <a:endParaRPr lang="en-US"/>
          </a:p>
        </c:txPr>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[Physiotherapy_Clinic_Operational_Efficiency_Dashboard.xlsx]Pivot_Data!AppointmentsByMonth</c:name>
    <c:fmtId val="43"/>
  </c:pivotSource>
  <c:chart>
    <c:title>
      <c:tx>
        <c:rich>
          <a:bodyPr rot="0" spcFirstLastPara="1" vertOverflow="ellipsis" vert="horz" wrap="square" anchor="ctr" anchorCtr="1"/>
          <a:lstStyle/>
          <a:p>
            <a:pPr algn="ctr" rtl="0">
              <a:defRPr lang="en-US" sz="1400" b="1" i="0" u="none" strike="noStrike" kern="1200" spc="0" baseline="0">
                <a:solidFill>
                  <a:schemeClr val="tx2"/>
                </a:solidFill>
                <a:latin typeface="Aptos" panose="020B0004020202020204" pitchFamily="34" charset="0"/>
                <a:ea typeface="+mn-ea"/>
                <a:cs typeface="+mn-cs"/>
              </a:defRPr>
            </a:pPr>
            <a:r>
              <a:rPr lang="en-US" sz="1400" b="1" i="0" u="none" strike="noStrike" kern="1200" spc="0" baseline="0">
                <a:solidFill>
                  <a:schemeClr val="tx2"/>
                </a:solidFill>
                <a:latin typeface="Aptos" panose="020B0004020202020204" pitchFamily="34" charset="0"/>
                <a:ea typeface="+mn-ea"/>
                <a:cs typeface="+mn-cs"/>
              </a:rPr>
              <a:t>Appointment Volume Trend</a:t>
            </a:r>
          </a:p>
        </c:rich>
      </c:tx>
      <c:layout>
        <c:manualLayout>
          <c:xMode val="edge"/>
          <c:yMode val="edge"/>
          <c:x val="2.4414441413034095E-2"/>
          <c:y val="2.9829875956656898E-2"/>
        </c:manualLayout>
      </c:layout>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tx2"/>
              </a:solidFill>
              <a:latin typeface="Aptos" panose="020B0004020202020204" pitchFamily="34" charset="0"/>
              <a:ea typeface="+mn-ea"/>
              <a:cs typeface="+mn-cs"/>
            </a:defRPr>
          </a:pPr>
          <a:endParaRPr lang="en-US"/>
        </a:p>
      </c:txPr>
    </c:title>
    <c:autoTitleDeleted val="0"/>
    <c:pivotFmts>
      <c:pivotFmt>
        <c:idx val="0"/>
        <c:spPr>
          <a:solidFill>
            <a:schemeClr val="accent4">
              <a:alpha val="85000"/>
            </a:schemeClr>
          </a:solidFill>
          <a:ln w="9525" cap="flat" cmpd="sng" algn="ctr">
            <a:solidFill>
              <a:schemeClr val="lt1">
                <a:alpha val="50000"/>
              </a:schemeClr>
            </a:solidFill>
            <a:round/>
          </a:ln>
          <a:effectLst/>
        </c:spPr>
        <c:marker>
          <c:symbol val="circle"/>
          <c:size val="17"/>
          <c:spPr>
            <a:solidFill>
              <a:schemeClr val="accent4"/>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alpha val="85000"/>
            </a:schemeClr>
          </a:solidFill>
          <a:ln w="9525" cap="flat" cmpd="sng" algn="ctr">
            <a:solidFill>
              <a:schemeClr val="lt1">
                <a:alpha val="50000"/>
              </a:schemeClr>
            </a:solidFill>
            <a:round/>
          </a:ln>
          <a:effectLst/>
        </c:spPr>
        <c:marker>
          <c:symbol val="circle"/>
          <c:size val="17"/>
          <c:spPr>
            <a:solidFill>
              <a:schemeClr val="accent4"/>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alpha val="85000"/>
            </a:schemeClr>
          </a:solidFill>
          <a:ln w="9525" cap="flat" cmpd="sng" algn="ctr">
            <a:solidFill>
              <a:schemeClr val="lt1">
                <a:alpha val="50000"/>
              </a:schemeClr>
            </a:solidFill>
            <a:round/>
          </a:ln>
          <a:effectLst/>
        </c:spPr>
        <c:marker>
          <c:symbol val="none"/>
        </c:marker>
        <c:dLbl>
          <c:idx val="0"/>
          <c:spPr>
            <a:solidFill>
              <a:schemeClr val="dk1">
                <a:lumMod val="65000"/>
                <a:lumOff val="35000"/>
                <a:alpha val="75000"/>
              </a:schemeClr>
            </a:solidFill>
            <a:ln>
              <a:no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
        <c:spPr>
          <a:solidFill>
            <a:schemeClr val="accent4">
              <a:alpha val="85000"/>
            </a:schemeClr>
          </a:solidFill>
          <a:ln w="9525" cap="flat" cmpd="sng" algn="ctr">
            <a:solidFill>
              <a:schemeClr val="lt1">
                <a:alpha val="50000"/>
              </a:schemeClr>
            </a:solidFill>
            <a:round/>
          </a:ln>
          <a:effectLst/>
        </c:spPr>
        <c:marker>
          <c:symbol val="none"/>
        </c:marker>
        <c:dLbl>
          <c:idx val="0"/>
          <c:spPr>
            <a:solidFill>
              <a:schemeClr val="dk1">
                <a:lumMod val="65000"/>
                <a:lumOff val="35000"/>
                <a:alpha val="75000"/>
              </a:schemeClr>
            </a:solidFill>
            <a:ln>
              <a:no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4"/>
        <c:spPr>
          <a:solidFill>
            <a:schemeClr val="accent4">
              <a:alpha val="85000"/>
            </a:schemeClr>
          </a:solidFill>
          <a:ln w="9525" cap="flat" cmpd="sng" algn="ctr">
            <a:solidFill>
              <a:schemeClr val="lt1">
                <a:alpha val="50000"/>
              </a:schemeClr>
            </a:solidFill>
            <a:round/>
          </a:ln>
          <a:effectLst/>
        </c:spPr>
        <c:marker>
          <c:symbol val="none"/>
        </c:marker>
        <c:dLbl>
          <c:idx val="0"/>
          <c:spPr>
            <a:solidFill>
              <a:schemeClr val="dk1">
                <a:lumMod val="65000"/>
                <a:lumOff val="35000"/>
                <a:alpha val="75000"/>
              </a:schemeClr>
            </a:solidFill>
            <a:ln>
              <a:no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5"/>
        <c:spPr>
          <a:solidFill>
            <a:schemeClr val="accent4">
              <a:alpha val="85000"/>
            </a:schemeClr>
          </a:solidFill>
          <a:ln w="9525" cap="flat" cmpd="sng" algn="ctr">
            <a:solidFill>
              <a:schemeClr val="lt1">
                <a:alpha val="50000"/>
              </a:schemeClr>
            </a:solidFill>
            <a:round/>
          </a:ln>
          <a:effectLst/>
        </c:spPr>
        <c:marker>
          <c:symbol val="none"/>
        </c:marker>
        <c:dLbl>
          <c:idx val="0"/>
          <c:spPr>
            <a:solidFill>
              <a:schemeClr val="dk1">
                <a:lumMod val="65000"/>
                <a:lumOff val="35000"/>
                <a:alpha val="75000"/>
              </a:schemeClr>
            </a:solidFill>
            <a:ln>
              <a:no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6"/>
        <c:spPr>
          <a:solidFill>
            <a:schemeClr val="accent4">
              <a:alpha val="85000"/>
            </a:schemeClr>
          </a:solidFill>
          <a:ln w="9525" cap="flat" cmpd="sng" algn="ctr">
            <a:solidFill>
              <a:schemeClr val="lt1">
                <a:alpha val="50000"/>
              </a:schemeClr>
            </a:solidFill>
            <a:round/>
          </a:ln>
          <a:effectLst/>
        </c:spPr>
        <c:marker>
          <c:symbol val="none"/>
        </c:marker>
        <c:dLbl>
          <c:idx val="0"/>
          <c:spPr>
            <a:solidFill>
              <a:schemeClr val="dk1">
                <a:lumMod val="65000"/>
                <a:lumOff val="35000"/>
                <a:alpha val="75000"/>
              </a:schemeClr>
            </a:solidFill>
            <a:ln>
              <a:no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manualLayout>
          <c:layoutTarget val="inner"/>
          <c:xMode val="edge"/>
          <c:yMode val="edge"/>
          <c:x val="0"/>
          <c:y val="0.3039402403687364"/>
          <c:w val="0.93888888888888888"/>
          <c:h val="0.56490114781803347"/>
        </c:manualLayout>
      </c:layout>
      <c:areaChart>
        <c:grouping val="standard"/>
        <c:varyColors val="0"/>
        <c:ser>
          <c:idx val="0"/>
          <c:order val="0"/>
          <c:tx>
            <c:strRef>
              <c:f>Pivot_Data!$B$62</c:f>
              <c:strCache>
                <c:ptCount val="1"/>
                <c:pt idx="0">
                  <c:v>Total</c:v>
                </c:pt>
              </c:strCache>
            </c:strRef>
          </c:tx>
          <c:spPr>
            <a:solidFill>
              <a:schemeClr val="accent4">
                <a:alpha val="85000"/>
              </a:schemeClr>
            </a:solidFill>
            <a:ln w="9525" cap="flat" cmpd="sng" algn="ctr">
              <a:solidFill>
                <a:schemeClr val="lt1">
                  <a:alpha val="50000"/>
                </a:schemeClr>
              </a:solidFill>
              <a:round/>
            </a:ln>
            <a:effectLst/>
          </c:spPr>
          <c:dLbls>
            <c:spPr>
              <a:solidFill>
                <a:schemeClr val="dk1">
                  <a:lumMod val="65000"/>
                  <a:lumOff val="35000"/>
                  <a:alpha val="75000"/>
                </a:schemeClr>
              </a:solidFill>
              <a:ln>
                <a:no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a:solidFill>
                        <a:schemeClr val="dk1">
                          <a:lumMod val="50000"/>
                          <a:lumOff val="50000"/>
                        </a:schemeClr>
                      </a:solidFill>
                    </a:ln>
                    <a:effectLst/>
                  </c:spPr>
                </c15:leaderLines>
              </c:ext>
            </c:extLst>
          </c:dLbls>
          <c:cat>
            <c:strRef>
              <c:f>Pivot_Data!$A$63:$A$75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Pivot_Data!$B$63:$B$75</c:f>
              <c:numCache>
                <c:formatCode>General</c:formatCode>
                <c:ptCount val="12"/>
                <c:pt idx="0">
                  <c:v>159</c:v>
                </c:pt>
                <c:pt idx="1">
                  <c:v>165</c:v>
                </c:pt>
                <c:pt idx="2">
                  <c:v>174</c:v>
                </c:pt>
                <c:pt idx="3">
                  <c:v>152</c:v>
                </c:pt>
                <c:pt idx="4">
                  <c:v>170</c:v>
                </c:pt>
                <c:pt idx="5">
                  <c:v>175</c:v>
                </c:pt>
                <c:pt idx="6">
                  <c:v>171</c:v>
                </c:pt>
                <c:pt idx="7">
                  <c:v>175</c:v>
                </c:pt>
                <c:pt idx="8">
                  <c:v>166</c:v>
                </c:pt>
                <c:pt idx="9">
                  <c:v>166</c:v>
                </c:pt>
                <c:pt idx="10">
                  <c:v>148</c:v>
                </c:pt>
                <c:pt idx="11">
                  <c:v>179</c:v>
                </c:pt>
              </c:numCache>
            </c:numRef>
          </c:val>
          <c:extLst>
            <c:ext xmlns:c16="http://schemas.microsoft.com/office/drawing/2014/chart" uri="{C3380CC4-5D6E-409C-BE32-E72D297353CC}">
              <c16:uniqueId val="{00000000-9937-447D-8D0D-253CC16C6F27}"/>
            </c:ext>
          </c:extLst>
        </c:ser>
        <c:dLbls>
          <c:showLegendKey val="0"/>
          <c:showVal val="1"/>
          <c:showCatName val="0"/>
          <c:showSerName val="0"/>
          <c:showPercent val="0"/>
          <c:showBubbleSize val="0"/>
        </c:dLbls>
        <c:axId val="2099821456"/>
        <c:axId val="2099823856"/>
      </c:areaChart>
      <c:catAx>
        <c:axId val="209982145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99823856"/>
        <c:crosses val="autoZero"/>
        <c:auto val="1"/>
        <c:lblAlgn val="ctr"/>
        <c:lblOffset val="100"/>
        <c:noMultiLvlLbl val="0"/>
      </c:catAx>
      <c:valAx>
        <c:axId val="2099823856"/>
        <c:scaling>
          <c:orientation val="minMax"/>
        </c:scaling>
        <c:delete val="1"/>
        <c:axPos val="l"/>
        <c:numFmt formatCode="General" sourceLinked="1"/>
        <c:majorTickMark val="none"/>
        <c:minorTickMark val="none"/>
        <c:tickLblPos val="nextTo"/>
        <c:crossAx val="209982145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[Physiotherapy_Clinic_Operational_Efficiency_Dashboard.xlsx]Pivot_Data!PivotTable4</c:name>
    <c:fmtId val="5"/>
  </c:pivotSource>
  <c:chart>
    <c:title>
      <c:tx>
        <c:rich>
          <a:bodyPr rot="0" spcFirstLastPara="1" vertOverflow="ellipsis" vert="horz" wrap="square" anchor="ctr" anchorCtr="1"/>
          <a:lstStyle/>
          <a:p>
            <a:pPr algn="ctr" rtl="0">
              <a:defRPr kumimoji="0" lang="en-US" sz="1400" b="1" i="0" u="none" strike="noStrike" kern="1200" cap="none" spc="0" normalizeH="0" baseline="0">
                <a:ln>
                  <a:noFill/>
                </a:ln>
                <a:solidFill>
                  <a:srgbClr val="1F497D"/>
                </a:solidFill>
                <a:effectLst/>
                <a:uLnTx/>
                <a:uFillTx/>
                <a:latin typeface="Aptos" panose="020B0004020202020204" pitchFamily="34" charset="0"/>
                <a:ea typeface="+mn-ea"/>
                <a:cs typeface="+mn-cs"/>
              </a:defRPr>
            </a:pPr>
            <a:r>
              <a:rPr kumimoji="0" lang="en-US" sz="1400" b="1" i="0" u="none" strike="noStrike" kern="1200" cap="none" spc="0" normalizeH="0" baseline="0">
                <a:ln>
                  <a:noFill/>
                </a:ln>
                <a:solidFill>
                  <a:srgbClr val="1F497D"/>
                </a:solidFill>
                <a:effectLst/>
                <a:uLnTx/>
                <a:uFillTx/>
                <a:latin typeface="Aptos" panose="020B0004020202020204" pitchFamily="34" charset="0"/>
                <a:ea typeface="+mn-ea"/>
                <a:cs typeface="+mn-cs"/>
              </a:rPr>
              <a:t>No Show vs Time slots </a:t>
            </a:r>
          </a:p>
        </c:rich>
      </c:tx>
      <c:overlay val="0"/>
      <c:spPr>
        <a:noFill/>
        <a:ln>
          <a:noFill/>
        </a:ln>
        <a:effectLst/>
      </c:spPr>
      <c:txPr>
        <a:bodyPr rot="0" spcFirstLastPara="1" vertOverflow="ellipsis" vert="horz" wrap="square" anchor="ctr" anchorCtr="1"/>
        <a:lstStyle/>
        <a:p>
          <a:pPr algn="ctr" rtl="0">
            <a:defRPr kumimoji="0" lang="en-US" sz="1400" b="1" i="0" u="none" strike="noStrike" kern="1200" cap="none" spc="0" normalizeH="0" baseline="0">
              <a:ln>
                <a:noFill/>
              </a:ln>
              <a:solidFill>
                <a:srgbClr val="1F497D"/>
              </a:solidFill>
              <a:effectLst/>
              <a:uLnTx/>
              <a:uFillTx/>
              <a:latin typeface="Aptos" panose="020B0004020202020204" pitchFamily="34" charset="0"/>
              <a:ea typeface="+mn-ea"/>
              <a:cs typeface="+mn-cs"/>
            </a:defRPr>
          </a:pPr>
          <a:endParaRPr lang="en-US"/>
        </a:p>
      </c:txPr>
    </c:title>
    <c:autoTitleDeleted val="0"/>
    <c:pivotFmts>
      <c:pivotFmt>
        <c:idx val="0"/>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Aptos"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w="25400">
          <a:noFill/>
        </a:ln>
        <a:effectLst/>
        <a:sp3d/>
      </c:spPr>
    </c:sideWall>
    <c:backWall>
      <c:thickness val="0"/>
      <c:spPr>
        <a:noFill/>
        <a:ln w="25400">
          <a:noFill/>
        </a:ln>
        <a:effectLst/>
        <a:sp3d/>
      </c:spPr>
    </c:backWall>
    <c:plotArea>
      <c:layout/>
      <c:bar3DChart>
        <c:barDir val="col"/>
        <c:grouping val="stacked"/>
        <c:varyColors val="0"/>
        <c:ser>
          <c:idx val="0"/>
          <c:order val="0"/>
          <c:tx>
            <c:strRef>
              <c:f>Pivot_Data!$B$118</c:f>
              <c:strCache>
                <c:ptCount val="1"/>
                <c:pt idx="0">
                  <c:v>Total</c:v>
                </c:pt>
              </c:strCache>
            </c:strRef>
          </c:tx>
          <c:spPr>
            <a:solidFill>
              <a:schemeClr val="accent5"/>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Aptos" panose="020B00040202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Pivot_Data!$A$119:$A$123</c:f>
              <c:strCache>
                <c:ptCount val="4"/>
                <c:pt idx="0">
                  <c:v>Afternoon</c:v>
                </c:pt>
                <c:pt idx="1">
                  <c:v>Evening</c:v>
                </c:pt>
                <c:pt idx="2">
                  <c:v>Midday</c:v>
                </c:pt>
                <c:pt idx="3">
                  <c:v>Morning</c:v>
                </c:pt>
              </c:strCache>
            </c:strRef>
          </c:cat>
          <c:val>
            <c:numRef>
              <c:f>Pivot_Data!$B$119:$B$123</c:f>
              <c:numCache>
                <c:formatCode>General</c:formatCode>
                <c:ptCount val="4"/>
                <c:pt idx="0">
                  <c:v>74</c:v>
                </c:pt>
                <c:pt idx="1">
                  <c:v>64</c:v>
                </c:pt>
                <c:pt idx="2">
                  <c:v>92</c:v>
                </c:pt>
                <c:pt idx="3">
                  <c:v>72</c:v>
                </c:pt>
              </c:numCache>
            </c:numRef>
          </c:val>
          <c:extLst>
            <c:ext xmlns:c16="http://schemas.microsoft.com/office/drawing/2014/chart" uri="{C3380CC4-5D6E-409C-BE32-E72D297353CC}">
              <c16:uniqueId val="{00000000-A013-4F7F-B797-C61E2180EB5D}"/>
            </c:ext>
          </c:extLst>
        </c:ser>
        <c:dLbls>
          <c:showLegendKey val="0"/>
          <c:showVal val="0"/>
          <c:showCatName val="0"/>
          <c:showSerName val="0"/>
          <c:showPercent val="0"/>
          <c:showBubbleSize val="0"/>
        </c:dLbls>
        <c:gapWidth val="127"/>
        <c:gapDepth val="114"/>
        <c:shape val="box"/>
        <c:axId val="2367984"/>
        <c:axId val="2004583455"/>
        <c:axId val="0"/>
      </c:bar3DChart>
      <c:catAx>
        <c:axId val="23679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4583455"/>
        <c:crosses val="autoZero"/>
        <c:auto val="1"/>
        <c:lblAlgn val="ctr"/>
        <c:lblOffset val="100"/>
        <c:noMultiLvlLbl val="0"/>
      </c:catAx>
      <c:valAx>
        <c:axId val="2004583455"/>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67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Pivot_Data!$K$12</c:f>
              <c:strCache>
                <c:ptCount val="1"/>
                <c:pt idx="0">
                  <c:v>Utilization%</c:v>
                </c:pt>
              </c:strCache>
            </c:strRef>
          </c:tx>
          <c:spPr>
            <a:solidFill>
              <a:srgbClr val="CC66FF"/>
            </a:solidFill>
            <a:ln>
              <a:noFill/>
            </a:ln>
            <a:effectLst/>
          </c:spPr>
          <c:invertIfNegative val="0"/>
          <c:cat>
            <c:strRef>
              <c:f>Pivot_Data!$J$13:$J$27</c:f>
              <c:strCache>
                <c:ptCount val="15"/>
                <c:pt idx="0">
                  <c:v>Anjali Menon</c:v>
                </c:pt>
                <c:pt idx="1">
                  <c:v>Aparna Varma</c:v>
                </c:pt>
                <c:pt idx="2">
                  <c:v>Arun Raj</c:v>
                </c:pt>
                <c:pt idx="3">
                  <c:v>Deepa Krishnan</c:v>
                </c:pt>
                <c:pt idx="4">
                  <c:v>Divya Nambiar</c:v>
                </c:pt>
                <c:pt idx="5">
                  <c:v>Fathima Rahman</c:v>
                </c:pt>
                <c:pt idx="6">
                  <c:v>Joel Thomas</c:v>
                </c:pt>
                <c:pt idx="7">
                  <c:v>Lakshmi Pillai</c:v>
                </c:pt>
                <c:pt idx="8">
                  <c:v>Meera S</c:v>
                </c:pt>
                <c:pt idx="9">
                  <c:v>Nisha Thomas</c:v>
                </c:pt>
                <c:pt idx="10">
                  <c:v>Priya Mathew</c:v>
                </c:pt>
                <c:pt idx="11">
                  <c:v>Rahul P</c:v>
                </c:pt>
                <c:pt idx="12">
                  <c:v>Rohit George</c:v>
                </c:pt>
                <c:pt idx="13">
                  <c:v>Sreejith K</c:v>
                </c:pt>
                <c:pt idx="14">
                  <c:v>Vishnu Nair</c:v>
                </c:pt>
              </c:strCache>
            </c:strRef>
          </c:cat>
          <c:val>
            <c:numRef>
              <c:f>Pivot_Data!$K$13:$K$27</c:f>
              <c:numCache>
                <c:formatCode>0%</c:formatCode>
                <c:ptCount val="15"/>
                <c:pt idx="0">
                  <c:v>0.6159373796997305</c:v>
                </c:pt>
                <c:pt idx="1">
                  <c:v>0.66660131359670638</c:v>
                </c:pt>
                <c:pt idx="2">
                  <c:v>0.60706596548194713</c:v>
                </c:pt>
                <c:pt idx="3">
                  <c:v>0.55374818301377471</c:v>
                </c:pt>
                <c:pt idx="4">
                  <c:v>0.64746000815697657</c:v>
                </c:pt>
                <c:pt idx="5">
                  <c:v>0.64746520708874311</c:v>
                </c:pt>
                <c:pt idx="6">
                  <c:v>0.66186793840394009</c:v>
                </c:pt>
                <c:pt idx="7">
                  <c:v>0.66237376602745879</c:v>
                </c:pt>
                <c:pt idx="8">
                  <c:v>0.58411353225940077</c:v>
                </c:pt>
                <c:pt idx="9">
                  <c:v>0.62809716068233545</c:v>
                </c:pt>
                <c:pt idx="10">
                  <c:v>0.6186574963757121</c:v>
                </c:pt>
                <c:pt idx="11">
                  <c:v>0.63237148579482227</c:v>
                </c:pt>
                <c:pt idx="12">
                  <c:v>0.6410119441892268</c:v>
                </c:pt>
                <c:pt idx="13">
                  <c:v>0.58284635987338695</c:v>
                </c:pt>
                <c:pt idx="14">
                  <c:v>0.61320978291781214</c:v>
                </c:pt>
              </c:numCache>
            </c:numRef>
          </c:val>
          <c:extLst>
            <c:ext xmlns:c16="http://schemas.microsoft.com/office/drawing/2014/chart" uri="{C3380CC4-5D6E-409C-BE32-E72D297353CC}">
              <c16:uniqueId val="{00000000-C05D-4D55-9C6A-670ABBB89018}"/>
            </c:ext>
          </c:extLst>
        </c:ser>
        <c:dLbls>
          <c:showLegendKey val="0"/>
          <c:showVal val="0"/>
          <c:showCatName val="0"/>
          <c:showSerName val="0"/>
          <c:showPercent val="0"/>
          <c:showBubbleSize val="0"/>
        </c:dLbls>
        <c:gapWidth val="269"/>
        <c:axId val="1183005040"/>
        <c:axId val="1183001200"/>
      </c:barChart>
      <c:lineChart>
        <c:grouping val="standard"/>
        <c:varyColors val="0"/>
        <c:ser>
          <c:idx val="1"/>
          <c:order val="1"/>
          <c:tx>
            <c:strRef>
              <c:f>Pivot_Data!$L$12</c:f>
              <c:strCache>
                <c:ptCount val="1"/>
                <c:pt idx="0">
                  <c:v>Target 85%</c:v>
                </c:pt>
              </c:strCache>
            </c:strRef>
          </c:tx>
          <c:spPr>
            <a:ln w="28575" cap="rnd">
              <a:solidFill>
                <a:schemeClr val="accent2"/>
              </a:solidFill>
              <a:round/>
            </a:ln>
            <a:effectLst/>
          </c:spPr>
          <c:marker>
            <c:symbol val="none"/>
          </c:marker>
          <c:cat>
            <c:strRef>
              <c:f>Pivot_Data!$J$13:$J$27</c:f>
              <c:strCache>
                <c:ptCount val="15"/>
                <c:pt idx="0">
                  <c:v>Anjali Menon</c:v>
                </c:pt>
                <c:pt idx="1">
                  <c:v>Aparna Varma</c:v>
                </c:pt>
                <c:pt idx="2">
                  <c:v>Arun Raj</c:v>
                </c:pt>
                <c:pt idx="3">
                  <c:v>Deepa Krishnan</c:v>
                </c:pt>
                <c:pt idx="4">
                  <c:v>Divya Nambiar</c:v>
                </c:pt>
                <c:pt idx="5">
                  <c:v>Fathima Rahman</c:v>
                </c:pt>
                <c:pt idx="6">
                  <c:v>Joel Thomas</c:v>
                </c:pt>
                <c:pt idx="7">
                  <c:v>Lakshmi Pillai</c:v>
                </c:pt>
                <c:pt idx="8">
                  <c:v>Meera S</c:v>
                </c:pt>
                <c:pt idx="9">
                  <c:v>Nisha Thomas</c:v>
                </c:pt>
                <c:pt idx="10">
                  <c:v>Priya Mathew</c:v>
                </c:pt>
                <c:pt idx="11">
                  <c:v>Rahul P</c:v>
                </c:pt>
                <c:pt idx="12">
                  <c:v>Rohit George</c:v>
                </c:pt>
                <c:pt idx="13">
                  <c:v>Sreejith K</c:v>
                </c:pt>
                <c:pt idx="14">
                  <c:v>Vishnu Nair</c:v>
                </c:pt>
              </c:strCache>
            </c:strRef>
          </c:cat>
          <c:val>
            <c:numRef>
              <c:f>Pivot_Data!$L$13:$L$27</c:f>
              <c:numCache>
                <c:formatCode>0%</c:formatCode>
                <c:ptCount val="15"/>
                <c:pt idx="0">
                  <c:v>0.85</c:v>
                </c:pt>
                <c:pt idx="1">
                  <c:v>0.85</c:v>
                </c:pt>
                <c:pt idx="2">
                  <c:v>0.85</c:v>
                </c:pt>
                <c:pt idx="3">
                  <c:v>0.85</c:v>
                </c:pt>
                <c:pt idx="4">
                  <c:v>0.85</c:v>
                </c:pt>
                <c:pt idx="5">
                  <c:v>0.85</c:v>
                </c:pt>
                <c:pt idx="6">
                  <c:v>0.85</c:v>
                </c:pt>
                <c:pt idx="7">
                  <c:v>0.85</c:v>
                </c:pt>
                <c:pt idx="8">
                  <c:v>0.85</c:v>
                </c:pt>
                <c:pt idx="9">
                  <c:v>0.85</c:v>
                </c:pt>
                <c:pt idx="10">
                  <c:v>0.85</c:v>
                </c:pt>
                <c:pt idx="11">
                  <c:v>0.85</c:v>
                </c:pt>
                <c:pt idx="12">
                  <c:v>0.85</c:v>
                </c:pt>
                <c:pt idx="13">
                  <c:v>0.85</c:v>
                </c:pt>
                <c:pt idx="14">
                  <c:v>0.85</c:v>
                </c:pt>
              </c:numCache>
            </c:numRef>
          </c:val>
          <c:smooth val="0"/>
          <c:extLst>
            <c:ext xmlns:c16="http://schemas.microsoft.com/office/drawing/2014/chart" uri="{C3380CC4-5D6E-409C-BE32-E72D297353CC}">
              <c16:uniqueId val="{00000001-C05D-4D55-9C6A-670ABBB89018}"/>
            </c:ext>
          </c:extLst>
        </c:ser>
        <c:dLbls>
          <c:showLegendKey val="0"/>
          <c:showVal val="0"/>
          <c:showCatName val="0"/>
          <c:showSerName val="0"/>
          <c:showPercent val="0"/>
          <c:showBubbleSize val="0"/>
        </c:dLbls>
        <c:marker val="1"/>
        <c:smooth val="0"/>
        <c:axId val="1183005040"/>
        <c:axId val="1183001200"/>
      </c:lineChart>
      <c:catAx>
        <c:axId val="1183005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crossAx val="1183001200"/>
        <c:crosses val="autoZero"/>
        <c:auto val="1"/>
        <c:lblAlgn val="ctr"/>
        <c:lblOffset val="100"/>
        <c:noMultiLvlLbl val="0"/>
      </c:catAx>
      <c:valAx>
        <c:axId val="118300120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30050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softEdge rad="31750"/>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6"/>
    </mc:Choice>
    <mc:Fallback>
      <c:style val="6"/>
    </mc:Fallback>
  </mc:AlternateContent>
  <c:pivotSource>
    <c:name>[Physiotherapy_Clinic_Operational_Efficiency_Dashboard.xlsx]Pivot_Data!StatusByTherapyType</c:name>
    <c:fmtId val="1"/>
  </c:pivotSource>
  <c:chart>
    <c:autoTitleDeleted val="1"/>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Pivot_Data!$B$50:$B$51</c:f>
              <c:strCache>
                <c:ptCount val="1"/>
                <c:pt idx="0">
                  <c:v>Cancelled Late</c:v>
                </c:pt>
              </c:strCache>
            </c:strRef>
          </c:tx>
          <c:spPr>
            <a:solidFill>
              <a:schemeClr val="accent4">
                <a:shade val="58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Pivot_Data!$A$52:$A$58</c:f>
              <c:strCache>
                <c:ptCount val="6"/>
                <c:pt idx="0">
                  <c:v>Electrotherapy</c:v>
                </c:pt>
                <c:pt idx="1">
                  <c:v>Exercise Therapy</c:v>
                </c:pt>
                <c:pt idx="2">
                  <c:v>Manual Therapy</c:v>
                </c:pt>
                <c:pt idx="3">
                  <c:v>Neuro Rehab</c:v>
                </c:pt>
                <c:pt idx="4">
                  <c:v>Posture Correction</c:v>
                </c:pt>
                <c:pt idx="5">
                  <c:v>Sports Rehab</c:v>
                </c:pt>
              </c:strCache>
            </c:strRef>
          </c:cat>
          <c:val>
            <c:numRef>
              <c:f>Pivot_Data!$B$52:$B$58</c:f>
              <c:numCache>
                <c:formatCode>General</c:formatCode>
                <c:ptCount val="6"/>
                <c:pt idx="0">
                  <c:v>15</c:v>
                </c:pt>
                <c:pt idx="1">
                  <c:v>17</c:v>
                </c:pt>
                <c:pt idx="2">
                  <c:v>18</c:v>
                </c:pt>
                <c:pt idx="3">
                  <c:v>17</c:v>
                </c:pt>
                <c:pt idx="4">
                  <c:v>21</c:v>
                </c:pt>
                <c:pt idx="5">
                  <c:v>22</c:v>
                </c:pt>
              </c:numCache>
            </c:numRef>
          </c:val>
          <c:extLst>
            <c:ext xmlns:c16="http://schemas.microsoft.com/office/drawing/2014/chart" uri="{C3380CC4-5D6E-409C-BE32-E72D297353CC}">
              <c16:uniqueId val="{00000000-EF18-4E8C-83E1-803F86CD117E}"/>
            </c:ext>
          </c:extLst>
        </c:ser>
        <c:ser>
          <c:idx val="1"/>
          <c:order val="1"/>
          <c:tx>
            <c:strRef>
              <c:f>Pivot_Data!$C$50:$C$51</c:f>
              <c:strCache>
                <c:ptCount val="1"/>
                <c:pt idx="0">
                  <c:v>Completed</c:v>
                </c:pt>
              </c:strCache>
            </c:strRef>
          </c:tx>
          <c:spPr>
            <a:solidFill>
              <a:schemeClr val="accent4">
                <a:shade val="8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Pivot_Data!$A$52:$A$58</c:f>
              <c:strCache>
                <c:ptCount val="6"/>
                <c:pt idx="0">
                  <c:v>Electrotherapy</c:v>
                </c:pt>
                <c:pt idx="1">
                  <c:v>Exercise Therapy</c:v>
                </c:pt>
                <c:pt idx="2">
                  <c:v>Manual Therapy</c:v>
                </c:pt>
                <c:pt idx="3">
                  <c:v>Neuro Rehab</c:v>
                </c:pt>
                <c:pt idx="4">
                  <c:v>Posture Correction</c:v>
                </c:pt>
                <c:pt idx="5">
                  <c:v>Sports Rehab</c:v>
                </c:pt>
              </c:strCache>
            </c:strRef>
          </c:cat>
          <c:val>
            <c:numRef>
              <c:f>Pivot_Data!$C$52:$C$58</c:f>
              <c:numCache>
                <c:formatCode>General</c:formatCode>
                <c:ptCount val="6"/>
                <c:pt idx="0">
                  <c:v>248</c:v>
                </c:pt>
                <c:pt idx="1">
                  <c:v>248</c:v>
                </c:pt>
                <c:pt idx="2">
                  <c:v>255</c:v>
                </c:pt>
                <c:pt idx="3">
                  <c:v>278</c:v>
                </c:pt>
                <c:pt idx="4">
                  <c:v>252</c:v>
                </c:pt>
                <c:pt idx="5">
                  <c:v>236</c:v>
                </c:pt>
              </c:numCache>
            </c:numRef>
          </c:val>
          <c:extLst>
            <c:ext xmlns:c16="http://schemas.microsoft.com/office/drawing/2014/chart" uri="{C3380CC4-5D6E-409C-BE32-E72D297353CC}">
              <c16:uniqueId val="{00000001-EF18-4E8C-83E1-803F86CD117E}"/>
            </c:ext>
          </c:extLst>
        </c:ser>
        <c:ser>
          <c:idx val="2"/>
          <c:order val="2"/>
          <c:tx>
            <c:strRef>
              <c:f>Pivot_Data!$D$50:$D$51</c:f>
              <c:strCache>
                <c:ptCount val="1"/>
                <c:pt idx="0">
                  <c:v>No-show</c:v>
                </c:pt>
              </c:strCache>
            </c:strRef>
          </c:tx>
          <c:spPr>
            <a:solidFill>
              <a:schemeClr val="accent4">
                <a:tint val="8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Pivot_Data!$A$52:$A$58</c:f>
              <c:strCache>
                <c:ptCount val="6"/>
                <c:pt idx="0">
                  <c:v>Electrotherapy</c:v>
                </c:pt>
                <c:pt idx="1">
                  <c:v>Exercise Therapy</c:v>
                </c:pt>
                <c:pt idx="2">
                  <c:v>Manual Therapy</c:v>
                </c:pt>
                <c:pt idx="3">
                  <c:v>Neuro Rehab</c:v>
                </c:pt>
                <c:pt idx="4">
                  <c:v>Posture Correction</c:v>
                </c:pt>
                <c:pt idx="5">
                  <c:v>Sports Rehab</c:v>
                </c:pt>
              </c:strCache>
            </c:strRef>
          </c:cat>
          <c:val>
            <c:numRef>
              <c:f>Pivot_Data!$D$52:$D$58</c:f>
              <c:numCache>
                <c:formatCode>General</c:formatCode>
                <c:ptCount val="6"/>
                <c:pt idx="0">
                  <c:v>40</c:v>
                </c:pt>
                <c:pt idx="1">
                  <c:v>56</c:v>
                </c:pt>
                <c:pt idx="2">
                  <c:v>56</c:v>
                </c:pt>
                <c:pt idx="3">
                  <c:v>48</c:v>
                </c:pt>
                <c:pt idx="4">
                  <c:v>53</c:v>
                </c:pt>
                <c:pt idx="5">
                  <c:v>49</c:v>
                </c:pt>
              </c:numCache>
            </c:numRef>
          </c:val>
          <c:extLst>
            <c:ext xmlns:c16="http://schemas.microsoft.com/office/drawing/2014/chart" uri="{C3380CC4-5D6E-409C-BE32-E72D297353CC}">
              <c16:uniqueId val="{00000002-EF18-4E8C-83E1-803F86CD117E}"/>
            </c:ext>
          </c:extLst>
        </c:ser>
        <c:ser>
          <c:idx val="3"/>
          <c:order val="3"/>
          <c:tx>
            <c:strRef>
              <c:f>Pivot_Data!$E$50:$E$51</c:f>
              <c:strCache>
                <c:ptCount val="1"/>
                <c:pt idx="0">
                  <c:v>Rescheduled</c:v>
                </c:pt>
              </c:strCache>
            </c:strRef>
          </c:tx>
          <c:spPr>
            <a:solidFill>
              <a:schemeClr val="accent4">
                <a:tint val="58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Pivot_Data!$A$52:$A$58</c:f>
              <c:strCache>
                <c:ptCount val="6"/>
                <c:pt idx="0">
                  <c:v>Electrotherapy</c:v>
                </c:pt>
                <c:pt idx="1">
                  <c:v>Exercise Therapy</c:v>
                </c:pt>
                <c:pt idx="2">
                  <c:v>Manual Therapy</c:v>
                </c:pt>
                <c:pt idx="3">
                  <c:v>Neuro Rehab</c:v>
                </c:pt>
                <c:pt idx="4">
                  <c:v>Posture Correction</c:v>
                </c:pt>
                <c:pt idx="5">
                  <c:v>Sports Rehab</c:v>
                </c:pt>
              </c:strCache>
            </c:strRef>
          </c:cat>
          <c:val>
            <c:numRef>
              <c:f>Pivot_Data!$E$52:$E$58</c:f>
              <c:numCache>
                <c:formatCode>General</c:formatCode>
                <c:ptCount val="6"/>
                <c:pt idx="0">
                  <c:v>10</c:v>
                </c:pt>
                <c:pt idx="1">
                  <c:v>10</c:v>
                </c:pt>
                <c:pt idx="2">
                  <c:v>18</c:v>
                </c:pt>
                <c:pt idx="3">
                  <c:v>8</c:v>
                </c:pt>
                <c:pt idx="4">
                  <c:v>11</c:v>
                </c:pt>
                <c:pt idx="5">
                  <c:v>14</c:v>
                </c:pt>
              </c:numCache>
            </c:numRef>
          </c:val>
          <c:extLst>
            <c:ext xmlns:c16="http://schemas.microsoft.com/office/drawing/2014/chart" uri="{C3380CC4-5D6E-409C-BE32-E72D297353CC}">
              <c16:uniqueId val="{00000003-EF18-4E8C-83E1-803F86CD117E}"/>
            </c:ext>
          </c:extLst>
        </c:ser>
        <c:dLbls>
          <c:dLblPos val="ctr"/>
          <c:showLegendKey val="0"/>
          <c:showVal val="1"/>
          <c:showCatName val="0"/>
          <c:showSerName val="0"/>
          <c:showPercent val="0"/>
          <c:showBubbleSize val="0"/>
        </c:dLbls>
        <c:gapWidth val="55"/>
        <c:overlap val="100"/>
        <c:axId val="1182928240"/>
        <c:axId val="1182933520"/>
      </c:barChart>
      <c:catAx>
        <c:axId val="118292824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2933520"/>
        <c:crosses val="autoZero"/>
        <c:auto val="1"/>
        <c:lblAlgn val="ctr"/>
        <c:lblOffset val="100"/>
        <c:noMultiLvlLbl val="0"/>
      </c:catAx>
      <c:valAx>
        <c:axId val="11829335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2928240"/>
        <c:crosses val="autoZero"/>
        <c:crossBetween val="between"/>
      </c:valAx>
      <c:spPr>
        <a:noFill/>
        <a:ln>
          <a:noFill/>
        </a:ln>
        <a:effectLst/>
      </c:spPr>
    </c:plotArea>
    <c:legend>
      <c:legendPos val="r"/>
      <c:layout>
        <c:manualLayout>
          <c:xMode val="edge"/>
          <c:yMode val="edge"/>
          <c:x val="0.88153737009007738"/>
          <c:y val="0.497354135672886"/>
          <c:w val="0.11701133495782808"/>
          <c:h val="0.3443933353326159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chemeClr val="tx1">
          <a:lumMod val="15000"/>
          <a:lumOff val="85000"/>
        </a:schemeClr>
      </a:solidFill>
      <a:round/>
    </a:ln>
    <a:effectLst>
      <a:softEdge rad="3175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[Physiotherapy_Clinic_Operational_Efficiency_Dashboard.xlsx]Pivot_Data!AppointmentsByMonth</c:name>
    <c:fmtId val="20"/>
  </c:pivotSource>
  <c:chart>
    <c:autoTitleDeleted val="1"/>
    <c:pivotFmts>
      <c:pivotFmt>
        <c:idx val="0"/>
        <c:spPr>
          <a:ln w="31750" cap="rnd">
            <a:solidFill>
              <a:srgbClr val="7030A0"/>
            </a:solidFill>
            <a:round/>
          </a:ln>
          <a:effectLst/>
        </c:spPr>
        <c:marker>
          <c:symbol val="circle"/>
          <c:size val="17"/>
          <c:spPr>
            <a:solidFill>
              <a:schemeClr val="accent1"/>
            </a:solidFill>
            <a:ln>
              <a:solidFill>
                <a:srgbClr val="7030A0"/>
              </a:solidFill>
            </a:ln>
            <a:effectLst/>
          </c:spPr>
        </c:marker>
        <c:dLbl>
          <c:idx val="0"/>
          <c:spPr>
            <a:solidFill>
              <a:srgbClr val="7030A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Pivot_Data!$B$62</c:f>
              <c:strCache>
                <c:ptCount val="1"/>
                <c:pt idx="0">
                  <c:v>Total</c:v>
                </c:pt>
              </c:strCache>
            </c:strRef>
          </c:tx>
          <c:spPr>
            <a:ln w="31750" cap="rnd">
              <a:solidFill>
                <a:srgbClr val="7030A0"/>
              </a:solidFill>
              <a:round/>
            </a:ln>
            <a:effectLst/>
          </c:spPr>
          <c:marker>
            <c:symbol val="circle"/>
            <c:size val="17"/>
            <c:spPr>
              <a:solidFill>
                <a:schemeClr val="accent1"/>
              </a:solidFill>
              <a:ln>
                <a:solidFill>
                  <a:srgbClr val="7030A0"/>
                </a:solidFill>
              </a:ln>
              <a:effectLst/>
            </c:spPr>
          </c:marker>
          <c:dLbls>
            <c:spPr>
              <a:solidFill>
                <a:srgbClr val="7030A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Pivot_Data!$A$63:$A$75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Pivot_Data!$B$63:$B$75</c:f>
              <c:numCache>
                <c:formatCode>General</c:formatCode>
                <c:ptCount val="12"/>
                <c:pt idx="0">
                  <c:v>159</c:v>
                </c:pt>
                <c:pt idx="1">
                  <c:v>165</c:v>
                </c:pt>
                <c:pt idx="2">
                  <c:v>174</c:v>
                </c:pt>
                <c:pt idx="3">
                  <c:v>152</c:v>
                </c:pt>
                <c:pt idx="4">
                  <c:v>170</c:v>
                </c:pt>
                <c:pt idx="5">
                  <c:v>175</c:v>
                </c:pt>
                <c:pt idx="6">
                  <c:v>171</c:v>
                </c:pt>
                <c:pt idx="7">
                  <c:v>175</c:v>
                </c:pt>
                <c:pt idx="8">
                  <c:v>166</c:v>
                </c:pt>
                <c:pt idx="9">
                  <c:v>166</c:v>
                </c:pt>
                <c:pt idx="10">
                  <c:v>148</c:v>
                </c:pt>
                <c:pt idx="11">
                  <c:v>179</c:v>
                </c:pt>
              </c:numCache>
            </c:numRef>
          </c:val>
          <c:smooth val="1"/>
          <c:extLst>
            <c:ext xmlns:c16="http://schemas.microsoft.com/office/drawing/2014/chart" uri="{C3380CC4-5D6E-409C-BE32-E72D297353CC}">
              <c16:uniqueId val="{00000000-AC69-49AF-BE74-FBADA128AC2D}"/>
            </c:ext>
          </c:extLst>
        </c:ser>
        <c:dLbls>
          <c:dLblPos val="ctr"/>
          <c:showLegendKey val="0"/>
          <c:showVal val="1"/>
          <c:showCatName val="0"/>
          <c:showSerName val="0"/>
          <c:showPercent val="0"/>
          <c:showBubbleSize val="0"/>
        </c:dLbls>
        <c:marker val="1"/>
        <c:smooth val="0"/>
        <c:axId val="327363551"/>
        <c:axId val="327360671"/>
      </c:lineChart>
      <c:catAx>
        <c:axId val="32736355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27360671"/>
        <c:crosses val="autoZero"/>
        <c:auto val="1"/>
        <c:lblAlgn val="ctr"/>
        <c:lblOffset val="100"/>
        <c:noMultiLvlLbl val="0"/>
      </c:catAx>
      <c:valAx>
        <c:axId val="327360671"/>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3273635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a:softEdge rad="3175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lang="en-US" sz="1080" b="0" i="0" u="none" strike="noStrike" kern="1200" spc="0" baseline="0">
              <a:solidFill>
                <a:schemeClr val="tx1"/>
              </a:solidFill>
              <a:latin typeface="+mn-lt"/>
              <a:ea typeface="+mn-ea"/>
              <a:cs typeface="+mn-cs"/>
            </a:defRPr>
          </a:pPr>
          <a:endParaRPr lang="en-US"/>
        </a:p>
      </c:txPr>
    </c:title>
    <c:autoTitleDeleted val="0"/>
    <c:plotArea>
      <c:layout/>
      <c:pieChart>
        <c:varyColors val="1"/>
        <c:ser>
          <c:idx val="1"/>
          <c:order val="1"/>
          <c:tx>
            <c:strRef>
              <c:f>Pivot_Data!$E$83</c:f>
              <c:strCache>
                <c:ptCount val="1"/>
                <c:pt idx="0">
                  <c:v>Exercise Therapy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E70-4F7C-927B-80AB1505CD4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E70-4F7C-927B-80AB1505CD42}"/>
              </c:ext>
            </c:extLst>
          </c:dPt>
          <c:dLbls>
            <c:spPr>
              <a:noFill/>
              <a:ln>
                <a:noFill/>
              </a:ln>
              <a:effectLst/>
            </c:spPr>
            <c:txPr>
              <a:bodyPr rot="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Pivot_Data!$F$81:$G$81</c:f>
              <c:strCache>
                <c:ptCount val="2"/>
                <c:pt idx="0">
                  <c:v>Revenue Generated</c:v>
                </c:pt>
                <c:pt idx="1">
                  <c:v>Revenue Lost</c:v>
                </c:pt>
              </c:strCache>
            </c:strRef>
          </c:cat>
          <c:val>
            <c:numRef>
              <c:f>Pivot_Data!$F$83:$G$83</c:f>
              <c:numCache>
                <c:formatCode>[$₹-4009]\ #,##0</c:formatCode>
                <c:ptCount val="2"/>
                <c:pt idx="0">
                  <c:v>319300</c:v>
                </c:pt>
                <c:pt idx="1">
                  <c:v>95600</c:v>
                </c:pt>
              </c:numCache>
            </c:numRef>
          </c:val>
          <c:extLst>
            <c:ext xmlns:c16="http://schemas.microsoft.com/office/drawing/2014/chart" uri="{C3380CC4-5D6E-409C-BE32-E72D297353CC}">
              <c16:uniqueId val="{00000001-C267-40B8-90A4-0BADBCEB0FDE}"/>
            </c:ext>
          </c:extLst>
        </c:ser>
        <c:dLbls>
          <c:showLegendKey val="0"/>
          <c:showVal val="0"/>
          <c:showCatName val="0"/>
          <c:showSerName val="0"/>
          <c:showPercent val="0"/>
          <c:showBubbleSize val="0"/>
          <c:showLeaderLines val="1"/>
        </c:dLbls>
        <c:firstSliceAng val="0"/>
        <c:extLst>
          <c:ext xmlns:c15="http://schemas.microsoft.com/office/drawing/2012/chart" uri="{02D57815-91ED-43cb-92C2-25804820EDAC}">
            <c15:filteredPieSeries>
              <c15:ser>
                <c:idx val="0"/>
                <c:order val="0"/>
                <c:tx>
                  <c:strRef>
                    <c:extLst>
                      <c:ext uri="{02D57815-91ED-43cb-92C2-25804820EDAC}">
                        <c15:formulaRef>
                          <c15:sqref>Pivot_Data!$E$82</c15:sqref>
                        </c15:formulaRef>
                      </c:ext>
                    </c:extLst>
                    <c:strCache>
                      <c:ptCount val="1"/>
                      <c:pt idx="0">
                        <c:v>Electrotherapy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2E70-4F7C-927B-80AB1505CD4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2E70-4F7C-927B-80AB1505CD42}"/>
                    </c:ext>
                  </c:extLst>
                </c:dPt>
                <c:cat>
                  <c:strRef>
                    <c:extLst>
                      <c:ext uri="{02D57815-91ED-43cb-92C2-25804820EDAC}">
                        <c15:formulaRef>
                          <c15:sqref>Pivot_Data!$F$81:$G$81</c15:sqref>
                        </c15:formulaRef>
                      </c:ext>
                    </c:extLst>
                    <c:strCache>
                      <c:ptCount val="2"/>
                      <c:pt idx="0">
                        <c:v>Revenue Generated</c:v>
                      </c:pt>
                      <c:pt idx="1">
                        <c:v>Revenue Lost</c:v>
                      </c:pt>
                    </c:strCache>
                  </c:strRef>
                </c:cat>
                <c:val>
                  <c:numRef>
                    <c:extLst>
                      <c:ext uri="{02D57815-91ED-43cb-92C2-25804820EDAC}">
                        <c15:formulaRef>
                          <c15:sqref>Pivot_Data!$F$82:$G$82</c15:sqref>
                        </c15:formulaRef>
                      </c:ext>
                    </c:extLst>
                    <c:numCache>
                      <c:formatCode>[$₹-4009]\ #,##0</c:formatCode>
                      <c:ptCount val="2"/>
                      <c:pt idx="0">
                        <c:v>328100</c:v>
                      </c:pt>
                      <c:pt idx="1">
                        <c:v>74150</c:v>
                      </c:pt>
                    </c:numCache>
                  </c:numRef>
                </c:val>
                <c:extLst>
                  <c:ext xmlns:c16="http://schemas.microsoft.com/office/drawing/2014/chart" uri="{C3380CC4-5D6E-409C-BE32-E72D297353CC}">
                    <c16:uniqueId val="{00000000-C267-40B8-90A4-0BADBCEB0FDE}"/>
                  </c:ext>
                </c:extLst>
              </c15:ser>
            </c15:filteredPieSeries>
            <c15:filteredPieSeries>
              <c15:ser>
                <c:idx val="2"/>
                <c:order val="2"/>
                <c:tx>
                  <c:strRef>
                    <c:extLst>
                      <c:ext xmlns:c15="http://schemas.microsoft.com/office/drawing/2012/chart" uri="{02D57815-91ED-43cb-92C2-25804820EDAC}">
                        <c15:formulaRef>
                          <c15:sqref>Pivot_Data!$E$84</c15:sqref>
                        </c15:formulaRef>
                      </c:ext>
                    </c:extLst>
                    <c:strCache>
                      <c:ptCount val="1"/>
                      <c:pt idx="0">
                        <c:v>Manual Therapy</c:v>
                      </c:pt>
                    </c:strCache>
                  </c:strRef>
                </c:tx>
                <c:dPt>
                  <c:idx val="0"/>
                  <c:bubble3D val="0"/>
                  <c:spPr>
                    <a:solidFill>
                      <a:schemeClr val="accent1"/>
                    </a:solidFill>
                    <a:ln w="19050">
                      <a:solidFill>
                        <a:schemeClr val="lt1"/>
                      </a:solidFill>
                    </a:ln>
                    <a:effectLst/>
                  </c:spPr>
                  <c:extLst xmlns:c15="http://schemas.microsoft.com/office/drawing/2012/chart">
                    <c:ext xmlns:c16="http://schemas.microsoft.com/office/drawing/2014/chart" uri="{C3380CC4-5D6E-409C-BE32-E72D297353CC}">
                      <c16:uniqueId val="{00000009-2E70-4F7C-927B-80AB1505CD42}"/>
                    </c:ext>
                  </c:extLst>
                </c:dPt>
                <c:dPt>
                  <c:idx val="1"/>
                  <c:bubble3D val="0"/>
                  <c:spPr>
                    <a:solidFill>
                      <a:schemeClr val="accent2"/>
                    </a:solidFill>
                    <a:ln w="19050">
                      <a:solidFill>
                        <a:schemeClr val="lt1"/>
                      </a:solidFill>
                    </a:ln>
                    <a:effectLst/>
                  </c:spPr>
                  <c:extLst xmlns:c15="http://schemas.microsoft.com/office/drawing/2012/chart">
                    <c:ext xmlns:c16="http://schemas.microsoft.com/office/drawing/2014/chart" uri="{C3380CC4-5D6E-409C-BE32-E72D297353CC}">
                      <c16:uniqueId val="{0000000B-2E70-4F7C-927B-80AB1505CD42}"/>
                    </c:ext>
                  </c:extLst>
                </c:dPt>
                <c:cat>
                  <c:strRef>
                    <c:extLst>
                      <c:ext xmlns:c15="http://schemas.microsoft.com/office/drawing/2012/chart" uri="{02D57815-91ED-43cb-92C2-25804820EDAC}">
                        <c15:formulaRef>
                          <c15:sqref>Pivot_Data!$F$81:$G$81</c15:sqref>
                        </c15:formulaRef>
                      </c:ext>
                    </c:extLst>
                    <c:strCache>
                      <c:ptCount val="2"/>
                      <c:pt idx="0">
                        <c:v>Revenue Generated</c:v>
                      </c:pt>
                      <c:pt idx="1">
                        <c:v>Revenue Lost</c:v>
                      </c:pt>
                    </c:strCache>
                  </c:strRef>
                </c:cat>
                <c:val>
                  <c:numRef>
                    <c:extLst>
                      <c:ext xmlns:c15="http://schemas.microsoft.com/office/drawing/2012/chart" uri="{02D57815-91ED-43cb-92C2-25804820EDAC}">
                        <c15:formulaRef>
                          <c15:sqref>Pivot_Data!$F$84:$G$84</c15:sqref>
                        </c15:formulaRef>
                      </c:ext>
                    </c:extLst>
                    <c:numCache>
                      <c:formatCode>[$₹-4009]\ #,##0</c:formatCode>
                      <c:ptCount val="2"/>
                      <c:pt idx="0">
                        <c:v>328950</c:v>
                      </c:pt>
                      <c:pt idx="1">
                        <c:v>96150</c:v>
                      </c:pt>
                    </c:numCache>
                  </c:numRef>
                </c:val>
                <c:extLst xmlns:c15="http://schemas.microsoft.com/office/drawing/2012/chart">
                  <c:ext xmlns:c16="http://schemas.microsoft.com/office/drawing/2014/chart" uri="{C3380CC4-5D6E-409C-BE32-E72D297353CC}">
                    <c16:uniqueId val="{00000006-C267-40B8-90A4-0BADBCEB0FDE}"/>
                  </c:ext>
                </c:extLst>
              </c15:ser>
            </c15:filteredPieSeries>
            <c15:filteredPieSeries>
              <c15:ser>
                <c:idx val="3"/>
                <c:order val="3"/>
                <c:tx>
                  <c:strRef>
                    <c:extLst>
                      <c:ext xmlns:c15="http://schemas.microsoft.com/office/drawing/2012/chart" uri="{02D57815-91ED-43cb-92C2-25804820EDAC}">
                        <c15:formulaRef>
                          <c15:sqref>Pivot_Data!$E$85</c15:sqref>
                        </c15:formulaRef>
                      </c:ext>
                    </c:extLst>
                    <c:strCache>
                      <c:ptCount val="1"/>
                      <c:pt idx="0">
                        <c:v>Neuro Rehab</c:v>
                      </c:pt>
                    </c:strCache>
                  </c:strRef>
                </c:tx>
                <c:dPt>
                  <c:idx val="0"/>
                  <c:bubble3D val="0"/>
                  <c:spPr>
                    <a:solidFill>
                      <a:schemeClr val="accent1"/>
                    </a:solidFill>
                    <a:ln w="19050">
                      <a:solidFill>
                        <a:schemeClr val="lt1"/>
                      </a:solidFill>
                    </a:ln>
                    <a:effectLst/>
                  </c:spPr>
                  <c:extLst xmlns:c15="http://schemas.microsoft.com/office/drawing/2012/chart">
                    <c:ext xmlns:c16="http://schemas.microsoft.com/office/drawing/2014/chart" uri="{C3380CC4-5D6E-409C-BE32-E72D297353CC}">
                      <c16:uniqueId val="{0000000D-2E70-4F7C-927B-80AB1505CD42}"/>
                    </c:ext>
                  </c:extLst>
                </c:dPt>
                <c:dPt>
                  <c:idx val="1"/>
                  <c:bubble3D val="0"/>
                  <c:spPr>
                    <a:solidFill>
                      <a:schemeClr val="accent2"/>
                    </a:solidFill>
                    <a:ln w="19050">
                      <a:solidFill>
                        <a:schemeClr val="lt1"/>
                      </a:solidFill>
                    </a:ln>
                    <a:effectLst/>
                  </c:spPr>
                  <c:extLst xmlns:c15="http://schemas.microsoft.com/office/drawing/2012/chart">
                    <c:ext xmlns:c16="http://schemas.microsoft.com/office/drawing/2014/chart" uri="{C3380CC4-5D6E-409C-BE32-E72D297353CC}">
                      <c16:uniqueId val="{0000000F-2E70-4F7C-927B-80AB1505CD42}"/>
                    </c:ext>
                  </c:extLst>
                </c:dPt>
                <c:cat>
                  <c:strRef>
                    <c:extLst>
                      <c:ext xmlns:c15="http://schemas.microsoft.com/office/drawing/2012/chart" uri="{02D57815-91ED-43cb-92C2-25804820EDAC}">
                        <c15:formulaRef>
                          <c15:sqref>Pivot_Data!$F$81:$G$81</c15:sqref>
                        </c15:formulaRef>
                      </c:ext>
                    </c:extLst>
                    <c:strCache>
                      <c:ptCount val="2"/>
                      <c:pt idx="0">
                        <c:v>Revenue Generated</c:v>
                      </c:pt>
                      <c:pt idx="1">
                        <c:v>Revenue Lost</c:v>
                      </c:pt>
                    </c:strCache>
                  </c:strRef>
                </c:cat>
                <c:val>
                  <c:numRef>
                    <c:extLst>
                      <c:ext xmlns:c15="http://schemas.microsoft.com/office/drawing/2012/chart" uri="{02D57815-91ED-43cb-92C2-25804820EDAC}">
                        <c15:formulaRef>
                          <c15:sqref>Pivot_Data!$F$85:$G$85</c15:sqref>
                        </c15:formulaRef>
                      </c:ext>
                    </c:extLst>
                    <c:numCache>
                      <c:formatCode>[$₹-4009]\ #,##0</c:formatCode>
                      <c:ptCount val="2"/>
                      <c:pt idx="0">
                        <c:v>365500</c:v>
                      </c:pt>
                      <c:pt idx="1">
                        <c:v>87100</c:v>
                      </c:pt>
                    </c:numCache>
                  </c:numRef>
                </c:val>
                <c:extLst xmlns:c15="http://schemas.microsoft.com/office/drawing/2012/chart">
                  <c:ext xmlns:c16="http://schemas.microsoft.com/office/drawing/2014/chart" uri="{C3380CC4-5D6E-409C-BE32-E72D297353CC}">
                    <c16:uniqueId val="{00000007-C267-40B8-90A4-0BADBCEB0FDE}"/>
                  </c:ext>
                </c:extLst>
              </c15:ser>
            </c15:filteredPieSeries>
            <c15:filteredPieSeries>
              <c15:ser>
                <c:idx val="4"/>
                <c:order val="4"/>
                <c:tx>
                  <c:strRef>
                    <c:extLst>
                      <c:ext xmlns:c15="http://schemas.microsoft.com/office/drawing/2012/chart" uri="{02D57815-91ED-43cb-92C2-25804820EDAC}">
                        <c15:formulaRef>
                          <c15:sqref>Pivot_Data!$E$86</c15:sqref>
                        </c15:formulaRef>
                      </c:ext>
                    </c:extLst>
                    <c:strCache>
                      <c:ptCount val="1"/>
                      <c:pt idx="0">
                        <c:v>Posture Correction</c:v>
                      </c:pt>
                    </c:strCache>
                  </c:strRef>
                </c:tx>
                <c:dPt>
                  <c:idx val="0"/>
                  <c:bubble3D val="0"/>
                  <c:spPr>
                    <a:solidFill>
                      <a:schemeClr val="accent1"/>
                    </a:solidFill>
                    <a:ln w="19050">
                      <a:solidFill>
                        <a:schemeClr val="lt1"/>
                      </a:solidFill>
                    </a:ln>
                    <a:effectLst/>
                  </c:spPr>
                  <c:extLst xmlns:c15="http://schemas.microsoft.com/office/drawing/2012/chart">
                    <c:ext xmlns:c16="http://schemas.microsoft.com/office/drawing/2014/chart" uri="{C3380CC4-5D6E-409C-BE32-E72D297353CC}">
                      <c16:uniqueId val="{00000011-2E70-4F7C-927B-80AB1505CD42}"/>
                    </c:ext>
                  </c:extLst>
                </c:dPt>
                <c:dPt>
                  <c:idx val="1"/>
                  <c:bubble3D val="0"/>
                  <c:spPr>
                    <a:solidFill>
                      <a:schemeClr val="accent2"/>
                    </a:solidFill>
                    <a:ln w="19050">
                      <a:solidFill>
                        <a:schemeClr val="lt1"/>
                      </a:solidFill>
                    </a:ln>
                    <a:effectLst/>
                  </c:spPr>
                  <c:extLst xmlns:c15="http://schemas.microsoft.com/office/drawing/2012/chart">
                    <c:ext xmlns:c16="http://schemas.microsoft.com/office/drawing/2014/chart" uri="{C3380CC4-5D6E-409C-BE32-E72D297353CC}">
                      <c16:uniqueId val="{00000013-2E70-4F7C-927B-80AB1505CD42}"/>
                    </c:ext>
                  </c:extLst>
                </c:dPt>
                <c:cat>
                  <c:strRef>
                    <c:extLst>
                      <c:ext xmlns:c15="http://schemas.microsoft.com/office/drawing/2012/chart" uri="{02D57815-91ED-43cb-92C2-25804820EDAC}">
                        <c15:formulaRef>
                          <c15:sqref>Pivot_Data!$F$81:$G$81</c15:sqref>
                        </c15:formulaRef>
                      </c:ext>
                    </c:extLst>
                    <c:strCache>
                      <c:ptCount val="2"/>
                      <c:pt idx="0">
                        <c:v>Revenue Generated</c:v>
                      </c:pt>
                      <c:pt idx="1">
                        <c:v>Revenue Lost</c:v>
                      </c:pt>
                    </c:strCache>
                  </c:strRef>
                </c:cat>
                <c:val>
                  <c:numRef>
                    <c:extLst>
                      <c:ext xmlns:c15="http://schemas.microsoft.com/office/drawing/2012/chart" uri="{02D57815-91ED-43cb-92C2-25804820EDAC}">
                        <c15:formulaRef>
                          <c15:sqref>Pivot_Data!$F$86:$G$86</c15:sqref>
                        </c15:formulaRef>
                      </c:ext>
                    </c:extLst>
                    <c:numCache>
                      <c:formatCode>[$₹-4009]\ #,##0</c:formatCode>
                      <c:ptCount val="2"/>
                      <c:pt idx="0">
                        <c:v>330500</c:v>
                      </c:pt>
                      <c:pt idx="1">
                        <c:v>95750</c:v>
                      </c:pt>
                    </c:numCache>
                  </c:numRef>
                </c:val>
                <c:extLst xmlns:c15="http://schemas.microsoft.com/office/drawing/2012/chart">
                  <c:ext xmlns:c16="http://schemas.microsoft.com/office/drawing/2014/chart" uri="{C3380CC4-5D6E-409C-BE32-E72D297353CC}">
                    <c16:uniqueId val="{00000008-C267-40B8-90A4-0BADBCEB0FDE}"/>
                  </c:ext>
                </c:extLst>
              </c15:ser>
            </c15:filteredPieSeries>
            <c15:filteredPieSeries>
              <c15:ser>
                <c:idx val="5"/>
                <c:order val="5"/>
                <c:tx>
                  <c:strRef>
                    <c:extLst>
                      <c:ext xmlns:c15="http://schemas.microsoft.com/office/drawing/2012/chart" uri="{02D57815-91ED-43cb-92C2-25804820EDAC}">
                        <c15:formulaRef>
                          <c15:sqref>Pivot_Data!$E$87</c15:sqref>
                        </c15:formulaRef>
                      </c:ext>
                    </c:extLst>
                    <c:strCache>
                      <c:ptCount val="1"/>
                      <c:pt idx="0">
                        <c:v>Sports Rehab</c:v>
                      </c:pt>
                    </c:strCache>
                  </c:strRef>
                </c:tx>
                <c:dPt>
                  <c:idx val="0"/>
                  <c:bubble3D val="0"/>
                  <c:spPr>
                    <a:solidFill>
                      <a:schemeClr val="accent1"/>
                    </a:solidFill>
                    <a:ln w="19050">
                      <a:solidFill>
                        <a:schemeClr val="lt1"/>
                      </a:solidFill>
                    </a:ln>
                    <a:effectLst/>
                  </c:spPr>
                  <c:extLst xmlns:c15="http://schemas.microsoft.com/office/drawing/2012/chart">
                    <c:ext xmlns:c16="http://schemas.microsoft.com/office/drawing/2014/chart" uri="{C3380CC4-5D6E-409C-BE32-E72D297353CC}">
                      <c16:uniqueId val="{00000015-2E70-4F7C-927B-80AB1505CD42}"/>
                    </c:ext>
                  </c:extLst>
                </c:dPt>
                <c:dPt>
                  <c:idx val="1"/>
                  <c:bubble3D val="0"/>
                  <c:spPr>
                    <a:solidFill>
                      <a:schemeClr val="accent2"/>
                    </a:solidFill>
                    <a:ln w="19050">
                      <a:solidFill>
                        <a:schemeClr val="lt1"/>
                      </a:solidFill>
                    </a:ln>
                    <a:effectLst/>
                  </c:spPr>
                  <c:extLst xmlns:c15="http://schemas.microsoft.com/office/drawing/2012/chart">
                    <c:ext xmlns:c16="http://schemas.microsoft.com/office/drawing/2014/chart" uri="{C3380CC4-5D6E-409C-BE32-E72D297353CC}">
                      <c16:uniqueId val="{00000017-2E70-4F7C-927B-80AB1505CD42}"/>
                    </c:ext>
                  </c:extLst>
                </c:dPt>
                <c:cat>
                  <c:strRef>
                    <c:extLst>
                      <c:ext xmlns:c15="http://schemas.microsoft.com/office/drawing/2012/chart" uri="{02D57815-91ED-43cb-92C2-25804820EDAC}">
                        <c15:formulaRef>
                          <c15:sqref>Pivot_Data!$F$81:$G$81</c15:sqref>
                        </c15:formulaRef>
                      </c:ext>
                    </c:extLst>
                    <c:strCache>
                      <c:ptCount val="2"/>
                      <c:pt idx="0">
                        <c:v>Revenue Generated</c:v>
                      </c:pt>
                      <c:pt idx="1">
                        <c:v>Revenue Lost</c:v>
                      </c:pt>
                    </c:strCache>
                  </c:strRef>
                </c:cat>
                <c:val>
                  <c:numRef>
                    <c:extLst>
                      <c:ext xmlns:c15="http://schemas.microsoft.com/office/drawing/2012/chart" uri="{02D57815-91ED-43cb-92C2-25804820EDAC}">
                        <c15:formulaRef>
                          <c15:sqref>Pivot_Data!$F$87:$G$87</c15:sqref>
                        </c15:formulaRef>
                      </c:ext>
                    </c:extLst>
                    <c:numCache>
                      <c:formatCode>[$₹-4009]\ #,##0</c:formatCode>
                      <c:ptCount val="2"/>
                      <c:pt idx="0">
                        <c:v>318550</c:v>
                      </c:pt>
                      <c:pt idx="1">
                        <c:v>94600</c:v>
                      </c:pt>
                    </c:numCache>
                  </c:numRef>
                </c:val>
                <c:extLst xmlns:c15="http://schemas.microsoft.com/office/drawing/2012/chart">
                  <c:ext xmlns:c16="http://schemas.microsoft.com/office/drawing/2014/chart" uri="{C3380CC4-5D6E-409C-BE32-E72D297353CC}">
                    <c16:uniqueId val="{00000009-C267-40B8-90A4-0BADBCEB0FDE}"/>
                  </c:ext>
                </c:extLst>
              </c15:ser>
            </c15:filteredPieSeries>
          </c:ext>
        </c:extLst>
      </c:pieChart>
      <c:spPr>
        <a:noFill/>
        <a:ln>
          <a:noFill/>
        </a:ln>
        <a:effectLst/>
      </c:spPr>
    </c:plotArea>
    <c:legend>
      <c:legendPos val="b"/>
      <c:overlay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softEdge rad="31750"/>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lang="en-US" sz="1080" b="0" i="0" u="none" strike="noStrike" kern="1200" spc="0" baseline="0">
              <a:solidFill>
                <a:schemeClr val="tx1"/>
              </a:solidFill>
              <a:latin typeface="+mn-lt"/>
              <a:ea typeface="+mn-ea"/>
              <a:cs typeface="+mn-cs"/>
            </a:defRPr>
          </a:pPr>
          <a:endParaRPr lang="en-US"/>
        </a:p>
      </c:txPr>
    </c:title>
    <c:autoTitleDeleted val="0"/>
    <c:plotArea>
      <c:layout/>
      <c:pieChart>
        <c:varyColors val="1"/>
        <c:ser>
          <c:idx val="2"/>
          <c:order val="2"/>
          <c:tx>
            <c:strRef>
              <c:f>Pivot_Data!$E$84</c:f>
              <c:strCache>
                <c:ptCount val="1"/>
                <c:pt idx="0">
                  <c:v>Manual Therapy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377-47CD-8AC9-BC4987E892C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377-47CD-8AC9-BC4987E892CB}"/>
              </c:ext>
            </c:extLst>
          </c:dPt>
          <c:dLbls>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Pivot_Data!$F$81:$G$81</c:f>
              <c:strCache>
                <c:ptCount val="2"/>
                <c:pt idx="0">
                  <c:v>Revenue Generated</c:v>
                </c:pt>
                <c:pt idx="1">
                  <c:v>Revenue Lost</c:v>
                </c:pt>
              </c:strCache>
            </c:strRef>
          </c:cat>
          <c:val>
            <c:numRef>
              <c:f>Pivot_Data!$F$84:$G$84</c:f>
              <c:numCache>
                <c:formatCode>[$₹-4009]\ #,##0</c:formatCode>
                <c:ptCount val="2"/>
                <c:pt idx="0">
                  <c:v>328950</c:v>
                </c:pt>
                <c:pt idx="1">
                  <c:v>96150</c:v>
                </c:pt>
              </c:numCache>
            </c:numRef>
          </c:val>
          <c:extLst>
            <c:ext xmlns:c16="http://schemas.microsoft.com/office/drawing/2014/chart" uri="{C3380CC4-5D6E-409C-BE32-E72D297353CC}">
              <c16:uniqueId val="{00000002-CBBA-434F-81C9-87ACC76D04FD}"/>
            </c:ext>
          </c:extLst>
        </c:ser>
        <c:dLbls>
          <c:showLegendKey val="0"/>
          <c:showVal val="0"/>
          <c:showCatName val="0"/>
          <c:showSerName val="0"/>
          <c:showPercent val="0"/>
          <c:showBubbleSize val="0"/>
          <c:showLeaderLines val="1"/>
        </c:dLbls>
        <c:firstSliceAng val="0"/>
        <c:extLst>
          <c:ext xmlns:c15="http://schemas.microsoft.com/office/drawing/2012/chart" uri="{02D57815-91ED-43cb-92C2-25804820EDAC}">
            <c15:filteredPieSeries>
              <c15:ser>
                <c:idx val="0"/>
                <c:order val="0"/>
                <c:tx>
                  <c:strRef>
                    <c:extLst>
                      <c:ext uri="{02D57815-91ED-43cb-92C2-25804820EDAC}">
                        <c15:formulaRef>
                          <c15:sqref>Pivot_Data!$E$82</c15:sqref>
                        </c15:formulaRef>
                      </c:ext>
                    </c:extLst>
                    <c:strCache>
                      <c:ptCount val="1"/>
                      <c:pt idx="0">
                        <c:v>Electrotherapy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3377-47CD-8AC9-BC4987E892C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3377-47CD-8AC9-BC4987E892CB}"/>
                    </c:ext>
                  </c:extLst>
                </c:dPt>
                <c:cat>
                  <c:strRef>
                    <c:extLst>
                      <c:ext uri="{02D57815-91ED-43cb-92C2-25804820EDAC}">
                        <c15:formulaRef>
                          <c15:sqref>Pivot_Data!$F$81:$G$81</c15:sqref>
                        </c15:formulaRef>
                      </c:ext>
                    </c:extLst>
                    <c:strCache>
                      <c:ptCount val="2"/>
                      <c:pt idx="0">
                        <c:v>Revenue Generated</c:v>
                      </c:pt>
                      <c:pt idx="1">
                        <c:v>Revenue Lost</c:v>
                      </c:pt>
                    </c:strCache>
                  </c:strRef>
                </c:cat>
                <c:val>
                  <c:numRef>
                    <c:extLst>
                      <c:ext uri="{02D57815-91ED-43cb-92C2-25804820EDAC}">
                        <c15:formulaRef>
                          <c15:sqref>Pivot_Data!$F$82:$G$82</c15:sqref>
                        </c15:formulaRef>
                      </c:ext>
                    </c:extLst>
                    <c:numCache>
                      <c:formatCode>[$₹-4009]\ #,##0</c:formatCode>
                      <c:ptCount val="2"/>
                      <c:pt idx="0">
                        <c:v>328100</c:v>
                      </c:pt>
                      <c:pt idx="1">
                        <c:v>74150</c:v>
                      </c:pt>
                    </c:numCache>
                  </c:numRef>
                </c:val>
                <c:extLst>
                  <c:ext xmlns:c16="http://schemas.microsoft.com/office/drawing/2014/chart" uri="{C3380CC4-5D6E-409C-BE32-E72D297353CC}">
                    <c16:uniqueId val="{00000000-CBBA-434F-81C9-87ACC76D04FD}"/>
                  </c:ext>
                </c:extLst>
              </c15:ser>
            </c15:filteredPieSeries>
            <c15:filteredPieSeries>
              <c15:ser>
                <c:idx val="1"/>
                <c:order val="1"/>
                <c:tx>
                  <c:strRef>
                    <c:extLst>
                      <c:ext xmlns:c15="http://schemas.microsoft.com/office/drawing/2012/chart" uri="{02D57815-91ED-43cb-92C2-25804820EDAC}">
                        <c15:formulaRef>
                          <c15:sqref>Pivot_Data!$E$83</c15:sqref>
                        </c15:formulaRef>
                      </c:ext>
                    </c:extLst>
                    <c:strCache>
                      <c:ptCount val="1"/>
                      <c:pt idx="0">
                        <c:v>Exercise Therapy</c:v>
                      </c:pt>
                    </c:strCache>
                  </c:strRef>
                </c:tx>
                <c:dPt>
                  <c:idx val="0"/>
                  <c:bubble3D val="0"/>
                  <c:spPr>
                    <a:solidFill>
                      <a:schemeClr val="accent1"/>
                    </a:solidFill>
                    <a:ln w="19050">
                      <a:solidFill>
                        <a:schemeClr val="lt1"/>
                      </a:solidFill>
                    </a:ln>
                    <a:effectLst/>
                  </c:spPr>
                  <c:extLst xmlns:c15="http://schemas.microsoft.com/office/drawing/2012/chart">
                    <c:ext xmlns:c16="http://schemas.microsoft.com/office/drawing/2014/chart" uri="{C3380CC4-5D6E-409C-BE32-E72D297353CC}">
                      <c16:uniqueId val="{00000009-3377-47CD-8AC9-BC4987E892CB}"/>
                    </c:ext>
                  </c:extLst>
                </c:dPt>
                <c:dPt>
                  <c:idx val="1"/>
                  <c:bubble3D val="0"/>
                  <c:spPr>
                    <a:solidFill>
                      <a:schemeClr val="accent2"/>
                    </a:solidFill>
                    <a:ln w="19050">
                      <a:solidFill>
                        <a:schemeClr val="lt1"/>
                      </a:solidFill>
                    </a:ln>
                    <a:effectLst/>
                  </c:spPr>
                  <c:extLst xmlns:c15="http://schemas.microsoft.com/office/drawing/2012/chart">
                    <c:ext xmlns:c16="http://schemas.microsoft.com/office/drawing/2014/chart" uri="{C3380CC4-5D6E-409C-BE32-E72D297353CC}">
                      <c16:uniqueId val="{0000000B-3377-47CD-8AC9-BC4987E892CB}"/>
                    </c:ext>
                  </c:extLst>
                </c:dPt>
                <c:cat>
                  <c:strRef>
                    <c:extLst>
                      <c:ext xmlns:c15="http://schemas.microsoft.com/office/drawing/2012/chart" uri="{02D57815-91ED-43cb-92C2-25804820EDAC}">
                        <c15:formulaRef>
                          <c15:sqref>Pivot_Data!$F$81:$G$81</c15:sqref>
                        </c15:formulaRef>
                      </c:ext>
                    </c:extLst>
                    <c:strCache>
                      <c:ptCount val="2"/>
                      <c:pt idx="0">
                        <c:v>Revenue Generated</c:v>
                      </c:pt>
                      <c:pt idx="1">
                        <c:v>Revenue Lost</c:v>
                      </c:pt>
                    </c:strCache>
                  </c:strRef>
                </c:cat>
                <c:val>
                  <c:numRef>
                    <c:extLst>
                      <c:ext xmlns:c15="http://schemas.microsoft.com/office/drawing/2012/chart" uri="{02D57815-91ED-43cb-92C2-25804820EDAC}">
                        <c15:formulaRef>
                          <c15:sqref>Pivot_Data!$F$83:$G$83</c15:sqref>
                        </c15:formulaRef>
                      </c:ext>
                    </c:extLst>
                    <c:numCache>
                      <c:formatCode>[$₹-4009]\ #,##0</c:formatCode>
                      <c:ptCount val="2"/>
                      <c:pt idx="0">
                        <c:v>319300</c:v>
                      </c:pt>
                      <c:pt idx="1">
                        <c:v>95600</c:v>
                      </c:pt>
                    </c:numCache>
                  </c:numRef>
                </c:val>
                <c:extLst xmlns:c15="http://schemas.microsoft.com/office/drawing/2012/chart">
                  <c:ext xmlns:c16="http://schemas.microsoft.com/office/drawing/2014/chart" uri="{C3380CC4-5D6E-409C-BE32-E72D297353CC}">
                    <c16:uniqueId val="{00000001-CBBA-434F-81C9-87ACC76D04FD}"/>
                  </c:ext>
                </c:extLst>
              </c15:ser>
            </c15:filteredPieSeries>
            <c15:filteredPieSeries>
              <c15:ser>
                <c:idx val="3"/>
                <c:order val="3"/>
                <c:tx>
                  <c:strRef>
                    <c:extLst>
                      <c:ext xmlns:c15="http://schemas.microsoft.com/office/drawing/2012/chart" uri="{02D57815-91ED-43cb-92C2-25804820EDAC}">
                        <c15:formulaRef>
                          <c15:sqref>Pivot_Data!$E$85</c15:sqref>
                        </c15:formulaRef>
                      </c:ext>
                    </c:extLst>
                    <c:strCache>
                      <c:ptCount val="1"/>
                      <c:pt idx="0">
                        <c:v>Neuro Rehab</c:v>
                      </c:pt>
                    </c:strCache>
                  </c:strRef>
                </c:tx>
                <c:dPt>
                  <c:idx val="0"/>
                  <c:bubble3D val="0"/>
                  <c:spPr>
                    <a:solidFill>
                      <a:schemeClr val="accent1"/>
                    </a:solidFill>
                    <a:ln w="19050">
                      <a:solidFill>
                        <a:schemeClr val="lt1"/>
                      </a:solidFill>
                    </a:ln>
                    <a:effectLst/>
                  </c:spPr>
                  <c:extLst xmlns:c15="http://schemas.microsoft.com/office/drawing/2012/chart">
                    <c:ext xmlns:c16="http://schemas.microsoft.com/office/drawing/2014/chart" uri="{C3380CC4-5D6E-409C-BE32-E72D297353CC}">
                      <c16:uniqueId val="{0000000D-3377-47CD-8AC9-BC4987E892CB}"/>
                    </c:ext>
                  </c:extLst>
                </c:dPt>
                <c:dPt>
                  <c:idx val="1"/>
                  <c:bubble3D val="0"/>
                  <c:spPr>
                    <a:solidFill>
                      <a:schemeClr val="accent2"/>
                    </a:solidFill>
                    <a:ln w="19050">
                      <a:solidFill>
                        <a:schemeClr val="lt1"/>
                      </a:solidFill>
                    </a:ln>
                    <a:effectLst/>
                  </c:spPr>
                  <c:extLst xmlns:c15="http://schemas.microsoft.com/office/drawing/2012/chart">
                    <c:ext xmlns:c16="http://schemas.microsoft.com/office/drawing/2014/chart" uri="{C3380CC4-5D6E-409C-BE32-E72D297353CC}">
                      <c16:uniqueId val="{0000000F-3377-47CD-8AC9-BC4987E892CB}"/>
                    </c:ext>
                  </c:extLst>
                </c:dPt>
                <c:cat>
                  <c:strRef>
                    <c:extLst>
                      <c:ext xmlns:c15="http://schemas.microsoft.com/office/drawing/2012/chart" uri="{02D57815-91ED-43cb-92C2-25804820EDAC}">
                        <c15:formulaRef>
                          <c15:sqref>Pivot_Data!$F$81:$G$81</c15:sqref>
                        </c15:formulaRef>
                      </c:ext>
                    </c:extLst>
                    <c:strCache>
                      <c:ptCount val="2"/>
                      <c:pt idx="0">
                        <c:v>Revenue Generated</c:v>
                      </c:pt>
                      <c:pt idx="1">
                        <c:v>Revenue Lost</c:v>
                      </c:pt>
                    </c:strCache>
                  </c:strRef>
                </c:cat>
                <c:val>
                  <c:numRef>
                    <c:extLst>
                      <c:ext xmlns:c15="http://schemas.microsoft.com/office/drawing/2012/chart" uri="{02D57815-91ED-43cb-92C2-25804820EDAC}">
                        <c15:formulaRef>
                          <c15:sqref>Pivot_Data!$F$85:$G$85</c15:sqref>
                        </c15:formulaRef>
                      </c:ext>
                    </c:extLst>
                    <c:numCache>
                      <c:formatCode>[$₹-4009]\ #,##0</c:formatCode>
                      <c:ptCount val="2"/>
                      <c:pt idx="0">
                        <c:v>365500</c:v>
                      </c:pt>
                      <c:pt idx="1">
                        <c:v>87100</c:v>
                      </c:pt>
                    </c:numCache>
                  </c:numRef>
                </c:val>
                <c:extLst xmlns:c15="http://schemas.microsoft.com/office/drawing/2012/chart">
                  <c:ext xmlns:c16="http://schemas.microsoft.com/office/drawing/2014/chart" uri="{C3380CC4-5D6E-409C-BE32-E72D297353CC}">
                    <c16:uniqueId val="{00000003-CBBA-434F-81C9-87ACC76D04FD}"/>
                  </c:ext>
                </c:extLst>
              </c15:ser>
            </c15:filteredPieSeries>
            <c15:filteredPieSeries>
              <c15:ser>
                <c:idx val="4"/>
                <c:order val="4"/>
                <c:tx>
                  <c:strRef>
                    <c:extLst>
                      <c:ext xmlns:c15="http://schemas.microsoft.com/office/drawing/2012/chart" uri="{02D57815-91ED-43cb-92C2-25804820EDAC}">
                        <c15:formulaRef>
                          <c15:sqref>Pivot_Data!$E$86</c15:sqref>
                        </c15:formulaRef>
                      </c:ext>
                    </c:extLst>
                    <c:strCache>
                      <c:ptCount val="1"/>
                      <c:pt idx="0">
                        <c:v>Posture Correction</c:v>
                      </c:pt>
                    </c:strCache>
                  </c:strRef>
                </c:tx>
                <c:dPt>
                  <c:idx val="0"/>
                  <c:bubble3D val="0"/>
                  <c:spPr>
                    <a:solidFill>
                      <a:schemeClr val="accent1"/>
                    </a:solidFill>
                    <a:ln w="19050">
                      <a:solidFill>
                        <a:schemeClr val="lt1"/>
                      </a:solidFill>
                    </a:ln>
                    <a:effectLst/>
                  </c:spPr>
                  <c:extLst xmlns:c15="http://schemas.microsoft.com/office/drawing/2012/chart">
                    <c:ext xmlns:c16="http://schemas.microsoft.com/office/drawing/2014/chart" uri="{C3380CC4-5D6E-409C-BE32-E72D297353CC}">
                      <c16:uniqueId val="{00000011-3377-47CD-8AC9-BC4987E892CB}"/>
                    </c:ext>
                  </c:extLst>
                </c:dPt>
                <c:dPt>
                  <c:idx val="1"/>
                  <c:bubble3D val="0"/>
                  <c:spPr>
                    <a:solidFill>
                      <a:schemeClr val="accent2"/>
                    </a:solidFill>
                    <a:ln w="19050">
                      <a:solidFill>
                        <a:schemeClr val="lt1"/>
                      </a:solidFill>
                    </a:ln>
                    <a:effectLst/>
                  </c:spPr>
                  <c:extLst xmlns:c15="http://schemas.microsoft.com/office/drawing/2012/chart">
                    <c:ext xmlns:c16="http://schemas.microsoft.com/office/drawing/2014/chart" uri="{C3380CC4-5D6E-409C-BE32-E72D297353CC}">
                      <c16:uniqueId val="{00000013-3377-47CD-8AC9-BC4987E892CB}"/>
                    </c:ext>
                  </c:extLst>
                </c:dPt>
                <c:cat>
                  <c:strRef>
                    <c:extLst>
                      <c:ext xmlns:c15="http://schemas.microsoft.com/office/drawing/2012/chart" uri="{02D57815-91ED-43cb-92C2-25804820EDAC}">
                        <c15:formulaRef>
                          <c15:sqref>Pivot_Data!$F$81:$G$81</c15:sqref>
                        </c15:formulaRef>
                      </c:ext>
                    </c:extLst>
                    <c:strCache>
                      <c:ptCount val="2"/>
                      <c:pt idx="0">
                        <c:v>Revenue Generated</c:v>
                      </c:pt>
                      <c:pt idx="1">
                        <c:v>Revenue Lost</c:v>
                      </c:pt>
                    </c:strCache>
                  </c:strRef>
                </c:cat>
                <c:val>
                  <c:numRef>
                    <c:extLst>
                      <c:ext xmlns:c15="http://schemas.microsoft.com/office/drawing/2012/chart" uri="{02D57815-91ED-43cb-92C2-25804820EDAC}">
                        <c15:formulaRef>
                          <c15:sqref>Pivot_Data!$F$86:$G$86</c15:sqref>
                        </c15:formulaRef>
                      </c:ext>
                    </c:extLst>
                    <c:numCache>
                      <c:formatCode>[$₹-4009]\ #,##0</c:formatCode>
                      <c:ptCount val="2"/>
                      <c:pt idx="0">
                        <c:v>330500</c:v>
                      </c:pt>
                      <c:pt idx="1">
                        <c:v>95750</c:v>
                      </c:pt>
                    </c:numCache>
                  </c:numRef>
                </c:val>
                <c:extLst xmlns:c15="http://schemas.microsoft.com/office/drawing/2012/chart">
                  <c:ext xmlns:c16="http://schemas.microsoft.com/office/drawing/2014/chart" uri="{C3380CC4-5D6E-409C-BE32-E72D297353CC}">
                    <c16:uniqueId val="{00000004-CBBA-434F-81C9-87ACC76D04FD}"/>
                  </c:ext>
                </c:extLst>
              </c15:ser>
            </c15:filteredPieSeries>
            <c15:filteredPieSeries>
              <c15:ser>
                <c:idx val="5"/>
                <c:order val="5"/>
                <c:tx>
                  <c:strRef>
                    <c:extLst>
                      <c:ext xmlns:c15="http://schemas.microsoft.com/office/drawing/2012/chart" uri="{02D57815-91ED-43cb-92C2-25804820EDAC}">
                        <c15:formulaRef>
                          <c15:sqref>Pivot_Data!$E$87</c15:sqref>
                        </c15:formulaRef>
                      </c:ext>
                    </c:extLst>
                    <c:strCache>
                      <c:ptCount val="1"/>
                      <c:pt idx="0">
                        <c:v>Sports Rehab</c:v>
                      </c:pt>
                    </c:strCache>
                  </c:strRef>
                </c:tx>
                <c:dPt>
                  <c:idx val="0"/>
                  <c:bubble3D val="0"/>
                  <c:spPr>
                    <a:solidFill>
                      <a:schemeClr val="accent1"/>
                    </a:solidFill>
                    <a:ln w="19050">
                      <a:solidFill>
                        <a:schemeClr val="lt1"/>
                      </a:solidFill>
                    </a:ln>
                    <a:effectLst/>
                  </c:spPr>
                  <c:extLst xmlns:c15="http://schemas.microsoft.com/office/drawing/2012/chart">
                    <c:ext xmlns:c16="http://schemas.microsoft.com/office/drawing/2014/chart" uri="{C3380CC4-5D6E-409C-BE32-E72D297353CC}">
                      <c16:uniqueId val="{00000015-3377-47CD-8AC9-BC4987E892CB}"/>
                    </c:ext>
                  </c:extLst>
                </c:dPt>
                <c:dPt>
                  <c:idx val="1"/>
                  <c:bubble3D val="0"/>
                  <c:spPr>
                    <a:solidFill>
                      <a:schemeClr val="accent2"/>
                    </a:solidFill>
                    <a:ln w="19050">
                      <a:solidFill>
                        <a:schemeClr val="lt1"/>
                      </a:solidFill>
                    </a:ln>
                    <a:effectLst/>
                  </c:spPr>
                  <c:extLst xmlns:c15="http://schemas.microsoft.com/office/drawing/2012/chart">
                    <c:ext xmlns:c16="http://schemas.microsoft.com/office/drawing/2014/chart" uri="{C3380CC4-5D6E-409C-BE32-E72D297353CC}">
                      <c16:uniqueId val="{00000017-3377-47CD-8AC9-BC4987E892CB}"/>
                    </c:ext>
                  </c:extLst>
                </c:dPt>
                <c:cat>
                  <c:strRef>
                    <c:extLst>
                      <c:ext xmlns:c15="http://schemas.microsoft.com/office/drawing/2012/chart" uri="{02D57815-91ED-43cb-92C2-25804820EDAC}">
                        <c15:formulaRef>
                          <c15:sqref>Pivot_Data!$F$81:$G$81</c15:sqref>
                        </c15:formulaRef>
                      </c:ext>
                    </c:extLst>
                    <c:strCache>
                      <c:ptCount val="2"/>
                      <c:pt idx="0">
                        <c:v>Revenue Generated</c:v>
                      </c:pt>
                      <c:pt idx="1">
                        <c:v>Revenue Lost</c:v>
                      </c:pt>
                    </c:strCache>
                  </c:strRef>
                </c:cat>
                <c:val>
                  <c:numRef>
                    <c:extLst>
                      <c:ext xmlns:c15="http://schemas.microsoft.com/office/drawing/2012/chart" uri="{02D57815-91ED-43cb-92C2-25804820EDAC}">
                        <c15:formulaRef>
                          <c15:sqref>Pivot_Data!$F$87:$G$87</c15:sqref>
                        </c15:formulaRef>
                      </c:ext>
                    </c:extLst>
                    <c:numCache>
                      <c:formatCode>[$₹-4009]\ #,##0</c:formatCode>
                      <c:ptCount val="2"/>
                      <c:pt idx="0">
                        <c:v>318550</c:v>
                      </c:pt>
                      <c:pt idx="1">
                        <c:v>94600</c:v>
                      </c:pt>
                    </c:numCache>
                  </c:numRef>
                </c:val>
                <c:extLst xmlns:c15="http://schemas.microsoft.com/office/drawing/2012/chart">
                  <c:ext xmlns:c16="http://schemas.microsoft.com/office/drawing/2014/chart" uri="{C3380CC4-5D6E-409C-BE32-E72D297353CC}">
                    <c16:uniqueId val="{00000005-CBBA-434F-81C9-87ACC76D04FD}"/>
                  </c:ext>
                </c:extLst>
              </c15:ser>
            </c15:filteredPieSeries>
          </c:ext>
        </c:extLst>
      </c:pieChart>
      <c:spPr>
        <a:noFill/>
        <a:ln>
          <a:noFill/>
        </a:ln>
        <a:effectLst/>
      </c:spPr>
    </c:plotArea>
    <c:legend>
      <c:legendPos val="b"/>
      <c:overlay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softEdge rad="31750"/>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lang="en-US" sz="1080" b="0" i="0" u="none" strike="noStrike" kern="1200" spc="0" baseline="0">
              <a:solidFill>
                <a:schemeClr val="tx1"/>
              </a:solidFill>
              <a:latin typeface="+mn-lt"/>
              <a:ea typeface="+mn-ea"/>
              <a:cs typeface="+mn-cs"/>
            </a:defRPr>
          </a:pPr>
          <a:endParaRPr lang="en-US"/>
        </a:p>
      </c:txPr>
    </c:title>
    <c:autoTitleDeleted val="0"/>
    <c:plotArea>
      <c:layout/>
      <c:pieChart>
        <c:varyColors val="1"/>
        <c:ser>
          <c:idx val="3"/>
          <c:order val="3"/>
          <c:tx>
            <c:strRef>
              <c:f>Pivot_Data!$E$85</c:f>
              <c:strCache>
                <c:ptCount val="1"/>
                <c:pt idx="0">
                  <c:v>Neuro Rehab</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1F2-4A7C-AB52-E7A69D909EA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1F2-4A7C-AB52-E7A69D909EA6}"/>
              </c:ext>
            </c:extLst>
          </c:dPt>
          <c:dLbls>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Pivot_Data!$F$81:$G$81</c:f>
              <c:strCache>
                <c:ptCount val="2"/>
                <c:pt idx="0">
                  <c:v>Revenue Generated</c:v>
                </c:pt>
                <c:pt idx="1">
                  <c:v>Revenue Lost</c:v>
                </c:pt>
              </c:strCache>
            </c:strRef>
          </c:cat>
          <c:val>
            <c:numRef>
              <c:f>Pivot_Data!$F$85:$G$85</c:f>
              <c:numCache>
                <c:formatCode>[$₹-4009]\ #,##0</c:formatCode>
                <c:ptCount val="2"/>
                <c:pt idx="0">
                  <c:v>365500</c:v>
                </c:pt>
                <c:pt idx="1">
                  <c:v>87100</c:v>
                </c:pt>
              </c:numCache>
            </c:numRef>
          </c:val>
          <c:extLst>
            <c:ext xmlns:c16="http://schemas.microsoft.com/office/drawing/2014/chart" uri="{C3380CC4-5D6E-409C-BE32-E72D297353CC}">
              <c16:uniqueId val="{00000003-1C9B-4A6B-8CA4-5F765FFC1077}"/>
            </c:ext>
          </c:extLst>
        </c:ser>
        <c:dLbls>
          <c:showLegendKey val="0"/>
          <c:showVal val="0"/>
          <c:showCatName val="0"/>
          <c:showSerName val="0"/>
          <c:showPercent val="0"/>
          <c:showBubbleSize val="0"/>
          <c:showLeaderLines val="1"/>
        </c:dLbls>
        <c:firstSliceAng val="0"/>
        <c:extLst>
          <c:ext xmlns:c15="http://schemas.microsoft.com/office/drawing/2012/chart" uri="{02D57815-91ED-43cb-92C2-25804820EDAC}">
            <c15:filteredPieSeries>
              <c15:ser>
                <c:idx val="0"/>
                <c:order val="0"/>
                <c:tx>
                  <c:strRef>
                    <c:extLst>
                      <c:ext uri="{02D57815-91ED-43cb-92C2-25804820EDAC}">
                        <c15:formulaRef>
                          <c15:sqref>Pivot_Data!$E$82</c15:sqref>
                        </c15:formulaRef>
                      </c:ext>
                    </c:extLst>
                    <c:strCache>
                      <c:ptCount val="1"/>
                      <c:pt idx="0">
                        <c:v>Electrotherapy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71F2-4A7C-AB52-E7A69D909EA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71F2-4A7C-AB52-E7A69D909EA6}"/>
                    </c:ext>
                  </c:extLst>
                </c:dPt>
                <c:cat>
                  <c:strRef>
                    <c:extLst>
                      <c:ext uri="{02D57815-91ED-43cb-92C2-25804820EDAC}">
                        <c15:formulaRef>
                          <c15:sqref>Pivot_Data!$F$81:$G$81</c15:sqref>
                        </c15:formulaRef>
                      </c:ext>
                    </c:extLst>
                    <c:strCache>
                      <c:ptCount val="2"/>
                      <c:pt idx="0">
                        <c:v>Revenue Generated</c:v>
                      </c:pt>
                      <c:pt idx="1">
                        <c:v>Revenue Lost</c:v>
                      </c:pt>
                    </c:strCache>
                  </c:strRef>
                </c:cat>
                <c:val>
                  <c:numRef>
                    <c:extLst>
                      <c:ext uri="{02D57815-91ED-43cb-92C2-25804820EDAC}">
                        <c15:formulaRef>
                          <c15:sqref>Pivot_Data!$F$82:$G$82</c15:sqref>
                        </c15:formulaRef>
                      </c:ext>
                    </c:extLst>
                    <c:numCache>
                      <c:formatCode>[$₹-4009]\ #,##0</c:formatCode>
                      <c:ptCount val="2"/>
                      <c:pt idx="0">
                        <c:v>328100</c:v>
                      </c:pt>
                      <c:pt idx="1">
                        <c:v>74150</c:v>
                      </c:pt>
                    </c:numCache>
                  </c:numRef>
                </c:val>
                <c:extLst>
                  <c:ext xmlns:c16="http://schemas.microsoft.com/office/drawing/2014/chart" uri="{C3380CC4-5D6E-409C-BE32-E72D297353CC}">
                    <c16:uniqueId val="{00000000-1C9B-4A6B-8CA4-5F765FFC1077}"/>
                  </c:ext>
                </c:extLst>
              </c15:ser>
            </c15:filteredPieSeries>
            <c15:filteredPieSeries>
              <c15:ser>
                <c:idx val="1"/>
                <c:order val="1"/>
                <c:tx>
                  <c:strRef>
                    <c:extLst>
                      <c:ext xmlns:c15="http://schemas.microsoft.com/office/drawing/2012/chart" uri="{02D57815-91ED-43cb-92C2-25804820EDAC}">
                        <c15:formulaRef>
                          <c15:sqref>Pivot_Data!$E$83</c15:sqref>
                        </c15:formulaRef>
                      </c:ext>
                    </c:extLst>
                    <c:strCache>
                      <c:ptCount val="1"/>
                      <c:pt idx="0">
                        <c:v>Exercise Therapy</c:v>
                      </c:pt>
                    </c:strCache>
                  </c:strRef>
                </c:tx>
                <c:dPt>
                  <c:idx val="0"/>
                  <c:bubble3D val="0"/>
                  <c:spPr>
                    <a:solidFill>
                      <a:schemeClr val="accent1"/>
                    </a:solidFill>
                    <a:ln w="19050">
                      <a:solidFill>
                        <a:schemeClr val="lt1"/>
                      </a:solidFill>
                    </a:ln>
                    <a:effectLst/>
                  </c:spPr>
                  <c:extLst xmlns:c15="http://schemas.microsoft.com/office/drawing/2012/chart">
                    <c:ext xmlns:c16="http://schemas.microsoft.com/office/drawing/2014/chart" uri="{C3380CC4-5D6E-409C-BE32-E72D297353CC}">
                      <c16:uniqueId val="{00000009-71F2-4A7C-AB52-E7A69D909EA6}"/>
                    </c:ext>
                  </c:extLst>
                </c:dPt>
                <c:dPt>
                  <c:idx val="1"/>
                  <c:bubble3D val="0"/>
                  <c:spPr>
                    <a:solidFill>
                      <a:schemeClr val="accent2"/>
                    </a:solidFill>
                    <a:ln w="19050">
                      <a:solidFill>
                        <a:schemeClr val="lt1"/>
                      </a:solidFill>
                    </a:ln>
                    <a:effectLst/>
                  </c:spPr>
                  <c:extLst xmlns:c15="http://schemas.microsoft.com/office/drawing/2012/chart">
                    <c:ext xmlns:c16="http://schemas.microsoft.com/office/drawing/2014/chart" uri="{C3380CC4-5D6E-409C-BE32-E72D297353CC}">
                      <c16:uniqueId val="{0000000B-71F2-4A7C-AB52-E7A69D909EA6}"/>
                    </c:ext>
                  </c:extLst>
                </c:dPt>
                <c:cat>
                  <c:strRef>
                    <c:extLst>
                      <c:ext xmlns:c15="http://schemas.microsoft.com/office/drawing/2012/chart" uri="{02D57815-91ED-43cb-92C2-25804820EDAC}">
                        <c15:formulaRef>
                          <c15:sqref>Pivot_Data!$F$81:$G$81</c15:sqref>
                        </c15:formulaRef>
                      </c:ext>
                    </c:extLst>
                    <c:strCache>
                      <c:ptCount val="2"/>
                      <c:pt idx="0">
                        <c:v>Revenue Generated</c:v>
                      </c:pt>
                      <c:pt idx="1">
                        <c:v>Revenue Lost</c:v>
                      </c:pt>
                    </c:strCache>
                  </c:strRef>
                </c:cat>
                <c:val>
                  <c:numRef>
                    <c:extLst>
                      <c:ext xmlns:c15="http://schemas.microsoft.com/office/drawing/2012/chart" uri="{02D57815-91ED-43cb-92C2-25804820EDAC}">
                        <c15:formulaRef>
                          <c15:sqref>Pivot_Data!$F$83:$G$83</c15:sqref>
                        </c15:formulaRef>
                      </c:ext>
                    </c:extLst>
                    <c:numCache>
                      <c:formatCode>[$₹-4009]\ #,##0</c:formatCode>
                      <c:ptCount val="2"/>
                      <c:pt idx="0">
                        <c:v>319300</c:v>
                      </c:pt>
                      <c:pt idx="1">
                        <c:v>95600</c:v>
                      </c:pt>
                    </c:numCache>
                  </c:numRef>
                </c:val>
                <c:extLst xmlns:c15="http://schemas.microsoft.com/office/drawing/2012/chart">
                  <c:ext xmlns:c16="http://schemas.microsoft.com/office/drawing/2014/chart" uri="{C3380CC4-5D6E-409C-BE32-E72D297353CC}">
                    <c16:uniqueId val="{00000001-1C9B-4A6B-8CA4-5F765FFC1077}"/>
                  </c:ext>
                </c:extLst>
              </c15:ser>
            </c15:filteredPieSeries>
            <c15:filteredPieSeries>
              <c15:ser>
                <c:idx val="2"/>
                <c:order val="2"/>
                <c:tx>
                  <c:strRef>
                    <c:extLst>
                      <c:ext xmlns:c15="http://schemas.microsoft.com/office/drawing/2012/chart" uri="{02D57815-91ED-43cb-92C2-25804820EDAC}">
                        <c15:formulaRef>
                          <c15:sqref>Pivot_Data!$E$84</c15:sqref>
                        </c15:formulaRef>
                      </c:ext>
                    </c:extLst>
                    <c:strCache>
                      <c:ptCount val="1"/>
                      <c:pt idx="0">
                        <c:v>Manual Therapy</c:v>
                      </c:pt>
                    </c:strCache>
                  </c:strRef>
                </c:tx>
                <c:dPt>
                  <c:idx val="0"/>
                  <c:bubble3D val="0"/>
                  <c:spPr>
                    <a:solidFill>
                      <a:schemeClr val="accent1"/>
                    </a:solidFill>
                    <a:ln w="19050">
                      <a:solidFill>
                        <a:schemeClr val="lt1"/>
                      </a:solidFill>
                    </a:ln>
                    <a:effectLst/>
                  </c:spPr>
                  <c:extLst xmlns:c15="http://schemas.microsoft.com/office/drawing/2012/chart">
                    <c:ext xmlns:c16="http://schemas.microsoft.com/office/drawing/2014/chart" uri="{C3380CC4-5D6E-409C-BE32-E72D297353CC}">
                      <c16:uniqueId val="{0000000D-71F2-4A7C-AB52-E7A69D909EA6}"/>
                    </c:ext>
                  </c:extLst>
                </c:dPt>
                <c:dPt>
                  <c:idx val="1"/>
                  <c:bubble3D val="0"/>
                  <c:spPr>
                    <a:solidFill>
                      <a:schemeClr val="accent2"/>
                    </a:solidFill>
                    <a:ln w="19050">
                      <a:solidFill>
                        <a:schemeClr val="lt1"/>
                      </a:solidFill>
                    </a:ln>
                    <a:effectLst/>
                  </c:spPr>
                  <c:extLst xmlns:c15="http://schemas.microsoft.com/office/drawing/2012/chart">
                    <c:ext xmlns:c16="http://schemas.microsoft.com/office/drawing/2014/chart" uri="{C3380CC4-5D6E-409C-BE32-E72D297353CC}">
                      <c16:uniqueId val="{0000000F-71F2-4A7C-AB52-E7A69D909EA6}"/>
                    </c:ext>
                  </c:extLst>
                </c:dPt>
                <c:cat>
                  <c:strRef>
                    <c:extLst>
                      <c:ext xmlns:c15="http://schemas.microsoft.com/office/drawing/2012/chart" uri="{02D57815-91ED-43cb-92C2-25804820EDAC}">
                        <c15:formulaRef>
                          <c15:sqref>Pivot_Data!$F$81:$G$81</c15:sqref>
                        </c15:formulaRef>
                      </c:ext>
                    </c:extLst>
                    <c:strCache>
                      <c:ptCount val="2"/>
                      <c:pt idx="0">
                        <c:v>Revenue Generated</c:v>
                      </c:pt>
                      <c:pt idx="1">
                        <c:v>Revenue Lost</c:v>
                      </c:pt>
                    </c:strCache>
                  </c:strRef>
                </c:cat>
                <c:val>
                  <c:numRef>
                    <c:extLst>
                      <c:ext xmlns:c15="http://schemas.microsoft.com/office/drawing/2012/chart" uri="{02D57815-91ED-43cb-92C2-25804820EDAC}">
                        <c15:formulaRef>
                          <c15:sqref>Pivot_Data!$F$84:$G$84</c15:sqref>
                        </c15:formulaRef>
                      </c:ext>
                    </c:extLst>
                    <c:numCache>
                      <c:formatCode>[$₹-4009]\ #,##0</c:formatCode>
                      <c:ptCount val="2"/>
                      <c:pt idx="0">
                        <c:v>328950</c:v>
                      </c:pt>
                      <c:pt idx="1">
                        <c:v>96150</c:v>
                      </c:pt>
                    </c:numCache>
                  </c:numRef>
                </c:val>
                <c:extLst xmlns:c15="http://schemas.microsoft.com/office/drawing/2012/chart">
                  <c:ext xmlns:c16="http://schemas.microsoft.com/office/drawing/2014/chart" uri="{C3380CC4-5D6E-409C-BE32-E72D297353CC}">
                    <c16:uniqueId val="{00000002-1C9B-4A6B-8CA4-5F765FFC1077}"/>
                  </c:ext>
                </c:extLst>
              </c15:ser>
            </c15:filteredPieSeries>
            <c15:filteredPieSeries>
              <c15:ser>
                <c:idx val="4"/>
                <c:order val="4"/>
                <c:tx>
                  <c:strRef>
                    <c:extLst>
                      <c:ext xmlns:c15="http://schemas.microsoft.com/office/drawing/2012/chart" uri="{02D57815-91ED-43cb-92C2-25804820EDAC}">
                        <c15:formulaRef>
                          <c15:sqref>Pivot_Data!$E$86</c15:sqref>
                        </c15:formulaRef>
                      </c:ext>
                    </c:extLst>
                    <c:strCache>
                      <c:ptCount val="1"/>
                      <c:pt idx="0">
                        <c:v>Posture Correction</c:v>
                      </c:pt>
                    </c:strCache>
                  </c:strRef>
                </c:tx>
                <c:dPt>
                  <c:idx val="0"/>
                  <c:bubble3D val="0"/>
                  <c:spPr>
                    <a:solidFill>
                      <a:schemeClr val="accent1"/>
                    </a:solidFill>
                    <a:ln w="19050">
                      <a:solidFill>
                        <a:schemeClr val="lt1"/>
                      </a:solidFill>
                    </a:ln>
                    <a:effectLst/>
                  </c:spPr>
                  <c:extLst xmlns:c15="http://schemas.microsoft.com/office/drawing/2012/chart">
                    <c:ext xmlns:c16="http://schemas.microsoft.com/office/drawing/2014/chart" uri="{C3380CC4-5D6E-409C-BE32-E72D297353CC}">
                      <c16:uniqueId val="{00000011-71F2-4A7C-AB52-E7A69D909EA6}"/>
                    </c:ext>
                  </c:extLst>
                </c:dPt>
                <c:dPt>
                  <c:idx val="1"/>
                  <c:bubble3D val="0"/>
                  <c:spPr>
                    <a:solidFill>
                      <a:schemeClr val="accent2"/>
                    </a:solidFill>
                    <a:ln w="19050">
                      <a:solidFill>
                        <a:schemeClr val="lt1"/>
                      </a:solidFill>
                    </a:ln>
                    <a:effectLst/>
                  </c:spPr>
                  <c:extLst xmlns:c15="http://schemas.microsoft.com/office/drawing/2012/chart">
                    <c:ext xmlns:c16="http://schemas.microsoft.com/office/drawing/2014/chart" uri="{C3380CC4-5D6E-409C-BE32-E72D297353CC}">
                      <c16:uniqueId val="{00000013-71F2-4A7C-AB52-E7A69D909EA6}"/>
                    </c:ext>
                  </c:extLst>
                </c:dPt>
                <c:cat>
                  <c:strRef>
                    <c:extLst>
                      <c:ext xmlns:c15="http://schemas.microsoft.com/office/drawing/2012/chart" uri="{02D57815-91ED-43cb-92C2-25804820EDAC}">
                        <c15:formulaRef>
                          <c15:sqref>Pivot_Data!$F$81:$G$81</c15:sqref>
                        </c15:formulaRef>
                      </c:ext>
                    </c:extLst>
                    <c:strCache>
                      <c:ptCount val="2"/>
                      <c:pt idx="0">
                        <c:v>Revenue Generated</c:v>
                      </c:pt>
                      <c:pt idx="1">
                        <c:v>Revenue Lost</c:v>
                      </c:pt>
                    </c:strCache>
                  </c:strRef>
                </c:cat>
                <c:val>
                  <c:numRef>
                    <c:extLst>
                      <c:ext xmlns:c15="http://schemas.microsoft.com/office/drawing/2012/chart" uri="{02D57815-91ED-43cb-92C2-25804820EDAC}">
                        <c15:formulaRef>
                          <c15:sqref>Pivot_Data!$F$86:$G$86</c15:sqref>
                        </c15:formulaRef>
                      </c:ext>
                    </c:extLst>
                    <c:numCache>
                      <c:formatCode>[$₹-4009]\ #,##0</c:formatCode>
                      <c:ptCount val="2"/>
                      <c:pt idx="0">
                        <c:v>330500</c:v>
                      </c:pt>
                      <c:pt idx="1">
                        <c:v>95750</c:v>
                      </c:pt>
                    </c:numCache>
                  </c:numRef>
                </c:val>
                <c:extLst xmlns:c15="http://schemas.microsoft.com/office/drawing/2012/chart">
                  <c:ext xmlns:c16="http://schemas.microsoft.com/office/drawing/2014/chart" uri="{C3380CC4-5D6E-409C-BE32-E72D297353CC}">
                    <c16:uniqueId val="{00000004-1C9B-4A6B-8CA4-5F765FFC1077}"/>
                  </c:ext>
                </c:extLst>
              </c15:ser>
            </c15:filteredPieSeries>
            <c15:filteredPieSeries>
              <c15:ser>
                <c:idx val="5"/>
                <c:order val="5"/>
                <c:tx>
                  <c:strRef>
                    <c:extLst>
                      <c:ext xmlns:c15="http://schemas.microsoft.com/office/drawing/2012/chart" uri="{02D57815-91ED-43cb-92C2-25804820EDAC}">
                        <c15:formulaRef>
                          <c15:sqref>Pivot_Data!$E$87</c15:sqref>
                        </c15:formulaRef>
                      </c:ext>
                    </c:extLst>
                    <c:strCache>
                      <c:ptCount val="1"/>
                      <c:pt idx="0">
                        <c:v>Sports Rehab</c:v>
                      </c:pt>
                    </c:strCache>
                  </c:strRef>
                </c:tx>
                <c:dPt>
                  <c:idx val="0"/>
                  <c:bubble3D val="0"/>
                  <c:spPr>
                    <a:solidFill>
                      <a:schemeClr val="accent1"/>
                    </a:solidFill>
                    <a:ln w="19050">
                      <a:solidFill>
                        <a:schemeClr val="lt1"/>
                      </a:solidFill>
                    </a:ln>
                    <a:effectLst/>
                  </c:spPr>
                  <c:extLst xmlns:c15="http://schemas.microsoft.com/office/drawing/2012/chart">
                    <c:ext xmlns:c16="http://schemas.microsoft.com/office/drawing/2014/chart" uri="{C3380CC4-5D6E-409C-BE32-E72D297353CC}">
                      <c16:uniqueId val="{00000015-71F2-4A7C-AB52-E7A69D909EA6}"/>
                    </c:ext>
                  </c:extLst>
                </c:dPt>
                <c:dPt>
                  <c:idx val="1"/>
                  <c:bubble3D val="0"/>
                  <c:spPr>
                    <a:solidFill>
                      <a:schemeClr val="accent2"/>
                    </a:solidFill>
                    <a:ln w="19050">
                      <a:solidFill>
                        <a:schemeClr val="lt1"/>
                      </a:solidFill>
                    </a:ln>
                    <a:effectLst/>
                  </c:spPr>
                  <c:extLst xmlns:c15="http://schemas.microsoft.com/office/drawing/2012/chart">
                    <c:ext xmlns:c16="http://schemas.microsoft.com/office/drawing/2014/chart" uri="{C3380CC4-5D6E-409C-BE32-E72D297353CC}">
                      <c16:uniqueId val="{00000017-71F2-4A7C-AB52-E7A69D909EA6}"/>
                    </c:ext>
                  </c:extLst>
                </c:dPt>
                <c:cat>
                  <c:strRef>
                    <c:extLst>
                      <c:ext xmlns:c15="http://schemas.microsoft.com/office/drawing/2012/chart" uri="{02D57815-91ED-43cb-92C2-25804820EDAC}">
                        <c15:formulaRef>
                          <c15:sqref>Pivot_Data!$F$81:$G$81</c15:sqref>
                        </c15:formulaRef>
                      </c:ext>
                    </c:extLst>
                    <c:strCache>
                      <c:ptCount val="2"/>
                      <c:pt idx="0">
                        <c:v>Revenue Generated</c:v>
                      </c:pt>
                      <c:pt idx="1">
                        <c:v>Revenue Lost</c:v>
                      </c:pt>
                    </c:strCache>
                  </c:strRef>
                </c:cat>
                <c:val>
                  <c:numRef>
                    <c:extLst>
                      <c:ext xmlns:c15="http://schemas.microsoft.com/office/drawing/2012/chart" uri="{02D57815-91ED-43cb-92C2-25804820EDAC}">
                        <c15:formulaRef>
                          <c15:sqref>Pivot_Data!$F$87:$G$87</c15:sqref>
                        </c15:formulaRef>
                      </c:ext>
                    </c:extLst>
                    <c:numCache>
                      <c:formatCode>[$₹-4009]\ #,##0</c:formatCode>
                      <c:ptCount val="2"/>
                      <c:pt idx="0">
                        <c:v>318550</c:v>
                      </c:pt>
                      <c:pt idx="1">
                        <c:v>94600</c:v>
                      </c:pt>
                    </c:numCache>
                  </c:numRef>
                </c:val>
                <c:extLst xmlns:c15="http://schemas.microsoft.com/office/drawing/2012/chart">
                  <c:ext xmlns:c16="http://schemas.microsoft.com/office/drawing/2014/chart" uri="{C3380CC4-5D6E-409C-BE32-E72D297353CC}">
                    <c16:uniqueId val="{00000005-1C9B-4A6B-8CA4-5F765FFC1077}"/>
                  </c:ext>
                </c:extLst>
              </c15:ser>
            </c15:filteredPieSeries>
          </c:ext>
        </c:extLst>
      </c:pieChart>
      <c:spPr>
        <a:noFill/>
        <a:ln>
          <a:noFill/>
        </a:ln>
        <a:effectLst/>
      </c:spPr>
    </c:plotArea>
    <c:legend>
      <c:legendPos val="b"/>
      <c:overlay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softEdge rad="31750"/>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lang="en-US" sz="1080" b="0" i="0" u="none" strike="noStrike" kern="1200" spc="0" baseline="0">
              <a:solidFill>
                <a:schemeClr val="tx1"/>
              </a:solidFill>
              <a:latin typeface="+mn-lt"/>
              <a:ea typeface="+mn-ea"/>
              <a:cs typeface="+mn-cs"/>
            </a:defRPr>
          </a:pPr>
          <a:endParaRPr lang="en-US"/>
        </a:p>
      </c:txPr>
    </c:title>
    <c:autoTitleDeleted val="0"/>
    <c:plotArea>
      <c:layout/>
      <c:pieChart>
        <c:varyColors val="1"/>
        <c:ser>
          <c:idx val="4"/>
          <c:order val="4"/>
          <c:tx>
            <c:strRef>
              <c:f>Pivot_Data!$E$86</c:f>
              <c:strCache>
                <c:ptCount val="1"/>
                <c:pt idx="0">
                  <c:v>Posture Correction</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91D-401F-8B65-8209FB1A3EF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91D-401F-8B65-8209FB1A3EFA}"/>
              </c:ext>
            </c:extLst>
          </c:dPt>
          <c:dLbls>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Pivot_Data!$F$81:$G$81</c:f>
              <c:strCache>
                <c:ptCount val="2"/>
                <c:pt idx="0">
                  <c:v>Revenue Generated</c:v>
                </c:pt>
                <c:pt idx="1">
                  <c:v>Revenue Lost</c:v>
                </c:pt>
              </c:strCache>
            </c:strRef>
          </c:cat>
          <c:val>
            <c:numRef>
              <c:f>Pivot_Data!$F$86:$G$86</c:f>
              <c:numCache>
                <c:formatCode>[$₹-4009]\ #,##0</c:formatCode>
                <c:ptCount val="2"/>
                <c:pt idx="0">
                  <c:v>330500</c:v>
                </c:pt>
                <c:pt idx="1">
                  <c:v>95750</c:v>
                </c:pt>
              </c:numCache>
            </c:numRef>
          </c:val>
          <c:extLst>
            <c:ext xmlns:c16="http://schemas.microsoft.com/office/drawing/2014/chart" uri="{C3380CC4-5D6E-409C-BE32-E72D297353CC}">
              <c16:uniqueId val="{00000004-2A51-476D-BA70-D0E893CCBFBA}"/>
            </c:ext>
          </c:extLst>
        </c:ser>
        <c:dLbls>
          <c:showLegendKey val="0"/>
          <c:showVal val="0"/>
          <c:showCatName val="0"/>
          <c:showSerName val="0"/>
          <c:showPercent val="0"/>
          <c:showBubbleSize val="0"/>
          <c:showLeaderLines val="1"/>
        </c:dLbls>
        <c:firstSliceAng val="0"/>
        <c:extLst>
          <c:ext xmlns:c15="http://schemas.microsoft.com/office/drawing/2012/chart" uri="{02D57815-91ED-43cb-92C2-25804820EDAC}">
            <c15:filteredPieSeries>
              <c15:ser>
                <c:idx val="0"/>
                <c:order val="0"/>
                <c:tx>
                  <c:strRef>
                    <c:extLst>
                      <c:ext uri="{02D57815-91ED-43cb-92C2-25804820EDAC}">
                        <c15:formulaRef>
                          <c15:sqref>Pivot_Data!$E$82</c15:sqref>
                        </c15:formulaRef>
                      </c:ext>
                    </c:extLst>
                    <c:strCache>
                      <c:ptCount val="1"/>
                      <c:pt idx="0">
                        <c:v>Electrotherapy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891D-401F-8B65-8209FB1A3EF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891D-401F-8B65-8209FB1A3EFA}"/>
                    </c:ext>
                  </c:extLst>
                </c:dPt>
                <c:cat>
                  <c:strRef>
                    <c:extLst>
                      <c:ext uri="{02D57815-91ED-43cb-92C2-25804820EDAC}">
                        <c15:formulaRef>
                          <c15:sqref>Pivot_Data!$F$81:$G$81</c15:sqref>
                        </c15:formulaRef>
                      </c:ext>
                    </c:extLst>
                    <c:strCache>
                      <c:ptCount val="2"/>
                      <c:pt idx="0">
                        <c:v>Revenue Generated</c:v>
                      </c:pt>
                      <c:pt idx="1">
                        <c:v>Revenue Lost</c:v>
                      </c:pt>
                    </c:strCache>
                  </c:strRef>
                </c:cat>
                <c:val>
                  <c:numRef>
                    <c:extLst>
                      <c:ext uri="{02D57815-91ED-43cb-92C2-25804820EDAC}">
                        <c15:formulaRef>
                          <c15:sqref>Pivot_Data!$F$82:$G$82</c15:sqref>
                        </c15:formulaRef>
                      </c:ext>
                    </c:extLst>
                    <c:numCache>
                      <c:formatCode>[$₹-4009]\ #,##0</c:formatCode>
                      <c:ptCount val="2"/>
                      <c:pt idx="0">
                        <c:v>328100</c:v>
                      </c:pt>
                      <c:pt idx="1">
                        <c:v>74150</c:v>
                      </c:pt>
                    </c:numCache>
                  </c:numRef>
                </c:val>
                <c:extLst>
                  <c:ext xmlns:c16="http://schemas.microsoft.com/office/drawing/2014/chart" uri="{C3380CC4-5D6E-409C-BE32-E72D297353CC}">
                    <c16:uniqueId val="{00000000-2A51-476D-BA70-D0E893CCBFBA}"/>
                  </c:ext>
                </c:extLst>
              </c15:ser>
            </c15:filteredPieSeries>
            <c15:filteredPieSeries>
              <c15:ser>
                <c:idx val="1"/>
                <c:order val="1"/>
                <c:tx>
                  <c:strRef>
                    <c:extLst>
                      <c:ext xmlns:c15="http://schemas.microsoft.com/office/drawing/2012/chart" uri="{02D57815-91ED-43cb-92C2-25804820EDAC}">
                        <c15:formulaRef>
                          <c15:sqref>Pivot_Data!$E$83</c15:sqref>
                        </c15:formulaRef>
                      </c:ext>
                    </c:extLst>
                    <c:strCache>
                      <c:ptCount val="1"/>
                      <c:pt idx="0">
                        <c:v>Exercise Therapy</c:v>
                      </c:pt>
                    </c:strCache>
                  </c:strRef>
                </c:tx>
                <c:dPt>
                  <c:idx val="0"/>
                  <c:bubble3D val="0"/>
                  <c:spPr>
                    <a:solidFill>
                      <a:schemeClr val="accent1"/>
                    </a:solidFill>
                    <a:ln w="19050">
                      <a:solidFill>
                        <a:schemeClr val="lt1"/>
                      </a:solidFill>
                    </a:ln>
                    <a:effectLst/>
                  </c:spPr>
                  <c:extLst xmlns:c15="http://schemas.microsoft.com/office/drawing/2012/chart">
                    <c:ext xmlns:c16="http://schemas.microsoft.com/office/drawing/2014/chart" uri="{C3380CC4-5D6E-409C-BE32-E72D297353CC}">
                      <c16:uniqueId val="{00000009-891D-401F-8B65-8209FB1A3EFA}"/>
                    </c:ext>
                  </c:extLst>
                </c:dPt>
                <c:dPt>
                  <c:idx val="1"/>
                  <c:bubble3D val="0"/>
                  <c:spPr>
                    <a:solidFill>
                      <a:schemeClr val="accent2"/>
                    </a:solidFill>
                    <a:ln w="19050">
                      <a:solidFill>
                        <a:schemeClr val="lt1"/>
                      </a:solidFill>
                    </a:ln>
                    <a:effectLst/>
                  </c:spPr>
                  <c:extLst xmlns:c15="http://schemas.microsoft.com/office/drawing/2012/chart">
                    <c:ext xmlns:c16="http://schemas.microsoft.com/office/drawing/2014/chart" uri="{C3380CC4-5D6E-409C-BE32-E72D297353CC}">
                      <c16:uniqueId val="{0000000B-891D-401F-8B65-8209FB1A3EFA}"/>
                    </c:ext>
                  </c:extLst>
                </c:dPt>
                <c:cat>
                  <c:strRef>
                    <c:extLst>
                      <c:ext xmlns:c15="http://schemas.microsoft.com/office/drawing/2012/chart" uri="{02D57815-91ED-43cb-92C2-25804820EDAC}">
                        <c15:formulaRef>
                          <c15:sqref>Pivot_Data!$F$81:$G$81</c15:sqref>
                        </c15:formulaRef>
                      </c:ext>
                    </c:extLst>
                    <c:strCache>
                      <c:ptCount val="2"/>
                      <c:pt idx="0">
                        <c:v>Revenue Generated</c:v>
                      </c:pt>
                      <c:pt idx="1">
                        <c:v>Revenue Lost</c:v>
                      </c:pt>
                    </c:strCache>
                  </c:strRef>
                </c:cat>
                <c:val>
                  <c:numRef>
                    <c:extLst>
                      <c:ext xmlns:c15="http://schemas.microsoft.com/office/drawing/2012/chart" uri="{02D57815-91ED-43cb-92C2-25804820EDAC}">
                        <c15:formulaRef>
                          <c15:sqref>Pivot_Data!$F$83:$G$83</c15:sqref>
                        </c15:formulaRef>
                      </c:ext>
                    </c:extLst>
                    <c:numCache>
                      <c:formatCode>[$₹-4009]\ #,##0</c:formatCode>
                      <c:ptCount val="2"/>
                      <c:pt idx="0">
                        <c:v>319300</c:v>
                      </c:pt>
                      <c:pt idx="1">
                        <c:v>95600</c:v>
                      </c:pt>
                    </c:numCache>
                  </c:numRef>
                </c:val>
                <c:extLst xmlns:c15="http://schemas.microsoft.com/office/drawing/2012/chart">
                  <c:ext xmlns:c16="http://schemas.microsoft.com/office/drawing/2014/chart" uri="{C3380CC4-5D6E-409C-BE32-E72D297353CC}">
                    <c16:uniqueId val="{00000001-2A51-476D-BA70-D0E893CCBFBA}"/>
                  </c:ext>
                </c:extLst>
              </c15:ser>
            </c15:filteredPieSeries>
            <c15:filteredPieSeries>
              <c15:ser>
                <c:idx val="2"/>
                <c:order val="2"/>
                <c:tx>
                  <c:strRef>
                    <c:extLst>
                      <c:ext xmlns:c15="http://schemas.microsoft.com/office/drawing/2012/chart" uri="{02D57815-91ED-43cb-92C2-25804820EDAC}">
                        <c15:formulaRef>
                          <c15:sqref>Pivot_Data!$E$84</c15:sqref>
                        </c15:formulaRef>
                      </c:ext>
                    </c:extLst>
                    <c:strCache>
                      <c:ptCount val="1"/>
                      <c:pt idx="0">
                        <c:v>Manual Therapy</c:v>
                      </c:pt>
                    </c:strCache>
                  </c:strRef>
                </c:tx>
                <c:dPt>
                  <c:idx val="0"/>
                  <c:bubble3D val="0"/>
                  <c:spPr>
                    <a:solidFill>
                      <a:schemeClr val="accent1"/>
                    </a:solidFill>
                    <a:ln w="19050">
                      <a:solidFill>
                        <a:schemeClr val="lt1"/>
                      </a:solidFill>
                    </a:ln>
                    <a:effectLst/>
                  </c:spPr>
                  <c:extLst xmlns:c15="http://schemas.microsoft.com/office/drawing/2012/chart">
                    <c:ext xmlns:c16="http://schemas.microsoft.com/office/drawing/2014/chart" uri="{C3380CC4-5D6E-409C-BE32-E72D297353CC}">
                      <c16:uniqueId val="{0000000D-891D-401F-8B65-8209FB1A3EFA}"/>
                    </c:ext>
                  </c:extLst>
                </c:dPt>
                <c:dPt>
                  <c:idx val="1"/>
                  <c:bubble3D val="0"/>
                  <c:spPr>
                    <a:solidFill>
                      <a:schemeClr val="accent2"/>
                    </a:solidFill>
                    <a:ln w="19050">
                      <a:solidFill>
                        <a:schemeClr val="lt1"/>
                      </a:solidFill>
                    </a:ln>
                    <a:effectLst/>
                  </c:spPr>
                  <c:extLst xmlns:c15="http://schemas.microsoft.com/office/drawing/2012/chart">
                    <c:ext xmlns:c16="http://schemas.microsoft.com/office/drawing/2014/chart" uri="{C3380CC4-5D6E-409C-BE32-E72D297353CC}">
                      <c16:uniqueId val="{0000000F-891D-401F-8B65-8209FB1A3EFA}"/>
                    </c:ext>
                  </c:extLst>
                </c:dPt>
                <c:cat>
                  <c:strRef>
                    <c:extLst>
                      <c:ext xmlns:c15="http://schemas.microsoft.com/office/drawing/2012/chart" uri="{02D57815-91ED-43cb-92C2-25804820EDAC}">
                        <c15:formulaRef>
                          <c15:sqref>Pivot_Data!$F$81:$G$81</c15:sqref>
                        </c15:formulaRef>
                      </c:ext>
                    </c:extLst>
                    <c:strCache>
                      <c:ptCount val="2"/>
                      <c:pt idx="0">
                        <c:v>Revenue Generated</c:v>
                      </c:pt>
                      <c:pt idx="1">
                        <c:v>Revenue Lost</c:v>
                      </c:pt>
                    </c:strCache>
                  </c:strRef>
                </c:cat>
                <c:val>
                  <c:numRef>
                    <c:extLst>
                      <c:ext xmlns:c15="http://schemas.microsoft.com/office/drawing/2012/chart" uri="{02D57815-91ED-43cb-92C2-25804820EDAC}">
                        <c15:formulaRef>
                          <c15:sqref>Pivot_Data!$F$84:$G$84</c15:sqref>
                        </c15:formulaRef>
                      </c:ext>
                    </c:extLst>
                    <c:numCache>
                      <c:formatCode>[$₹-4009]\ #,##0</c:formatCode>
                      <c:ptCount val="2"/>
                      <c:pt idx="0">
                        <c:v>328950</c:v>
                      </c:pt>
                      <c:pt idx="1">
                        <c:v>96150</c:v>
                      </c:pt>
                    </c:numCache>
                  </c:numRef>
                </c:val>
                <c:extLst xmlns:c15="http://schemas.microsoft.com/office/drawing/2012/chart">
                  <c:ext xmlns:c16="http://schemas.microsoft.com/office/drawing/2014/chart" uri="{C3380CC4-5D6E-409C-BE32-E72D297353CC}">
                    <c16:uniqueId val="{00000002-2A51-476D-BA70-D0E893CCBFBA}"/>
                  </c:ext>
                </c:extLst>
              </c15:ser>
            </c15:filteredPieSeries>
            <c15:filteredPieSeries>
              <c15:ser>
                <c:idx val="3"/>
                <c:order val="3"/>
                <c:tx>
                  <c:strRef>
                    <c:extLst>
                      <c:ext xmlns:c15="http://schemas.microsoft.com/office/drawing/2012/chart" uri="{02D57815-91ED-43cb-92C2-25804820EDAC}">
                        <c15:formulaRef>
                          <c15:sqref>Pivot_Data!$E$85</c15:sqref>
                        </c15:formulaRef>
                      </c:ext>
                    </c:extLst>
                    <c:strCache>
                      <c:ptCount val="1"/>
                      <c:pt idx="0">
                        <c:v>Neuro Rehab</c:v>
                      </c:pt>
                    </c:strCache>
                  </c:strRef>
                </c:tx>
                <c:dPt>
                  <c:idx val="0"/>
                  <c:bubble3D val="0"/>
                  <c:spPr>
                    <a:solidFill>
                      <a:schemeClr val="accent1"/>
                    </a:solidFill>
                    <a:ln w="19050">
                      <a:solidFill>
                        <a:schemeClr val="lt1"/>
                      </a:solidFill>
                    </a:ln>
                    <a:effectLst/>
                  </c:spPr>
                  <c:extLst xmlns:c15="http://schemas.microsoft.com/office/drawing/2012/chart">
                    <c:ext xmlns:c16="http://schemas.microsoft.com/office/drawing/2014/chart" uri="{C3380CC4-5D6E-409C-BE32-E72D297353CC}">
                      <c16:uniqueId val="{00000011-891D-401F-8B65-8209FB1A3EFA}"/>
                    </c:ext>
                  </c:extLst>
                </c:dPt>
                <c:dPt>
                  <c:idx val="1"/>
                  <c:bubble3D val="0"/>
                  <c:spPr>
                    <a:solidFill>
                      <a:schemeClr val="accent2"/>
                    </a:solidFill>
                    <a:ln w="19050">
                      <a:solidFill>
                        <a:schemeClr val="lt1"/>
                      </a:solidFill>
                    </a:ln>
                    <a:effectLst/>
                  </c:spPr>
                  <c:extLst xmlns:c15="http://schemas.microsoft.com/office/drawing/2012/chart">
                    <c:ext xmlns:c16="http://schemas.microsoft.com/office/drawing/2014/chart" uri="{C3380CC4-5D6E-409C-BE32-E72D297353CC}">
                      <c16:uniqueId val="{00000013-891D-401F-8B65-8209FB1A3EFA}"/>
                    </c:ext>
                  </c:extLst>
                </c:dPt>
                <c:cat>
                  <c:strRef>
                    <c:extLst>
                      <c:ext xmlns:c15="http://schemas.microsoft.com/office/drawing/2012/chart" uri="{02D57815-91ED-43cb-92C2-25804820EDAC}">
                        <c15:formulaRef>
                          <c15:sqref>Pivot_Data!$F$81:$G$81</c15:sqref>
                        </c15:formulaRef>
                      </c:ext>
                    </c:extLst>
                    <c:strCache>
                      <c:ptCount val="2"/>
                      <c:pt idx="0">
                        <c:v>Revenue Generated</c:v>
                      </c:pt>
                      <c:pt idx="1">
                        <c:v>Revenue Lost</c:v>
                      </c:pt>
                    </c:strCache>
                  </c:strRef>
                </c:cat>
                <c:val>
                  <c:numRef>
                    <c:extLst>
                      <c:ext xmlns:c15="http://schemas.microsoft.com/office/drawing/2012/chart" uri="{02D57815-91ED-43cb-92C2-25804820EDAC}">
                        <c15:formulaRef>
                          <c15:sqref>Pivot_Data!$F$85:$G$85</c15:sqref>
                        </c15:formulaRef>
                      </c:ext>
                    </c:extLst>
                    <c:numCache>
                      <c:formatCode>[$₹-4009]\ #,##0</c:formatCode>
                      <c:ptCount val="2"/>
                      <c:pt idx="0">
                        <c:v>365500</c:v>
                      </c:pt>
                      <c:pt idx="1">
                        <c:v>87100</c:v>
                      </c:pt>
                    </c:numCache>
                  </c:numRef>
                </c:val>
                <c:extLst xmlns:c15="http://schemas.microsoft.com/office/drawing/2012/chart">
                  <c:ext xmlns:c16="http://schemas.microsoft.com/office/drawing/2014/chart" uri="{C3380CC4-5D6E-409C-BE32-E72D297353CC}">
                    <c16:uniqueId val="{00000003-2A51-476D-BA70-D0E893CCBFBA}"/>
                  </c:ext>
                </c:extLst>
              </c15:ser>
            </c15:filteredPieSeries>
            <c15:filteredPieSeries>
              <c15:ser>
                <c:idx val="5"/>
                <c:order val="5"/>
                <c:tx>
                  <c:strRef>
                    <c:extLst>
                      <c:ext xmlns:c15="http://schemas.microsoft.com/office/drawing/2012/chart" uri="{02D57815-91ED-43cb-92C2-25804820EDAC}">
                        <c15:formulaRef>
                          <c15:sqref>Pivot_Data!$E$87</c15:sqref>
                        </c15:formulaRef>
                      </c:ext>
                    </c:extLst>
                    <c:strCache>
                      <c:ptCount val="1"/>
                      <c:pt idx="0">
                        <c:v>Sports Rehab</c:v>
                      </c:pt>
                    </c:strCache>
                  </c:strRef>
                </c:tx>
                <c:dPt>
                  <c:idx val="0"/>
                  <c:bubble3D val="0"/>
                  <c:spPr>
                    <a:solidFill>
                      <a:schemeClr val="accent1"/>
                    </a:solidFill>
                    <a:ln w="19050">
                      <a:solidFill>
                        <a:schemeClr val="lt1"/>
                      </a:solidFill>
                    </a:ln>
                    <a:effectLst/>
                  </c:spPr>
                  <c:extLst xmlns:c15="http://schemas.microsoft.com/office/drawing/2012/chart">
                    <c:ext xmlns:c16="http://schemas.microsoft.com/office/drawing/2014/chart" uri="{C3380CC4-5D6E-409C-BE32-E72D297353CC}">
                      <c16:uniqueId val="{00000015-891D-401F-8B65-8209FB1A3EFA}"/>
                    </c:ext>
                  </c:extLst>
                </c:dPt>
                <c:dPt>
                  <c:idx val="1"/>
                  <c:bubble3D val="0"/>
                  <c:spPr>
                    <a:solidFill>
                      <a:schemeClr val="accent2"/>
                    </a:solidFill>
                    <a:ln w="19050">
                      <a:solidFill>
                        <a:schemeClr val="lt1"/>
                      </a:solidFill>
                    </a:ln>
                    <a:effectLst/>
                  </c:spPr>
                  <c:extLst xmlns:c15="http://schemas.microsoft.com/office/drawing/2012/chart">
                    <c:ext xmlns:c16="http://schemas.microsoft.com/office/drawing/2014/chart" uri="{C3380CC4-5D6E-409C-BE32-E72D297353CC}">
                      <c16:uniqueId val="{00000017-891D-401F-8B65-8209FB1A3EFA}"/>
                    </c:ext>
                  </c:extLst>
                </c:dPt>
                <c:cat>
                  <c:strRef>
                    <c:extLst>
                      <c:ext xmlns:c15="http://schemas.microsoft.com/office/drawing/2012/chart" uri="{02D57815-91ED-43cb-92C2-25804820EDAC}">
                        <c15:formulaRef>
                          <c15:sqref>Pivot_Data!$F$81:$G$81</c15:sqref>
                        </c15:formulaRef>
                      </c:ext>
                    </c:extLst>
                    <c:strCache>
                      <c:ptCount val="2"/>
                      <c:pt idx="0">
                        <c:v>Revenue Generated</c:v>
                      </c:pt>
                      <c:pt idx="1">
                        <c:v>Revenue Lost</c:v>
                      </c:pt>
                    </c:strCache>
                  </c:strRef>
                </c:cat>
                <c:val>
                  <c:numRef>
                    <c:extLst>
                      <c:ext xmlns:c15="http://schemas.microsoft.com/office/drawing/2012/chart" uri="{02D57815-91ED-43cb-92C2-25804820EDAC}">
                        <c15:formulaRef>
                          <c15:sqref>Pivot_Data!$F$87:$G$87</c15:sqref>
                        </c15:formulaRef>
                      </c:ext>
                    </c:extLst>
                    <c:numCache>
                      <c:formatCode>[$₹-4009]\ #,##0</c:formatCode>
                      <c:ptCount val="2"/>
                      <c:pt idx="0">
                        <c:v>318550</c:v>
                      </c:pt>
                      <c:pt idx="1">
                        <c:v>94600</c:v>
                      </c:pt>
                    </c:numCache>
                  </c:numRef>
                </c:val>
                <c:extLst xmlns:c15="http://schemas.microsoft.com/office/drawing/2012/chart">
                  <c:ext xmlns:c16="http://schemas.microsoft.com/office/drawing/2014/chart" uri="{C3380CC4-5D6E-409C-BE32-E72D297353CC}">
                    <c16:uniqueId val="{00000005-2A51-476D-BA70-D0E893CCBFBA}"/>
                  </c:ext>
                </c:extLst>
              </c15:ser>
            </c15:filteredPieSeries>
          </c:ext>
        </c:extLst>
      </c:pieChart>
      <c:spPr>
        <a:noFill/>
        <a:ln>
          <a:noFill/>
        </a:ln>
        <a:effectLst/>
      </c:spPr>
    </c:plotArea>
    <c:legend>
      <c:legendPos val="b"/>
      <c:overlay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softEdge rad="31750"/>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lang="en-US" sz="1080" b="0" i="0" u="none" strike="noStrike" kern="1200" spc="0" baseline="0">
              <a:solidFill>
                <a:schemeClr val="tx1"/>
              </a:solidFill>
              <a:latin typeface="+mn-lt"/>
              <a:ea typeface="+mn-ea"/>
              <a:cs typeface="+mn-cs"/>
            </a:defRPr>
          </a:pPr>
          <a:endParaRPr lang="en-US"/>
        </a:p>
      </c:txPr>
    </c:title>
    <c:autoTitleDeleted val="0"/>
    <c:plotArea>
      <c:layout/>
      <c:pieChart>
        <c:varyColors val="1"/>
        <c:ser>
          <c:idx val="5"/>
          <c:order val="5"/>
          <c:tx>
            <c:strRef>
              <c:f>Pivot_Data!$E$87</c:f>
              <c:strCache>
                <c:ptCount val="1"/>
                <c:pt idx="0">
                  <c:v>Sports Rehab</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4B0-4D56-AC48-02C270DA9BF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4B0-4D56-AC48-02C270DA9BF8}"/>
              </c:ext>
            </c:extLst>
          </c:dPt>
          <c:dLbls>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Pivot_Data!$F$81:$G$81</c:f>
              <c:strCache>
                <c:ptCount val="2"/>
                <c:pt idx="0">
                  <c:v>Revenue Generated</c:v>
                </c:pt>
                <c:pt idx="1">
                  <c:v>Revenue Lost</c:v>
                </c:pt>
              </c:strCache>
            </c:strRef>
          </c:cat>
          <c:val>
            <c:numRef>
              <c:f>Pivot_Data!$F$87:$G$87</c:f>
              <c:numCache>
                <c:formatCode>[$₹-4009]\ #,##0</c:formatCode>
                <c:ptCount val="2"/>
                <c:pt idx="0">
                  <c:v>318550</c:v>
                </c:pt>
                <c:pt idx="1">
                  <c:v>94600</c:v>
                </c:pt>
              </c:numCache>
            </c:numRef>
          </c:val>
          <c:extLst>
            <c:ext xmlns:c16="http://schemas.microsoft.com/office/drawing/2014/chart" uri="{C3380CC4-5D6E-409C-BE32-E72D297353CC}">
              <c16:uniqueId val="{00000005-4EDD-4FD3-B1A8-3B04B10E3F34}"/>
            </c:ext>
          </c:extLst>
        </c:ser>
        <c:dLbls>
          <c:showLegendKey val="0"/>
          <c:showVal val="0"/>
          <c:showCatName val="0"/>
          <c:showSerName val="0"/>
          <c:showPercent val="0"/>
          <c:showBubbleSize val="0"/>
          <c:showLeaderLines val="1"/>
        </c:dLbls>
        <c:firstSliceAng val="0"/>
        <c:extLst>
          <c:ext xmlns:c15="http://schemas.microsoft.com/office/drawing/2012/chart" uri="{02D57815-91ED-43cb-92C2-25804820EDAC}">
            <c15:filteredPieSeries>
              <c15:ser>
                <c:idx val="0"/>
                <c:order val="0"/>
                <c:tx>
                  <c:strRef>
                    <c:extLst>
                      <c:ext uri="{02D57815-91ED-43cb-92C2-25804820EDAC}">
                        <c15:formulaRef>
                          <c15:sqref>Pivot_Data!$E$82</c15:sqref>
                        </c15:formulaRef>
                      </c:ext>
                    </c:extLst>
                    <c:strCache>
                      <c:ptCount val="1"/>
                      <c:pt idx="0">
                        <c:v>Electrotherapy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14B0-4D56-AC48-02C270DA9BF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14B0-4D56-AC48-02C270DA9BF8}"/>
                    </c:ext>
                  </c:extLst>
                </c:dPt>
                <c:cat>
                  <c:strRef>
                    <c:extLst>
                      <c:ext uri="{02D57815-91ED-43cb-92C2-25804820EDAC}">
                        <c15:formulaRef>
                          <c15:sqref>Pivot_Data!$F$81:$G$81</c15:sqref>
                        </c15:formulaRef>
                      </c:ext>
                    </c:extLst>
                    <c:strCache>
                      <c:ptCount val="2"/>
                      <c:pt idx="0">
                        <c:v>Revenue Generated</c:v>
                      </c:pt>
                      <c:pt idx="1">
                        <c:v>Revenue Lost</c:v>
                      </c:pt>
                    </c:strCache>
                  </c:strRef>
                </c:cat>
                <c:val>
                  <c:numRef>
                    <c:extLst>
                      <c:ext uri="{02D57815-91ED-43cb-92C2-25804820EDAC}">
                        <c15:formulaRef>
                          <c15:sqref>Pivot_Data!$F$82:$G$82</c15:sqref>
                        </c15:formulaRef>
                      </c:ext>
                    </c:extLst>
                    <c:numCache>
                      <c:formatCode>[$₹-4009]\ #,##0</c:formatCode>
                      <c:ptCount val="2"/>
                      <c:pt idx="0">
                        <c:v>328100</c:v>
                      </c:pt>
                      <c:pt idx="1">
                        <c:v>74150</c:v>
                      </c:pt>
                    </c:numCache>
                  </c:numRef>
                </c:val>
                <c:extLst>
                  <c:ext xmlns:c16="http://schemas.microsoft.com/office/drawing/2014/chart" uri="{C3380CC4-5D6E-409C-BE32-E72D297353CC}">
                    <c16:uniqueId val="{00000000-4EDD-4FD3-B1A8-3B04B10E3F34}"/>
                  </c:ext>
                </c:extLst>
              </c15:ser>
            </c15:filteredPieSeries>
            <c15:filteredPieSeries>
              <c15:ser>
                <c:idx val="1"/>
                <c:order val="1"/>
                <c:tx>
                  <c:strRef>
                    <c:extLst>
                      <c:ext xmlns:c15="http://schemas.microsoft.com/office/drawing/2012/chart" uri="{02D57815-91ED-43cb-92C2-25804820EDAC}">
                        <c15:formulaRef>
                          <c15:sqref>Pivot_Data!$E$83</c15:sqref>
                        </c15:formulaRef>
                      </c:ext>
                    </c:extLst>
                    <c:strCache>
                      <c:ptCount val="1"/>
                      <c:pt idx="0">
                        <c:v>Exercise Therapy</c:v>
                      </c:pt>
                    </c:strCache>
                  </c:strRef>
                </c:tx>
                <c:dPt>
                  <c:idx val="0"/>
                  <c:bubble3D val="0"/>
                  <c:spPr>
                    <a:solidFill>
                      <a:schemeClr val="accent1"/>
                    </a:solidFill>
                    <a:ln w="19050">
                      <a:solidFill>
                        <a:schemeClr val="lt1"/>
                      </a:solidFill>
                    </a:ln>
                    <a:effectLst/>
                  </c:spPr>
                  <c:extLst xmlns:c15="http://schemas.microsoft.com/office/drawing/2012/chart">
                    <c:ext xmlns:c16="http://schemas.microsoft.com/office/drawing/2014/chart" uri="{C3380CC4-5D6E-409C-BE32-E72D297353CC}">
                      <c16:uniqueId val="{00000009-14B0-4D56-AC48-02C270DA9BF8}"/>
                    </c:ext>
                  </c:extLst>
                </c:dPt>
                <c:dPt>
                  <c:idx val="1"/>
                  <c:bubble3D val="0"/>
                  <c:spPr>
                    <a:solidFill>
                      <a:schemeClr val="accent2"/>
                    </a:solidFill>
                    <a:ln w="19050">
                      <a:solidFill>
                        <a:schemeClr val="lt1"/>
                      </a:solidFill>
                    </a:ln>
                    <a:effectLst/>
                  </c:spPr>
                  <c:extLst xmlns:c15="http://schemas.microsoft.com/office/drawing/2012/chart">
                    <c:ext xmlns:c16="http://schemas.microsoft.com/office/drawing/2014/chart" uri="{C3380CC4-5D6E-409C-BE32-E72D297353CC}">
                      <c16:uniqueId val="{0000000B-14B0-4D56-AC48-02C270DA9BF8}"/>
                    </c:ext>
                  </c:extLst>
                </c:dPt>
                <c:cat>
                  <c:strRef>
                    <c:extLst>
                      <c:ext xmlns:c15="http://schemas.microsoft.com/office/drawing/2012/chart" uri="{02D57815-91ED-43cb-92C2-25804820EDAC}">
                        <c15:formulaRef>
                          <c15:sqref>Pivot_Data!$F$81:$G$81</c15:sqref>
                        </c15:formulaRef>
                      </c:ext>
                    </c:extLst>
                    <c:strCache>
                      <c:ptCount val="2"/>
                      <c:pt idx="0">
                        <c:v>Revenue Generated</c:v>
                      </c:pt>
                      <c:pt idx="1">
                        <c:v>Revenue Lost</c:v>
                      </c:pt>
                    </c:strCache>
                  </c:strRef>
                </c:cat>
                <c:val>
                  <c:numRef>
                    <c:extLst>
                      <c:ext xmlns:c15="http://schemas.microsoft.com/office/drawing/2012/chart" uri="{02D57815-91ED-43cb-92C2-25804820EDAC}">
                        <c15:formulaRef>
                          <c15:sqref>Pivot_Data!$F$83:$G$83</c15:sqref>
                        </c15:formulaRef>
                      </c:ext>
                    </c:extLst>
                    <c:numCache>
                      <c:formatCode>[$₹-4009]\ #,##0</c:formatCode>
                      <c:ptCount val="2"/>
                      <c:pt idx="0">
                        <c:v>319300</c:v>
                      </c:pt>
                      <c:pt idx="1">
                        <c:v>95600</c:v>
                      </c:pt>
                    </c:numCache>
                  </c:numRef>
                </c:val>
                <c:extLst xmlns:c15="http://schemas.microsoft.com/office/drawing/2012/chart">
                  <c:ext xmlns:c16="http://schemas.microsoft.com/office/drawing/2014/chart" uri="{C3380CC4-5D6E-409C-BE32-E72D297353CC}">
                    <c16:uniqueId val="{00000001-4EDD-4FD3-B1A8-3B04B10E3F34}"/>
                  </c:ext>
                </c:extLst>
              </c15:ser>
            </c15:filteredPieSeries>
            <c15:filteredPieSeries>
              <c15:ser>
                <c:idx val="2"/>
                <c:order val="2"/>
                <c:tx>
                  <c:strRef>
                    <c:extLst>
                      <c:ext xmlns:c15="http://schemas.microsoft.com/office/drawing/2012/chart" uri="{02D57815-91ED-43cb-92C2-25804820EDAC}">
                        <c15:formulaRef>
                          <c15:sqref>Pivot_Data!$E$84</c15:sqref>
                        </c15:formulaRef>
                      </c:ext>
                    </c:extLst>
                    <c:strCache>
                      <c:ptCount val="1"/>
                      <c:pt idx="0">
                        <c:v>Manual Therapy</c:v>
                      </c:pt>
                    </c:strCache>
                  </c:strRef>
                </c:tx>
                <c:dPt>
                  <c:idx val="0"/>
                  <c:bubble3D val="0"/>
                  <c:spPr>
                    <a:solidFill>
                      <a:schemeClr val="accent1"/>
                    </a:solidFill>
                    <a:ln w="19050">
                      <a:solidFill>
                        <a:schemeClr val="lt1"/>
                      </a:solidFill>
                    </a:ln>
                    <a:effectLst/>
                  </c:spPr>
                  <c:extLst xmlns:c15="http://schemas.microsoft.com/office/drawing/2012/chart">
                    <c:ext xmlns:c16="http://schemas.microsoft.com/office/drawing/2014/chart" uri="{C3380CC4-5D6E-409C-BE32-E72D297353CC}">
                      <c16:uniqueId val="{0000000D-14B0-4D56-AC48-02C270DA9BF8}"/>
                    </c:ext>
                  </c:extLst>
                </c:dPt>
                <c:dPt>
                  <c:idx val="1"/>
                  <c:bubble3D val="0"/>
                  <c:spPr>
                    <a:solidFill>
                      <a:schemeClr val="accent2"/>
                    </a:solidFill>
                    <a:ln w="19050">
                      <a:solidFill>
                        <a:schemeClr val="lt1"/>
                      </a:solidFill>
                    </a:ln>
                    <a:effectLst/>
                  </c:spPr>
                  <c:extLst xmlns:c15="http://schemas.microsoft.com/office/drawing/2012/chart">
                    <c:ext xmlns:c16="http://schemas.microsoft.com/office/drawing/2014/chart" uri="{C3380CC4-5D6E-409C-BE32-E72D297353CC}">
                      <c16:uniqueId val="{0000000F-14B0-4D56-AC48-02C270DA9BF8}"/>
                    </c:ext>
                  </c:extLst>
                </c:dPt>
                <c:cat>
                  <c:strRef>
                    <c:extLst>
                      <c:ext xmlns:c15="http://schemas.microsoft.com/office/drawing/2012/chart" uri="{02D57815-91ED-43cb-92C2-25804820EDAC}">
                        <c15:formulaRef>
                          <c15:sqref>Pivot_Data!$F$81:$G$81</c15:sqref>
                        </c15:formulaRef>
                      </c:ext>
                    </c:extLst>
                    <c:strCache>
                      <c:ptCount val="2"/>
                      <c:pt idx="0">
                        <c:v>Revenue Generated</c:v>
                      </c:pt>
                      <c:pt idx="1">
                        <c:v>Revenue Lost</c:v>
                      </c:pt>
                    </c:strCache>
                  </c:strRef>
                </c:cat>
                <c:val>
                  <c:numRef>
                    <c:extLst>
                      <c:ext xmlns:c15="http://schemas.microsoft.com/office/drawing/2012/chart" uri="{02D57815-91ED-43cb-92C2-25804820EDAC}">
                        <c15:formulaRef>
                          <c15:sqref>Pivot_Data!$F$84:$G$84</c15:sqref>
                        </c15:formulaRef>
                      </c:ext>
                    </c:extLst>
                    <c:numCache>
                      <c:formatCode>[$₹-4009]\ #,##0</c:formatCode>
                      <c:ptCount val="2"/>
                      <c:pt idx="0">
                        <c:v>328950</c:v>
                      </c:pt>
                      <c:pt idx="1">
                        <c:v>96150</c:v>
                      </c:pt>
                    </c:numCache>
                  </c:numRef>
                </c:val>
                <c:extLst xmlns:c15="http://schemas.microsoft.com/office/drawing/2012/chart">
                  <c:ext xmlns:c16="http://schemas.microsoft.com/office/drawing/2014/chart" uri="{C3380CC4-5D6E-409C-BE32-E72D297353CC}">
                    <c16:uniqueId val="{00000002-4EDD-4FD3-B1A8-3B04B10E3F34}"/>
                  </c:ext>
                </c:extLst>
              </c15:ser>
            </c15:filteredPieSeries>
            <c15:filteredPieSeries>
              <c15:ser>
                <c:idx val="3"/>
                <c:order val="3"/>
                <c:tx>
                  <c:strRef>
                    <c:extLst>
                      <c:ext xmlns:c15="http://schemas.microsoft.com/office/drawing/2012/chart" uri="{02D57815-91ED-43cb-92C2-25804820EDAC}">
                        <c15:formulaRef>
                          <c15:sqref>Pivot_Data!$E$85</c15:sqref>
                        </c15:formulaRef>
                      </c:ext>
                    </c:extLst>
                    <c:strCache>
                      <c:ptCount val="1"/>
                      <c:pt idx="0">
                        <c:v>Neuro Rehab</c:v>
                      </c:pt>
                    </c:strCache>
                  </c:strRef>
                </c:tx>
                <c:dPt>
                  <c:idx val="0"/>
                  <c:bubble3D val="0"/>
                  <c:spPr>
                    <a:solidFill>
                      <a:schemeClr val="accent1"/>
                    </a:solidFill>
                    <a:ln w="19050">
                      <a:solidFill>
                        <a:schemeClr val="lt1"/>
                      </a:solidFill>
                    </a:ln>
                    <a:effectLst/>
                  </c:spPr>
                  <c:extLst xmlns:c15="http://schemas.microsoft.com/office/drawing/2012/chart">
                    <c:ext xmlns:c16="http://schemas.microsoft.com/office/drawing/2014/chart" uri="{C3380CC4-5D6E-409C-BE32-E72D297353CC}">
                      <c16:uniqueId val="{00000011-14B0-4D56-AC48-02C270DA9BF8}"/>
                    </c:ext>
                  </c:extLst>
                </c:dPt>
                <c:dPt>
                  <c:idx val="1"/>
                  <c:bubble3D val="0"/>
                  <c:spPr>
                    <a:solidFill>
                      <a:schemeClr val="accent2"/>
                    </a:solidFill>
                    <a:ln w="19050">
                      <a:solidFill>
                        <a:schemeClr val="lt1"/>
                      </a:solidFill>
                    </a:ln>
                    <a:effectLst/>
                  </c:spPr>
                  <c:extLst xmlns:c15="http://schemas.microsoft.com/office/drawing/2012/chart">
                    <c:ext xmlns:c16="http://schemas.microsoft.com/office/drawing/2014/chart" uri="{C3380CC4-5D6E-409C-BE32-E72D297353CC}">
                      <c16:uniqueId val="{00000013-14B0-4D56-AC48-02C270DA9BF8}"/>
                    </c:ext>
                  </c:extLst>
                </c:dPt>
                <c:cat>
                  <c:strRef>
                    <c:extLst>
                      <c:ext xmlns:c15="http://schemas.microsoft.com/office/drawing/2012/chart" uri="{02D57815-91ED-43cb-92C2-25804820EDAC}">
                        <c15:formulaRef>
                          <c15:sqref>Pivot_Data!$F$81:$G$81</c15:sqref>
                        </c15:formulaRef>
                      </c:ext>
                    </c:extLst>
                    <c:strCache>
                      <c:ptCount val="2"/>
                      <c:pt idx="0">
                        <c:v>Revenue Generated</c:v>
                      </c:pt>
                      <c:pt idx="1">
                        <c:v>Revenue Lost</c:v>
                      </c:pt>
                    </c:strCache>
                  </c:strRef>
                </c:cat>
                <c:val>
                  <c:numRef>
                    <c:extLst>
                      <c:ext xmlns:c15="http://schemas.microsoft.com/office/drawing/2012/chart" uri="{02D57815-91ED-43cb-92C2-25804820EDAC}">
                        <c15:formulaRef>
                          <c15:sqref>Pivot_Data!$F$85:$G$85</c15:sqref>
                        </c15:formulaRef>
                      </c:ext>
                    </c:extLst>
                    <c:numCache>
                      <c:formatCode>[$₹-4009]\ #,##0</c:formatCode>
                      <c:ptCount val="2"/>
                      <c:pt idx="0">
                        <c:v>365500</c:v>
                      </c:pt>
                      <c:pt idx="1">
                        <c:v>87100</c:v>
                      </c:pt>
                    </c:numCache>
                  </c:numRef>
                </c:val>
                <c:extLst xmlns:c15="http://schemas.microsoft.com/office/drawing/2012/chart">
                  <c:ext xmlns:c16="http://schemas.microsoft.com/office/drawing/2014/chart" uri="{C3380CC4-5D6E-409C-BE32-E72D297353CC}">
                    <c16:uniqueId val="{00000003-4EDD-4FD3-B1A8-3B04B10E3F34}"/>
                  </c:ext>
                </c:extLst>
              </c15:ser>
            </c15:filteredPieSeries>
            <c15:filteredPieSeries>
              <c15:ser>
                <c:idx val="4"/>
                <c:order val="4"/>
                <c:tx>
                  <c:strRef>
                    <c:extLst>
                      <c:ext xmlns:c15="http://schemas.microsoft.com/office/drawing/2012/chart" uri="{02D57815-91ED-43cb-92C2-25804820EDAC}">
                        <c15:formulaRef>
                          <c15:sqref>Pivot_Data!$E$86</c15:sqref>
                        </c15:formulaRef>
                      </c:ext>
                    </c:extLst>
                    <c:strCache>
                      <c:ptCount val="1"/>
                      <c:pt idx="0">
                        <c:v>Posture Correction</c:v>
                      </c:pt>
                    </c:strCache>
                  </c:strRef>
                </c:tx>
                <c:dPt>
                  <c:idx val="0"/>
                  <c:bubble3D val="0"/>
                  <c:spPr>
                    <a:solidFill>
                      <a:schemeClr val="accent1"/>
                    </a:solidFill>
                    <a:ln w="19050">
                      <a:solidFill>
                        <a:schemeClr val="lt1"/>
                      </a:solidFill>
                    </a:ln>
                    <a:effectLst/>
                  </c:spPr>
                  <c:extLst xmlns:c15="http://schemas.microsoft.com/office/drawing/2012/chart">
                    <c:ext xmlns:c16="http://schemas.microsoft.com/office/drawing/2014/chart" uri="{C3380CC4-5D6E-409C-BE32-E72D297353CC}">
                      <c16:uniqueId val="{00000015-14B0-4D56-AC48-02C270DA9BF8}"/>
                    </c:ext>
                  </c:extLst>
                </c:dPt>
                <c:dPt>
                  <c:idx val="1"/>
                  <c:bubble3D val="0"/>
                  <c:spPr>
                    <a:solidFill>
                      <a:schemeClr val="accent2"/>
                    </a:solidFill>
                    <a:ln w="19050">
                      <a:solidFill>
                        <a:schemeClr val="lt1"/>
                      </a:solidFill>
                    </a:ln>
                    <a:effectLst/>
                  </c:spPr>
                  <c:extLst xmlns:c15="http://schemas.microsoft.com/office/drawing/2012/chart">
                    <c:ext xmlns:c16="http://schemas.microsoft.com/office/drawing/2014/chart" uri="{C3380CC4-5D6E-409C-BE32-E72D297353CC}">
                      <c16:uniqueId val="{00000017-14B0-4D56-AC48-02C270DA9BF8}"/>
                    </c:ext>
                  </c:extLst>
                </c:dPt>
                <c:cat>
                  <c:strRef>
                    <c:extLst>
                      <c:ext xmlns:c15="http://schemas.microsoft.com/office/drawing/2012/chart" uri="{02D57815-91ED-43cb-92C2-25804820EDAC}">
                        <c15:formulaRef>
                          <c15:sqref>Pivot_Data!$F$81:$G$81</c15:sqref>
                        </c15:formulaRef>
                      </c:ext>
                    </c:extLst>
                    <c:strCache>
                      <c:ptCount val="2"/>
                      <c:pt idx="0">
                        <c:v>Revenue Generated</c:v>
                      </c:pt>
                      <c:pt idx="1">
                        <c:v>Revenue Lost</c:v>
                      </c:pt>
                    </c:strCache>
                  </c:strRef>
                </c:cat>
                <c:val>
                  <c:numRef>
                    <c:extLst>
                      <c:ext xmlns:c15="http://schemas.microsoft.com/office/drawing/2012/chart" uri="{02D57815-91ED-43cb-92C2-25804820EDAC}">
                        <c15:formulaRef>
                          <c15:sqref>Pivot_Data!$F$86:$G$86</c15:sqref>
                        </c15:formulaRef>
                      </c:ext>
                    </c:extLst>
                    <c:numCache>
                      <c:formatCode>[$₹-4009]\ #,##0</c:formatCode>
                      <c:ptCount val="2"/>
                      <c:pt idx="0">
                        <c:v>330500</c:v>
                      </c:pt>
                      <c:pt idx="1">
                        <c:v>95750</c:v>
                      </c:pt>
                    </c:numCache>
                  </c:numRef>
                </c:val>
                <c:extLst xmlns:c15="http://schemas.microsoft.com/office/drawing/2012/chart">
                  <c:ext xmlns:c16="http://schemas.microsoft.com/office/drawing/2014/chart" uri="{C3380CC4-5D6E-409C-BE32-E72D297353CC}">
                    <c16:uniqueId val="{00000004-4EDD-4FD3-B1A8-3B04B10E3F34}"/>
                  </c:ext>
                </c:extLst>
              </c15:ser>
            </c15:filteredPieSeries>
          </c:ext>
        </c:extLst>
      </c:pieChart>
      <c:spPr>
        <a:noFill/>
        <a:ln>
          <a:noFill/>
        </a:ln>
        <a:effectLst/>
      </c:spPr>
    </c:plotArea>
    <c:legend>
      <c:legendPos val="b"/>
      <c:overlay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softEdge rad="31750"/>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6"/>
    </mc:Choice>
    <mc:Fallback>
      <c:style val="6"/>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tx>
            <c:strRef>
              <c:f>Pivot_Data!$E$82</c:f>
              <c:strCache>
                <c:ptCount val="1"/>
                <c:pt idx="0">
                  <c:v>Electrotherapy</c:v>
                </c:pt>
              </c:strCache>
            </c:strRef>
          </c:tx>
          <c:spPr>
            <a:ln>
              <a:noFill/>
            </a:ln>
            <a:scene3d>
              <a:camera prst="orthographicFront"/>
              <a:lightRig rig="threePt" dir="t"/>
            </a:scene3d>
            <a:sp3d prstMaterial="matte">
              <a:bevelT w="44450" h="25400" prst="angle"/>
              <a:bevelB w="19050" h="88900"/>
            </a:sp3d>
          </c:spPr>
          <c:explosion val="4"/>
          <c:dPt>
            <c:idx val="0"/>
            <c:bubble3D val="0"/>
            <c:spPr>
              <a:solidFill>
                <a:schemeClr val="accent4">
                  <a:shade val="76000"/>
                </a:schemeClr>
              </a:solidFill>
              <a:ln w="19050">
                <a:noFill/>
              </a:ln>
              <a:effectLst/>
              <a:scene3d>
                <a:camera prst="orthographicFront"/>
                <a:lightRig rig="threePt" dir="t"/>
              </a:scene3d>
              <a:sp3d prstMaterial="matte">
                <a:bevelT w="44450" h="25400" prst="angle"/>
                <a:bevelB w="19050" h="88900"/>
              </a:sp3d>
            </c:spPr>
            <c:extLst>
              <c:ext xmlns:c16="http://schemas.microsoft.com/office/drawing/2014/chart" uri="{C3380CC4-5D6E-409C-BE32-E72D297353CC}">
                <c16:uniqueId val="{00000001-4464-4A1C-90E2-ADB4190C4B1B}"/>
              </c:ext>
            </c:extLst>
          </c:dPt>
          <c:dPt>
            <c:idx val="1"/>
            <c:bubble3D val="0"/>
            <c:spPr>
              <a:solidFill>
                <a:schemeClr val="accent4">
                  <a:tint val="77000"/>
                </a:schemeClr>
              </a:solidFill>
              <a:ln w="19050">
                <a:noFill/>
              </a:ln>
              <a:effectLst/>
              <a:scene3d>
                <a:camera prst="orthographicFront"/>
                <a:lightRig rig="threePt" dir="t"/>
              </a:scene3d>
              <a:sp3d prstMaterial="matte">
                <a:bevelT w="44450" h="25400" prst="angle"/>
                <a:bevelB w="19050" h="88900"/>
              </a:sp3d>
            </c:spPr>
            <c:extLst>
              <c:ext xmlns:c16="http://schemas.microsoft.com/office/drawing/2014/chart" uri="{C3380CC4-5D6E-409C-BE32-E72D297353CC}">
                <c16:uniqueId val="{00000003-4464-4A1C-90E2-ADB4190C4B1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Pivot_Data!$F$81:$G$81</c:f>
              <c:strCache>
                <c:ptCount val="2"/>
                <c:pt idx="0">
                  <c:v>Revenue Generated</c:v>
                </c:pt>
                <c:pt idx="1">
                  <c:v>Revenue Lost</c:v>
                </c:pt>
              </c:strCache>
            </c:strRef>
          </c:cat>
          <c:val>
            <c:numRef>
              <c:f>Pivot_Data!$F$82:$G$82</c:f>
              <c:numCache>
                <c:formatCode>[$₹-4009]\ #,##0</c:formatCode>
                <c:ptCount val="2"/>
                <c:pt idx="0">
                  <c:v>328100</c:v>
                </c:pt>
                <c:pt idx="1">
                  <c:v>74150</c:v>
                </c:pt>
              </c:numCache>
            </c:numRef>
          </c:val>
          <c:extLst>
            <c:ext xmlns:c16="http://schemas.microsoft.com/office/drawing/2014/chart" uri="{C3380CC4-5D6E-409C-BE32-E72D297353CC}">
              <c16:uniqueId val="{00000000-1060-4356-9524-91DB937748BD}"/>
            </c:ext>
          </c:extLst>
        </c:ser>
        <c:dLbls>
          <c:showLegendKey val="0"/>
          <c:showVal val="0"/>
          <c:showCatName val="0"/>
          <c:showSerName val="0"/>
          <c:showPercent val="0"/>
          <c:showBubbleSize val="0"/>
          <c:showLeaderLines val="1"/>
        </c:dLbls>
        <c:firstSliceAng val="0"/>
        <c:holeSize val="50"/>
        <c:extLst>
          <c:ext xmlns:c15="http://schemas.microsoft.com/office/drawing/2012/chart" uri="{02D57815-91ED-43cb-92C2-25804820EDAC}">
            <c15:filteredPieSeries>
              <c15:ser>
                <c:idx val="1"/>
                <c:order val="1"/>
                <c:tx>
                  <c:strRef>
                    <c:extLst>
                      <c:ext uri="{02D57815-91ED-43cb-92C2-25804820EDAC}">
                        <c15:formulaRef>
                          <c15:sqref>Pivot_Data!$E$83</c15:sqref>
                        </c15:formulaRef>
                      </c:ext>
                    </c:extLst>
                    <c:strCache>
                      <c:ptCount val="1"/>
                      <c:pt idx="0">
                        <c:v>Exercise Therapy</c:v>
                      </c:pt>
                    </c:strCache>
                  </c:strRef>
                </c:tx>
                <c:dPt>
                  <c:idx val="0"/>
                  <c:bubble3D val="0"/>
                  <c:spPr>
                    <a:solidFill>
                      <a:schemeClr val="accent4">
                        <a:shade val="76000"/>
                      </a:schemeClr>
                    </a:solidFill>
                    <a:ln w="19050">
                      <a:solidFill>
                        <a:schemeClr val="lt1"/>
                      </a:solidFill>
                    </a:ln>
                    <a:effectLst/>
                  </c:spPr>
                  <c:extLst>
                    <c:ext xmlns:c16="http://schemas.microsoft.com/office/drawing/2014/chart" uri="{C3380CC4-5D6E-409C-BE32-E72D297353CC}">
                      <c16:uniqueId val="{00000005-4464-4A1C-90E2-ADB4190C4B1B}"/>
                    </c:ext>
                  </c:extLst>
                </c:dPt>
                <c:dPt>
                  <c:idx val="1"/>
                  <c:bubble3D val="0"/>
                  <c:spPr>
                    <a:solidFill>
                      <a:schemeClr val="accent4">
                        <a:tint val="77000"/>
                      </a:schemeClr>
                    </a:solidFill>
                    <a:ln w="19050">
                      <a:solidFill>
                        <a:schemeClr val="lt1"/>
                      </a:solidFill>
                    </a:ln>
                    <a:effectLst/>
                  </c:spPr>
                  <c:extLst>
                    <c:ext xmlns:c16="http://schemas.microsoft.com/office/drawing/2014/chart" uri="{C3380CC4-5D6E-409C-BE32-E72D297353CC}">
                      <c16:uniqueId val="{00000007-4464-4A1C-90E2-ADB4190C4B1B}"/>
                    </c:ext>
                  </c:extLst>
                </c:dPt>
                <c:cat>
                  <c:strRef>
                    <c:extLst>
                      <c:ext uri="{02D57815-91ED-43cb-92C2-25804820EDAC}">
                        <c15:formulaRef>
                          <c15:sqref>Pivot_Data!$F$81:$G$81</c15:sqref>
                        </c15:formulaRef>
                      </c:ext>
                    </c:extLst>
                    <c:strCache>
                      <c:ptCount val="2"/>
                      <c:pt idx="0">
                        <c:v>Revenue Generated</c:v>
                      </c:pt>
                      <c:pt idx="1">
                        <c:v>Revenue Lost</c:v>
                      </c:pt>
                    </c:strCache>
                  </c:strRef>
                </c:cat>
                <c:val>
                  <c:numRef>
                    <c:extLst>
                      <c:ext uri="{02D57815-91ED-43cb-92C2-25804820EDAC}">
                        <c15:formulaRef>
                          <c15:sqref>Pivot_Data!$F$83:$G$83</c15:sqref>
                        </c15:formulaRef>
                      </c:ext>
                    </c:extLst>
                    <c:numCache>
                      <c:formatCode>[$₹-4009]\ #,##0</c:formatCode>
                      <c:ptCount val="2"/>
                      <c:pt idx="0">
                        <c:v>319300</c:v>
                      </c:pt>
                      <c:pt idx="1">
                        <c:v>95600</c:v>
                      </c:pt>
                    </c:numCache>
                  </c:numRef>
                </c:val>
                <c:extLst>
                  <c:ext xmlns:c16="http://schemas.microsoft.com/office/drawing/2014/chart" uri="{C3380CC4-5D6E-409C-BE32-E72D297353CC}">
                    <c16:uniqueId val="{00000001-1060-4356-9524-91DB937748BD}"/>
                  </c:ext>
                </c:extLst>
              </c15:ser>
            </c15:filteredPieSeries>
            <c15:filteredPieSeries>
              <c15:ser>
                <c:idx val="2"/>
                <c:order val="2"/>
                <c:tx>
                  <c:strRef>
                    <c:extLst>
                      <c:ext xmlns:c15="http://schemas.microsoft.com/office/drawing/2012/chart" uri="{02D57815-91ED-43cb-92C2-25804820EDAC}">
                        <c15:formulaRef>
                          <c15:sqref>Pivot_Data!$E$84</c15:sqref>
                        </c15:formulaRef>
                      </c:ext>
                    </c:extLst>
                    <c:strCache>
                      <c:ptCount val="1"/>
                      <c:pt idx="0">
                        <c:v>Manual Therapy</c:v>
                      </c:pt>
                    </c:strCache>
                  </c:strRef>
                </c:tx>
                <c:dPt>
                  <c:idx val="0"/>
                  <c:bubble3D val="0"/>
                  <c:spPr>
                    <a:solidFill>
                      <a:schemeClr val="accent4">
                        <a:shade val="76000"/>
                      </a:schemeClr>
                    </a:solidFill>
                    <a:ln w="19050">
                      <a:solidFill>
                        <a:schemeClr val="lt1"/>
                      </a:solidFill>
                    </a:ln>
                    <a:effectLst/>
                  </c:spPr>
                  <c:extLst xmlns:c15="http://schemas.microsoft.com/office/drawing/2012/chart">
                    <c:ext xmlns:c16="http://schemas.microsoft.com/office/drawing/2014/chart" uri="{C3380CC4-5D6E-409C-BE32-E72D297353CC}">
                      <c16:uniqueId val="{00000009-4464-4A1C-90E2-ADB4190C4B1B}"/>
                    </c:ext>
                  </c:extLst>
                </c:dPt>
                <c:dPt>
                  <c:idx val="1"/>
                  <c:bubble3D val="0"/>
                  <c:spPr>
                    <a:solidFill>
                      <a:schemeClr val="accent4">
                        <a:tint val="77000"/>
                      </a:schemeClr>
                    </a:solidFill>
                    <a:ln w="19050">
                      <a:solidFill>
                        <a:schemeClr val="lt1"/>
                      </a:solidFill>
                    </a:ln>
                    <a:effectLst/>
                  </c:spPr>
                  <c:extLst xmlns:c15="http://schemas.microsoft.com/office/drawing/2012/chart">
                    <c:ext xmlns:c16="http://schemas.microsoft.com/office/drawing/2014/chart" uri="{C3380CC4-5D6E-409C-BE32-E72D297353CC}">
                      <c16:uniqueId val="{0000000B-4464-4A1C-90E2-ADB4190C4B1B}"/>
                    </c:ext>
                  </c:extLst>
                </c:dPt>
                <c:cat>
                  <c:strRef>
                    <c:extLst>
                      <c:ext xmlns:c15="http://schemas.microsoft.com/office/drawing/2012/chart" uri="{02D57815-91ED-43cb-92C2-25804820EDAC}">
                        <c15:formulaRef>
                          <c15:sqref>Pivot_Data!$F$81:$G$81</c15:sqref>
                        </c15:formulaRef>
                      </c:ext>
                    </c:extLst>
                    <c:strCache>
                      <c:ptCount val="2"/>
                      <c:pt idx="0">
                        <c:v>Revenue Generated</c:v>
                      </c:pt>
                      <c:pt idx="1">
                        <c:v>Revenue Lost</c:v>
                      </c:pt>
                    </c:strCache>
                  </c:strRef>
                </c:cat>
                <c:val>
                  <c:numRef>
                    <c:extLst>
                      <c:ext xmlns:c15="http://schemas.microsoft.com/office/drawing/2012/chart" uri="{02D57815-91ED-43cb-92C2-25804820EDAC}">
                        <c15:formulaRef>
                          <c15:sqref>Pivot_Data!$F$84:$G$84</c15:sqref>
                        </c15:formulaRef>
                      </c:ext>
                    </c:extLst>
                    <c:numCache>
                      <c:formatCode>[$₹-4009]\ #,##0</c:formatCode>
                      <c:ptCount val="2"/>
                      <c:pt idx="0">
                        <c:v>328950</c:v>
                      </c:pt>
                      <c:pt idx="1">
                        <c:v>96150</c:v>
                      </c:pt>
                    </c:numCache>
                  </c:numRef>
                </c:val>
                <c:extLst xmlns:c15="http://schemas.microsoft.com/office/drawing/2012/chart">
                  <c:ext xmlns:c16="http://schemas.microsoft.com/office/drawing/2014/chart" uri="{C3380CC4-5D6E-409C-BE32-E72D297353CC}">
                    <c16:uniqueId val="{00000002-1060-4356-9524-91DB937748BD}"/>
                  </c:ext>
                </c:extLst>
              </c15:ser>
            </c15:filteredPieSeries>
            <c15:filteredPieSeries>
              <c15:ser>
                <c:idx val="3"/>
                <c:order val="3"/>
                <c:tx>
                  <c:strRef>
                    <c:extLst>
                      <c:ext xmlns:c15="http://schemas.microsoft.com/office/drawing/2012/chart" uri="{02D57815-91ED-43cb-92C2-25804820EDAC}">
                        <c15:formulaRef>
                          <c15:sqref>Pivot_Data!$E$85</c15:sqref>
                        </c15:formulaRef>
                      </c:ext>
                    </c:extLst>
                    <c:strCache>
                      <c:ptCount val="1"/>
                      <c:pt idx="0">
                        <c:v>Neuro Rehab</c:v>
                      </c:pt>
                    </c:strCache>
                  </c:strRef>
                </c:tx>
                <c:dPt>
                  <c:idx val="0"/>
                  <c:bubble3D val="0"/>
                  <c:spPr>
                    <a:solidFill>
                      <a:schemeClr val="accent4">
                        <a:shade val="76000"/>
                      </a:schemeClr>
                    </a:solidFill>
                    <a:ln w="19050">
                      <a:solidFill>
                        <a:schemeClr val="lt1"/>
                      </a:solidFill>
                    </a:ln>
                    <a:effectLst/>
                  </c:spPr>
                  <c:extLst xmlns:c15="http://schemas.microsoft.com/office/drawing/2012/chart">
                    <c:ext xmlns:c16="http://schemas.microsoft.com/office/drawing/2014/chart" uri="{C3380CC4-5D6E-409C-BE32-E72D297353CC}">
                      <c16:uniqueId val="{0000000D-4464-4A1C-90E2-ADB4190C4B1B}"/>
                    </c:ext>
                  </c:extLst>
                </c:dPt>
                <c:dPt>
                  <c:idx val="1"/>
                  <c:bubble3D val="0"/>
                  <c:spPr>
                    <a:solidFill>
                      <a:schemeClr val="accent4">
                        <a:tint val="77000"/>
                      </a:schemeClr>
                    </a:solidFill>
                    <a:ln w="19050">
                      <a:solidFill>
                        <a:schemeClr val="lt1"/>
                      </a:solidFill>
                    </a:ln>
                    <a:effectLst/>
                  </c:spPr>
                  <c:extLst xmlns:c15="http://schemas.microsoft.com/office/drawing/2012/chart">
                    <c:ext xmlns:c16="http://schemas.microsoft.com/office/drawing/2014/chart" uri="{C3380CC4-5D6E-409C-BE32-E72D297353CC}">
                      <c16:uniqueId val="{0000000F-4464-4A1C-90E2-ADB4190C4B1B}"/>
                    </c:ext>
                  </c:extLst>
                </c:dPt>
                <c:cat>
                  <c:strRef>
                    <c:extLst>
                      <c:ext xmlns:c15="http://schemas.microsoft.com/office/drawing/2012/chart" uri="{02D57815-91ED-43cb-92C2-25804820EDAC}">
                        <c15:formulaRef>
                          <c15:sqref>Pivot_Data!$F$81:$G$81</c15:sqref>
                        </c15:formulaRef>
                      </c:ext>
                    </c:extLst>
                    <c:strCache>
                      <c:ptCount val="2"/>
                      <c:pt idx="0">
                        <c:v>Revenue Generated</c:v>
                      </c:pt>
                      <c:pt idx="1">
                        <c:v>Revenue Lost</c:v>
                      </c:pt>
                    </c:strCache>
                  </c:strRef>
                </c:cat>
                <c:val>
                  <c:numRef>
                    <c:extLst>
                      <c:ext xmlns:c15="http://schemas.microsoft.com/office/drawing/2012/chart" uri="{02D57815-91ED-43cb-92C2-25804820EDAC}">
                        <c15:formulaRef>
                          <c15:sqref>Pivot_Data!$F$85:$G$85</c15:sqref>
                        </c15:formulaRef>
                      </c:ext>
                    </c:extLst>
                    <c:numCache>
                      <c:formatCode>[$₹-4009]\ #,##0</c:formatCode>
                      <c:ptCount val="2"/>
                      <c:pt idx="0">
                        <c:v>365500</c:v>
                      </c:pt>
                      <c:pt idx="1">
                        <c:v>87100</c:v>
                      </c:pt>
                    </c:numCache>
                  </c:numRef>
                </c:val>
                <c:extLst xmlns:c15="http://schemas.microsoft.com/office/drawing/2012/chart">
                  <c:ext xmlns:c16="http://schemas.microsoft.com/office/drawing/2014/chart" uri="{C3380CC4-5D6E-409C-BE32-E72D297353CC}">
                    <c16:uniqueId val="{00000003-1060-4356-9524-91DB937748BD}"/>
                  </c:ext>
                </c:extLst>
              </c15:ser>
            </c15:filteredPieSeries>
            <c15:filteredPieSeries>
              <c15:ser>
                <c:idx val="4"/>
                <c:order val="4"/>
                <c:tx>
                  <c:strRef>
                    <c:extLst>
                      <c:ext xmlns:c15="http://schemas.microsoft.com/office/drawing/2012/chart" uri="{02D57815-91ED-43cb-92C2-25804820EDAC}">
                        <c15:formulaRef>
                          <c15:sqref>Pivot_Data!$E$86</c15:sqref>
                        </c15:formulaRef>
                      </c:ext>
                    </c:extLst>
                    <c:strCache>
                      <c:ptCount val="1"/>
                      <c:pt idx="0">
                        <c:v>Posture Correction</c:v>
                      </c:pt>
                    </c:strCache>
                  </c:strRef>
                </c:tx>
                <c:dPt>
                  <c:idx val="0"/>
                  <c:bubble3D val="0"/>
                  <c:spPr>
                    <a:solidFill>
                      <a:schemeClr val="accent4">
                        <a:shade val="76000"/>
                      </a:schemeClr>
                    </a:solidFill>
                    <a:ln w="19050">
                      <a:solidFill>
                        <a:schemeClr val="lt1"/>
                      </a:solidFill>
                    </a:ln>
                    <a:effectLst/>
                  </c:spPr>
                  <c:extLst xmlns:c15="http://schemas.microsoft.com/office/drawing/2012/chart">
                    <c:ext xmlns:c16="http://schemas.microsoft.com/office/drawing/2014/chart" uri="{C3380CC4-5D6E-409C-BE32-E72D297353CC}">
                      <c16:uniqueId val="{00000011-4464-4A1C-90E2-ADB4190C4B1B}"/>
                    </c:ext>
                  </c:extLst>
                </c:dPt>
                <c:dPt>
                  <c:idx val="1"/>
                  <c:bubble3D val="0"/>
                  <c:spPr>
                    <a:solidFill>
                      <a:schemeClr val="accent4">
                        <a:tint val="77000"/>
                      </a:schemeClr>
                    </a:solidFill>
                    <a:ln w="19050">
                      <a:solidFill>
                        <a:schemeClr val="lt1"/>
                      </a:solidFill>
                    </a:ln>
                    <a:effectLst/>
                  </c:spPr>
                  <c:extLst xmlns:c15="http://schemas.microsoft.com/office/drawing/2012/chart">
                    <c:ext xmlns:c16="http://schemas.microsoft.com/office/drawing/2014/chart" uri="{C3380CC4-5D6E-409C-BE32-E72D297353CC}">
                      <c16:uniqueId val="{00000013-4464-4A1C-90E2-ADB4190C4B1B}"/>
                    </c:ext>
                  </c:extLst>
                </c:dPt>
                <c:cat>
                  <c:strRef>
                    <c:extLst>
                      <c:ext xmlns:c15="http://schemas.microsoft.com/office/drawing/2012/chart" uri="{02D57815-91ED-43cb-92C2-25804820EDAC}">
                        <c15:formulaRef>
                          <c15:sqref>Pivot_Data!$F$81:$G$81</c15:sqref>
                        </c15:formulaRef>
                      </c:ext>
                    </c:extLst>
                    <c:strCache>
                      <c:ptCount val="2"/>
                      <c:pt idx="0">
                        <c:v>Revenue Generated</c:v>
                      </c:pt>
                      <c:pt idx="1">
                        <c:v>Revenue Lost</c:v>
                      </c:pt>
                    </c:strCache>
                  </c:strRef>
                </c:cat>
                <c:val>
                  <c:numRef>
                    <c:extLst>
                      <c:ext xmlns:c15="http://schemas.microsoft.com/office/drawing/2012/chart" uri="{02D57815-91ED-43cb-92C2-25804820EDAC}">
                        <c15:formulaRef>
                          <c15:sqref>Pivot_Data!$F$86:$G$86</c15:sqref>
                        </c15:formulaRef>
                      </c:ext>
                    </c:extLst>
                    <c:numCache>
                      <c:formatCode>[$₹-4009]\ #,##0</c:formatCode>
                      <c:ptCount val="2"/>
                      <c:pt idx="0">
                        <c:v>330500</c:v>
                      </c:pt>
                      <c:pt idx="1">
                        <c:v>95750</c:v>
                      </c:pt>
                    </c:numCache>
                  </c:numRef>
                </c:val>
                <c:extLst xmlns:c15="http://schemas.microsoft.com/office/drawing/2012/chart">
                  <c:ext xmlns:c16="http://schemas.microsoft.com/office/drawing/2014/chart" uri="{C3380CC4-5D6E-409C-BE32-E72D297353CC}">
                    <c16:uniqueId val="{00000004-1060-4356-9524-91DB937748BD}"/>
                  </c:ext>
                </c:extLst>
              </c15:ser>
            </c15:filteredPieSeries>
            <c15:filteredPieSeries>
              <c15:ser>
                <c:idx val="5"/>
                <c:order val="5"/>
                <c:tx>
                  <c:strRef>
                    <c:extLst>
                      <c:ext xmlns:c15="http://schemas.microsoft.com/office/drawing/2012/chart" uri="{02D57815-91ED-43cb-92C2-25804820EDAC}">
                        <c15:formulaRef>
                          <c15:sqref>Pivot_Data!$E$87</c15:sqref>
                        </c15:formulaRef>
                      </c:ext>
                    </c:extLst>
                    <c:strCache>
                      <c:ptCount val="1"/>
                      <c:pt idx="0">
                        <c:v>Sports Rehab</c:v>
                      </c:pt>
                    </c:strCache>
                  </c:strRef>
                </c:tx>
                <c:dPt>
                  <c:idx val="0"/>
                  <c:bubble3D val="0"/>
                  <c:spPr>
                    <a:solidFill>
                      <a:schemeClr val="accent4">
                        <a:shade val="76000"/>
                      </a:schemeClr>
                    </a:solidFill>
                    <a:ln w="19050">
                      <a:solidFill>
                        <a:schemeClr val="lt1"/>
                      </a:solidFill>
                    </a:ln>
                    <a:effectLst/>
                  </c:spPr>
                  <c:extLst xmlns:c15="http://schemas.microsoft.com/office/drawing/2012/chart">
                    <c:ext xmlns:c16="http://schemas.microsoft.com/office/drawing/2014/chart" uri="{C3380CC4-5D6E-409C-BE32-E72D297353CC}">
                      <c16:uniqueId val="{00000015-4464-4A1C-90E2-ADB4190C4B1B}"/>
                    </c:ext>
                  </c:extLst>
                </c:dPt>
                <c:dPt>
                  <c:idx val="1"/>
                  <c:bubble3D val="0"/>
                  <c:spPr>
                    <a:solidFill>
                      <a:schemeClr val="accent4">
                        <a:tint val="77000"/>
                      </a:schemeClr>
                    </a:solidFill>
                    <a:ln w="19050">
                      <a:solidFill>
                        <a:schemeClr val="lt1"/>
                      </a:solidFill>
                    </a:ln>
                    <a:effectLst/>
                  </c:spPr>
                  <c:extLst xmlns:c15="http://schemas.microsoft.com/office/drawing/2012/chart">
                    <c:ext xmlns:c16="http://schemas.microsoft.com/office/drawing/2014/chart" uri="{C3380CC4-5D6E-409C-BE32-E72D297353CC}">
                      <c16:uniqueId val="{00000017-4464-4A1C-90E2-ADB4190C4B1B}"/>
                    </c:ext>
                  </c:extLst>
                </c:dPt>
                <c:cat>
                  <c:strRef>
                    <c:extLst>
                      <c:ext xmlns:c15="http://schemas.microsoft.com/office/drawing/2012/chart" uri="{02D57815-91ED-43cb-92C2-25804820EDAC}">
                        <c15:formulaRef>
                          <c15:sqref>Pivot_Data!$F$81:$G$81</c15:sqref>
                        </c15:formulaRef>
                      </c:ext>
                    </c:extLst>
                    <c:strCache>
                      <c:ptCount val="2"/>
                      <c:pt idx="0">
                        <c:v>Revenue Generated</c:v>
                      </c:pt>
                      <c:pt idx="1">
                        <c:v>Revenue Lost</c:v>
                      </c:pt>
                    </c:strCache>
                  </c:strRef>
                </c:cat>
                <c:val>
                  <c:numRef>
                    <c:extLst>
                      <c:ext xmlns:c15="http://schemas.microsoft.com/office/drawing/2012/chart" uri="{02D57815-91ED-43cb-92C2-25804820EDAC}">
                        <c15:formulaRef>
                          <c15:sqref>Pivot_Data!$F$87:$G$87</c15:sqref>
                        </c15:formulaRef>
                      </c:ext>
                    </c:extLst>
                    <c:numCache>
                      <c:formatCode>[$₹-4009]\ #,##0</c:formatCode>
                      <c:ptCount val="2"/>
                      <c:pt idx="0">
                        <c:v>318550</c:v>
                      </c:pt>
                      <c:pt idx="1">
                        <c:v>94600</c:v>
                      </c:pt>
                    </c:numCache>
                  </c:numRef>
                </c:val>
                <c:extLst xmlns:c15="http://schemas.microsoft.com/office/drawing/2012/chart">
                  <c:ext xmlns:c16="http://schemas.microsoft.com/office/drawing/2014/chart" uri="{C3380CC4-5D6E-409C-BE32-E72D297353CC}">
                    <c16:uniqueId val="{00000005-1060-4356-9524-91DB937748BD}"/>
                  </c:ext>
                </c:extLst>
              </c15:ser>
            </c15:filteredPieSeries>
          </c:ext>
        </c:extLst>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softEdge rad="31750"/>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Dashboard!$O$1</c:f>
              <c:strCache>
                <c:ptCount val="1"/>
                <c:pt idx="0">
                  <c:v>No-Show Rate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Dashboard!$N$2:$N$8</c:f>
              <c:strCache>
                <c:ptCount val="7"/>
                <c:pt idx="0">
                  <c:v>Monday</c:v>
                </c:pt>
                <c:pt idx="1">
                  <c:v>Tuesday</c:v>
                </c:pt>
                <c:pt idx="2">
                  <c:v>Wednesday</c:v>
                </c:pt>
                <c:pt idx="3">
                  <c:v>Thursday</c:v>
                </c:pt>
                <c:pt idx="4">
                  <c:v>Friday</c:v>
                </c:pt>
                <c:pt idx="5">
                  <c:v>Saturday</c:v>
                </c:pt>
                <c:pt idx="6">
                  <c:v>Sunday</c:v>
                </c:pt>
              </c:strCache>
            </c:strRef>
          </c:cat>
          <c:val>
            <c:numRef>
              <c:f>Dashboard!$O$2:$O$8</c:f>
              <c:numCache>
                <c:formatCode>0.0%</c:formatCode>
                <c:ptCount val="7"/>
                <c:pt idx="0">
                  <c:v>0.19085487077534791</c:v>
                </c:pt>
                <c:pt idx="1">
                  <c:v>0.14331210191082802</c:v>
                </c:pt>
                <c:pt idx="2">
                  <c:v>0.14576271186440679</c:v>
                </c:pt>
                <c:pt idx="3">
                  <c:v>0.11481481481481481</c:v>
                </c:pt>
                <c:pt idx="4">
                  <c:v>0.1118421052631579</c:v>
                </c:pt>
                <c:pt idx="5">
                  <c:v>0.18021201413427562</c:v>
                </c:pt>
                <c:pt idx="6">
                  <c:v>6.4516129032258063E-2</c:v>
                </c:pt>
              </c:numCache>
            </c:numRef>
          </c:val>
          <c:extLst>
            <c:ext xmlns:c16="http://schemas.microsoft.com/office/drawing/2014/chart" uri="{C3380CC4-5D6E-409C-BE32-E72D297353CC}">
              <c16:uniqueId val="{00000000-2B56-45FF-A89F-1A2242B59F1B}"/>
            </c:ext>
          </c:extLst>
        </c:ser>
        <c:dLbls>
          <c:showLegendKey val="0"/>
          <c:showVal val="0"/>
          <c:showCatName val="0"/>
          <c:showSerName val="0"/>
          <c:showPercent val="0"/>
          <c:showBubbleSize val="0"/>
        </c:dLbls>
        <c:gapWidth val="219"/>
        <c:overlap val="-27"/>
        <c:axId val="1159088647"/>
        <c:axId val="1159102471"/>
      </c:barChart>
      <c:catAx>
        <c:axId val="11590886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Day of the Week</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9102471"/>
        <c:crosses val="autoZero"/>
        <c:auto val="1"/>
        <c:lblAlgn val="ctr"/>
        <c:lblOffset val="100"/>
        <c:noMultiLvlLbl val="0"/>
      </c:catAx>
      <c:valAx>
        <c:axId val="115910247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No-Show Rate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9088647"/>
        <c:crosses val="autoZero"/>
        <c:crossBetween val="between"/>
      </c:valAx>
      <c:spPr>
        <a:noFill/>
        <a:ln>
          <a:noFill/>
        </a:ln>
        <a:effectLst/>
      </c:spPr>
    </c:plotArea>
    <c:plotVisOnly val="1"/>
    <c:dispBlanksAs val="gap"/>
    <c:showDLblsOverMax val="0"/>
  </c:chart>
  <c:spPr>
    <a:solidFill>
      <a:srgbClr val="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Dashboard!$R$1</c:f>
              <c:strCache>
                <c:ptCount val="1"/>
                <c:pt idx="0">
                  <c:v>Utilization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Dashboard!$Q$2:$Q$16</c:f>
              <c:strCache>
                <c:ptCount val="15"/>
                <c:pt idx="0">
                  <c:v>Aparna Varma</c:v>
                </c:pt>
                <c:pt idx="1">
                  <c:v>Lakshmi Pillai</c:v>
                </c:pt>
                <c:pt idx="2">
                  <c:v>Joel Thomas</c:v>
                </c:pt>
                <c:pt idx="3">
                  <c:v>Fathima Rahman</c:v>
                </c:pt>
                <c:pt idx="4">
                  <c:v>Divya Nambiar</c:v>
                </c:pt>
                <c:pt idx="5">
                  <c:v>Rohit George</c:v>
                </c:pt>
                <c:pt idx="6">
                  <c:v>Rahul P</c:v>
                </c:pt>
                <c:pt idx="7">
                  <c:v>Nisha Thomas</c:v>
                </c:pt>
                <c:pt idx="8">
                  <c:v>Priya Mathew</c:v>
                </c:pt>
                <c:pt idx="9">
                  <c:v>Anjali Menon</c:v>
                </c:pt>
                <c:pt idx="10">
                  <c:v>Vishnu Nair</c:v>
                </c:pt>
                <c:pt idx="11">
                  <c:v>Arun Raj</c:v>
                </c:pt>
                <c:pt idx="12">
                  <c:v>Meera S</c:v>
                </c:pt>
                <c:pt idx="13">
                  <c:v>Sreejith K</c:v>
                </c:pt>
                <c:pt idx="14">
                  <c:v>Deepa Krishnan</c:v>
                </c:pt>
              </c:strCache>
            </c:strRef>
          </c:cat>
          <c:val>
            <c:numRef>
              <c:f>Dashboard!$R$2:$R$16</c:f>
              <c:numCache>
                <c:formatCode>0.0%</c:formatCode>
                <c:ptCount val="15"/>
                <c:pt idx="0">
                  <c:v>0.66660131359670638</c:v>
                </c:pt>
                <c:pt idx="1">
                  <c:v>0.66237376602745879</c:v>
                </c:pt>
                <c:pt idx="2">
                  <c:v>0.66186793840394009</c:v>
                </c:pt>
                <c:pt idx="3">
                  <c:v>0.64746520708874311</c:v>
                </c:pt>
                <c:pt idx="4">
                  <c:v>0.64746000815697657</c:v>
                </c:pt>
                <c:pt idx="5">
                  <c:v>0.6410119441892268</c:v>
                </c:pt>
                <c:pt idx="6">
                  <c:v>0.63237148579482227</c:v>
                </c:pt>
                <c:pt idx="7">
                  <c:v>0.62809716068233545</c:v>
                </c:pt>
                <c:pt idx="8">
                  <c:v>0.6186574963757121</c:v>
                </c:pt>
                <c:pt idx="9">
                  <c:v>0.6159373796997305</c:v>
                </c:pt>
                <c:pt idx="10">
                  <c:v>0.61320978291781214</c:v>
                </c:pt>
                <c:pt idx="11">
                  <c:v>0.60706596548194713</c:v>
                </c:pt>
                <c:pt idx="12">
                  <c:v>0.58411353225940077</c:v>
                </c:pt>
                <c:pt idx="13">
                  <c:v>0.58284635987338695</c:v>
                </c:pt>
                <c:pt idx="14">
                  <c:v>0.55374818301377471</c:v>
                </c:pt>
              </c:numCache>
            </c:numRef>
          </c:val>
          <c:extLst>
            <c:ext xmlns:c16="http://schemas.microsoft.com/office/drawing/2014/chart" uri="{C3380CC4-5D6E-409C-BE32-E72D297353CC}">
              <c16:uniqueId val="{00000000-FFEF-4FDB-8692-FD618A8479E6}"/>
            </c:ext>
          </c:extLst>
        </c:ser>
        <c:dLbls>
          <c:showLegendKey val="0"/>
          <c:showVal val="0"/>
          <c:showCatName val="0"/>
          <c:showSerName val="0"/>
          <c:showPercent val="0"/>
          <c:showBubbleSize val="0"/>
        </c:dLbls>
        <c:gapWidth val="219"/>
        <c:overlap val="-27"/>
        <c:axId val="1158370823"/>
        <c:axId val="1158704135"/>
      </c:barChart>
      <c:lineChart>
        <c:grouping val="standard"/>
        <c:varyColors val="0"/>
        <c:ser>
          <c:idx val="1"/>
          <c:order val="1"/>
          <c:tx>
            <c:strRef>
              <c:f>Dashboard!$S$1</c:f>
              <c:strCache>
                <c:ptCount val="1"/>
                <c:pt idx="0">
                  <c:v>85% Target</c:v>
                </c:pt>
              </c:strCache>
            </c:strRef>
          </c:tx>
          <c:spPr>
            <a:ln w="28575" cap="rnd">
              <a:solidFill>
                <a:srgbClr val="C00000"/>
              </a:solidFill>
              <a:prstDash val="solid"/>
              <a:round/>
            </a:ln>
            <a:effectLst/>
          </c:spPr>
          <c:marker>
            <c:symbol val="none"/>
          </c:marker>
          <c:cat>
            <c:strRef>
              <c:f>Dashboard!$Q$2:$Q$16</c:f>
              <c:strCache>
                <c:ptCount val="15"/>
                <c:pt idx="0">
                  <c:v>Aparna Varma</c:v>
                </c:pt>
                <c:pt idx="1">
                  <c:v>Lakshmi Pillai</c:v>
                </c:pt>
                <c:pt idx="2">
                  <c:v>Joel Thomas</c:v>
                </c:pt>
                <c:pt idx="3">
                  <c:v>Fathima Rahman</c:v>
                </c:pt>
                <c:pt idx="4">
                  <c:v>Divya Nambiar</c:v>
                </c:pt>
                <c:pt idx="5">
                  <c:v>Rohit George</c:v>
                </c:pt>
                <c:pt idx="6">
                  <c:v>Rahul P</c:v>
                </c:pt>
                <c:pt idx="7">
                  <c:v>Nisha Thomas</c:v>
                </c:pt>
                <c:pt idx="8">
                  <c:v>Priya Mathew</c:v>
                </c:pt>
                <c:pt idx="9">
                  <c:v>Anjali Menon</c:v>
                </c:pt>
                <c:pt idx="10">
                  <c:v>Vishnu Nair</c:v>
                </c:pt>
                <c:pt idx="11">
                  <c:v>Arun Raj</c:v>
                </c:pt>
                <c:pt idx="12">
                  <c:v>Meera S</c:v>
                </c:pt>
                <c:pt idx="13">
                  <c:v>Sreejith K</c:v>
                </c:pt>
                <c:pt idx="14">
                  <c:v>Deepa Krishnan</c:v>
                </c:pt>
              </c:strCache>
            </c:strRef>
          </c:cat>
          <c:val>
            <c:numRef>
              <c:f>Dashboard!$S$2:$S$16</c:f>
              <c:numCache>
                <c:formatCode>0.0%</c:formatCode>
                <c:ptCount val="15"/>
                <c:pt idx="0">
                  <c:v>0.85</c:v>
                </c:pt>
                <c:pt idx="1">
                  <c:v>0.85</c:v>
                </c:pt>
                <c:pt idx="2">
                  <c:v>0.85</c:v>
                </c:pt>
                <c:pt idx="3">
                  <c:v>0.85</c:v>
                </c:pt>
                <c:pt idx="4">
                  <c:v>0.85</c:v>
                </c:pt>
                <c:pt idx="5">
                  <c:v>0.85</c:v>
                </c:pt>
                <c:pt idx="6">
                  <c:v>0.85</c:v>
                </c:pt>
                <c:pt idx="7">
                  <c:v>0.85</c:v>
                </c:pt>
                <c:pt idx="8">
                  <c:v>0.85</c:v>
                </c:pt>
                <c:pt idx="9">
                  <c:v>0.85</c:v>
                </c:pt>
                <c:pt idx="10">
                  <c:v>0.85</c:v>
                </c:pt>
                <c:pt idx="11">
                  <c:v>0.85</c:v>
                </c:pt>
                <c:pt idx="12">
                  <c:v>0.85</c:v>
                </c:pt>
                <c:pt idx="13">
                  <c:v>0.85</c:v>
                </c:pt>
                <c:pt idx="14">
                  <c:v>0.85</c:v>
                </c:pt>
              </c:numCache>
            </c:numRef>
          </c:val>
          <c:smooth val="0"/>
          <c:extLst>
            <c:ext xmlns:c16="http://schemas.microsoft.com/office/drawing/2014/chart" uri="{C3380CC4-5D6E-409C-BE32-E72D297353CC}">
              <c16:uniqueId val="{00000002-FFEF-4FDB-8692-FD618A8479E6}"/>
            </c:ext>
          </c:extLst>
        </c:ser>
        <c:dLbls>
          <c:showLegendKey val="0"/>
          <c:showVal val="0"/>
          <c:showCatName val="0"/>
          <c:showSerName val="0"/>
          <c:showPercent val="0"/>
          <c:showBubbleSize val="0"/>
        </c:dLbls>
        <c:marker val="1"/>
        <c:smooth val="0"/>
        <c:axId val="1158370823"/>
        <c:axId val="1158704135"/>
      </c:lineChart>
      <c:catAx>
        <c:axId val="11583708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Therapist Name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8704135"/>
        <c:crosses val="autoZero"/>
        <c:auto val="1"/>
        <c:lblAlgn val="ctr"/>
        <c:lblOffset val="100"/>
        <c:noMultiLvlLbl val="0"/>
      </c:catAx>
      <c:valAx>
        <c:axId val="115870413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Individual Therapist Utilization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837082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rgbClr val="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tx>
            <c:strRef>
              <c:f>Dashboard!$V$1</c:f>
              <c:strCache>
                <c:ptCount val="1"/>
                <c:pt idx="0">
                  <c:v>Completed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Dashboard!$U$2:$U$7</c:f>
              <c:strCache>
                <c:ptCount val="6"/>
                <c:pt idx="0">
                  <c:v>Neuro Rehab</c:v>
                </c:pt>
                <c:pt idx="1">
                  <c:v>Manual Therapy</c:v>
                </c:pt>
                <c:pt idx="2">
                  <c:v>Posture Correction</c:v>
                </c:pt>
                <c:pt idx="3">
                  <c:v>Exercise Therapy</c:v>
                </c:pt>
                <c:pt idx="4">
                  <c:v>Sports Rehab</c:v>
                </c:pt>
                <c:pt idx="5">
                  <c:v>Electrotherapy</c:v>
                </c:pt>
              </c:strCache>
            </c:strRef>
          </c:cat>
          <c:val>
            <c:numRef>
              <c:f>Dashboard!$V$2:$V$7</c:f>
              <c:numCache>
                <c:formatCode>#,##0</c:formatCode>
                <c:ptCount val="6"/>
                <c:pt idx="0">
                  <c:v>278</c:v>
                </c:pt>
                <c:pt idx="1">
                  <c:v>255</c:v>
                </c:pt>
                <c:pt idx="2">
                  <c:v>252</c:v>
                </c:pt>
                <c:pt idx="3">
                  <c:v>248</c:v>
                </c:pt>
                <c:pt idx="4">
                  <c:v>236</c:v>
                </c:pt>
                <c:pt idx="5">
                  <c:v>248</c:v>
                </c:pt>
              </c:numCache>
            </c:numRef>
          </c:val>
          <c:extLst>
            <c:ext xmlns:c16="http://schemas.microsoft.com/office/drawing/2014/chart" uri="{C3380CC4-5D6E-409C-BE32-E72D297353CC}">
              <c16:uniqueId val="{00000000-720F-4399-A9B7-9CCB8D36710C}"/>
            </c:ext>
          </c:extLst>
        </c:ser>
        <c:ser>
          <c:idx val="1"/>
          <c:order val="1"/>
          <c:tx>
            <c:strRef>
              <c:f>Dashboard!$W$1</c:f>
              <c:strCache>
                <c:ptCount val="1"/>
                <c:pt idx="0">
                  <c:v>Rescheduled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Dashboard!$U$2:$U$7</c:f>
              <c:strCache>
                <c:ptCount val="6"/>
                <c:pt idx="0">
                  <c:v>Neuro Rehab</c:v>
                </c:pt>
                <c:pt idx="1">
                  <c:v>Manual Therapy</c:v>
                </c:pt>
                <c:pt idx="2">
                  <c:v>Posture Correction</c:v>
                </c:pt>
                <c:pt idx="3">
                  <c:v>Exercise Therapy</c:v>
                </c:pt>
                <c:pt idx="4">
                  <c:v>Sports Rehab</c:v>
                </c:pt>
                <c:pt idx="5">
                  <c:v>Electrotherapy</c:v>
                </c:pt>
              </c:strCache>
            </c:strRef>
          </c:cat>
          <c:val>
            <c:numRef>
              <c:f>Dashboard!$W$2:$W$7</c:f>
              <c:numCache>
                <c:formatCode>#,##0</c:formatCode>
                <c:ptCount val="6"/>
                <c:pt idx="0">
                  <c:v>8</c:v>
                </c:pt>
                <c:pt idx="1">
                  <c:v>18</c:v>
                </c:pt>
                <c:pt idx="2">
                  <c:v>11</c:v>
                </c:pt>
                <c:pt idx="3">
                  <c:v>10</c:v>
                </c:pt>
                <c:pt idx="4">
                  <c:v>14</c:v>
                </c:pt>
                <c:pt idx="5">
                  <c:v>10</c:v>
                </c:pt>
              </c:numCache>
            </c:numRef>
          </c:val>
          <c:extLst>
            <c:ext xmlns:c16="http://schemas.microsoft.com/office/drawing/2014/chart" uri="{C3380CC4-5D6E-409C-BE32-E72D297353CC}">
              <c16:uniqueId val="{00000002-720F-4399-A9B7-9CCB8D36710C}"/>
            </c:ext>
          </c:extLst>
        </c:ser>
        <c:ser>
          <c:idx val="2"/>
          <c:order val="2"/>
          <c:tx>
            <c:strRef>
              <c:f>Dashboard!$X$1</c:f>
              <c:strCache>
                <c:ptCount val="1"/>
                <c:pt idx="0">
                  <c:v>No-show</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Dashboard!$U$2:$U$7</c:f>
              <c:strCache>
                <c:ptCount val="6"/>
                <c:pt idx="0">
                  <c:v>Neuro Rehab</c:v>
                </c:pt>
                <c:pt idx="1">
                  <c:v>Manual Therapy</c:v>
                </c:pt>
                <c:pt idx="2">
                  <c:v>Posture Correction</c:v>
                </c:pt>
                <c:pt idx="3">
                  <c:v>Exercise Therapy</c:v>
                </c:pt>
                <c:pt idx="4">
                  <c:v>Sports Rehab</c:v>
                </c:pt>
                <c:pt idx="5">
                  <c:v>Electrotherapy</c:v>
                </c:pt>
              </c:strCache>
            </c:strRef>
          </c:cat>
          <c:val>
            <c:numRef>
              <c:f>Dashboard!$X$2:$X$7</c:f>
              <c:numCache>
                <c:formatCode>#,##0</c:formatCode>
                <c:ptCount val="6"/>
                <c:pt idx="0">
                  <c:v>48</c:v>
                </c:pt>
                <c:pt idx="1">
                  <c:v>56</c:v>
                </c:pt>
                <c:pt idx="2">
                  <c:v>53</c:v>
                </c:pt>
                <c:pt idx="3">
                  <c:v>56</c:v>
                </c:pt>
                <c:pt idx="4">
                  <c:v>49</c:v>
                </c:pt>
                <c:pt idx="5">
                  <c:v>40</c:v>
                </c:pt>
              </c:numCache>
            </c:numRef>
          </c:val>
          <c:extLst>
            <c:ext xmlns:c16="http://schemas.microsoft.com/office/drawing/2014/chart" uri="{C3380CC4-5D6E-409C-BE32-E72D297353CC}">
              <c16:uniqueId val="{00000004-720F-4399-A9B7-9CCB8D36710C}"/>
            </c:ext>
          </c:extLst>
        </c:ser>
        <c:ser>
          <c:idx val="3"/>
          <c:order val="3"/>
          <c:tx>
            <c:strRef>
              <c:f>Dashboard!$Y$1</c:f>
              <c:strCache>
                <c:ptCount val="1"/>
                <c:pt idx="0">
                  <c:v>Cancelled Late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Dashboard!$U$2:$U$7</c:f>
              <c:strCache>
                <c:ptCount val="6"/>
                <c:pt idx="0">
                  <c:v>Neuro Rehab</c:v>
                </c:pt>
                <c:pt idx="1">
                  <c:v>Manual Therapy</c:v>
                </c:pt>
                <c:pt idx="2">
                  <c:v>Posture Correction</c:v>
                </c:pt>
                <c:pt idx="3">
                  <c:v>Exercise Therapy</c:v>
                </c:pt>
                <c:pt idx="4">
                  <c:v>Sports Rehab</c:v>
                </c:pt>
                <c:pt idx="5">
                  <c:v>Electrotherapy</c:v>
                </c:pt>
              </c:strCache>
            </c:strRef>
          </c:cat>
          <c:val>
            <c:numRef>
              <c:f>Dashboard!$Y$2:$Y$7</c:f>
              <c:numCache>
                <c:formatCode>#,##0</c:formatCode>
                <c:ptCount val="6"/>
                <c:pt idx="0">
                  <c:v>17</c:v>
                </c:pt>
                <c:pt idx="1">
                  <c:v>18</c:v>
                </c:pt>
                <c:pt idx="2">
                  <c:v>21</c:v>
                </c:pt>
                <c:pt idx="3">
                  <c:v>17</c:v>
                </c:pt>
                <c:pt idx="4">
                  <c:v>22</c:v>
                </c:pt>
                <c:pt idx="5">
                  <c:v>15</c:v>
                </c:pt>
              </c:numCache>
            </c:numRef>
          </c:val>
          <c:extLst>
            <c:ext xmlns:c16="http://schemas.microsoft.com/office/drawing/2014/chart" uri="{C3380CC4-5D6E-409C-BE32-E72D297353CC}">
              <c16:uniqueId val="{00000006-720F-4399-A9B7-9CCB8D36710C}"/>
            </c:ext>
          </c:extLst>
        </c:ser>
        <c:dLbls>
          <c:showLegendKey val="0"/>
          <c:showVal val="0"/>
          <c:showCatName val="0"/>
          <c:showSerName val="0"/>
          <c:showPercent val="0"/>
          <c:showBubbleSize val="0"/>
        </c:dLbls>
        <c:gapWidth val="150"/>
        <c:overlap val="100"/>
        <c:axId val="98790919"/>
        <c:axId val="98784775"/>
      </c:barChart>
      <c:catAx>
        <c:axId val="9879091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Therapy Type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784775"/>
        <c:crosses val="autoZero"/>
        <c:auto val="1"/>
        <c:lblAlgn val="ctr"/>
        <c:lblOffset val="100"/>
        <c:noMultiLvlLbl val="0"/>
      </c:catAx>
      <c:valAx>
        <c:axId val="9878477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Appointment Count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79091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rgbClr val="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Dashboard!$V$12</c:f>
              <c:strCache>
                <c:ptCount val="1"/>
                <c:pt idx="0">
                  <c:v>Appointments</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Dashboard!$U$13:$U$24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Dashboard!$V$13:$V$24</c:f>
              <c:numCache>
                <c:formatCode>General</c:formatCode>
                <c:ptCount val="12"/>
                <c:pt idx="0">
                  <c:v>159</c:v>
                </c:pt>
                <c:pt idx="1">
                  <c:v>165</c:v>
                </c:pt>
                <c:pt idx="2">
                  <c:v>174</c:v>
                </c:pt>
                <c:pt idx="3">
                  <c:v>152</c:v>
                </c:pt>
                <c:pt idx="4">
                  <c:v>170</c:v>
                </c:pt>
                <c:pt idx="5">
                  <c:v>175</c:v>
                </c:pt>
                <c:pt idx="6">
                  <c:v>171</c:v>
                </c:pt>
                <c:pt idx="7">
                  <c:v>175</c:v>
                </c:pt>
                <c:pt idx="8">
                  <c:v>166</c:v>
                </c:pt>
                <c:pt idx="9">
                  <c:v>166</c:v>
                </c:pt>
                <c:pt idx="10">
                  <c:v>148</c:v>
                </c:pt>
                <c:pt idx="11">
                  <c:v>179</c:v>
                </c:pt>
              </c:numCache>
            </c:numRef>
          </c:val>
          <c:smooth val="1"/>
          <c:extLst>
            <c:ext xmlns:c16="http://schemas.microsoft.com/office/drawing/2014/chart" uri="{C3380CC4-5D6E-409C-BE32-E72D297353CC}">
              <c16:uniqueId val="{00000000-5276-417F-984E-ACC9DA4D7297}"/>
            </c:ext>
          </c:extLst>
        </c:ser>
        <c:dLbls>
          <c:dLblPos val="ctr"/>
          <c:showLegendKey val="0"/>
          <c:showVal val="1"/>
          <c:showCatName val="0"/>
          <c:showSerName val="0"/>
          <c:showPercent val="0"/>
          <c:showBubbleSize val="0"/>
        </c:dLbls>
        <c:marker val="1"/>
        <c:smooth val="0"/>
        <c:axId val="324186016"/>
        <c:axId val="324184576"/>
      </c:lineChart>
      <c:catAx>
        <c:axId val="32418601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24184576"/>
        <c:crosses val="autoZero"/>
        <c:auto val="1"/>
        <c:lblAlgn val="ctr"/>
        <c:lblOffset val="100"/>
        <c:noMultiLvlLbl val="0"/>
      </c:catAx>
      <c:valAx>
        <c:axId val="324184576"/>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324186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Dashboard!$AA$2</c:f>
              <c:strCache>
                <c:ptCount val="1"/>
                <c:pt idx="0">
                  <c:v>Neuro Rehab</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750-42E2-BFC2-3C6DED44920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750-42E2-BFC2-3C6DED449209}"/>
              </c:ext>
            </c:extLst>
          </c:dPt>
          <c:dLbls>
            <c:dLbl>
              <c:idx val="0"/>
              <c:tx>
                <c:rich>
                  <a:bodyPr/>
                  <a:lstStyle/>
                  <a:p>
                    <a:fld id="{12FC43E1-5B08-44D0-80B6-656EC202D840}" type="VALUE">
                      <a:rPr lang="en-US">
                        <a:solidFill>
                          <a:schemeClr val="bg1"/>
                        </a:solidFill>
                      </a:rPr>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F750-42E2-BFC2-3C6DED449209}"/>
                </c:ext>
              </c:extLst>
            </c:dLbl>
            <c:dLbl>
              <c:idx val="1"/>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3-F750-42E2-BFC2-3C6DED44920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Dashboard!$AB$1:$AC$1</c:f>
              <c:strCache>
                <c:ptCount val="2"/>
                <c:pt idx="0">
                  <c:v>Revenue Generated</c:v>
                </c:pt>
                <c:pt idx="1">
                  <c:v>Revenue Lost</c:v>
                </c:pt>
              </c:strCache>
            </c:strRef>
          </c:cat>
          <c:val>
            <c:numRef>
              <c:f>Dashboard!$AB$2:$AC$2</c:f>
              <c:numCache>
                <c:formatCode>\₹#,##0</c:formatCode>
                <c:ptCount val="2"/>
                <c:pt idx="0">
                  <c:v>365500</c:v>
                </c:pt>
                <c:pt idx="1">
                  <c:v>87100</c:v>
                </c:pt>
              </c:numCache>
            </c:numRef>
          </c:val>
          <c:extLst>
            <c:ext xmlns:c16="http://schemas.microsoft.com/office/drawing/2014/chart" uri="{C3380CC4-5D6E-409C-BE32-E72D297353CC}">
              <c16:uniqueId val="{00000004-F750-42E2-BFC2-3C6DED449209}"/>
            </c:ext>
          </c:extLst>
        </c:ser>
        <c:dLbls>
          <c:showLegendKey val="0"/>
          <c:showVal val="0"/>
          <c:showCatName val="0"/>
          <c:showSerName val="0"/>
          <c:showPercent val="0"/>
          <c:showBubbleSize val="0"/>
          <c:showLeaderLines val="1"/>
        </c:dLbls>
        <c:firstSliceAng val="0"/>
        <c:extLst>
          <c:ext xmlns:c15="http://schemas.microsoft.com/office/drawing/2012/chart" uri="{02D57815-91ED-43cb-92C2-25804820EDAC}">
            <c15:filteredPieSeries>
              <c15:ser>
                <c:idx val="1"/>
                <c:order val="1"/>
                <c:tx>
                  <c:strRef>
                    <c:extLst>
                      <c:ext uri="{02D57815-91ED-43cb-92C2-25804820EDAC}">
                        <c15:formulaRef>
                          <c15:sqref>Dashboard!$AA$3</c15:sqref>
                        </c15:formulaRef>
                      </c:ext>
                    </c:extLst>
                    <c:strCache>
                      <c:ptCount val="1"/>
                      <c:pt idx="0">
                        <c:v>Manual Therapy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F750-42E2-BFC2-3C6DED44920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F750-42E2-BFC2-3C6DED449209}"/>
                    </c:ext>
                  </c:extLst>
                </c:dPt>
                <c:cat>
                  <c:strRef>
                    <c:extLst>
                      <c:ext uri="{02D57815-91ED-43cb-92C2-25804820EDAC}">
                        <c15:formulaRef>
                          <c15:sqref>Dashboard!$AB$1:$AC$1</c15:sqref>
                        </c15:formulaRef>
                      </c:ext>
                    </c:extLst>
                    <c:strCache>
                      <c:ptCount val="2"/>
                      <c:pt idx="0">
                        <c:v>Revenue Generated</c:v>
                      </c:pt>
                      <c:pt idx="1">
                        <c:v>Revenue Lost</c:v>
                      </c:pt>
                    </c:strCache>
                  </c:strRef>
                </c:cat>
                <c:val>
                  <c:numRef>
                    <c:extLst>
                      <c:ext uri="{02D57815-91ED-43cb-92C2-25804820EDAC}">
                        <c15:formulaRef>
                          <c15:sqref>Dashboard!$AB$3:$AC$3</c15:sqref>
                        </c15:formulaRef>
                      </c:ext>
                    </c:extLst>
                    <c:numCache>
                      <c:formatCode>\₹#,##0</c:formatCode>
                      <c:ptCount val="2"/>
                      <c:pt idx="0">
                        <c:v>328950</c:v>
                      </c:pt>
                      <c:pt idx="1">
                        <c:v>96150</c:v>
                      </c:pt>
                    </c:numCache>
                  </c:numRef>
                </c:val>
                <c:extLst>
                  <c:ext xmlns:c16="http://schemas.microsoft.com/office/drawing/2014/chart" uri="{C3380CC4-5D6E-409C-BE32-E72D297353CC}">
                    <c16:uniqueId val="{00000009-F750-42E2-BFC2-3C6DED449209}"/>
                  </c:ext>
                </c:extLst>
              </c15:ser>
            </c15:filteredPieSeries>
            <c15:filteredPieSeries>
              <c15:ser>
                <c:idx val="2"/>
                <c:order val="2"/>
                <c:tx>
                  <c:strRef>
                    <c:extLst xmlns:c15="http://schemas.microsoft.com/office/drawing/2012/chart">
                      <c:ext xmlns:c15="http://schemas.microsoft.com/office/drawing/2012/chart" uri="{02D57815-91ED-43cb-92C2-25804820EDAC}">
                        <c15:formulaRef>
                          <c15:sqref>Dashboard!$AA$4</c15:sqref>
                        </c15:formulaRef>
                      </c:ext>
                    </c:extLst>
                    <c:strCache>
                      <c:ptCount val="1"/>
                      <c:pt idx="0">
                        <c:v>Posture Correction</c:v>
                      </c:pt>
                    </c:strCache>
                  </c:strRef>
                </c:tx>
                <c:dPt>
                  <c:idx val="0"/>
                  <c:bubble3D val="0"/>
                  <c:spPr>
                    <a:solidFill>
                      <a:schemeClr val="accent1"/>
                    </a:solidFill>
                    <a:ln w="19050">
                      <a:solidFill>
                        <a:schemeClr val="lt1"/>
                      </a:solidFill>
                    </a:ln>
                    <a:effectLst/>
                  </c:spPr>
                  <c:extLst xmlns:c15="http://schemas.microsoft.com/office/drawing/2012/chart">
                    <c:ext xmlns:c16="http://schemas.microsoft.com/office/drawing/2014/chart" uri="{C3380CC4-5D6E-409C-BE32-E72D297353CC}">
                      <c16:uniqueId val="{0000000B-F750-42E2-BFC2-3C6DED449209}"/>
                    </c:ext>
                  </c:extLst>
                </c:dPt>
                <c:dPt>
                  <c:idx val="1"/>
                  <c:bubble3D val="0"/>
                  <c:spPr>
                    <a:solidFill>
                      <a:schemeClr val="accent2"/>
                    </a:solidFill>
                    <a:ln w="19050">
                      <a:solidFill>
                        <a:schemeClr val="lt1"/>
                      </a:solidFill>
                    </a:ln>
                    <a:effectLst/>
                  </c:spPr>
                  <c:extLst xmlns:c15="http://schemas.microsoft.com/office/drawing/2012/chart">
                    <c:ext xmlns:c16="http://schemas.microsoft.com/office/drawing/2014/chart" uri="{C3380CC4-5D6E-409C-BE32-E72D297353CC}">
                      <c16:uniqueId val="{0000000D-F750-42E2-BFC2-3C6DED449209}"/>
                    </c:ext>
                  </c:extLst>
                </c:dPt>
                <c:cat>
                  <c:strRef>
                    <c:extLst xmlns:c15="http://schemas.microsoft.com/office/drawing/2012/chart">
                      <c:ext xmlns:c15="http://schemas.microsoft.com/office/drawing/2012/chart" uri="{02D57815-91ED-43cb-92C2-25804820EDAC}">
                        <c15:formulaRef>
                          <c15:sqref>Dashboard!$AB$1:$AC$1</c15:sqref>
                        </c15:formulaRef>
                      </c:ext>
                    </c:extLst>
                    <c:strCache>
                      <c:ptCount val="2"/>
                      <c:pt idx="0">
                        <c:v>Revenue Generated</c:v>
                      </c:pt>
                      <c:pt idx="1">
                        <c:v>Revenue Lost</c:v>
                      </c:pt>
                    </c:strCache>
                  </c:strRef>
                </c:cat>
                <c:val>
                  <c:numRef>
                    <c:extLst xmlns:c15="http://schemas.microsoft.com/office/drawing/2012/chart">
                      <c:ext xmlns:c15="http://schemas.microsoft.com/office/drawing/2012/chart" uri="{02D57815-91ED-43cb-92C2-25804820EDAC}">
                        <c15:formulaRef>
                          <c15:sqref>Dashboard!$AB$4:$AC$4</c15:sqref>
                        </c15:formulaRef>
                      </c:ext>
                    </c:extLst>
                    <c:numCache>
                      <c:formatCode>\₹#,##0</c:formatCode>
                      <c:ptCount val="2"/>
                      <c:pt idx="0">
                        <c:v>330500</c:v>
                      </c:pt>
                      <c:pt idx="1">
                        <c:v>95750</c:v>
                      </c:pt>
                    </c:numCache>
                  </c:numRef>
                </c:val>
                <c:extLst xmlns:c15="http://schemas.microsoft.com/office/drawing/2012/chart">
                  <c:ext xmlns:c16="http://schemas.microsoft.com/office/drawing/2014/chart" uri="{C3380CC4-5D6E-409C-BE32-E72D297353CC}">
                    <c16:uniqueId val="{0000000E-F750-42E2-BFC2-3C6DED449209}"/>
                  </c:ext>
                </c:extLst>
              </c15:ser>
            </c15:filteredPieSeries>
            <c15:filteredPieSeries>
              <c15:ser>
                <c:idx val="3"/>
                <c:order val="3"/>
                <c:tx>
                  <c:strRef>
                    <c:extLst xmlns:c15="http://schemas.microsoft.com/office/drawing/2012/chart">
                      <c:ext xmlns:c15="http://schemas.microsoft.com/office/drawing/2012/chart" uri="{02D57815-91ED-43cb-92C2-25804820EDAC}">
                        <c15:formulaRef>
                          <c15:sqref>Dashboard!$AA$5</c15:sqref>
                        </c15:formulaRef>
                      </c:ext>
                    </c:extLst>
                    <c:strCache>
                      <c:ptCount val="1"/>
                      <c:pt idx="0">
                        <c:v>Exercise Therapy</c:v>
                      </c:pt>
                    </c:strCache>
                  </c:strRef>
                </c:tx>
                <c:dPt>
                  <c:idx val="0"/>
                  <c:bubble3D val="0"/>
                  <c:spPr>
                    <a:solidFill>
                      <a:schemeClr val="accent1"/>
                    </a:solidFill>
                    <a:ln w="19050">
                      <a:solidFill>
                        <a:schemeClr val="lt1"/>
                      </a:solidFill>
                    </a:ln>
                    <a:effectLst/>
                  </c:spPr>
                  <c:extLst xmlns:c15="http://schemas.microsoft.com/office/drawing/2012/chart">
                    <c:ext xmlns:c16="http://schemas.microsoft.com/office/drawing/2014/chart" uri="{C3380CC4-5D6E-409C-BE32-E72D297353CC}">
                      <c16:uniqueId val="{00000010-F750-42E2-BFC2-3C6DED449209}"/>
                    </c:ext>
                  </c:extLst>
                </c:dPt>
                <c:dPt>
                  <c:idx val="1"/>
                  <c:bubble3D val="0"/>
                  <c:spPr>
                    <a:solidFill>
                      <a:schemeClr val="accent2"/>
                    </a:solidFill>
                    <a:ln w="19050">
                      <a:solidFill>
                        <a:schemeClr val="lt1"/>
                      </a:solidFill>
                    </a:ln>
                    <a:effectLst/>
                  </c:spPr>
                  <c:extLst xmlns:c15="http://schemas.microsoft.com/office/drawing/2012/chart">
                    <c:ext xmlns:c16="http://schemas.microsoft.com/office/drawing/2014/chart" uri="{C3380CC4-5D6E-409C-BE32-E72D297353CC}">
                      <c16:uniqueId val="{00000012-F750-42E2-BFC2-3C6DED449209}"/>
                    </c:ext>
                  </c:extLst>
                </c:dPt>
                <c:cat>
                  <c:strRef>
                    <c:extLst xmlns:c15="http://schemas.microsoft.com/office/drawing/2012/chart">
                      <c:ext xmlns:c15="http://schemas.microsoft.com/office/drawing/2012/chart" uri="{02D57815-91ED-43cb-92C2-25804820EDAC}">
                        <c15:formulaRef>
                          <c15:sqref>Dashboard!$AB$1:$AC$1</c15:sqref>
                        </c15:formulaRef>
                      </c:ext>
                    </c:extLst>
                    <c:strCache>
                      <c:ptCount val="2"/>
                      <c:pt idx="0">
                        <c:v>Revenue Generated</c:v>
                      </c:pt>
                      <c:pt idx="1">
                        <c:v>Revenue Lost</c:v>
                      </c:pt>
                    </c:strCache>
                  </c:strRef>
                </c:cat>
                <c:val>
                  <c:numRef>
                    <c:extLst xmlns:c15="http://schemas.microsoft.com/office/drawing/2012/chart">
                      <c:ext xmlns:c15="http://schemas.microsoft.com/office/drawing/2012/chart" uri="{02D57815-91ED-43cb-92C2-25804820EDAC}">
                        <c15:formulaRef>
                          <c15:sqref>Dashboard!$AB$5:$AC$5</c15:sqref>
                        </c15:formulaRef>
                      </c:ext>
                    </c:extLst>
                    <c:numCache>
                      <c:formatCode>\₹#,##0</c:formatCode>
                      <c:ptCount val="2"/>
                      <c:pt idx="0">
                        <c:v>319300</c:v>
                      </c:pt>
                      <c:pt idx="1">
                        <c:v>95600</c:v>
                      </c:pt>
                    </c:numCache>
                  </c:numRef>
                </c:val>
                <c:extLst xmlns:c15="http://schemas.microsoft.com/office/drawing/2012/chart">
                  <c:ext xmlns:c16="http://schemas.microsoft.com/office/drawing/2014/chart" uri="{C3380CC4-5D6E-409C-BE32-E72D297353CC}">
                    <c16:uniqueId val="{00000013-F750-42E2-BFC2-3C6DED449209}"/>
                  </c:ext>
                </c:extLst>
              </c15:ser>
            </c15:filteredPieSeries>
            <c15:filteredPieSeries>
              <c15:ser>
                <c:idx val="4"/>
                <c:order val="4"/>
                <c:tx>
                  <c:strRef>
                    <c:extLst xmlns:c15="http://schemas.microsoft.com/office/drawing/2012/chart">
                      <c:ext xmlns:c15="http://schemas.microsoft.com/office/drawing/2012/chart" uri="{02D57815-91ED-43cb-92C2-25804820EDAC}">
                        <c15:formulaRef>
                          <c15:sqref>Dashboard!$AA$6</c15:sqref>
                        </c15:formulaRef>
                      </c:ext>
                    </c:extLst>
                    <c:strCache>
                      <c:ptCount val="1"/>
                      <c:pt idx="0">
                        <c:v>Sports Rehab</c:v>
                      </c:pt>
                    </c:strCache>
                  </c:strRef>
                </c:tx>
                <c:dPt>
                  <c:idx val="0"/>
                  <c:bubble3D val="0"/>
                  <c:spPr>
                    <a:solidFill>
                      <a:schemeClr val="accent1"/>
                    </a:solidFill>
                    <a:ln w="19050">
                      <a:solidFill>
                        <a:schemeClr val="lt1"/>
                      </a:solidFill>
                    </a:ln>
                    <a:effectLst/>
                  </c:spPr>
                  <c:extLst xmlns:c15="http://schemas.microsoft.com/office/drawing/2012/chart">
                    <c:ext xmlns:c16="http://schemas.microsoft.com/office/drawing/2014/chart" uri="{C3380CC4-5D6E-409C-BE32-E72D297353CC}">
                      <c16:uniqueId val="{00000015-F750-42E2-BFC2-3C6DED449209}"/>
                    </c:ext>
                  </c:extLst>
                </c:dPt>
                <c:dPt>
                  <c:idx val="1"/>
                  <c:bubble3D val="0"/>
                  <c:spPr>
                    <a:solidFill>
                      <a:schemeClr val="accent2"/>
                    </a:solidFill>
                    <a:ln w="19050">
                      <a:solidFill>
                        <a:schemeClr val="lt1"/>
                      </a:solidFill>
                    </a:ln>
                    <a:effectLst/>
                  </c:spPr>
                  <c:extLst xmlns:c15="http://schemas.microsoft.com/office/drawing/2012/chart">
                    <c:ext xmlns:c16="http://schemas.microsoft.com/office/drawing/2014/chart" uri="{C3380CC4-5D6E-409C-BE32-E72D297353CC}">
                      <c16:uniqueId val="{00000017-F750-42E2-BFC2-3C6DED449209}"/>
                    </c:ext>
                  </c:extLst>
                </c:dPt>
                <c:cat>
                  <c:strRef>
                    <c:extLst xmlns:c15="http://schemas.microsoft.com/office/drawing/2012/chart">
                      <c:ext xmlns:c15="http://schemas.microsoft.com/office/drawing/2012/chart" uri="{02D57815-91ED-43cb-92C2-25804820EDAC}">
                        <c15:formulaRef>
                          <c15:sqref>Dashboard!$AB$1:$AC$1</c15:sqref>
                        </c15:formulaRef>
                      </c:ext>
                    </c:extLst>
                    <c:strCache>
                      <c:ptCount val="2"/>
                      <c:pt idx="0">
                        <c:v>Revenue Generated</c:v>
                      </c:pt>
                      <c:pt idx="1">
                        <c:v>Revenue Lost</c:v>
                      </c:pt>
                    </c:strCache>
                  </c:strRef>
                </c:cat>
                <c:val>
                  <c:numRef>
                    <c:extLst xmlns:c15="http://schemas.microsoft.com/office/drawing/2012/chart">
                      <c:ext xmlns:c15="http://schemas.microsoft.com/office/drawing/2012/chart" uri="{02D57815-91ED-43cb-92C2-25804820EDAC}">
                        <c15:formulaRef>
                          <c15:sqref>Dashboard!$AB$6:$AC$6</c15:sqref>
                        </c15:formulaRef>
                      </c:ext>
                    </c:extLst>
                    <c:numCache>
                      <c:formatCode>\₹#,##0</c:formatCode>
                      <c:ptCount val="2"/>
                      <c:pt idx="0">
                        <c:v>318550</c:v>
                      </c:pt>
                      <c:pt idx="1">
                        <c:v>94600</c:v>
                      </c:pt>
                    </c:numCache>
                  </c:numRef>
                </c:val>
                <c:extLst xmlns:c15="http://schemas.microsoft.com/office/drawing/2012/chart">
                  <c:ext xmlns:c16="http://schemas.microsoft.com/office/drawing/2014/chart" uri="{C3380CC4-5D6E-409C-BE32-E72D297353CC}">
                    <c16:uniqueId val="{00000018-F750-42E2-BFC2-3C6DED449209}"/>
                  </c:ext>
                </c:extLst>
              </c15:ser>
            </c15:filteredPieSeries>
            <c15:filteredPieSeries>
              <c15:ser>
                <c:idx val="5"/>
                <c:order val="5"/>
                <c:tx>
                  <c:strRef>
                    <c:extLst xmlns:c15="http://schemas.microsoft.com/office/drawing/2012/chart">
                      <c:ext xmlns:c15="http://schemas.microsoft.com/office/drawing/2012/chart" uri="{02D57815-91ED-43cb-92C2-25804820EDAC}">
                        <c15:formulaRef>
                          <c15:sqref>Dashboard!$AA$7</c15:sqref>
                        </c15:formulaRef>
                      </c:ext>
                    </c:extLst>
                    <c:strCache>
                      <c:ptCount val="1"/>
                      <c:pt idx="0">
                        <c:v>Electrotherapy</c:v>
                      </c:pt>
                    </c:strCache>
                  </c:strRef>
                </c:tx>
                <c:dPt>
                  <c:idx val="0"/>
                  <c:bubble3D val="0"/>
                  <c:spPr>
                    <a:solidFill>
                      <a:schemeClr val="accent1"/>
                    </a:solidFill>
                    <a:ln w="19050">
                      <a:solidFill>
                        <a:schemeClr val="lt1"/>
                      </a:solidFill>
                    </a:ln>
                    <a:effectLst/>
                  </c:spPr>
                  <c:extLst xmlns:c15="http://schemas.microsoft.com/office/drawing/2012/chart">
                    <c:ext xmlns:c16="http://schemas.microsoft.com/office/drawing/2014/chart" uri="{C3380CC4-5D6E-409C-BE32-E72D297353CC}">
                      <c16:uniqueId val="{0000001A-F750-42E2-BFC2-3C6DED449209}"/>
                    </c:ext>
                  </c:extLst>
                </c:dPt>
                <c:dPt>
                  <c:idx val="1"/>
                  <c:bubble3D val="0"/>
                  <c:spPr>
                    <a:solidFill>
                      <a:schemeClr val="accent2"/>
                    </a:solidFill>
                    <a:ln w="19050">
                      <a:solidFill>
                        <a:schemeClr val="lt1"/>
                      </a:solidFill>
                    </a:ln>
                    <a:effectLst/>
                  </c:spPr>
                  <c:extLst xmlns:c15="http://schemas.microsoft.com/office/drawing/2012/chart">
                    <c:ext xmlns:c16="http://schemas.microsoft.com/office/drawing/2014/chart" uri="{C3380CC4-5D6E-409C-BE32-E72D297353CC}">
                      <c16:uniqueId val="{0000001C-F750-42E2-BFC2-3C6DED449209}"/>
                    </c:ext>
                  </c:extLst>
                </c:dPt>
                <c:cat>
                  <c:strRef>
                    <c:extLst xmlns:c15="http://schemas.microsoft.com/office/drawing/2012/chart">
                      <c:ext xmlns:c15="http://schemas.microsoft.com/office/drawing/2012/chart" uri="{02D57815-91ED-43cb-92C2-25804820EDAC}">
                        <c15:formulaRef>
                          <c15:sqref>Dashboard!$AB$1:$AC$1</c15:sqref>
                        </c15:formulaRef>
                      </c:ext>
                    </c:extLst>
                    <c:strCache>
                      <c:ptCount val="2"/>
                      <c:pt idx="0">
                        <c:v>Revenue Generated</c:v>
                      </c:pt>
                      <c:pt idx="1">
                        <c:v>Revenue Lost</c:v>
                      </c:pt>
                    </c:strCache>
                  </c:strRef>
                </c:cat>
                <c:val>
                  <c:numRef>
                    <c:extLst xmlns:c15="http://schemas.microsoft.com/office/drawing/2012/chart">
                      <c:ext xmlns:c15="http://schemas.microsoft.com/office/drawing/2012/chart" uri="{02D57815-91ED-43cb-92C2-25804820EDAC}">
                        <c15:formulaRef>
                          <c15:sqref>Dashboard!$AB$7:$AC$7</c15:sqref>
                        </c15:formulaRef>
                      </c:ext>
                    </c:extLst>
                    <c:numCache>
                      <c:formatCode>\₹#,##0</c:formatCode>
                      <c:ptCount val="2"/>
                      <c:pt idx="0">
                        <c:v>328100</c:v>
                      </c:pt>
                      <c:pt idx="1">
                        <c:v>74150</c:v>
                      </c:pt>
                    </c:numCache>
                  </c:numRef>
                </c:val>
                <c:extLst xmlns:c15="http://schemas.microsoft.com/office/drawing/2012/chart">
                  <c:ext xmlns:c16="http://schemas.microsoft.com/office/drawing/2014/chart" uri="{C3380CC4-5D6E-409C-BE32-E72D297353CC}">
                    <c16:uniqueId val="{0000001D-F750-42E2-BFC2-3C6DED449209}"/>
                  </c:ext>
                </c:extLst>
              </c15:ser>
            </c15:filteredPieSeries>
            <c15:filteredPieSeries>
              <c15:ser>
                <c:idx val="6"/>
                <c:order val="6"/>
                <c:tx>
                  <c:strRef>
                    <c:extLst xmlns:c15="http://schemas.microsoft.com/office/drawing/2012/chart">
                      <c:ext xmlns:c15="http://schemas.microsoft.com/office/drawing/2012/chart" uri="{02D57815-91ED-43cb-92C2-25804820EDAC}">
                        <c15:formulaRef>
                          <c15:sqref>Dashboard!$AA$8</c15:sqref>
                        </c15:formulaRef>
                      </c:ext>
                    </c:extLst>
                    <c:strCache>
                      <c:ptCount val="1"/>
                      <c:pt idx="0">
                        <c:v>Total</c:v>
                      </c:pt>
                    </c:strCache>
                  </c:strRef>
                </c:tx>
                <c:dPt>
                  <c:idx val="0"/>
                  <c:bubble3D val="0"/>
                  <c:spPr>
                    <a:solidFill>
                      <a:schemeClr val="accent1"/>
                    </a:solidFill>
                    <a:ln w="19050">
                      <a:solidFill>
                        <a:schemeClr val="lt1"/>
                      </a:solidFill>
                    </a:ln>
                    <a:effectLst/>
                  </c:spPr>
                  <c:extLst xmlns:c15="http://schemas.microsoft.com/office/drawing/2012/chart">
                    <c:ext xmlns:c16="http://schemas.microsoft.com/office/drawing/2014/chart" uri="{C3380CC4-5D6E-409C-BE32-E72D297353CC}">
                      <c16:uniqueId val="{0000001F-F750-42E2-BFC2-3C6DED449209}"/>
                    </c:ext>
                  </c:extLst>
                </c:dPt>
                <c:dPt>
                  <c:idx val="1"/>
                  <c:bubble3D val="0"/>
                  <c:spPr>
                    <a:solidFill>
                      <a:schemeClr val="accent2"/>
                    </a:solidFill>
                    <a:ln w="19050">
                      <a:solidFill>
                        <a:schemeClr val="lt1"/>
                      </a:solidFill>
                    </a:ln>
                    <a:effectLst/>
                  </c:spPr>
                  <c:extLst xmlns:c15="http://schemas.microsoft.com/office/drawing/2012/chart">
                    <c:ext xmlns:c16="http://schemas.microsoft.com/office/drawing/2014/chart" uri="{C3380CC4-5D6E-409C-BE32-E72D297353CC}">
                      <c16:uniqueId val="{00000021-F750-42E2-BFC2-3C6DED449209}"/>
                    </c:ext>
                  </c:extLst>
                </c:dPt>
                <c:cat>
                  <c:strRef>
                    <c:extLst xmlns:c15="http://schemas.microsoft.com/office/drawing/2012/chart">
                      <c:ext xmlns:c15="http://schemas.microsoft.com/office/drawing/2012/chart" uri="{02D57815-91ED-43cb-92C2-25804820EDAC}">
                        <c15:formulaRef>
                          <c15:sqref>Dashboard!$AB$1:$AC$1</c15:sqref>
                        </c15:formulaRef>
                      </c:ext>
                    </c:extLst>
                    <c:strCache>
                      <c:ptCount val="2"/>
                      <c:pt idx="0">
                        <c:v>Revenue Generated</c:v>
                      </c:pt>
                      <c:pt idx="1">
                        <c:v>Revenue Lost</c:v>
                      </c:pt>
                    </c:strCache>
                  </c:strRef>
                </c:cat>
                <c:val>
                  <c:numRef>
                    <c:extLst xmlns:c15="http://schemas.microsoft.com/office/drawing/2012/chart">
                      <c:ext xmlns:c15="http://schemas.microsoft.com/office/drawing/2012/chart" uri="{02D57815-91ED-43cb-92C2-25804820EDAC}">
                        <c15:formulaRef>
                          <c15:sqref>Dashboard!$AB$8:$AC$8</c15:sqref>
                        </c15:formulaRef>
                      </c:ext>
                    </c:extLst>
                    <c:numCache>
                      <c:formatCode>\₹#,##0</c:formatCode>
                      <c:ptCount val="2"/>
                      <c:pt idx="0">
                        <c:v>1990900</c:v>
                      </c:pt>
                      <c:pt idx="1">
                        <c:v>543350</c:v>
                      </c:pt>
                    </c:numCache>
                  </c:numRef>
                </c:val>
                <c:extLst xmlns:c15="http://schemas.microsoft.com/office/drawing/2012/chart">
                  <c:ext xmlns:c16="http://schemas.microsoft.com/office/drawing/2014/chart" uri="{C3380CC4-5D6E-409C-BE32-E72D297353CC}">
                    <c16:uniqueId val="{00000022-F750-42E2-BFC2-3C6DED449209}"/>
                  </c:ext>
                </c:extLst>
              </c15:ser>
            </c15:filteredPieSeries>
          </c:ext>
        </c:extLst>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pieChart>
        <c:varyColors val="1"/>
        <c:ser>
          <c:idx val="1"/>
          <c:order val="1"/>
          <c:tx>
            <c:strRef>
              <c:f>Dashboard!$AA$3</c:f>
              <c:strCache>
                <c:ptCount val="1"/>
                <c:pt idx="0">
                  <c:v>Manual Therapy</c:v>
                </c:pt>
              </c:strCache>
              <c:extLst xmlns:c15="http://schemas.microsoft.com/office/drawing/2012/chart"/>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0A7-40D9-9D9D-0A052A398B4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0A7-40D9-9D9D-0A052A398B4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Dashboard!$AB$1:$AC$1</c:f>
              <c:strCache>
                <c:ptCount val="2"/>
                <c:pt idx="0">
                  <c:v>Revenue Generated</c:v>
                </c:pt>
                <c:pt idx="1">
                  <c:v>Revenue Lost</c:v>
                </c:pt>
              </c:strCache>
              <c:extLst xmlns:c15="http://schemas.microsoft.com/office/drawing/2012/chart"/>
            </c:strRef>
          </c:cat>
          <c:val>
            <c:numRef>
              <c:f>Dashboard!$AB$3:$AC$3</c:f>
              <c:numCache>
                <c:formatCode>\₹#,##0</c:formatCode>
                <c:ptCount val="2"/>
                <c:pt idx="0">
                  <c:v>328950</c:v>
                </c:pt>
                <c:pt idx="1">
                  <c:v>96150</c:v>
                </c:pt>
              </c:numCache>
              <c:extLst xmlns:c15="http://schemas.microsoft.com/office/drawing/2012/chart"/>
            </c:numRef>
          </c:val>
          <c:extLst>
            <c:ext xmlns:c16="http://schemas.microsoft.com/office/drawing/2014/chart" uri="{C3380CC4-5D6E-409C-BE32-E72D297353CC}">
              <c16:uniqueId val="{00000004-00A7-40D9-9D9D-0A052A398B47}"/>
            </c:ext>
          </c:extLst>
        </c:ser>
        <c:dLbls>
          <c:showLegendKey val="0"/>
          <c:showVal val="0"/>
          <c:showCatName val="0"/>
          <c:showSerName val="0"/>
          <c:showPercent val="0"/>
          <c:showBubbleSize val="0"/>
          <c:showLeaderLines val="1"/>
        </c:dLbls>
        <c:firstSliceAng val="0"/>
        <c:extLst>
          <c:ext xmlns:c15="http://schemas.microsoft.com/office/drawing/2012/chart" uri="{02D57815-91ED-43cb-92C2-25804820EDAC}">
            <c15:filteredPieSeries>
              <c15:ser>
                <c:idx val="0"/>
                <c:order val="0"/>
                <c:tx>
                  <c:strRef>
                    <c:extLst>
                      <c:ext uri="{02D57815-91ED-43cb-92C2-25804820EDAC}">
                        <c15:formulaRef>
                          <c15:sqref>Dashboard!$AA$2</c15:sqref>
                        </c15:formulaRef>
                      </c:ext>
                    </c:extLst>
                    <c:strCache>
                      <c:ptCount val="1"/>
                      <c:pt idx="0">
                        <c:v>Neuro Rehab</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00A7-40D9-9D9D-0A052A398B4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00A7-40D9-9D9D-0A052A398B47}"/>
                    </c:ext>
                  </c:extLst>
                </c:dPt>
                <c:cat>
                  <c:strRef>
                    <c:extLst>
                      <c:ext uri="{02D57815-91ED-43cb-92C2-25804820EDAC}">
                        <c15:formulaRef>
                          <c15:sqref>Dashboard!$AB$1:$AC$1</c15:sqref>
                        </c15:formulaRef>
                      </c:ext>
                    </c:extLst>
                    <c:strCache>
                      <c:ptCount val="2"/>
                      <c:pt idx="0">
                        <c:v>Revenue Generated</c:v>
                      </c:pt>
                      <c:pt idx="1">
                        <c:v>Revenue Lost</c:v>
                      </c:pt>
                    </c:strCache>
                  </c:strRef>
                </c:cat>
                <c:val>
                  <c:numRef>
                    <c:extLst>
                      <c:ext uri="{02D57815-91ED-43cb-92C2-25804820EDAC}">
                        <c15:formulaRef>
                          <c15:sqref>Dashboard!$AB$2:$AC$2</c15:sqref>
                        </c15:formulaRef>
                      </c:ext>
                    </c:extLst>
                    <c:numCache>
                      <c:formatCode>\₹#,##0</c:formatCode>
                      <c:ptCount val="2"/>
                      <c:pt idx="0">
                        <c:v>365500</c:v>
                      </c:pt>
                      <c:pt idx="1">
                        <c:v>87100</c:v>
                      </c:pt>
                    </c:numCache>
                  </c:numRef>
                </c:val>
                <c:extLst>
                  <c:ext xmlns:c16="http://schemas.microsoft.com/office/drawing/2014/chart" uri="{C3380CC4-5D6E-409C-BE32-E72D297353CC}">
                    <c16:uniqueId val="{00000009-00A7-40D9-9D9D-0A052A398B47}"/>
                  </c:ext>
                </c:extLst>
              </c15:ser>
            </c15:filteredPieSeries>
            <c15:filteredPieSeries>
              <c15:ser>
                <c:idx val="2"/>
                <c:order val="2"/>
                <c:tx>
                  <c:strRef>
                    <c:extLst xmlns:c15="http://schemas.microsoft.com/office/drawing/2012/chart">
                      <c:ext xmlns:c15="http://schemas.microsoft.com/office/drawing/2012/chart" uri="{02D57815-91ED-43cb-92C2-25804820EDAC}">
                        <c15:formulaRef>
                          <c15:sqref>Dashboard!$AA$4</c15:sqref>
                        </c15:formulaRef>
                      </c:ext>
                    </c:extLst>
                    <c:strCache>
                      <c:ptCount val="1"/>
                      <c:pt idx="0">
                        <c:v>Posture Correction</c:v>
                      </c:pt>
                    </c:strCache>
                  </c:strRef>
                </c:tx>
                <c:dPt>
                  <c:idx val="0"/>
                  <c:bubble3D val="0"/>
                  <c:spPr>
                    <a:solidFill>
                      <a:schemeClr val="accent1"/>
                    </a:solidFill>
                    <a:ln w="19050">
                      <a:solidFill>
                        <a:schemeClr val="lt1"/>
                      </a:solidFill>
                    </a:ln>
                    <a:effectLst/>
                  </c:spPr>
                  <c:extLst xmlns:c15="http://schemas.microsoft.com/office/drawing/2012/chart">
                    <c:ext xmlns:c16="http://schemas.microsoft.com/office/drawing/2014/chart" uri="{C3380CC4-5D6E-409C-BE32-E72D297353CC}">
                      <c16:uniqueId val="{0000000B-00A7-40D9-9D9D-0A052A398B47}"/>
                    </c:ext>
                  </c:extLst>
                </c:dPt>
                <c:dPt>
                  <c:idx val="1"/>
                  <c:bubble3D val="0"/>
                  <c:spPr>
                    <a:solidFill>
                      <a:schemeClr val="accent2"/>
                    </a:solidFill>
                    <a:ln w="19050">
                      <a:solidFill>
                        <a:schemeClr val="lt1"/>
                      </a:solidFill>
                    </a:ln>
                    <a:effectLst/>
                  </c:spPr>
                  <c:extLst xmlns:c15="http://schemas.microsoft.com/office/drawing/2012/chart">
                    <c:ext xmlns:c16="http://schemas.microsoft.com/office/drawing/2014/chart" uri="{C3380CC4-5D6E-409C-BE32-E72D297353CC}">
                      <c16:uniqueId val="{0000000D-00A7-40D9-9D9D-0A052A398B47}"/>
                    </c:ext>
                  </c:extLst>
                </c:dPt>
                <c:cat>
                  <c:strRef>
                    <c:extLst xmlns:c15="http://schemas.microsoft.com/office/drawing/2012/chart">
                      <c:ext xmlns:c15="http://schemas.microsoft.com/office/drawing/2012/chart" uri="{02D57815-91ED-43cb-92C2-25804820EDAC}">
                        <c15:formulaRef>
                          <c15:sqref>Dashboard!$AB$1:$AC$1</c15:sqref>
                        </c15:formulaRef>
                      </c:ext>
                    </c:extLst>
                    <c:strCache>
                      <c:ptCount val="2"/>
                      <c:pt idx="0">
                        <c:v>Revenue Generated</c:v>
                      </c:pt>
                      <c:pt idx="1">
                        <c:v>Revenue Lost</c:v>
                      </c:pt>
                    </c:strCache>
                  </c:strRef>
                </c:cat>
                <c:val>
                  <c:numRef>
                    <c:extLst xmlns:c15="http://schemas.microsoft.com/office/drawing/2012/chart">
                      <c:ext xmlns:c15="http://schemas.microsoft.com/office/drawing/2012/chart" uri="{02D57815-91ED-43cb-92C2-25804820EDAC}">
                        <c15:formulaRef>
                          <c15:sqref>Dashboard!$AB$4:$AC$4</c15:sqref>
                        </c15:formulaRef>
                      </c:ext>
                    </c:extLst>
                    <c:numCache>
                      <c:formatCode>\₹#,##0</c:formatCode>
                      <c:ptCount val="2"/>
                      <c:pt idx="0">
                        <c:v>330500</c:v>
                      </c:pt>
                      <c:pt idx="1">
                        <c:v>95750</c:v>
                      </c:pt>
                    </c:numCache>
                  </c:numRef>
                </c:val>
                <c:extLst xmlns:c15="http://schemas.microsoft.com/office/drawing/2012/chart">
                  <c:ext xmlns:c16="http://schemas.microsoft.com/office/drawing/2014/chart" uri="{C3380CC4-5D6E-409C-BE32-E72D297353CC}">
                    <c16:uniqueId val="{0000000E-00A7-40D9-9D9D-0A052A398B47}"/>
                  </c:ext>
                </c:extLst>
              </c15:ser>
            </c15:filteredPieSeries>
            <c15:filteredPieSeries>
              <c15:ser>
                <c:idx val="3"/>
                <c:order val="3"/>
                <c:tx>
                  <c:strRef>
                    <c:extLst xmlns:c15="http://schemas.microsoft.com/office/drawing/2012/chart">
                      <c:ext xmlns:c15="http://schemas.microsoft.com/office/drawing/2012/chart" uri="{02D57815-91ED-43cb-92C2-25804820EDAC}">
                        <c15:formulaRef>
                          <c15:sqref>Dashboard!$AA$5</c15:sqref>
                        </c15:formulaRef>
                      </c:ext>
                    </c:extLst>
                    <c:strCache>
                      <c:ptCount val="1"/>
                      <c:pt idx="0">
                        <c:v>Exercise Therapy</c:v>
                      </c:pt>
                    </c:strCache>
                  </c:strRef>
                </c:tx>
                <c:dPt>
                  <c:idx val="0"/>
                  <c:bubble3D val="0"/>
                  <c:spPr>
                    <a:solidFill>
                      <a:schemeClr val="accent1"/>
                    </a:solidFill>
                    <a:ln w="19050">
                      <a:solidFill>
                        <a:schemeClr val="lt1"/>
                      </a:solidFill>
                    </a:ln>
                    <a:effectLst/>
                  </c:spPr>
                  <c:extLst xmlns:c15="http://schemas.microsoft.com/office/drawing/2012/chart">
                    <c:ext xmlns:c16="http://schemas.microsoft.com/office/drawing/2014/chart" uri="{C3380CC4-5D6E-409C-BE32-E72D297353CC}">
                      <c16:uniqueId val="{00000010-00A7-40D9-9D9D-0A052A398B47}"/>
                    </c:ext>
                  </c:extLst>
                </c:dPt>
                <c:dPt>
                  <c:idx val="1"/>
                  <c:bubble3D val="0"/>
                  <c:spPr>
                    <a:solidFill>
                      <a:schemeClr val="accent2"/>
                    </a:solidFill>
                    <a:ln w="19050">
                      <a:solidFill>
                        <a:schemeClr val="lt1"/>
                      </a:solidFill>
                    </a:ln>
                    <a:effectLst/>
                  </c:spPr>
                  <c:extLst xmlns:c15="http://schemas.microsoft.com/office/drawing/2012/chart">
                    <c:ext xmlns:c16="http://schemas.microsoft.com/office/drawing/2014/chart" uri="{C3380CC4-5D6E-409C-BE32-E72D297353CC}">
                      <c16:uniqueId val="{00000012-00A7-40D9-9D9D-0A052A398B47}"/>
                    </c:ext>
                  </c:extLst>
                </c:dPt>
                <c:cat>
                  <c:strRef>
                    <c:extLst xmlns:c15="http://schemas.microsoft.com/office/drawing/2012/chart">
                      <c:ext xmlns:c15="http://schemas.microsoft.com/office/drawing/2012/chart" uri="{02D57815-91ED-43cb-92C2-25804820EDAC}">
                        <c15:formulaRef>
                          <c15:sqref>Dashboard!$AB$1:$AC$1</c15:sqref>
                        </c15:formulaRef>
                      </c:ext>
                    </c:extLst>
                    <c:strCache>
                      <c:ptCount val="2"/>
                      <c:pt idx="0">
                        <c:v>Revenue Generated</c:v>
                      </c:pt>
                      <c:pt idx="1">
                        <c:v>Revenue Lost</c:v>
                      </c:pt>
                    </c:strCache>
                  </c:strRef>
                </c:cat>
                <c:val>
                  <c:numRef>
                    <c:extLst xmlns:c15="http://schemas.microsoft.com/office/drawing/2012/chart">
                      <c:ext xmlns:c15="http://schemas.microsoft.com/office/drawing/2012/chart" uri="{02D57815-91ED-43cb-92C2-25804820EDAC}">
                        <c15:formulaRef>
                          <c15:sqref>Dashboard!$AB$5:$AC$5</c15:sqref>
                        </c15:formulaRef>
                      </c:ext>
                    </c:extLst>
                    <c:numCache>
                      <c:formatCode>\₹#,##0</c:formatCode>
                      <c:ptCount val="2"/>
                      <c:pt idx="0">
                        <c:v>319300</c:v>
                      </c:pt>
                      <c:pt idx="1">
                        <c:v>95600</c:v>
                      </c:pt>
                    </c:numCache>
                  </c:numRef>
                </c:val>
                <c:extLst xmlns:c15="http://schemas.microsoft.com/office/drawing/2012/chart">
                  <c:ext xmlns:c16="http://schemas.microsoft.com/office/drawing/2014/chart" uri="{C3380CC4-5D6E-409C-BE32-E72D297353CC}">
                    <c16:uniqueId val="{00000013-00A7-40D9-9D9D-0A052A398B47}"/>
                  </c:ext>
                </c:extLst>
              </c15:ser>
            </c15:filteredPieSeries>
            <c15:filteredPieSeries>
              <c15:ser>
                <c:idx val="4"/>
                <c:order val="4"/>
                <c:tx>
                  <c:strRef>
                    <c:extLst xmlns:c15="http://schemas.microsoft.com/office/drawing/2012/chart">
                      <c:ext xmlns:c15="http://schemas.microsoft.com/office/drawing/2012/chart" uri="{02D57815-91ED-43cb-92C2-25804820EDAC}">
                        <c15:formulaRef>
                          <c15:sqref>Dashboard!$AA$6</c15:sqref>
                        </c15:formulaRef>
                      </c:ext>
                    </c:extLst>
                    <c:strCache>
                      <c:ptCount val="1"/>
                      <c:pt idx="0">
                        <c:v>Sports Rehab</c:v>
                      </c:pt>
                    </c:strCache>
                  </c:strRef>
                </c:tx>
                <c:dPt>
                  <c:idx val="0"/>
                  <c:bubble3D val="0"/>
                  <c:spPr>
                    <a:solidFill>
                      <a:schemeClr val="accent1"/>
                    </a:solidFill>
                    <a:ln w="19050">
                      <a:solidFill>
                        <a:schemeClr val="lt1"/>
                      </a:solidFill>
                    </a:ln>
                    <a:effectLst/>
                  </c:spPr>
                  <c:extLst xmlns:c15="http://schemas.microsoft.com/office/drawing/2012/chart">
                    <c:ext xmlns:c16="http://schemas.microsoft.com/office/drawing/2014/chart" uri="{C3380CC4-5D6E-409C-BE32-E72D297353CC}">
                      <c16:uniqueId val="{00000015-00A7-40D9-9D9D-0A052A398B47}"/>
                    </c:ext>
                  </c:extLst>
                </c:dPt>
                <c:dPt>
                  <c:idx val="1"/>
                  <c:bubble3D val="0"/>
                  <c:spPr>
                    <a:solidFill>
                      <a:schemeClr val="accent2"/>
                    </a:solidFill>
                    <a:ln w="19050">
                      <a:solidFill>
                        <a:schemeClr val="lt1"/>
                      </a:solidFill>
                    </a:ln>
                    <a:effectLst/>
                  </c:spPr>
                  <c:extLst xmlns:c15="http://schemas.microsoft.com/office/drawing/2012/chart">
                    <c:ext xmlns:c16="http://schemas.microsoft.com/office/drawing/2014/chart" uri="{C3380CC4-5D6E-409C-BE32-E72D297353CC}">
                      <c16:uniqueId val="{00000017-00A7-40D9-9D9D-0A052A398B47}"/>
                    </c:ext>
                  </c:extLst>
                </c:dPt>
                <c:cat>
                  <c:strRef>
                    <c:extLst xmlns:c15="http://schemas.microsoft.com/office/drawing/2012/chart">
                      <c:ext xmlns:c15="http://schemas.microsoft.com/office/drawing/2012/chart" uri="{02D57815-91ED-43cb-92C2-25804820EDAC}">
                        <c15:formulaRef>
                          <c15:sqref>Dashboard!$AB$1:$AC$1</c15:sqref>
                        </c15:formulaRef>
                      </c:ext>
                    </c:extLst>
                    <c:strCache>
                      <c:ptCount val="2"/>
                      <c:pt idx="0">
                        <c:v>Revenue Generated</c:v>
                      </c:pt>
                      <c:pt idx="1">
                        <c:v>Revenue Lost</c:v>
                      </c:pt>
                    </c:strCache>
                  </c:strRef>
                </c:cat>
                <c:val>
                  <c:numRef>
                    <c:extLst xmlns:c15="http://schemas.microsoft.com/office/drawing/2012/chart">
                      <c:ext xmlns:c15="http://schemas.microsoft.com/office/drawing/2012/chart" uri="{02D57815-91ED-43cb-92C2-25804820EDAC}">
                        <c15:formulaRef>
                          <c15:sqref>Dashboard!$AB$6:$AC$6</c15:sqref>
                        </c15:formulaRef>
                      </c:ext>
                    </c:extLst>
                    <c:numCache>
                      <c:formatCode>\₹#,##0</c:formatCode>
                      <c:ptCount val="2"/>
                      <c:pt idx="0">
                        <c:v>318550</c:v>
                      </c:pt>
                      <c:pt idx="1">
                        <c:v>94600</c:v>
                      </c:pt>
                    </c:numCache>
                  </c:numRef>
                </c:val>
                <c:extLst xmlns:c15="http://schemas.microsoft.com/office/drawing/2012/chart">
                  <c:ext xmlns:c16="http://schemas.microsoft.com/office/drawing/2014/chart" uri="{C3380CC4-5D6E-409C-BE32-E72D297353CC}">
                    <c16:uniqueId val="{00000018-00A7-40D9-9D9D-0A052A398B47}"/>
                  </c:ext>
                </c:extLst>
              </c15:ser>
            </c15:filteredPieSeries>
            <c15:filteredPieSeries>
              <c15:ser>
                <c:idx val="5"/>
                <c:order val="5"/>
                <c:tx>
                  <c:strRef>
                    <c:extLst xmlns:c15="http://schemas.microsoft.com/office/drawing/2012/chart">
                      <c:ext xmlns:c15="http://schemas.microsoft.com/office/drawing/2012/chart" uri="{02D57815-91ED-43cb-92C2-25804820EDAC}">
                        <c15:formulaRef>
                          <c15:sqref>Dashboard!$AA$7</c15:sqref>
                        </c15:formulaRef>
                      </c:ext>
                    </c:extLst>
                    <c:strCache>
                      <c:ptCount val="1"/>
                      <c:pt idx="0">
                        <c:v>Electrotherapy</c:v>
                      </c:pt>
                    </c:strCache>
                  </c:strRef>
                </c:tx>
                <c:dPt>
                  <c:idx val="0"/>
                  <c:bubble3D val="0"/>
                  <c:spPr>
                    <a:solidFill>
                      <a:schemeClr val="accent1"/>
                    </a:solidFill>
                    <a:ln w="19050">
                      <a:solidFill>
                        <a:schemeClr val="lt1"/>
                      </a:solidFill>
                    </a:ln>
                    <a:effectLst/>
                  </c:spPr>
                  <c:extLst xmlns:c15="http://schemas.microsoft.com/office/drawing/2012/chart">
                    <c:ext xmlns:c16="http://schemas.microsoft.com/office/drawing/2014/chart" uri="{C3380CC4-5D6E-409C-BE32-E72D297353CC}">
                      <c16:uniqueId val="{0000001A-00A7-40D9-9D9D-0A052A398B47}"/>
                    </c:ext>
                  </c:extLst>
                </c:dPt>
                <c:dPt>
                  <c:idx val="1"/>
                  <c:bubble3D val="0"/>
                  <c:spPr>
                    <a:solidFill>
                      <a:schemeClr val="accent2"/>
                    </a:solidFill>
                    <a:ln w="19050">
                      <a:solidFill>
                        <a:schemeClr val="lt1"/>
                      </a:solidFill>
                    </a:ln>
                    <a:effectLst/>
                  </c:spPr>
                  <c:extLst xmlns:c15="http://schemas.microsoft.com/office/drawing/2012/chart">
                    <c:ext xmlns:c16="http://schemas.microsoft.com/office/drawing/2014/chart" uri="{C3380CC4-5D6E-409C-BE32-E72D297353CC}">
                      <c16:uniqueId val="{0000001C-00A7-40D9-9D9D-0A052A398B47}"/>
                    </c:ext>
                  </c:extLst>
                </c:dPt>
                <c:cat>
                  <c:strRef>
                    <c:extLst xmlns:c15="http://schemas.microsoft.com/office/drawing/2012/chart">
                      <c:ext xmlns:c15="http://schemas.microsoft.com/office/drawing/2012/chart" uri="{02D57815-91ED-43cb-92C2-25804820EDAC}">
                        <c15:formulaRef>
                          <c15:sqref>Dashboard!$AB$1:$AC$1</c15:sqref>
                        </c15:formulaRef>
                      </c:ext>
                    </c:extLst>
                    <c:strCache>
                      <c:ptCount val="2"/>
                      <c:pt idx="0">
                        <c:v>Revenue Generated</c:v>
                      </c:pt>
                      <c:pt idx="1">
                        <c:v>Revenue Lost</c:v>
                      </c:pt>
                    </c:strCache>
                  </c:strRef>
                </c:cat>
                <c:val>
                  <c:numRef>
                    <c:extLst xmlns:c15="http://schemas.microsoft.com/office/drawing/2012/chart">
                      <c:ext xmlns:c15="http://schemas.microsoft.com/office/drawing/2012/chart" uri="{02D57815-91ED-43cb-92C2-25804820EDAC}">
                        <c15:formulaRef>
                          <c15:sqref>Dashboard!$AB$7:$AC$7</c15:sqref>
                        </c15:formulaRef>
                      </c:ext>
                    </c:extLst>
                    <c:numCache>
                      <c:formatCode>\₹#,##0</c:formatCode>
                      <c:ptCount val="2"/>
                      <c:pt idx="0">
                        <c:v>328100</c:v>
                      </c:pt>
                      <c:pt idx="1">
                        <c:v>74150</c:v>
                      </c:pt>
                    </c:numCache>
                  </c:numRef>
                </c:val>
                <c:extLst xmlns:c15="http://schemas.microsoft.com/office/drawing/2012/chart">
                  <c:ext xmlns:c16="http://schemas.microsoft.com/office/drawing/2014/chart" uri="{C3380CC4-5D6E-409C-BE32-E72D297353CC}">
                    <c16:uniqueId val="{0000001D-00A7-40D9-9D9D-0A052A398B47}"/>
                  </c:ext>
                </c:extLst>
              </c15:ser>
            </c15:filteredPieSeries>
            <c15:filteredPieSeries>
              <c15:ser>
                <c:idx val="6"/>
                <c:order val="6"/>
                <c:tx>
                  <c:strRef>
                    <c:extLst xmlns:c15="http://schemas.microsoft.com/office/drawing/2012/chart">
                      <c:ext xmlns:c15="http://schemas.microsoft.com/office/drawing/2012/chart" uri="{02D57815-91ED-43cb-92C2-25804820EDAC}">
                        <c15:formulaRef>
                          <c15:sqref>Dashboard!$AA$8</c15:sqref>
                        </c15:formulaRef>
                      </c:ext>
                    </c:extLst>
                    <c:strCache>
                      <c:ptCount val="1"/>
                      <c:pt idx="0">
                        <c:v>Total</c:v>
                      </c:pt>
                    </c:strCache>
                  </c:strRef>
                </c:tx>
                <c:dPt>
                  <c:idx val="0"/>
                  <c:bubble3D val="0"/>
                  <c:spPr>
                    <a:solidFill>
                      <a:schemeClr val="accent1"/>
                    </a:solidFill>
                    <a:ln w="19050">
                      <a:solidFill>
                        <a:schemeClr val="lt1"/>
                      </a:solidFill>
                    </a:ln>
                    <a:effectLst/>
                  </c:spPr>
                  <c:extLst xmlns:c15="http://schemas.microsoft.com/office/drawing/2012/chart">
                    <c:ext xmlns:c16="http://schemas.microsoft.com/office/drawing/2014/chart" uri="{C3380CC4-5D6E-409C-BE32-E72D297353CC}">
                      <c16:uniqueId val="{0000001F-00A7-40D9-9D9D-0A052A398B47}"/>
                    </c:ext>
                  </c:extLst>
                </c:dPt>
                <c:dPt>
                  <c:idx val="1"/>
                  <c:bubble3D val="0"/>
                  <c:spPr>
                    <a:solidFill>
                      <a:schemeClr val="accent2"/>
                    </a:solidFill>
                    <a:ln w="19050">
                      <a:solidFill>
                        <a:schemeClr val="lt1"/>
                      </a:solidFill>
                    </a:ln>
                    <a:effectLst/>
                  </c:spPr>
                  <c:extLst xmlns:c15="http://schemas.microsoft.com/office/drawing/2012/chart">
                    <c:ext xmlns:c16="http://schemas.microsoft.com/office/drawing/2014/chart" uri="{C3380CC4-5D6E-409C-BE32-E72D297353CC}">
                      <c16:uniqueId val="{00000021-00A7-40D9-9D9D-0A052A398B47}"/>
                    </c:ext>
                  </c:extLst>
                </c:dPt>
                <c:cat>
                  <c:strRef>
                    <c:extLst xmlns:c15="http://schemas.microsoft.com/office/drawing/2012/chart">
                      <c:ext xmlns:c15="http://schemas.microsoft.com/office/drawing/2012/chart" uri="{02D57815-91ED-43cb-92C2-25804820EDAC}">
                        <c15:formulaRef>
                          <c15:sqref>Dashboard!$AB$1:$AC$1</c15:sqref>
                        </c15:formulaRef>
                      </c:ext>
                    </c:extLst>
                    <c:strCache>
                      <c:ptCount val="2"/>
                      <c:pt idx="0">
                        <c:v>Revenue Generated</c:v>
                      </c:pt>
                      <c:pt idx="1">
                        <c:v>Revenue Lost</c:v>
                      </c:pt>
                    </c:strCache>
                  </c:strRef>
                </c:cat>
                <c:val>
                  <c:numRef>
                    <c:extLst xmlns:c15="http://schemas.microsoft.com/office/drawing/2012/chart">
                      <c:ext xmlns:c15="http://schemas.microsoft.com/office/drawing/2012/chart" uri="{02D57815-91ED-43cb-92C2-25804820EDAC}">
                        <c15:formulaRef>
                          <c15:sqref>Dashboard!$AB$8:$AC$8</c15:sqref>
                        </c15:formulaRef>
                      </c:ext>
                    </c:extLst>
                    <c:numCache>
                      <c:formatCode>\₹#,##0</c:formatCode>
                      <c:ptCount val="2"/>
                      <c:pt idx="0">
                        <c:v>1990900</c:v>
                      </c:pt>
                      <c:pt idx="1">
                        <c:v>543350</c:v>
                      </c:pt>
                    </c:numCache>
                  </c:numRef>
                </c:val>
                <c:extLst xmlns:c15="http://schemas.microsoft.com/office/drawing/2012/chart">
                  <c:ext xmlns:c16="http://schemas.microsoft.com/office/drawing/2014/chart" uri="{C3380CC4-5D6E-409C-BE32-E72D297353CC}">
                    <c16:uniqueId val="{00000022-00A7-40D9-9D9D-0A052A398B47}"/>
                  </c:ext>
                </c:extLst>
              </c15:ser>
            </c15:filteredPieSeries>
          </c:ext>
        </c:extLst>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pieChart>
        <c:varyColors val="1"/>
        <c:ser>
          <c:idx val="2"/>
          <c:order val="2"/>
          <c:tx>
            <c:strRef>
              <c:f>Dashboard!$AA$4</c:f>
              <c:strCache>
                <c:ptCount val="1"/>
                <c:pt idx="0">
                  <c:v>Posture Correction</c:v>
                </c:pt>
              </c:strCache>
              <c:extLst xmlns:c15="http://schemas.microsoft.com/office/drawing/2012/chart"/>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73E-4617-9D0D-45437F6FB3E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73E-4617-9D0D-45437F6FB3E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Dashboard!$AB$1:$AC$1</c:f>
              <c:strCache>
                <c:ptCount val="2"/>
                <c:pt idx="0">
                  <c:v>Revenue Generated</c:v>
                </c:pt>
                <c:pt idx="1">
                  <c:v>Revenue Lost</c:v>
                </c:pt>
              </c:strCache>
              <c:extLst xmlns:c15="http://schemas.microsoft.com/office/drawing/2012/chart"/>
            </c:strRef>
          </c:cat>
          <c:val>
            <c:numRef>
              <c:f>Dashboard!$AB$4:$AC$4</c:f>
              <c:numCache>
                <c:formatCode>\₹#,##0</c:formatCode>
                <c:ptCount val="2"/>
                <c:pt idx="0">
                  <c:v>330500</c:v>
                </c:pt>
                <c:pt idx="1">
                  <c:v>95750</c:v>
                </c:pt>
              </c:numCache>
              <c:extLst xmlns:c15="http://schemas.microsoft.com/office/drawing/2012/chart"/>
            </c:numRef>
          </c:val>
          <c:extLst>
            <c:ext xmlns:c16="http://schemas.microsoft.com/office/drawing/2014/chart" uri="{C3380CC4-5D6E-409C-BE32-E72D297353CC}">
              <c16:uniqueId val="{00000004-573E-4617-9D0D-45437F6FB3EB}"/>
            </c:ext>
          </c:extLst>
        </c:ser>
        <c:dLbls>
          <c:showLegendKey val="0"/>
          <c:showVal val="0"/>
          <c:showCatName val="0"/>
          <c:showSerName val="0"/>
          <c:showPercent val="0"/>
          <c:showBubbleSize val="0"/>
          <c:showLeaderLines val="1"/>
        </c:dLbls>
        <c:firstSliceAng val="0"/>
        <c:extLst>
          <c:ext xmlns:c15="http://schemas.microsoft.com/office/drawing/2012/chart" uri="{02D57815-91ED-43cb-92C2-25804820EDAC}">
            <c15:filteredPieSeries>
              <c15:ser>
                <c:idx val="0"/>
                <c:order val="0"/>
                <c:tx>
                  <c:strRef>
                    <c:extLst>
                      <c:ext uri="{02D57815-91ED-43cb-92C2-25804820EDAC}">
                        <c15:formulaRef>
                          <c15:sqref>Dashboard!$AA$2</c15:sqref>
                        </c15:formulaRef>
                      </c:ext>
                    </c:extLst>
                    <c:strCache>
                      <c:ptCount val="1"/>
                      <c:pt idx="0">
                        <c:v>Neuro Rehab</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573E-4617-9D0D-45437F6FB3E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573E-4617-9D0D-45437F6FB3EB}"/>
                    </c:ext>
                  </c:extLst>
                </c:dPt>
                <c:cat>
                  <c:strRef>
                    <c:extLst>
                      <c:ext uri="{02D57815-91ED-43cb-92C2-25804820EDAC}">
                        <c15:formulaRef>
                          <c15:sqref>Dashboard!$AB$1:$AC$1</c15:sqref>
                        </c15:formulaRef>
                      </c:ext>
                    </c:extLst>
                    <c:strCache>
                      <c:ptCount val="2"/>
                      <c:pt idx="0">
                        <c:v>Revenue Generated</c:v>
                      </c:pt>
                      <c:pt idx="1">
                        <c:v>Revenue Lost</c:v>
                      </c:pt>
                    </c:strCache>
                  </c:strRef>
                </c:cat>
                <c:val>
                  <c:numRef>
                    <c:extLst>
                      <c:ext uri="{02D57815-91ED-43cb-92C2-25804820EDAC}">
                        <c15:formulaRef>
                          <c15:sqref>Dashboard!$AB$2:$AC$2</c15:sqref>
                        </c15:formulaRef>
                      </c:ext>
                    </c:extLst>
                    <c:numCache>
                      <c:formatCode>\₹#,##0</c:formatCode>
                      <c:ptCount val="2"/>
                      <c:pt idx="0">
                        <c:v>365500</c:v>
                      </c:pt>
                      <c:pt idx="1">
                        <c:v>87100</c:v>
                      </c:pt>
                    </c:numCache>
                  </c:numRef>
                </c:val>
                <c:extLst>
                  <c:ext xmlns:c16="http://schemas.microsoft.com/office/drawing/2014/chart" uri="{C3380CC4-5D6E-409C-BE32-E72D297353CC}">
                    <c16:uniqueId val="{00000009-573E-4617-9D0D-45437F6FB3EB}"/>
                  </c:ext>
                </c:extLst>
              </c15:ser>
            </c15:filteredPieSeries>
            <c15:filteredPieSeries>
              <c15:ser>
                <c:idx val="1"/>
                <c:order val="1"/>
                <c:tx>
                  <c:strRef>
                    <c:extLst xmlns:c15="http://schemas.microsoft.com/office/drawing/2012/chart">
                      <c:ext xmlns:c15="http://schemas.microsoft.com/office/drawing/2012/chart" uri="{02D57815-91ED-43cb-92C2-25804820EDAC}">
                        <c15:formulaRef>
                          <c15:sqref>Dashboard!$AA$3</c15:sqref>
                        </c15:formulaRef>
                      </c:ext>
                    </c:extLst>
                    <c:strCache>
                      <c:ptCount val="1"/>
                      <c:pt idx="0">
                        <c:v>Manual Therapy</c:v>
                      </c:pt>
                    </c:strCache>
                  </c:strRef>
                </c:tx>
                <c:dPt>
                  <c:idx val="0"/>
                  <c:bubble3D val="0"/>
                  <c:spPr>
                    <a:solidFill>
                      <a:schemeClr val="accent1"/>
                    </a:solidFill>
                    <a:ln w="19050">
                      <a:solidFill>
                        <a:schemeClr val="lt1"/>
                      </a:solidFill>
                    </a:ln>
                    <a:effectLst/>
                  </c:spPr>
                  <c:extLst xmlns:c15="http://schemas.microsoft.com/office/drawing/2012/chart">
                    <c:ext xmlns:c16="http://schemas.microsoft.com/office/drawing/2014/chart" uri="{C3380CC4-5D6E-409C-BE32-E72D297353CC}">
                      <c16:uniqueId val="{0000000B-573E-4617-9D0D-45437F6FB3EB}"/>
                    </c:ext>
                  </c:extLst>
                </c:dPt>
                <c:dPt>
                  <c:idx val="1"/>
                  <c:bubble3D val="0"/>
                  <c:spPr>
                    <a:solidFill>
                      <a:schemeClr val="accent2"/>
                    </a:solidFill>
                    <a:ln w="19050">
                      <a:solidFill>
                        <a:schemeClr val="lt1"/>
                      </a:solidFill>
                    </a:ln>
                    <a:effectLst/>
                  </c:spPr>
                  <c:extLst xmlns:c15="http://schemas.microsoft.com/office/drawing/2012/chart">
                    <c:ext xmlns:c16="http://schemas.microsoft.com/office/drawing/2014/chart" uri="{C3380CC4-5D6E-409C-BE32-E72D297353CC}">
                      <c16:uniqueId val="{0000000D-573E-4617-9D0D-45437F6FB3EB}"/>
                    </c:ext>
                  </c:extLst>
                </c:dPt>
                <c:cat>
                  <c:strRef>
                    <c:extLst xmlns:c15="http://schemas.microsoft.com/office/drawing/2012/chart">
                      <c:ext xmlns:c15="http://schemas.microsoft.com/office/drawing/2012/chart" uri="{02D57815-91ED-43cb-92C2-25804820EDAC}">
                        <c15:formulaRef>
                          <c15:sqref>Dashboard!$AB$1:$AC$1</c15:sqref>
                        </c15:formulaRef>
                      </c:ext>
                    </c:extLst>
                    <c:strCache>
                      <c:ptCount val="2"/>
                      <c:pt idx="0">
                        <c:v>Revenue Generated</c:v>
                      </c:pt>
                      <c:pt idx="1">
                        <c:v>Revenue Lost</c:v>
                      </c:pt>
                    </c:strCache>
                  </c:strRef>
                </c:cat>
                <c:val>
                  <c:numRef>
                    <c:extLst xmlns:c15="http://schemas.microsoft.com/office/drawing/2012/chart">
                      <c:ext xmlns:c15="http://schemas.microsoft.com/office/drawing/2012/chart" uri="{02D57815-91ED-43cb-92C2-25804820EDAC}">
                        <c15:formulaRef>
                          <c15:sqref>Dashboard!$AB$3:$AC$3</c15:sqref>
                        </c15:formulaRef>
                      </c:ext>
                    </c:extLst>
                    <c:numCache>
                      <c:formatCode>\₹#,##0</c:formatCode>
                      <c:ptCount val="2"/>
                      <c:pt idx="0">
                        <c:v>328950</c:v>
                      </c:pt>
                      <c:pt idx="1">
                        <c:v>96150</c:v>
                      </c:pt>
                    </c:numCache>
                  </c:numRef>
                </c:val>
                <c:extLst xmlns:c15="http://schemas.microsoft.com/office/drawing/2012/chart">
                  <c:ext xmlns:c16="http://schemas.microsoft.com/office/drawing/2014/chart" uri="{C3380CC4-5D6E-409C-BE32-E72D297353CC}">
                    <c16:uniqueId val="{0000000E-573E-4617-9D0D-45437F6FB3EB}"/>
                  </c:ext>
                </c:extLst>
              </c15:ser>
            </c15:filteredPieSeries>
            <c15:filteredPieSeries>
              <c15:ser>
                <c:idx val="3"/>
                <c:order val="3"/>
                <c:tx>
                  <c:strRef>
                    <c:extLst xmlns:c15="http://schemas.microsoft.com/office/drawing/2012/chart">
                      <c:ext xmlns:c15="http://schemas.microsoft.com/office/drawing/2012/chart" uri="{02D57815-91ED-43cb-92C2-25804820EDAC}">
                        <c15:formulaRef>
                          <c15:sqref>Dashboard!$AA$5</c15:sqref>
                        </c15:formulaRef>
                      </c:ext>
                    </c:extLst>
                    <c:strCache>
                      <c:ptCount val="1"/>
                      <c:pt idx="0">
                        <c:v>Exercise Therapy</c:v>
                      </c:pt>
                    </c:strCache>
                  </c:strRef>
                </c:tx>
                <c:dPt>
                  <c:idx val="0"/>
                  <c:bubble3D val="0"/>
                  <c:spPr>
                    <a:solidFill>
                      <a:schemeClr val="accent1"/>
                    </a:solidFill>
                    <a:ln w="19050">
                      <a:solidFill>
                        <a:schemeClr val="lt1"/>
                      </a:solidFill>
                    </a:ln>
                    <a:effectLst/>
                  </c:spPr>
                  <c:extLst xmlns:c15="http://schemas.microsoft.com/office/drawing/2012/chart">
                    <c:ext xmlns:c16="http://schemas.microsoft.com/office/drawing/2014/chart" uri="{C3380CC4-5D6E-409C-BE32-E72D297353CC}">
                      <c16:uniqueId val="{00000010-573E-4617-9D0D-45437F6FB3EB}"/>
                    </c:ext>
                  </c:extLst>
                </c:dPt>
                <c:dPt>
                  <c:idx val="1"/>
                  <c:bubble3D val="0"/>
                  <c:spPr>
                    <a:solidFill>
                      <a:schemeClr val="accent2"/>
                    </a:solidFill>
                    <a:ln w="19050">
                      <a:solidFill>
                        <a:schemeClr val="lt1"/>
                      </a:solidFill>
                    </a:ln>
                    <a:effectLst/>
                  </c:spPr>
                  <c:extLst xmlns:c15="http://schemas.microsoft.com/office/drawing/2012/chart">
                    <c:ext xmlns:c16="http://schemas.microsoft.com/office/drawing/2014/chart" uri="{C3380CC4-5D6E-409C-BE32-E72D297353CC}">
                      <c16:uniqueId val="{00000012-573E-4617-9D0D-45437F6FB3EB}"/>
                    </c:ext>
                  </c:extLst>
                </c:dPt>
                <c:cat>
                  <c:strRef>
                    <c:extLst xmlns:c15="http://schemas.microsoft.com/office/drawing/2012/chart">
                      <c:ext xmlns:c15="http://schemas.microsoft.com/office/drawing/2012/chart" uri="{02D57815-91ED-43cb-92C2-25804820EDAC}">
                        <c15:formulaRef>
                          <c15:sqref>Dashboard!$AB$1:$AC$1</c15:sqref>
                        </c15:formulaRef>
                      </c:ext>
                    </c:extLst>
                    <c:strCache>
                      <c:ptCount val="2"/>
                      <c:pt idx="0">
                        <c:v>Revenue Generated</c:v>
                      </c:pt>
                      <c:pt idx="1">
                        <c:v>Revenue Lost</c:v>
                      </c:pt>
                    </c:strCache>
                  </c:strRef>
                </c:cat>
                <c:val>
                  <c:numRef>
                    <c:extLst xmlns:c15="http://schemas.microsoft.com/office/drawing/2012/chart">
                      <c:ext xmlns:c15="http://schemas.microsoft.com/office/drawing/2012/chart" uri="{02D57815-91ED-43cb-92C2-25804820EDAC}">
                        <c15:formulaRef>
                          <c15:sqref>Dashboard!$AB$5:$AC$5</c15:sqref>
                        </c15:formulaRef>
                      </c:ext>
                    </c:extLst>
                    <c:numCache>
                      <c:formatCode>\₹#,##0</c:formatCode>
                      <c:ptCount val="2"/>
                      <c:pt idx="0">
                        <c:v>319300</c:v>
                      </c:pt>
                      <c:pt idx="1">
                        <c:v>95600</c:v>
                      </c:pt>
                    </c:numCache>
                  </c:numRef>
                </c:val>
                <c:extLst xmlns:c15="http://schemas.microsoft.com/office/drawing/2012/chart">
                  <c:ext xmlns:c16="http://schemas.microsoft.com/office/drawing/2014/chart" uri="{C3380CC4-5D6E-409C-BE32-E72D297353CC}">
                    <c16:uniqueId val="{00000013-573E-4617-9D0D-45437F6FB3EB}"/>
                  </c:ext>
                </c:extLst>
              </c15:ser>
            </c15:filteredPieSeries>
            <c15:filteredPieSeries>
              <c15:ser>
                <c:idx val="4"/>
                <c:order val="4"/>
                <c:tx>
                  <c:strRef>
                    <c:extLst xmlns:c15="http://schemas.microsoft.com/office/drawing/2012/chart">
                      <c:ext xmlns:c15="http://schemas.microsoft.com/office/drawing/2012/chart" uri="{02D57815-91ED-43cb-92C2-25804820EDAC}">
                        <c15:formulaRef>
                          <c15:sqref>Dashboard!$AA$6</c15:sqref>
                        </c15:formulaRef>
                      </c:ext>
                    </c:extLst>
                    <c:strCache>
                      <c:ptCount val="1"/>
                      <c:pt idx="0">
                        <c:v>Sports Rehab</c:v>
                      </c:pt>
                    </c:strCache>
                  </c:strRef>
                </c:tx>
                <c:dPt>
                  <c:idx val="0"/>
                  <c:bubble3D val="0"/>
                  <c:spPr>
                    <a:solidFill>
                      <a:schemeClr val="accent1"/>
                    </a:solidFill>
                    <a:ln w="19050">
                      <a:solidFill>
                        <a:schemeClr val="lt1"/>
                      </a:solidFill>
                    </a:ln>
                    <a:effectLst/>
                  </c:spPr>
                  <c:extLst xmlns:c15="http://schemas.microsoft.com/office/drawing/2012/chart">
                    <c:ext xmlns:c16="http://schemas.microsoft.com/office/drawing/2014/chart" uri="{C3380CC4-5D6E-409C-BE32-E72D297353CC}">
                      <c16:uniqueId val="{00000015-573E-4617-9D0D-45437F6FB3EB}"/>
                    </c:ext>
                  </c:extLst>
                </c:dPt>
                <c:dPt>
                  <c:idx val="1"/>
                  <c:bubble3D val="0"/>
                  <c:spPr>
                    <a:solidFill>
                      <a:schemeClr val="accent2"/>
                    </a:solidFill>
                    <a:ln w="19050">
                      <a:solidFill>
                        <a:schemeClr val="lt1"/>
                      </a:solidFill>
                    </a:ln>
                    <a:effectLst/>
                  </c:spPr>
                  <c:extLst xmlns:c15="http://schemas.microsoft.com/office/drawing/2012/chart">
                    <c:ext xmlns:c16="http://schemas.microsoft.com/office/drawing/2014/chart" uri="{C3380CC4-5D6E-409C-BE32-E72D297353CC}">
                      <c16:uniqueId val="{00000017-573E-4617-9D0D-45437F6FB3EB}"/>
                    </c:ext>
                  </c:extLst>
                </c:dPt>
                <c:cat>
                  <c:strRef>
                    <c:extLst xmlns:c15="http://schemas.microsoft.com/office/drawing/2012/chart">
                      <c:ext xmlns:c15="http://schemas.microsoft.com/office/drawing/2012/chart" uri="{02D57815-91ED-43cb-92C2-25804820EDAC}">
                        <c15:formulaRef>
                          <c15:sqref>Dashboard!$AB$1:$AC$1</c15:sqref>
                        </c15:formulaRef>
                      </c:ext>
                    </c:extLst>
                    <c:strCache>
                      <c:ptCount val="2"/>
                      <c:pt idx="0">
                        <c:v>Revenue Generated</c:v>
                      </c:pt>
                      <c:pt idx="1">
                        <c:v>Revenue Lost</c:v>
                      </c:pt>
                    </c:strCache>
                  </c:strRef>
                </c:cat>
                <c:val>
                  <c:numRef>
                    <c:extLst xmlns:c15="http://schemas.microsoft.com/office/drawing/2012/chart">
                      <c:ext xmlns:c15="http://schemas.microsoft.com/office/drawing/2012/chart" uri="{02D57815-91ED-43cb-92C2-25804820EDAC}">
                        <c15:formulaRef>
                          <c15:sqref>Dashboard!$AB$6:$AC$6</c15:sqref>
                        </c15:formulaRef>
                      </c:ext>
                    </c:extLst>
                    <c:numCache>
                      <c:formatCode>\₹#,##0</c:formatCode>
                      <c:ptCount val="2"/>
                      <c:pt idx="0">
                        <c:v>318550</c:v>
                      </c:pt>
                      <c:pt idx="1">
                        <c:v>94600</c:v>
                      </c:pt>
                    </c:numCache>
                  </c:numRef>
                </c:val>
                <c:extLst xmlns:c15="http://schemas.microsoft.com/office/drawing/2012/chart">
                  <c:ext xmlns:c16="http://schemas.microsoft.com/office/drawing/2014/chart" uri="{C3380CC4-5D6E-409C-BE32-E72D297353CC}">
                    <c16:uniqueId val="{00000018-573E-4617-9D0D-45437F6FB3EB}"/>
                  </c:ext>
                </c:extLst>
              </c15:ser>
            </c15:filteredPieSeries>
            <c15:filteredPieSeries>
              <c15:ser>
                <c:idx val="5"/>
                <c:order val="5"/>
                <c:tx>
                  <c:strRef>
                    <c:extLst xmlns:c15="http://schemas.microsoft.com/office/drawing/2012/chart">
                      <c:ext xmlns:c15="http://schemas.microsoft.com/office/drawing/2012/chart" uri="{02D57815-91ED-43cb-92C2-25804820EDAC}">
                        <c15:formulaRef>
                          <c15:sqref>Dashboard!$AA$7</c15:sqref>
                        </c15:formulaRef>
                      </c:ext>
                    </c:extLst>
                    <c:strCache>
                      <c:ptCount val="1"/>
                      <c:pt idx="0">
                        <c:v>Electrotherapy</c:v>
                      </c:pt>
                    </c:strCache>
                  </c:strRef>
                </c:tx>
                <c:dPt>
                  <c:idx val="0"/>
                  <c:bubble3D val="0"/>
                  <c:spPr>
                    <a:solidFill>
                      <a:schemeClr val="accent1"/>
                    </a:solidFill>
                    <a:ln w="19050">
                      <a:solidFill>
                        <a:schemeClr val="lt1"/>
                      </a:solidFill>
                    </a:ln>
                    <a:effectLst/>
                  </c:spPr>
                  <c:extLst xmlns:c15="http://schemas.microsoft.com/office/drawing/2012/chart">
                    <c:ext xmlns:c16="http://schemas.microsoft.com/office/drawing/2014/chart" uri="{C3380CC4-5D6E-409C-BE32-E72D297353CC}">
                      <c16:uniqueId val="{0000001A-573E-4617-9D0D-45437F6FB3EB}"/>
                    </c:ext>
                  </c:extLst>
                </c:dPt>
                <c:dPt>
                  <c:idx val="1"/>
                  <c:bubble3D val="0"/>
                  <c:spPr>
                    <a:solidFill>
                      <a:schemeClr val="accent2"/>
                    </a:solidFill>
                    <a:ln w="19050">
                      <a:solidFill>
                        <a:schemeClr val="lt1"/>
                      </a:solidFill>
                    </a:ln>
                    <a:effectLst/>
                  </c:spPr>
                  <c:extLst xmlns:c15="http://schemas.microsoft.com/office/drawing/2012/chart">
                    <c:ext xmlns:c16="http://schemas.microsoft.com/office/drawing/2014/chart" uri="{C3380CC4-5D6E-409C-BE32-E72D297353CC}">
                      <c16:uniqueId val="{0000001C-573E-4617-9D0D-45437F6FB3EB}"/>
                    </c:ext>
                  </c:extLst>
                </c:dPt>
                <c:cat>
                  <c:strRef>
                    <c:extLst xmlns:c15="http://schemas.microsoft.com/office/drawing/2012/chart">
                      <c:ext xmlns:c15="http://schemas.microsoft.com/office/drawing/2012/chart" uri="{02D57815-91ED-43cb-92C2-25804820EDAC}">
                        <c15:formulaRef>
                          <c15:sqref>Dashboard!$AB$1:$AC$1</c15:sqref>
                        </c15:formulaRef>
                      </c:ext>
                    </c:extLst>
                    <c:strCache>
                      <c:ptCount val="2"/>
                      <c:pt idx="0">
                        <c:v>Revenue Generated</c:v>
                      </c:pt>
                      <c:pt idx="1">
                        <c:v>Revenue Lost</c:v>
                      </c:pt>
                    </c:strCache>
                  </c:strRef>
                </c:cat>
                <c:val>
                  <c:numRef>
                    <c:extLst xmlns:c15="http://schemas.microsoft.com/office/drawing/2012/chart">
                      <c:ext xmlns:c15="http://schemas.microsoft.com/office/drawing/2012/chart" uri="{02D57815-91ED-43cb-92C2-25804820EDAC}">
                        <c15:formulaRef>
                          <c15:sqref>Dashboard!$AB$7:$AC$7</c15:sqref>
                        </c15:formulaRef>
                      </c:ext>
                    </c:extLst>
                    <c:numCache>
                      <c:formatCode>\₹#,##0</c:formatCode>
                      <c:ptCount val="2"/>
                      <c:pt idx="0">
                        <c:v>328100</c:v>
                      </c:pt>
                      <c:pt idx="1">
                        <c:v>74150</c:v>
                      </c:pt>
                    </c:numCache>
                  </c:numRef>
                </c:val>
                <c:extLst xmlns:c15="http://schemas.microsoft.com/office/drawing/2012/chart">
                  <c:ext xmlns:c16="http://schemas.microsoft.com/office/drawing/2014/chart" uri="{C3380CC4-5D6E-409C-BE32-E72D297353CC}">
                    <c16:uniqueId val="{0000001D-573E-4617-9D0D-45437F6FB3EB}"/>
                  </c:ext>
                </c:extLst>
              </c15:ser>
            </c15:filteredPieSeries>
            <c15:filteredPieSeries>
              <c15:ser>
                <c:idx val="6"/>
                <c:order val="6"/>
                <c:tx>
                  <c:strRef>
                    <c:extLst xmlns:c15="http://schemas.microsoft.com/office/drawing/2012/chart">
                      <c:ext xmlns:c15="http://schemas.microsoft.com/office/drawing/2012/chart" uri="{02D57815-91ED-43cb-92C2-25804820EDAC}">
                        <c15:formulaRef>
                          <c15:sqref>Dashboard!$AA$8</c15:sqref>
                        </c15:formulaRef>
                      </c:ext>
                    </c:extLst>
                    <c:strCache>
                      <c:ptCount val="1"/>
                      <c:pt idx="0">
                        <c:v>Total</c:v>
                      </c:pt>
                    </c:strCache>
                  </c:strRef>
                </c:tx>
                <c:dPt>
                  <c:idx val="0"/>
                  <c:bubble3D val="0"/>
                  <c:spPr>
                    <a:solidFill>
                      <a:schemeClr val="accent1"/>
                    </a:solidFill>
                    <a:ln w="19050">
                      <a:solidFill>
                        <a:schemeClr val="lt1"/>
                      </a:solidFill>
                    </a:ln>
                    <a:effectLst/>
                  </c:spPr>
                  <c:extLst xmlns:c15="http://schemas.microsoft.com/office/drawing/2012/chart">
                    <c:ext xmlns:c16="http://schemas.microsoft.com/office/drawing/2014/chart" uri="{C3380CC4-5D6E-409C-BE32-E72D297353CC}">
                      <c16:uniqueId val="{0000001F-573E-4617-9D0D-45437F6FB3EB}"/>
                    </c:ext>
                  </c:extLst>
                </c:dPt>
                <c:dPt>
                  <c:idx val="1"/>
                  <c:bubble3D val="0"/>
                  <c:spPr>
                    <a:solidFill>
                      <a:schemeClr val="accent2"/>
                    </a:solidFill>
                    <a:ln w="19050">
                      <a:solidFill>
                        <a:schemeClr val="lt1"/>
                      </a:solidFill>
                    </a:ln>
                    <a:effectLst/>
                  </c:spPr>
                  <c:extLst xmlns:c15="http://schemas.microsoft.com/office/drawing/2012/chart">
                    <c:ext xmlns:c16="http://schemas.microsoft.com/office/drawing/2014/chart" uri="{C3380CC4-5D6E-409C-BE32-E72D297353CC}">
                      <c16:uniqueId val="{00000021-573E-4617-9D0D-45437F6FB3EB}"/>
                    </c:ext>
                  </c:extLst>
                </c:dPt>
                <c:cat>
                  <c:strRef>
                    <c:extLst xmlns:c15="http://schemas.microsoft.com/office/drawing/2012/chart">
                      <c:ext xmlns:c15="http://schemas.microsoft.com/office/drawing/2012/chart" uri="{02D57815-91ED-43cb-92C2-25804820EDAC}">
                        <c15:formulaRef>
                          <c15:sqref>Dashboard!$AB$1:$AC$1</c15:sqref>
                        </c15:formulaRef>
                      </c:ext>
                    </c:extLst>
                    <c:strCache>
                      <c:ptCount val="2"/>
                      <c:pt idx="0">
                        <c:v>Revenue Generated</c:v>
                      </c:pt>
                      <c:pt idx="1">
                        <c:v>Revenue Lost</c:v>
                      </c:pt>
                    </c:strCache>
                  </c:strRef>
                </c:cat>
                <c:val>
                  <c:numRef>
                    <c:extLst xmlns:c15="http://schemas.microsoft.com/office/drawing/2012/chart">
                      <c:ext xmlns:c15="http://schemas.microsoft.com/office/drawing/2012/chart" uri="{02D57815-91ED-43cb-92C2-25804820EDAC}">
                        <c15:formulaRef>
                          <c15:sqref>Dashboard!$AB$8:$AC$8</c15:sqref>
                        </c15:formulaRef>
                      </c:ext>
                    </c:extLst>
                    <c:numCache>
                      <c:formatCode>\₹#,##0</c:formatCode>
                      <c:ptCount val="2"/>
                      <c:pt idx="0">
                        <c:v>1990900</c:v>
                      </c:pt>
                      <c:pt idx="1">
                        <c:v>543350</c:v>
                      </c:pt>
                    </c:numCache>
                  </c:numRef>
                </c:val>
                <c:extLst xmlns:c15="http://schemas.microsoft.com/office/drawing/2012/chart">
                  <c:ext xmlns:c16="http://schemas.microsoft.com/office/drawing/2014/chart" uri="{C3380CC4-5D6E-409C-BE32-E72D297353CC}">
                    <c16:uniqueId val="{00000022-573E-4617-9D0D-45437F6FB3EB}"/>
                  </c:ext>
                </c:extLst>
              </c15:ser>
            </c15:filteredPieSeries>
          </c:ext>
        </c:extLst>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pieChart>
        <c:varyColors val="1"/>
        <c:ser>
          <c:idx val="3"/>
          <c:order val="3"/>
          <c:tx>
            <c:strRef>
              <c:f>Dashboard!$AA$5</c:f>
              <c:strCache>
                <c:ptCount val="1"/>
                <c:pt idx="0">
                  <c:v>Exercise Therapy</c:v>
                </c:pt>
              </c:strCache>
              <c:extLst xmlns:c15="http://schemas.microsoft.com/office/drawing/2012/chart"/>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B58-4A7B-99F6-C64AFD58DBF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B58-4A7B-99F6-C64AFD58DBF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Dashboard!$AB$1:$AC$1</c:f>
              <c:strCache>
                <c:ptCount val="2"/>
                <c:pt idx="0">
                  <c:v>Revenue Generated</c:v>
                </c:pt>
                <c:pt idx="1">
                  <c:v>Revenue Lost</c:v>
                </c:pt>
              </c:strCache>
              <c:extLst xmlns:c15="http://schemas.microsoft.com/office/drawing/2012/chart"/>
            </c:strRef>
          </c:cat>
          <c:val>
            <c:numRef>
              <c:f>Dashboard!$AB$5:$AC$5</c:f>
              <c:numCache>
                <c:formatCode>\₹#,##0</c:formatCode>
                <c:ptCount val="2"/>
                <c:pt idx="0">
                  <c:v>319300</c:v>
                </c:pt>
                <c:pt idx="1">
                  <c:v>95600</c:v>
                </c:pt>
              </c:numCache>
              <c:extLst xmlns:c15="http://schemas.microsoft.com/office/drawing/2012/chart"/>
            </c:numRef>
          </c:val>
          <c:extLst>
            <c:ext xmlns:c16="http://schemas.microsoft.com/office/drawing/2014/chart" uri="{C3380CC4-5D6E-409C-BE32-E72D297353CC}">
              <c16:uniqueId val="{00000004-5B58-4A7B-99F6-C64AFD58DBF0}"/>
            </c:ext>
          </c:extLst>
        </c:ser>
        <c:dLbls>
          <c:showLegendKey val="0"/>
          <c:showVal val="0"/>
          <c:showCatName val="0"/>
          <c:showSerName val="0"/>
          <c:showPercent val="0"/>
          <c:showBubbleSize val="0"/>
          <c:showLeaderLines val="1"/>
        </c:dLbls>
        <c:firstSliceAng val="0"/>
        <c:extLst>
          <c:ext xmlns:c15="http://schemas.microsoft.com/office/drawing/2012/chart" uri="{02D57815-91ED-43cb-92C2-25804820EDAC}">
            <c15:filteredPieSeries>
              <c15:ser>
                <c:idx val="0"/>
                <c:order val="0"/>
                <c:tx>
                  <c:strRef>
                    <c:extLst>
                      <c:ext uri="{02D57815-91ED-43cb-92C2-25804820EDAC}">
                        <c15:formulaRef>
                          <c15:sqref>Dashboard!$AA$2</c15:sqref>
                        </c15:formulaRef>
                      </c:ext>
                    </c:extLst>
                    <c:strCache>
                      <c:ptCount val="1"/>
                      <c:pt idx="0">
                        <c:v>Neuro Rehab</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5B58-4A7B-99F6-C64AFD58DBF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5B58-4A7B-99F6-C64AFD58DBF0}"/>
                    </c:ext>
                  </c:extLst>
                </c:dPt>
                <c:cat>
                  <c:strRef>
                    <c:extLst>
                      <c:ext uri="{02D57815-91ED-43cb-92C2-25804820EDAC}">
                        <c15:formulaRef>
                          <c15:sqref>Dashboard!$AB$1:$AC$1</c15:sqref>
                        </c15:formulaRef>
                      </c:ext>
                    </c:extLst>
                    <c:strCache>
                      <c:ptCount val="2"/>
                      <c:pt idx="0">
                        <c:v>Revenue Generated</c:v>
                      </c:pt>
                      <c:pt idx="1">
                        <c:v>Revenue Lost</c:v>
                      </c:pt>
                    </c:strCache>
                  </c:strRef>
                </c:cat>
                <c:val>
                  <c:numRef>
                    <c:extLst>
                      <c:ext uri="{02D57815-91ED-43cb-92C2-25804820EDAC}">
                        <c15:formulaRef>
                          <c15:sqref>Dashboard!$AB$2:$AC$2</c15:sqref>
                        </c15:formulaRef>
                      </c:ext>
                    </c:extLst>
                    <c:numCache>
                      <c:formatCode>\₹#,##0</c:formatCode>
                      <c:ptCount val="2"/>
                      <c:pt idx="0">
                        <c:v>365500</c:v>
                      </c:pt>
                      <c:pt idx="1">
                        <c:v>87100</c:v>
                      </c:pt>
                    </c:numCache>
                  </c:numRef>
                </c:val>
                <c:extLst>
                  <c:ext xmlns:c16="http://schemas.microsoft.com/office/drawing/2014/chart" uri="{C3380CC4-5D6E-409C-BE32-E72D297353CC}">
                    <c16:uniqueId val="{00000009-5B58-4A7B-99F6-C64AFD58DBF0}"/>
                  </c:ext>
                </c:extLst>
              </c15:ser>
            </c15:filteredPieSeries>
            <c15:filteredPieSeries>
              <c15:ser>
                <c:idx val="1"/>
                <c:order val="1"/>
                <c:tx>
                  <c:strRef>
                    <c:extLst xmlns:c15="http://schemas.microsoft.com/office/drawing/2012/chart">
                      <c:ext xmlns:c15="http://schemas.microsoft.com/office/drawing/2012/chart" uri="{02D57815-91ED-43cb-92C2-25804820EDAC}">
                        <c15:formulaRef>
                          <c15:sqref>Dashboard!$AA$3</c15:sqref>
                        </c15:formulaRef>
                      </c:ext>
                    </c:extLst>
                    <c:strCache>
                      <c:ptCount val="1"/>
                      <c:pt idx="0">
                        <c:v>Manual Therapy</c:v>
                      </c:pt>
                    </c:strCache>
                  </c:strRef>
                </c:tx>
                <c:dPt>
                  <c:idx val="0"/>
                  <c:bubble3D val="0"/>
                  <c:spPr>
                    <a:solidFill>
                      <a:schemeClr val="accent1"/>
                    </a:solidFill>
                    <a:ln w="19050">
                      <a:solidFill>
                        <a:schemeClr val="lt1"/>
                      </a:solidFill>
                    </a:ln>
                    <a:effectLst/>
                  </c:spPr>
                  <c:extLst xmlns:c15="http://schemas.microsoft.com/office/drawing/2012/chart">
                    <c:ext xmlns:c16="http://schemas.microsoft.com/office/drawing/2014/chart" uri="{C3380CC4-5D6E-409C-BE32-E72D297353CC}">
                      <c16:uniqueId val="{0000000B-5B58-4A7B-99F6-C64AFD58DBF0}"/>
                    </c:ext>
                  </c:extLst>
                </c:dPt>
                <c:dPt>
                  <c:idx val="1"/>
                  <c:bubble3D val="0"/>
                  <c:spPr>
                    <a:solidFill>
                      <a:schemeClr val="accent2"/>
                    </a:solidFill>
                    <a:ln w="19050">
                      <a:solidFill>
                        <a:schemeClr val="lt1"/>
                      </a:solidFill>
                    </a:ln>
                    <a:effectLst/>
                  </c:spPr>
                  <c:extLst xmlns:c15="http://schemas.microsoft.com/office/drawing/2012/chart">
                    <c:ext xmlns:c16="http://schemas.microsoft.com/office/drawing/2014/chart" uri="{C3380CC4-5D6E-409C-BE32-E72D297353CC}">
                      <c16:uniqueId val="{0000000D-5B58-4A7B-99F6-C64AFD58DBF0}"/>
                    </c:ext>
                  </c:extLst>
                </c:dPt>
                <c:cat>
                  <c:strRef>
                    <c:extLst xmlns:c15="http://schemas.microsoft.com/office/drawing/2012/chart">
                      <c:ext xmlns:c15="http://schemas.microsoft.com/office/drawing/2012/chart" uri="{02D57815-91ED-43cb-92C2-25804820EDAC}">
                        <c15:formulaRef>
                          <c15:sqref>Dashboard!$AB$1:$AC$1</c15:sqref>
                        </c15:formulaRef>
                      </c:ext>
                    </c:extLst>
                    <c:strCache>
                      <c:ptCount val="2"/>
                      <c:pt idx="0">
                        <c:v>Revenue Generated</c:v>
                      </c:pt>
                      <c:pt idx="1">
                        <c:v>Revenue Lost</c:v>
                      </c:pt>
                    </c:strCache>
                  </c:strRef>
                </c:cat>
                <c:val>
                  <c:numRef>
                    <c:extLst xmlns:c15="http://schemas.microsoft.com/office/drawing/2012/chart">
                      <c:ext xmlns:c15="http://schemas.microsoft.com/office/drawing/2012/chart" uri="{02D57815-91ED-43cb-92C2-25804820EDAC}">
                        <c15:formulaRef>
                          <c15:sqref>Dashboard!$AB$3:$AC$3</c15:sqref>
                        </c15:formulaRef>
                      </c:ext>
                    </c:extLst>
                    <c:numCache>
                      <c:formatCode>\₹#,##0</c:formatCode>
                      <c:ptCount val="2"/>
                      <c:pt idx="0">
                        <c:v>328950</c:v>
                      </c:pt>
                      <c:pt idx="1">
                        <c:v>96150</c:v>
                      </c:pt>
                    </c:numCache>
                  </c:numRef>
                </c:val>
                <c:extLst xmlns:c15="http://schemas.microsoft.com/office/drawing/2012/chart">
                  <c:ext xmlns:c16="http://schemas.microsoft.com/office/drawing/2014/chart" uri="{C3380CC4-5D6E-409C-BE32-E72D297353CC}">
                    <c16:uniqueId val="{0000000E-5B58-4A7B-99F6-C64AFD58DBF0}"/>
                  </c:ext>
                </c:extLst>
              </c15:ser>
            </c15:filteredPieSeries>
            <c15:filteredPieSeries>
              <c15:ser>
                <c:idx val="2"/>
                <c:order val="2"/>
                <c:tx>
                  <c:strRef>
                    <c:extLst xmlns:c15="http://schemas.microsoft.com/office/drawing/2012/chart">
                      <c:ext xmlns:c15="http://schemas.microsoft.com/office/drawing/2012/chart" uri="{02D57815-91ED-43cb-92C2-25804820EDAC}">
                        <c15:formulaRef>
                          <c15:sqref>Dashboard!$AA$4</c15:sqref>
                        </c15:formulaRef>
                      </c:ext>
                    </c:extLst>
                    <c:strCache>
                      <c:ptCount val="1"/>
                      <c:pt idx="0">
                        <c:v>Posture Correction</c:v>
                      </c:pt>
                    </c:strCache>
                  </c:strRef>
                </c:tx>
                <c:dPt>
                  <c:idx val="0"/>
                  <c:bubble3D val="0"/>
                  <c:spPr>
                    <a:solidFill>
                      <a:schemeClr val="accent1"/>
                    </a:solidFill>
                    <a:ln w="19050">
                      <a:solidFill>
                        <a:schemeClr val="lt1"/>
                      </a:solidFill>
                    </a:ln>
                    <a:effectLst/>
                  </c:spPr>
                  <c:extLst xmlns:c15="http://schemas.microsoft.com/office/drawing/2012/chart">
                    <c:ext xmlns:c16="http://schemas.microsoft.com/office/drawing/2014/chart" uri="{C3380CC4-5D6E-409C-BE32-E72D297353CC}">
                      <c16:uniqueId val="{00000010-5B58-4A7B-99F6-C64AFD58DBF0}"/>
                    </c:ext>
                  </c:extLst>
                </c:dPt>
                <c:dPt>
                  <c:idx val="1"/>
                  <c:bubble3D val="0"/>
                  <c:spPr>
                    <a:solidFill>
                      <a:schemeClr val="accent2"/>
                    </a:solidFill>
                    <a:ln w="19050">
                      <a:solidFill>
                        <a:schemeClr val="lt1"/>
                      </a:solidFill>
                    </a:ln>
                    <a:effectLst/>
                  </c:spPr>
                  <c:extLst xmlns:c15="http://schemas.microsoft.com/office/drawing/2012/chart">
                    <c:ext xmlns:c16="http://schemas.microsoft.com/office/drawing/2014/chart" uri="{C3380CC4-5D6E-409C-BE32-E72D297353CC}">
                      <c16:uniqueId val="{00000012-5B58-4A7B-99F6-C64AFD58DBF0}"/>
                    </c:ext>
                  </c:extLst>
                </c:dPt>
                <c:cat>
                  <c:strRef>
                    <c:extLst xmlns:c15="http://schemas.microsoft.com/office/drawing/2012/chart">
                      <c:ext xmlns:c15="http://schemas.microsoft.com/office/drawing/2012/chart" uri="{02D57815-91ED-43cb-92C2-25804820EDAC}">
                        <c15:formulaRef>
                          <c15:sqref>Dashboard!$AB$1:$AC$1</c15:sqref>
                        </c15:formulaRef>
                      </c:ext>
                    </c:extLst>
                    <c:strCache>
                      <c:ptCount val="2"/>
                      <c:pt idx="0">
                        <c:v>Revenue Generated</c:v>
                      </c:pt>
                      <c:pt idx="1">
                        <c:v>Revenue Lost</c:v>
                      </c:pt>
                    </c:strCache>
                  </c:strRef>
                </c:cat>
                <c:val>
                  <c:numRef>
                    <c:extLst xmlns:c15="http://schemas.microsoft.com/office/drawing/2012/chart">
                      <c:ext xmlns:c15="http://schemas.microsoft.com/office/drawing/2012/chart" uri="{02D57815-91ED-43cb-92C2-25804820EDAC}">
                        <c15:formulaRef>
                          <c15:sqref>Dashboard!$AB$4:$AC$4</c15:sqref>
                        </c15:formulaRef>
                      </c:ext>
                    </c:extLst>
                    <c:numCache>
                      <c:formatCode>\₹#,##0</c:formatCode>
                      <c:ptCount val="2"/>
                      <c:pt idx="0">
                        <c:v>330500</c:v>
                      </c:pt>
                      <c:pt idx="1">
                        <c:v>95750</c:v>
                      </c:pt>
                    </c:numCache>
                  </c:numRef>
                </c:val>
                <c:extLst xmlns:c15="http://schemas.microsoft.com/office/drawing/2012/chart">
                  <c:ext xmlns:c16="http://schemas.microsoft.com/office/drawing/2014/chart" uri="{C3380CC4-5D6E-409C-BE32-E72D297353CC}">
                    <c16:uniqueId val="{00000013-5B58-4A7B-99F6-C64AFD58DBF0}"/>
                  </c:ext>
                </c:extLst>
              </c15:ser>
            </c15:filteredPieSeries>
            <c15:filteredPieSeries>
              <c15:ser>
                <c:idx val="4"/>
                <c:order val="4"/>
                <c:tx>
                  <c:strRef>
                    <c:extLst xmlns:c15="http://schemas.microsoft.com/office/drawing/2012/chart">
                      <c:ext xmlns:c15="http://schemas.microsoft.com/office/drawing/2012/chart" uri="{02D57815-91ED-43cb-92C2-25804820EDAC}">
                        <c15:formulaRef>
                          <c15:sqref>Dashboard!$AA$6</c15:sqref>
                        </c15:formulaRef>
                      </c:ext>
                    </c:extLst>
                    <c:strCache>
                      <c:ptCount val="1"/>
                      <c:pt idx="0">
                        <c:v>Sports Rehab</c:v>
                      </c:pt>
                    </c:strCache>
                  </c:strRef>
                </c:tx>
                <c:dPt>
                  <c:idx val="0"/>
                  <c:bubble3D val="0"/>
                  <c:spPr>
                    <a:solidFill>
                      <a:schemeClr val="accent1"/>
                    </a:solidFill>
                    <a:ln w="19050">
                      <a:solidFill>
                        <a:schemeClr val="lt1"/>
                      </a:solidFill>
                    </a:ln>
                    <a:effectLst/>
                  </c:spPr>
                  <c:extLst xmlns:c15="http://schemas.microsoft.com/office/drawing/2012/chart">
                    <c:ext xmlns:c16="http://schemas.microsoft.com/office/drawing/2014/chart" uri="{C3380CC4-5D6E-409C-BE32-E72D297353CC}">
                      <c16:uniqueId val="{00000015-5B58-4A7B-99F6-C64AFD58DBF0}"/>
                    </c:ext>
                  </c:extLst>
                </c:dPt>
                <c:dPt>
                  <c:idx val="1"/>
                  <c:bubble3D val="0"/>
                  <c:spPr>
                    <a:solidFill>
                      <a:schemeClr val="accent2"/>
                    </a:solidFill>
                    <a:ln w="19050">
                      <a:solidFill>
                        <a:schemeClr val="lt1"/>
                      </a:solidFill>
                    </a:ln>
                    <a:effectLst/>
                  </c:spPr>
                  <c:extLst xmlns:c15="http://schemas.microsoft.com/office/drawing/2012/chart">
                    <c:ext xmlns:c16="http://schemas.microsoft.com/office/drawing/2014/chart" uri="{C3380CC4-5D6E-409C-BE32-E72D297353CC}">
                      <c16:uniqueId val="{00000017-5B58-4A7B-99F6-C64AFD58DBF0}"/>
                    </c:ext>
                  </c:extLst>
                </c:dPt>
                <c:cat>
                  <c:strRef>
                    <c:extLst xmlns:c15="http://schemas.microsoft.com/office/drawing/2012/chart">
                      <c:ext xmlns:c15="http://schemas.microsoft.com/office/drawing/2012/chart" uri="{02D57815-91ED-43cb-92C2-25804820EDAC}">
                        <c15:formulaRef>
                          <c15:sqref>Dashboard!$AB$1:$AC$1</c15:sqref>
                        </c15:formulaRef>
                      </c:ext>
                    </c:extLst>
                    <c:strCache>
                      <c:ptCount val="2"/>
                      <c:pt idx="0">
                        <c:v>Revenue Generated</c:v>
                      </c:pt>
                      <c:pt idx="1">
                        <c:v>Revenue Lost</c:v>
                      </c:pt>
                    </c:strCache>
                  </c:strRef>
                </c:cat>
                <c:val>
                  <c:numRef>
                    <c:extLst xmlns:c15="http://schemas.microsoft.com/office/drawing/2012/chart">
                      <c:ext xmlns:c15="http://schemas.microsoft.com/office/drawing/2012/chart" uri="{02D57815-91ED-43cb-92C2-25804820EDAC}">
                        <c15:formulaRef>
                          <c15:sqref>Dashboard!$AB$6:$AC$6</c15:sqref>
                        </c15:formulaRef>
                      </c:ext>
                    </c:extLst>
                    <c:numCache>
                      <c:formatCode>\₹#,##0</c:formatCode>
                      <c:ptCount val="2"/>
                      <c:pt idx="0">
                        <c:v>318550</c:v>
                      </c:pt>
                      <c:pt idx="1">
                        <c:v>94600</c:v>
                      </c:pt>
                    </c:numCache>
                  </c:numRef>
                </c:val>
                <c:extLst xmlns:c15="http://schemas.microsoft.com/office/drawing/2012/chart">
                  <c:ext xmlns:c16="http://schemas.microsoft.com/office/drawing/2014/chart" uri="{C3380CC4-5D6E-409C-BE32-E72D297353CC}">
                    <c16:uniqueId val="{00000018-5B58-4A7B-99F6-C64AFD58DBF0}"/>
                  </c:ext>
                </c:extLst>
              </c15:ser>
            </c15:filteredPieSeries>
            <c15:filteredPieSeries>
              <c15:ser>
                <c:idx val="5"/>
                <c:order val="5"/>
                <c:tx>
                  <c:strRef>
                    <c:extLst xmlns:c15="http://schemas.microsoft.com/office/drawing/2012/chart">
                      <c:ext xmlns:c15="http://schemas.microsoft.com/office/drawing/2012/chart" uri="{02D57815-91ED-43cb-92C2-25804820EDAC}">
                        <c15:formulaRef>
                          <c15:sqref>Dashboard!$AA$7</c15:sqref>
                        </c15:formulaRef>
                      </c:ext>
                    </c:extLst>
                    <c:strCache>
                      <c:ptCount val="1"/>
                      <c:pt idx="0">
                        <c:v>Electrotherapy</c:v>
                      </c:pt>
                    </c:strCache>
                  </c:strRef>
                </c:tx>
                <c:dPt>
                  <c:idx val="0"/>
                  <c:bubble3D val="0"/>
                  <c:spPr>
                    <a:solidFill>
                      <a:schemeClr val="accent1"/>
                    </a:solidFill>
                    <a:ln w="19050">
                      <a:solidFill>
                        <a:schemeClr val="lt1"/>
                      </a:solidFill>
                    </a:ln>
                    <a:effectLst/>
                  </c:spPr>
                  <c:extLst xmlns:c15="http://schemas.microsoft.com/office/drawing/2012/chart">
                    <c:ext xmlns:c16="http://schemas.microsoft.com/office/drawing/2014/chart" uri="{C3380CC4-5D6E-409C-BE32-E72D297353CC}">
                      <c16:uniqueId val="{0000001A-5B58-4A7B-99F6-C64AFD58DBF0}"/>
                    </c:ext>
                  </c:extLst>
                </c:dPt>
                <c:dPt>
                  <c:idx val="1"/>
                  <c:bubble3D val="0"/>
                  <c:spPr>
                    <a:solidFill>
                      <a:schemeClr val="accent2"/>
                    </a:solidFill>
                    <a:ln w="19050">
                      <a:solidFill>
                        <a:schemeClr val="lt1"/>
                      </a:solidFill>
                    </a:ln>
                    <a:effectLst/>
                  </c:spPr>
                  <c:extLst xmlns:c15="http://schemas.microsoft.com/office/drawing/2012/chart">
                    <c:ext xmlns:c16="http://schemas.microsoft.com/office/drawing/2014/chart" uri="{C3380CC4-5D6E-409C-BE32-E72D297353CC}">
                      <c16:uniqueId val="{0000001C-5B58-4A7B-99F6-C64AFD58DBF0}"/>
                    </c:ext>
                  </c:extLst>
                </c:dPt>
                <c:cat>
                  <c:strRef>
                    <c:extLst xmlns:c15="http://schemas.microsoft.com/office/drawing/2012/chart">
                      <c:ext xmlns:c15="http://schemas.microsoft.com/office/drawing/2012/chart" uri="{02D57815-91ED-43cb-92C2-25804820EDAC}">
                        <c15:formulaRef>
                          <c15:sqref>Dashboard!$AB$1:$AC$1</c15:sqref>
                        </c15:formulaRef>
                      </c:ext>
                    </c:extLst>
                    <c:strCache>
                      <c:ptCount val="2"/>
                      <c:pt idx="0">
                        <c:v>Revenue Generated</c:v>
                      </c:pt>
                      <c:pt idx="1">
                        <c:v>Revenue Lost</c:v>
                      </c:pt>
                    </c:strCache>
                  </c:strRef>
                </c:cat>
                <c:val>
                  <c:numRef>
                    <c:extLst xmlns:c15="http://schemas.microsoft.com/office/drawing/2012/chart">
                      <c:ext xmlns:c15="http://schemas.microsoft.com/office/drawing/2012/chart" uri="{02D57815-91ED-43cb-92C2-25804820EDAC}">
                        <c15:formulaRef>
                          <c15:sqref>Dashboard!$AB$7:$AC$7</c15:sqref>
                        </c15:formulaRef>
                      </c:ext>
                    </c:extLst>
                    <c:numCache>
                      <c:formatCode>\₹#,##0</c:formatCode>
                      <c:ptCount val="2"/>
                      <c:pt idx="0">
                        <c:v>328100</c:v>
                      </c:pt>
                      <c:pt idx="1">
                        <c:v>74150</c:v>
                      </c:pt>
                    </c:numCache>
                  </c:numRef>
                </c:val>
                <c:extLst xmlns:c15="http://schemas.microsoft.com/office/drawing/2012/chart">
                  <c:ext xmlns:c16="http://schemas.microsoft.com/office/drawing/2014/chart" uri="{C3380CC4-5D6E-409C-BE32-E72D297353CC}">
                    <c16:uniqueId val="{0000001D-5B58-4A7B-99F6-C64AFD58DBF0}"/>
                  </c:ext>
                </c:extLst>
              </c15:ser>
            </c15:filteredPieSeries>
            <c15:filteredPieSeries>
              <c15:ser>
                <c:idx val="6"/>
                <c:order val="6"/>
                <c:tx>
                  <c:strRef>
                    <c:extLst xmlns:c15="http://schemas.microsoft.com/office/drawing/2012/chart">
                      <c:ext xmlns:c15="http://schemas.microsoft.com/office/drawing/2012/chart" uri="{02D57815-91ED-43cb-92C2-25804820EDAC}">
                        <c15:formulaRef>
                          <c15:sqref>Dashboard!$AA$8</c15:sqref>
                        </c15:formulaRef>
                      </c:ext>
                    </c:extLst>
                    <c:strCache>
                      <c:ptCount val="1"/>
                      <c:pt idx="0">
                        <c:v>Total</c:v>
                      </c:pt>
                    </c:strCache>
                  </c:strRef>
                </c:tx>
                <c:dPt>
                  <c:idx val="0"/>
                  <c:bubble3D val="0"/>
                  <c:spPr>
                    <a:solidFill>
                      <a:schemeClr val="accent1"/>
                    </a:solidFill>
                    <a:ln w="19050">
                      <a:solidFill>
                        <a:schemeClr val="lt1"/>
                      </a:solidFill>
                    </a:ln>
                    <a:effectLst/>
                  </c:spPr>
                  <c:extLst xmlns:c15="http://schemas.microsoft.com/office/drawing/2012/chart">
                    <c:ext xmlns:c16="http://schemas.microsoft.com/office/drawing/2014/chart" uri="{C3380CC4-5D6E-409C-BE32-E72D297353CC}">
                      <c16:uniqueId val="{0000001F-5B58-4A7B-99F6-C64AFD58DBF0}"/>
                    </c:ext>
                  </c:extLst>
                </c:dPt>
                <c:dPt>
                  <c:idx val="1"/>
                  <c:bubble3D val="0"/>
                  <c:spPr>
                    <a:solidFill>
                      <a:schemeClr val="accent2"/>
                    </a:solidFill>
                    <a:ln w="19050">
                      <a:solidFill>
                        <a:schemeClr val="lt1"/>
                      </a:solidFill>
                    </a:ln>
                    <a:effectLst/>
                  </c:spPr>
                  <c:extLst xmlns:c15="http://schemas.microsoft.com/office/drawing/2012/chart">
                    <c:ext xmlns:c16="http://schemas.microsoft.com/office/drawing/2014/chart" uri="{C3380CC4-5D6E-409C-BE32-E72D297353CC}">
                      <c16:uniqueId val="{00000021-5B58-4A7B-99F6-C64AFD58DBF0}"/>
                    </c:ext>
                  </c:extLst>
                </c:dPt>
                <c:cat>
                  <c:strRef>
                    <c:extLst xmlns:c15="http://schemas.microsoft.com/office/drawing/2012/chart">
                      <c:ext xmlns:c15="http://schemas.microsoft.com/office/drawing/2012/chart" uri="{02D57815-91ED-43cb-92C2-25804820EDAC}">
                        <c15:formulaRef>
                          <c15:sqref>Dashboard!$AB$1:$AC$1</c15:sqref>
                        </c15:formulaRef>
                      </c:ext>
                    </c:extLst>
                    <c:strCache>
                      <c:ptCount val="2"/>
                      <c:pt idx="0">
                        <c:v>Revenue Generated</c:v>
                      </c:pt>
                      <c:pt idx="1">
                        <c:v>Revenue Lost</c:v>
                      </c:pt>
                    </c:strCache>
                  </c:strRef>
                </c:cat>
                <c:val>
                  <c:numRef>
                    <c:extLst xmlns:c15="http://schemas.microsoft.com/office/drawing/2012/chart">
                      <c:ext xmlns:c15="http://schemas.microsoft.com/office/drawing/2012/chart" uri="{02D57815-91ED-43cb-92C2-25804820EDAC}">
                        <c15:formulaRef>
                          <c15:sqref>Dashboard!$AB$8:$AC$8</c15:sqref>
                        </c15:formulaRef>
                      </c:ext>
                    </c:extLst>
                    <c:numCache>
                      <c:formatCode>\₹#,##0</c:formatCode>
                      <c:ptCount val="2"/>
                      <c:pt idx="0">
                        <c:v>1990900</c:v>
                      </c:pt>
                      <c:pt idx="1">
                        <c:v>543350</c:v>
                      </c:pt>
                    </c:numCache>
                  </c:numRef>
                </c:val>
                <c:extLst xmlns:c15="http://schemas.microsoft.com/office/drawing/2012/chart">
                  <c:ext xmlns:c16="http://schemas.microsoft.com/office/drawing/2014/chart" uri="{C3380CC4-5D6E-409C-BE32-E72D297353CC}">
                    <c16:uniqueId val="{00000022-5B58-4A7B-99F6-C64AFD58DBF0}"/>
                  </c:ext>
                </c:extLst>
              </c15:ser>
            </c15:filteredPieSeries>
          </c:ext>
        </c:extLst>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pieChart>
        <c:varyColors val="1"/>
        <c:ser>
          <c:idx val="4"/>
          <c:order val="4"/>
          <c:tx>
            <c:strRef>
              <c:f>Dashboard!$AA$6</c:f>
              <c:strCache>
                <c:ptCount val="1"/>
                <c:pt idx="0">
                  <c:v>Sports Rehab</c:v>
                </c:pt>
              </c:strCache>
              <c:extLst xmlns:c15="http://schemas.microsoft.com/office/drawing/2012/chart"/>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28F-45F4-A438-082041B717C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28F-45F4-A438-082041B717C0}"/>
              </c:ext>
            </c:extLst>
          </c:dPt>
          <c:dLbls>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1-A28F-45F4-A438-082041B717C0}"/>
                </c:ext>
              </c:extLst>
            </c:dLbl>
            <c:dLbl>
              <c:idx val="1"/>
              <c:tx>
                <c:rich>
                  <a:bodyPr/>
                  <a:lstStyle/>
                  <a:p>
                    <a:fld id="{B9E23978-AD71-4F48-AF67-42D0351605DF}" type="VALUE">
                      <a:rPr lang="en-US">
                        <a:solidFill>
                          <a:schemeClr val="bg1"/>
                        </a:solidFill>
                      </a:rPr>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A28F-45F4-A438-082041B717C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Dashboard!$AB$1:$AC$1</c:f>
              <c:strCache>
                <c:ptCount val="2"/>
                <c:pt idx="0">
                  <c:v>Revenue Generated</c:v>
                </c:pt>
                <c:pt idx="1">
                  <c:v>Revenue Lost</c:v>
                </c:pt>
              </c:strCache>
              <c:extLst xmlns:c15="http://schemas.microsoft.com/office/drawing/2012/chart"/>
            </c:strRef>
          </c:cat>
          <c:val>
            <c:numRef>
              <c:f>Dashboard!$AB$6:$AC$6</c:f>
              <c:numCache>
                <c:formatCode>\₹#,##0</c:formatCode>
                <c:ptCount val="2"/>
                <c:pt idx="0">
                  <c:v>318550</c:v>
                </c:pt>
                <c:pt idx="1">
                  <c:v>94600</c:v>
                </c:pt>
              </c:numCache>
              <c:extLst xmlns:c15="http://schemas.microsoft.com/office/drawing/2012/chart"/>
            </c:numRef>
          </c:val>
          <c:extLst>
            <c:ext xmlns:c16="http://schemas.microsoft.com/office/drawing/2014/chart" uri="{C3380CC4-5D6E-409C-BE32-E72D297353CC}">
              <c16:uniqueId val="{00000004-A28F-45F4-A438-082041B717C0}"/>
            </c:ext>
          </c:extLst>
        </c:ser>
        <c:dLbls>
          <c:showLegendKey val="0"/>
          <c:showVal val="0"/>
          <c:showCatName val="0"/>
          <c:showSerName val="0"/>
          <c:showPercent val="0"/>
          <c:showBubbleSize val="0"/>
          <c:showLeaderLines val="1"/>
        </c:dLbls>
        <c:firstSliceAng val="0"/>
        <c:extLst>
          <c:ext xmlns:c15="http://schemas.microsoft.com/office/drawing/2012/chart" uri="{02D57815-91ED-43cb-92C2-25804820EDAC}">
            <c15:filteredPieSeries>
              <c15:ser>
                <c:idx val="0"/>
                <c:order val="0"/>
                <c:tx>
                  <c:strRef>
                    <c:extLst>
                      <c:ext uri="{02D57815-91ED-43cb-92C2-25804820EDAC}">
                        <c15:formulaRef>
                          <c15:sqref>Dashboard!$AA$2</c15:sqref>
                        </c15:formulaRef>
                      </c:ext>
                    </c:extLst>
                    <c:strCache>
                      <c:ptCount val="1"/>
                      <c:pt idx="0">
                        <c:v>Neuro Rehab</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A28F-45F4-A438-082041B717C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A28F-45F4-A438-082041B717C0}"/>
                    </c:ext>
                  </c:extLst>
                </c:dPt>
                <c:cat>
                  <c:strRef>
                    <c:extLst>
                      <c:ext uri="{02D57815-91ED-43cb-92C2-25804820EDAC}">
                        <c15:formulaRef>
                          <c15:sqref>Dashboard!$AB$1:$AC$1</c15:sqref>
                        </c15:formulaRef>
                      </c:ext>
                    </c:extLst>
                    <c:strCache>
                      <c:ptCount val="2"/>
                      <c:pt idx="0">
                        <c:v>Revenue Generated</c:v>
                      </c:pt>
                      <c:pt idx="1">
                        <c:v>Revenue Lost</c:v>
                      </c:pt>
                    </c:strCache>
                  </c:strRef>
                </c:cat>
                <c:val>
                  <c:numRef>
                    <c:extLst>
                      <c:ext uri="{02D57815-91ED-43cb-92C2-25804820EDAC}">
                        <c15:formulaRef>
                          <c15:sqref>Dashboard!$AB$2:$AC$2</c15:sqref>
                        </c15:formulaRef>
                      </c:ext>
                    </c:extLst>
                    <c:numCache>
                      <c:formatCode>\₹#,##0</c:formatCode>
                      <c:ptCount val="2"/>
                      <c:pt idx="0">
                        <c:v>365500</c:v>
                      </c:pt>
                      <c:pt idx="1">
                        <c:v>87100</c:v>
                      </c:pt>
                    </c:numCache>
                  </c:numRef>
                </c:val>
                <c:extLst>
                  <c:ext xmlns:c16="http://schemas.microsoft.com/office/drawing/2014/chart" uri="{C3380CC4-5D6E-409C-BE32-E72D297353CC}">
                    <c16:uniqueId val="{00000009-A28F-45F4-A438-082041B717C0}"/>
                  </c:ext>
                </c:extLst>
              </c15:ser>
            </c15:filteredPieSeries>
            <c15:filteredPieSeries>
              <c15:ser>
                <c:idx val="1"/>
                <c:order val="1"/>
                <c:tx>
                  <c:strRef>
                    <c:extLst xmlns:c15="http://schemas.microsoft.com/office/drawing/2012/chart">
                      <c:ext xmlns:c15="http://schemas.microsoft.com/office/drawing/2012/chart" uri="{02D57815-91ED-43cb-92C2-25804820EDAC}">
                        <c15:formulaRef>
                          <c15:sqref>Dashboard!$AA$3</c15:sqref>
                        </c15:formulaRef>
                      </c:ext>
                    </c:extLst>
                    <c:strCache>
                      <c:ptCount val="1"/>
                      <c:pt idx="0">
                        <c:v>Manual Therapy</c:v>
                      </c:pt>
                    </c:strCache>
                  </c:strRef>
                </c:tx>
                <c:dPt>
                  <c:idx val="0"/>
                  <c:bubble3D val="0"/>
                  <c:spPr>
                    <a:solidFill>
                      <a:schemeClr val="accent1"/>
                    </a:solidFill>
                    <a:ln w="19050">
                      <a:solidFill>
                        <a:schemeClr val="lt1"/>
                      </a:solidFill>
                    </a:ln>
                    <a:effectLst/>
                  </c:spPr>
                  <c:extLst xmlns:c15="http://schemas.microsoft.com/office/drawing/2012/chart">
                    <c:ext xmlns:c16="http://schemas.microsoft.com/office/drawing/2014/chart" uri="{C3380CC4-5D6E-409C-BE32-E72D297353CC}">
                      <c16:uniqueId val="{0000000B-A28F-45F4-A438-082041B717C0}"/>
                    </c:ext>
                  </c:extLst>
                </c:dPt>
                <c:dPt>
                  <c:idx val="1"/>
                  <c:bubble3D val="0"/>
                  <c:spPr>
                    <a:solidFill>
                      <a:schemeClr val="accent2"/>
                    </a:solidFill>
                    <a:ln w="19050">
                      <a:solidFill>
                        <a:schemeClr val="lt1"/>
                      </a:solidFill>
                    </a:ln>
                    <a:effectLst/>
                  </c:spPr>
                  <c:extLst xmlns:c15="http://schemas.microsoft.com/office/drawing/2012/chart">
                    <c:ext xmlns:c16="http://schemas.microsoft.com/office/drawing/2014/chart" uri="{C3380CC4-5D6E-409C-BE32-E72D297353CC}">
                      <c16:uniqueId val="{0000000D-A28F-45F4-A438-082041B717C0}"/>
                    </c:ext>
                  </c:extLst>
                </c:dPt>
                <c:cat>
                  <c:strRef>
                    <c:extLst xmlns:c15="http://schemas.microsoft.com/office/drawing/2012/chart">
                      <c:ext xmlns:c15="http://schemas.microsoft.com/office/drawing/2012/chart" uri="{02D57815-91ED-43cb-92C2-25804820EDAC}">
                        <c15:formulaRef>
                          <c15:sqref>Dashboard!$AB$1:$AC$1</c15:sqref>
                        </c15:formulaRef>
                      </c:ext>
                    </c:extLst>
                    <c:strCache>
                      <c:ptCount val="2"/>
                      <c:pt idx="0">
                        <c:v>Revenue Generated</c:v>
                      </c:pt>
                      <c:pt idx="1">
                        <c:v>Revenue Lost</c:v>
                      </c:pt>
                    </c:strCache>
                  </c:strRef>
                </c:cat>
                <c:val>
                  <c:numRef>
                    <c:extLst xmlns:c15="http://schemas.microsoft.com/office/drawing/2012/chart">
                      <c:ext xmlns:c15="http://schemas.microsoft.com/office/drawing/2012/chart" uri="{02D57815-91ED-43cb-92C2-25804820EDAC}">
                        <c15:formulaRef>
                          <c15:sqref>Dashboard!$AB$3:$AC$3</c15:sqref>
                        </c15:formulaRef>
                      </c:ext>
                    </c:extLst>
                    <c:numCache>
                      <c:formatCode>\₹#,##0</c:formatCode>
                      <c:ptCount val="2"/>
                      <c:pt idx="0">
                        <c:v>328950</c:v>
                      </c:pt>
                      <c:pt idx="1">
                        <c:v>96150</c:v>
                      </c:pt>
                    </c:numCache>
                  </c:numRef>
                </c:val>
                <c:extLst xmlns:c15="http://schemas.microsoft.com/office/drawing/2012/chart">
                  <c:ext xmlns:c16="http://schemas.microsoft.com/office/drawing/2014/chart" uri="{C3380CC4-5D6E-409C-BE32-E72D297353CC}">
                    <c16:uniqueId val="{0000000E-A28F-45F4-A438-082041B717C0}"/>
                  </c:ext>
                </c:extLst>
              </c15:ser>
            </c15:filteredPieSeries>
            <c15:filteredPieSeries>
              <c15:ser>
                <c:idx val="2"/>
                <c:order val="2"/>
                <c:tx>
                  <c:strRef>
                    <c:extLst xmlns:c15="http://schemas.microsoft.com/office/drawing/2012/chart">
                      <c:ext xmlns:c15="http://schemas.microsoft.com/office/drawing/2012/chart" uri="{02D57815-91ED-43cb-92C2-25804820EDAC}">
                        <c15:formulaRef>
                          <c15:sqref>Dashboard!$AA$4</c15:sqref>
                        </c15:formulaRef>
                      </c:ext>
                    </c:extLst>
                    <c:strCache>
                      <c:ptCount val="1"/>
                      <c:pt idx="0">
                        <c:v>Posture Correction</c:v>
                      </c:pt>
                    </c:strCache>
                  </c:strRef>
                </c:tx>
                <c:dPt>
                  <c:idx val="0"/>
                  <c:bubble3D val="0"/>
                  <c:spPr>
                    <a:solidFill>
                      <a:schemeClr val="accent1"/>
                    </a:solidFill>
                    <a:ln w="19050">
                      <a:solidFill>
                        <a:schemeClr val="lt1"/>
                      </a:solidFill>
                    </a:ln>
                    <a:effectLst/>
                  </c:spPr>
                  <c:extLst xmlns:c15="http://schemas.microsoft.com/office/drawing/2012/chart">
                    <c:ext xmlns:c16="http://schemas.microsoft.com/office/drawing/2014/chart" uri="{C3380CC4-5D6E-409C-BE32-E72D297353CC}">
                      <c16:uniqueId val="{00000010-A28F-45F4-A438-082041B717C0}"/>
                    </c:ext>
                  </c:extLst>
                </c:dPt>
                <c:dPt>
                  <c:idx val="1"/>
                  <c:bubble3D val="0"/>
                  <c:spPr>
                    <a:solidFill>
                      <a:schemeClr val="accent2"/>
                    </a:solidFill>
                    <a:ln w="19050">
                      <a:solidFill>
                        <a:schemeClr val="lt1"/>
                      </a:solidFill>
                    </a:ln>
                    <a:effectLst/>
                  </c:spPr>
                  <c:extLst xmlns:c15="http://schemas.microsoft.com/office/drawing/2012/chart">
                    <c:ext xmlns:c16="http://schemas.microsoft.com/office/drawing/2014/chart" uri="{C3380CC4-5D6E-409C-BE32-E72D297353CC}">
                      <c16:uniqueId val="{00000012-A28F-45F4-A438-082041B717C0}"/>
                    </c:ext>
                  </c:extLst>
                </c:dPt>
                <c:cat>
                  <c:strRef>
                    <c:extLst xmlns:c15="http://schemas.microsoft.com/office/drawing/2012/chart">
                      <c:ext xmlns:c15="http://schemas.microsoft.com/office/drawing/2012/chart" uri="{02D57815-91ED-43cb-92C2-25804820EDAC}">
                        <c15:formulaRef>
                          <c15:sqref>Dashboard!$AB$1:$AC$1</c15:sqref>
                        </c15:formulaRef>
                      </c:ext>
                    </c:extLst>
                    <c:strCache>
                      <c:ptCount val="2"/>
                      <c:pt idx="0">
                        <c:v>Revenue Generated</c:v>
                      </c:pt>
                      <c:pt idx="1">
                        <c:v>Revenue Lost</c:v>
                      </c:pt>
                    </c:strCache>
                  </c:strRef>
                </c:cat>
                <c:val>
                  <c:numRef>
                    <c:extLst xmlns:c15="http://schemas.microsoft.com/office/drawing/2012/chart">
                      <c:ext xmlns:c15="http://schemas.microsoft.com/office/drawing/2012/chart" uri="{02D57815-91ED-43cb-92C2-25804820EDAC}">
                        <c15:formulaRef>
                          <c15:sqref>Dashboard!$AB$4:$AC$4</c15:sqref>
                        </c15:formulaRef>
                      </c:ext>
                    </c:extLst>
                    <c:numCache>
                      <c:formatCode>\₹#,##0</c:formatCode>
                      <c:ptCount val="2"/>
                      <c:pt idx="0">
                        <c:v>330500</c:v>
                      </c:pt>
                      <c:pt idx="1">
                        <c:v>95750</c:v>
                      </c:pt>
                    </c:numCache>
                  </c:numRef>
                </c:val>
                <c:extLst xmlns:c15="http://schemas.microsoft.com/office/drawing/2012/chart">
                  <c:ext xmlns:c16="http://schemas.microsoft.com/office/drawing/2014/chart" uri="{C3380CC4-5D6E-409C-BE32-E72D297353CC}">
                    <c16:uniqueId val="{00000013-A28F-45F4-A438-082041B717C0}"/>
                  </c:ext>
                </c:extLst>
              </c15:ser>
            </c15:filteredPieSeries>
            <c15:filteredPieSeries>
              <c15:ser>
                <c:idx val="3"/>
                <c:order val="3"/>
                <c:tx>
                  <c:strRef>
                    <c:extLst xmlns:c15="http://schemas.microsoft.com/office/drawing/2012/chart">
                      <c:ext xmlns:c15="http://schemas.microsoft.com/office/drawing/2012/chart" uri="{02D57815-91ED-43cb-92C2-25804820EDAC}">
                        <c15:formulaRef>
                          <c15:sqref>Dashboard!$AA$5</c15:sqref>
                        </c15:formulaRef>
                      </c:ext>
                    </c:extLst>
                    <c:strCache>
                      <c:ptCount val="1"/>
                      <c:pt idx="0">
                        <c:v>Exercise Therapy</c:v>
                      </c:pt>
                    </c:strCache>
                  </c:strRef>
                </c:tx>
                <c:dPt>
                  <c:idx val="0"/>
                  <c:bubble3D val="0"/>
                  <c:spPr>
                    <a:solidFill>
                      <a:schemeClr val="accent1"/>
                    </a:solidFill>
                    <a:ln w="19050">
                      <a:solidFill>
                        <a:schemeClr val="lt1"/>
                      </a:solidFill>
                    </a:ln>
                    <a:effectLst/>
                  </c:spPr>
                  <c:extLst xmlns:c15="http://schemas.microsoft.com/office/drawing/2012/chart">
                    <c:ext xmlns:c16="http://schemas.microsoft.com/office/drawing/2014/chart" uri="{C3380CC4-5D6E-409C-BE32-E72D297353CC}">
                      <c16:uniqueId val="{00000015-A28F-45F4-A438-082041B717C0}"/>
                    </c:ext>
                  </c:extLst>
                </c:dPt>
                <c:dPt>
                  <c:idx val="1"/>
                  <c:bubble3D val="0"/>
                  <c:spPr>
                    <a:solidFill>
                      <a:schemeClr val="accent2"/>
                    </a:solidFill>
                    <a:ln w="19050">
                      <a:solidFill>
                        <a:schemeClr val="lt1"/>
                      </a:solidFill>
                    </a:ln>
                    <a:effectLst/>
                  </c:spPr>
                  <c:extLst xmlns:c15="http://schemas.microsoft.com/office/drawing/2012/chart">
                    <c:ext xmlns:c16="http://schemas.microsoft.com/office/drawing/2014/chart" uri="{C3380CC4-5D6E-409C-BE32-E72D297353CC}">
                      <c16:uniqueId val="{00000017-A28F-45F4-A438-082041B717C0}"/>
                    </c:ext>
                  </c:extLst>
                </c:dPt>
                <c:cat>
                  <c:strRef>
                    <c:extLst xmlns:c15="http://schemas.microsoft.com/office/drawing/2012/chart">
                      <c:ext xmlns:c15="http://schemas.microsoft.com/office/drawing/2012/chart" uri="{02D57815-91ED-43cb-92C2-25804820EDAC}">
                        <c15:formulaRef>
                          <c15:sqref>Dashboard!$AB$1:$AC$1</c15:sqref>
                        </c15:formulaRef>
                      </c:ext>
                    </c:extLst>
                    <c:strCache>
                      <c:ptCount val="2"/>
                      <c:pt idx="0">
                        <c:v>Revenue Generated</c:v>
                      </c:pt>
                      <c:pt idx="1">
                        <c:v>Revenue Lost</c:v>
                      </c:pt>
                    </c:strCache>
                  </c:strRef>
                </c:cat>
                <c:val>
                  <c:numRef>
                    <c:extLst xmlns:c15="http://schemas.microsoft.com/office/drawing/2012/chart">
                      <c:ext xmlns:c15="http://schemas.microsoft.com/office/drawing/2012/chart" uri="{02D57815-91ED-43cb-92C2-25804820EDAC}">
                        <c15:formulaRef>
                          <c15:sqref>Dashboard!$AB$5:$AC$5</c15:sqref>
                        </c15:formulaRef>
                      </c:ext>
                    </c:extLst>
                    <c:numCache>
                      <c:formatCode>\₹#,##0</c:formatCode>
                      <c:ptCount val="2"/>
                      <c:pt idx="0">
                        <c:v>319300</c:v>
                      </c:pt>
                      <c:pt idx="1">
                        <c:v>95600</c:v>
                      </c:pt>
                    </c:numCache>
                  </c:numRef>
                </c:val>
                <c:extLst xmlns:c15="http://schemas.microsoft.com/office/drawing/2012/chart">
                  <c:ext xmlns:c16="http://schemas.microsoft.com/office/drawing/2014/chart" uri="{C3380CC4-5D6E-409C-BE32-E72D297353CC}">
                    <c16:uniqueId val="{00000018-A28F-45F4-A438-082041B717C0}"/>
                  </c:ext>
                </c:extLst>
              </c15:ser>
            </c15:filteredPieSeries>
            <c15:filteredPieSeries>
              <c15:ser>
                <c:idx val="5"/>
                <c:order val="5"/>
                <c:tx>
                  <c:strRef>
                    <c:extLst xmlns:c15="http://schemas.microsoft.com/office/drawing/2012/chart">
                      <c:ext xmlns:c15="http://schemas.microsoft.com/office/drawing/2012/chart" uri="{02D57815-91ED-43cb-92C2-25804820EDAC}">
                        <c15:formulaRef>
                          <c15:sqref>Dashboard!$AA$7</c15:sqref>
                        </c15:formulaRef>
                      </c:ext>
                    </c:extLst>
                    <c:strCache>
                      <c:ptCount val="1"/>
                      <c:pt idx="0">
                        <c:v>Electrotherapy</c:v>
                      </c:pt>
                    </c:strCache>
                  </c:strRef>
                </c:tx>
                <c:dPt>
                  <c:idx val="0"/>
                  <c:bubble3D val="0"/>
                  <c:spPr>
                    <a:solidFill>
                      <a:schemeClr val="accent1"/>
                    </a:solidFill>
                    <a:ln w="19050">
                      <a:solidFill>
                        <a:schemeClr val="lt1"/>
                      </a:solidFill>
                    </a:ln>
                    <a:effectLst/>
                  </c:spPr>
                  <c:extLst xmlns:c15="http://schemas.microsoft.com/office/drawing/2012/chart">
                    <c:ext xmlns:c16="http://schemas.microsoft.com/office/drawing/2014/chart" uri="{C3380CC4-5D6E-409C-BE32-E72D297353CC}">
                      <c16:uniqueId val="{0000001A-A28F-45F4-A438-082041B717C0}"/>
                    </c:ext>
                  </c:extLst>
                </c:dPt>
                <c:dPt>
                  <c:idx val="1"/>
                  <c:bubble3D val="0"/>
                  <c:spPr>
                    <a:solidFill>
                      <a:schemeClr val="accent2"/>
                    </a:solidFill>
                    <a:ln w="19050">
                      <a:solidFill>
                        <a:schemeClr val="lt1"/>
                      </a:solidFill>
                    </a:ln>
                    <a:effectLst/>
                  </c:spPr>
                  <c:extLst xmlns:c15="http://schemas.microsoft.com/office/drawing/2012/chart">
                    <c:ext xmlns:c16="http://schemas.microsoft.com/office/drawing/2014/chart" uri="{C3380CC4-5D6E-409C-BE32-E72D297353CC}">
                      <c16:uniqueId val="{0000001C-A28F-45F4-A438-082041B717C0}"/>
                    </c:ext>
                  </c:extLst>
                </c:dPt>
                <c:cat>
                  <c:strRef>
                    <c:extLst xmlns:c15="http://schemas.microsoft.com/office/drawing/2012/chart">
                      <c:ext xmlns:c15="http://schemas.microsoft.com/office/drawing/2012/chart" uri="{02D57815-91ED-43cb-92C2-25804820EDAC}">
                        <c15:formulaRef>
                          <c15:sqref>Dashboard!$AB$1:$AC$1</c15:sqref>
                        </c15:formulaRef>
                      </c:ext>
                    </c:extLst>
                    <c:strCache>
                      <c:ptCount val="2"/>
                      <c:pt idx="0">
                        <c:v>Revenue Generated</c:v>
                      </c:pt>
                      <c:pt idx="1">
                        <c:v>Revenue Lost</c:v>
                      </c:pt>
                    </c:strCache>
                  </c:strRef>
                </c:cat>
                <c:val>
                  <c:numRef>
                    <c:extLst xmlns:c15="http://schemas.microsoft.com/office/drawing/2012/chart">
                      <c:ext xmlns:c15="http://schemas.microsoft.com/office/drawing/2012/chart" uri="{02D57815-91ED-43cb-92C2-25804820EDAC}">
                        <c15:formulaRef>
                          <c15:sqref>Dashboard!$AB$7:$AC$7</c15:sqref>
                        </c15:formulaRef>
                      </c:ext>
                    </c:extLst>
                    <c:numCache>
                      <c:formatCode>\₹#,##0</c:formatCode>
                      <c:ptCount val="2"/>
                      <c:pt idx="0">
                        <c:v>328100</c:v>
                      </c:pt>
                      <c:pt idx="1">
                        <c:v>74150</c:v>
                      </c:pt>
                    </c:numCache>
                  </c:numRef>
                </c:val>
                <c:extLst xmlns:c15="http://schemas.microsoft.com/office/drawing/2012/chart">
                  <c:ext xmlns:c16="http://schemas.microsoft.com/office/drawing/2014/chart" uri="{C3380CC4-5D6E-409C-BE32-E72D297353CC}">
                    <c16:uniqueId val="{0000001D-A28F-45F4-A438-082041B717C0}"/>
                  </c:ext>
                </c:extLst>
              </c15:ser>
            </c15:filteredPieSeries>
            <c15:filteredPieSeries>
              <c15:ser>
                <c:idx val="6"/>
                <c:order val="6"/>
                <c:tx>
                  <c:strRef>
                    <c:extLst xmlns:c15="http://schemas.microsoft.com/office/drawing/2012/chart">
                      <c:ext xmlns:c15="http://schemas.microsoft.com/office/drawing/2012/chart" uri="{02D57815-91ED-43cb-92C2-25804820EDAC}">
                        <c15:formulaRef>
                          <c15:sqref>Dashboard!$AA$8</c15:sqref>
                        </c15:formulaRef>
                      </c:ext>
                    </c:extLst>
                    <c:strCache>
                      <c:ptCount val="1"/>
                      <c:pt idx="0">
                        <c:v>Total</c:v>
                      </c:pt>
                    </c:strCache>
                  </c:strRef>
                </c:tx>
                <c:dPt>
                  <c:idx val="0"/>
                  <c:bubble3D val="0"/>
                  <c:spPr>
                    <a:solidFill>
                      <a:schemeClr val="accent1"/>
                    </a:solidFill>
                    <a:ln w="19050">
                      <a:solidFill>
                        <a:schemeClr val="lt1"/>
                      </a:solidFill>
                    </a:ln>
                    <a:effectLst/>
                  </c:spPr>
                  <c:extLst xmlns:c15="http://schemas.microsoft.com/office/drawing/2012/chart">
                    <c:ext xmlns:c16="http://schemas.microsoft.com/office/drawing/2014/chart" uri="{C3380CC4-5D6E-409C-BE32-E72D297353CC}">
                      <c16:uniqueId val="{0000001F-A28F-45F4-A438-082041B717C0}"/>
                    </c:ext>
                  </c:extLst>
                </c:dPt>
                <c:dPt>
                  <c:idx val="1"/>
                  <c:bubble3D val="0"/>
                  <c:spPr>
                    <a:solidFill>
                      <a:schemeClr val="accent2"/>
                    </a:solidFill>
                    <a:ln w="19050">
                      <a:solidFill>
                        <a:schemeClr val="lt1"/>
                      </a:solidFill>
                    </a:ln>
                    <a:effectLst/>
                  </c:spPr>
                  <c:extLst xmlns:c15="http://schemas.microsoft.com/office/drawing/2012/chart">
                    <c:ext xmlns:c16="http://schemas.microsoft.com/office/drawing/2014/chart" uri="{C3380CC4-5D6E-409C-BE32-E72D297353CC}">
                      <c16:uniqueId val="{00000021-A28F-45F4-A438-082041B717C0}"/>
                    </c:ext>
                  </c:extLst>
                </c:dPt>
                <c:cat>
                  <c:strRef>
                    <c:extLst xmlns:c15="http://schemas.microsoft.com/office/drawing/2012/chart">
                      <c:ext xmlns:c15="http://schemas.microsoft.com/office/drawing/2012/chart" uri="{02D57815-91ED-43cb-92C2-25804820EDAC}">
                        <c15:formulaRef>
                          <c15:sqref>Dashboard!$AB$1:$AC$1</c15:sqref>
                        </c15:formulaRef>
                      </c:ext>
                    </c:extLst>
                    <c:strCache>
                      <c:ptCount val="2"/>
                      <c:pt idx="0">
                        <c:v>Revenue Generated</c:v>
                      </c:pt>
                      <c:pt idx="1">
                        <c:v>Revenue Lost</c:v>
                      </c:pt>
                    </c:strCache>
                  </c:strRef>
                </c:cat>
                <c:val>
                  <c:numRef>
                    <c:extLst xmlns:c15="http://schemas.microsoft.com/office/drawing/2012/chart">
                      <c:ext xmlns:c15="http://schemas.microsoft.com/office/drawing/2012/chart" uri="{02D57815-91ED-43cb-92C2-25804820EDAC}">
                        <c15:formulaRef>
                          <c15:sqref>Dashboard!$AB$8:$AC$8</c15:sqref>
                        </c15:formulaRef>
                      </c:ext>
                    </c:extLst>
                    <c:numCache>
                      <c:formatCode>\₹#,##0</c:formatCode>
                      <c:ptCount val="2"/>
                      <c:pt idx="0">
                        <c:v>1990900</c:v>
                      </c:pt>
                      <c:pt idx="1">
                        <c:v>543350</c:v>
                      </c:pt>
                    </c:numCache>
                  </c:numRef>
                </c:val>
                <c:extLst xmlns:c15="http://schemas.microsoft.com/office/drawing/2012/chart">
                  <c:ext xmlns:c16="http://schemas.microsoft.com/office/drawing/2014/chart" uri="{C3380CC4-5D6E-409C-BE32-E72D297353CC}">
                    <c16:uniqueId val="{00000022-A28F-45F4-A438-082041B717C0}"/>
                  </c:ext>
                </c:extLst>
              </c15:ser>
            </c15:filteredPieSeries>
          </c:ext>
        </c:extLst>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pieChart>
        <c:varyColors val="1"/>
        <c:ser>
          <c:idx val="5"/>
          <c:order val="5"/>
          <c:tx>
            <c:strRef>
              <c:f>Dashboard!$AA$7</c:f>
              <c:strCache>
                <c:ptCount val="1"/>
                <c:pt idx="0">
                  <c:v>Electrotherapy</c:v>
                </c:pt>
              </c:strCache>
              <c:extLst xmlns:c15="http://schemas.microsoft.com/office/drawing/2012/chart"/>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9C6-4120-8C5C-5D4DAFCA87C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9C6-4120-8C5C-5D4DAFCA87C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Dashboard!$AB$1:$AC$1</c:f>
              <c:strCache>
                <c:ptCount val="2"/>
                <c:pt idx="0">
                  <c:v>Revenue Generated</c:v>
                </c:pt>
                <c:pt idx="1">
                  <c:v>Revenue Lost</c:v>
                </c:pt>
              </c:strCache>
              <c:extLst xmlns:c15="http://schemas.microsoft.com/office/drawing/2012/chart"/>
            </c:strRef>
          </c:cat>
          <c:val>
            <c:numRef>
              <c:f>Dashboard!$AB$7:$AC$7</c:f>
              <c:numCache>
                <c:formatCode>\₹#,##0</c:formatCode>
                <c:ptCount val="2"/>
                <c:pt idx="0">
                  <c:v>328100</c:v>
                </c:pt>
                <c:pt idx="1">
                  <c:v>74150</c:v>
                </c:pt>
              </c:numCache>
              <c:extLst xmlns:c15="http://schemas.microsoft.com/office/drawing/2012/chart"/>
            </c:numRef>
          </c:val>
          <c:extLst>
            <c:ext xmlns:c16="http://schemas.microsoft.com/office/drawing/2014/chart" uri="{C3380CC4-5D6E-409C-BE32-E72D297353CC}">
              <c16:uniqueId val="{00000004-09C6-4120-8C5C-5D4DAFCA87CA}"/>
            </c:ext>
          </c:extLst>
        </c:ser>
        <c:dLbls>
          <c:showLegendKey val="0"/>
          <c:showVal val="0"/>
          <c:showCatName val="0"/>
          <c:showSerName val="0"/>
          <c:showPercent val="0"/>
          <c:showBubbleSize val="0"/>
          <c:showLeaderLines val="1"/>
        </c:dLbls>
        <c:firstSliceAng val="0"/>
        <c:extLst>
          <c:ext xmlns:c15="http://schemas.microsoft.com/office/drawing/2012/chart" uri="{02D57815-91ED-43cb-92C2-25804820EDAC}">
            <c15:filteredPieSeries>
              <c15:ser>
                <c:idx val="0"/>
                <c:order val="0"/>
                <c:tx>
                  <c:strRef>
                    <c:extLst>
                      <c:ext uri="{02D57815-91ED-43cb-92C2-25804820EDAC}">
                        <c15:formulaRef>
                          <c15:sqref>Dashboard!$AA$2</c15:sqref>
                        </c15:formulaRef>
                      </c:ext>
                    </c:extLst>
                    <c:strCache>
                      <c:ptCount val="1"/>
                      <c:pt idx="0">
                        <c:v>Neuro Rehab</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09C6-4120-8C5C-5D4DAFCA87C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09C6-4120-8C5C-5D4DAFCA87CA}"/>
                    </c:ext>
                  </c:extLst>
                </c:dPt>
                <c:cat>
                  <c:strRef>
                    <c:extLst>
                      <c:ext uri="{02D57815-91ED-43cb-92C2-25804820EDAC}">
                        <c15:formulaRef>
                          <c15:sqref>Dashboard!$AB$1:$AC$1</c15:sqref>
                        </c15:formulaRef>
                      </c:ext>
                    </c:extLst>
                    <c:strCache>
                      <c:ptCount val="2"/>
                      <c:pt idx="0">
                        <c:v>Revenue Generated</c:v>
                      </c:pt>
                      <c:pt idx="1">
                        <c:v>Revenue Lost</c:v>
                      </c:pt>
                    </c:strCache>
                  </c:strRef>
                </c:cat>
                <c:val>
                  <c:numRef>
                    <c:extLst>
                      <c:ext uri="{02D57815-91ED-43cb-92C2-25804820EDAC}">
                        <c15:formulaRef>
                          <c15:sqref>Dashboard!$AB$2:$AC$2</c15:sqref>
                        </c15:formulaRef>
                      </c:ext>
                    </c:extLst>
                    <c:numCache>
                      <c:formatCode>\₹#,##0</c:formatCode>
                      <c:ptCount val="2"/>
                      <c:pt idx="0">
                        <c:v>365500</c:v>
                      </c:pt>
                      <c:pt idx="1">
                        <c:v>87100</c:v>
                      </c:pt>
                    </c:numCache>
                  </c:numRef>
                </c:val>
                <c:extLst>
                  <c:ext xmlns:c16="http://schemas.microsoft.com/office/drawing/2014/chart" uri="{C3380CC4-5D6E-409C-BE32-E72D297353CC}">
                    <c16:uniqueId val="{00000009-09C6-4120-8C5C-5D4DAFCA87CA}"/>
                  </c:ext>
                </c:extLst>
              </c15:ser>
            </c15:filteredPieSeries>
            <c15:filteredPieSeries>
              <c15:ser>
                <c:idx val="1"/>
                <c:order val="1"/>
                <c:tx>
                  <c:strRef>
                    <c:extLst xmlns:c15="http://schemas.microsoft.com/office/drawing/2012/chart">
                      <c:ext xmlns:c15="http://schemas.microsoft.com/office/drawing/2012/chart" uri="{02D57815-91ED-43cb-92C2-25804820EDAC}">
                        <c15:formulaRef>
                          <c15:sqref>Dashboard!$AA$3</c15:sqref>
                        </c15:formulaRef>
                      </c:ext>
                    </c:extLst>
                    <c:strCache>
                      <c:ptCount val="1"/>
                      <c:pt idx="0">
                        <c:v>Manual Therapy</c:v>
                      </c:pt>
                    </c:strCache>
                  </c:strRef>
                </c:tx>
                <c:dPt>
                  <c:idx val="0"/>
                  <c:bubble3D val="0"/>
                  <c:spPr>
                    <a:solidFill>
                      <a:schemeClr val="accent1"/>
                    </a:solidFill>
                    <a:ln w="19050">
                      <a:solidFill>
                        <a:schemeClr val="lt1"/>
                      </a:solidFill>
                    </a:ln>
                    <a:effectLst/>
                  </c:spPr>
                  <c:extLst xmlns:c15="http://schemas.microsoft.com/office/drawing/2012/chart">
                    <c:ext xmlns:c16="http://schemas.microsoft.com/office/drawing/2014/chart" uri="{C3380CC4-5D6E-409C-BE32-E72D297353CC}">
                      <c16:uniqueId val="{0000000B-09C6-4120-8C5C-5D4DAFCA87CA}"/>
                    </c:ext>
                  </c:extLst>
                </c:dPt>
                <c:dPt>
                  <c:idx val="1"/>
                  <c:bubble3D val="0"/>
                  <c:spPr>
                    <a:solidFill>
                      <a:schemeClr val="accent2"/>
                    </a:solidFill>
                    <a:ln w="19050">
                      <a:solidFill>
                        <a:schemeClr val="lt1"/>
                      </a:solidFill>
                    </a:ln>
                    <a:effectLst/>
                  </c:spPr>
                  <c:extLst xmlns:c15="http://schemas.microsoft.com/office/drawing/2012/chart">
                    <c:ext xmlns:c16="http://schemas.microsoft.com/office/drawing/2014/chart" uri="{C3380CC4-5D6E-409C-BE32-E72D297353CC}">
                      <c16:uniqueId val="{0000000D-09C6-4120-8C5C-5D4DAFCA87CA}"/>
                    </c:ext>
                  </c:extLst>
                </c:dPt>
                <c:cat>
                  <c:strRef>
                    <c:extLst xmlns:c15="http://schemas.microsoft.com/office/drawing/2012/chart">
                      <c:ext xmlns:c15="http://schemas.microsoft.com/office/drawing/2012/chart" uri="{02D57815-91ED-43cb-92C2-25804820EDAC}">
                        <c15:formulaRef>
                          <c15:sqref>Dashboard!$AB$1:$AC$1</c15:sqref>
                        </c15:formulaRef>
                      </c:ext>
                    </c:extLst>
                    <c:strCache>
                      <c:ptCount val="2"/>
                      <c:pt idx="0">
                        <c:v>Revenue Generated</c:v>
                      </c:pt>
                      <c:pt idx="1">
                        <c:v>Revenue Lost</c:v>
                      </c:pt>
                    </c:strCache>
                  </c:strRef>
                </c:cat>
                <c:val>
                  <c:numRef>
                    <c:extLst xmlns:c15="http://schemas.microsoft.com/office/drawing/2012/chart">
                      <c:ext xmlns:c15="http://schemas.microsoft.com/office/drawing/2012/chart" uri="{02D57815-91ED-43cb-92C2-25804820EDAC}">
                        <c15:formulaRef>
                          <c15:sqref>Dashboard!$AB$3:$AC$3</c15:sqref>
                        </c15:formulaRef>
                      </c:ext>
                    </c:extLst>
                    <c:numCache>
                      <c:formatCode>\₹#,##0</c:formatCode>
                      <c:ptCount val="2"/>
                      <c:pt idx="0">
                        <c:v>328950</c:v>
                      </c:pt>
                      <c:pt idx="1">
                        <c:v>96150</c:v>
                      </c:pt>
                    </c:numCache>
                  </c:numRef>
                </c:val>
                <c:extLst xmlns:c15="http://schemas.microsoft.com/office/drawing/2012/chart">
                  <c:ext xmlns:c16="http://schemas.microsoft.com/office/drawing/2014/chart" uri="{C3380CC4-5D6E-409C-BE32-E72D297353CC}">
                    <c16:uniqueId val="{0000000E-09C6-4120-8C5C-5D4DAFCA87CA}"/>
                  </c:ext>
                </c:extLst>
              </c15:ser>
            </c15:filteredPieSeries>
            <c15:filteredPieSeries>
              <c15:ser>
                <c:idx val="2"/>
                <c:order val="2"/>
                <c:tx>
                  <c:strRef>
                    <c:extLst xmlns:c15="http://schemas.microsoft.com/office/drawing/2012/chart">
                      <c:ext xmlns:c15="http://schemas.microsoft.com/office/drawing/2012/chart" uri="{02D57815-91ED-43cb-92C2-25804820EDAC}">
                        <c15:formulaRef>
                          <c15:sqref>Dashboard!$AA$4</c15:sqref>
                        </c15:formulaRef>
                      </c:ext>
                    </c:extLst>
                    <c:strCache>
                      <c:ptCount val="1"/>
                      <c:pt idx="0">
                        <c:v>Posture Correction</c:v>
                      </c:pt>
                    </c:strCache>
                  </c:strRef>
                </c:tx>
                <c:dPt>
                  <c:idx val="0"/>
                  <c:bubble3D val="0"/>
                  <c:spPr>
                    <a:solidFill>
                      <a:schemeClr val="accent1"/>
                    </a:solidFill>
                    <a:ln w="19050">
                      <a:solidFill>
                        <a:schemeClr val="lt1"/>
                      </a:solidFill>
                    </a:ln>
                    <a:effectLst/>
                  </c:spPr>
                  <c:extLst xmlns:c15="http://schemas.microsoft.com/office/drawing/2012/chart">
                    <c:ext xmlns:c16="http://schemas.microsoft.com/office/drawing/2014/chart" uri="{C3380CC4-5D6E-409C-BE32-E72D297353CC}">
                      <c16:uniqueId val="{00000010-09C6-4120-8C5C-5D4DAFCA87CA}"/>
                    </c:ext>
                  </c:extLst>
                </c:dPt>
                <c:dPt>
                  <c:idx val="1"/>
                  <c:bubble3D val="0"/>
                  <c:spPr>
                    <a:solidFill>
                      <a:schemeClr val="accent2"/>
                    </a:solidFill>
                    <a:ln w="19050">
                      <a:solidFill>
                        <a:schemeClr val="lt1"/>
                      </a:solidFill>
                    </a:ln>
                    <a:effectLst/>
                  </c:spPr>
                  <c:extLst xmlns:c15="http://schemas.microsoft.com/office/drawing/2012/chart">
                    <c:ext xmlns:c16="http://schemas.microsoft.com/office/drawing/2014/chart" uri="{C3380CC4-5D6E-409C-BE32-E72D297353CC}">
                      <c16:uniqueId val="{00000012-09C6-4120-8C5C-5D4DAFCA87CA}"/>
                    </c:ext>
                  </c:extLst>
                </c:dPt>
                <c:cat>
                  <c:strRef>
                    <c:extLst xmlns:c15="http://schemas.microsoft.com/office/drawing/2012/chart">
                      <c:ext xmlns:c15="http://schemas.microsoft.com/office/drawing/2012/chart" uri="{02D57815-91ED-43cb-92C2-25804820EDAC}">
                        <c15:formulaRef>
                          <c15:sqref>Dashboard!$AB$1:$AC$1</c15:sqref>
                        </c15:formulaRef>
                      </c:ext>
                    </c:extLst>
                    <c:strCache>
                      <c:ptCount val="2"/>
                      <c:pt idx="0">
                        <c:v>Revenue Generated</c:v>
                      </c:pt>
                      <c:pt idx="1">
                        <c:v>Revenue Lost</c:v>
                      </c:pt>
                    </c:strCache>
                  </c:strRef>
                </c:cat>
                <c:val>
                  <c:numRef>
                    <c:extLst xmlns:c15="http://schemas.microsoft.com/office/drawing/2012/chart">
                      <c:ext xmlns:c15="http://schemas.microsoft.com/office/drawing/2012/chart" uri="{02D57815-91ED-43cb-92C2-25804820EDAC}">
                        <c15:formulaRef>
                          <c15:sqref>Dashboard!$AB$4:$AC$4</c15:sqref>
                        </c15:formulaRef>
                      </c:ext>
                    </c:extLst>
                    <c:numCache>
                      <c:formatCode>\₹#,##0</c:formatCode>
                      <c:ptCount val="2"/>
                      <c:pt idx="0">
                        <c:v>330500</c:v>
                      </c:pt>
                      <c:pt idx="1">
                        <c:v>95750</c:v>
                      </c:pt>
                    </c:numCache>
                  </c:numRef>
                </c:val>
                <c:extLst xmlns:c15="http://schemas.microsoft.com/office/drawing/2012/chart">
                  <c:ext xmlns:c16="http://schemas.microsoft.com/office/drawing/2014/chart" uri="{C3380CC4-5D6E-409C-BE32-E72D297353CC}">
                    <c16:uniqueId val="{00000013-09C6-4120-8C5C-5D4DAFCA87CA}"/>
                  </c:ext>
                </c:extLst>
              </c15:ser>
            </c15:filteredPieSeries>
            <c15:filteredPieSeries>
              <c15:ser>
                <c:idx val="3"/>
                <c:order val="3"/>
                <c:tx>
                  <c:strRef>
                    <c:extLst xmlns:c15="http://schemas.microsoft.com/office/drawing/2012/chart">
                      <c:ext xmlns:c15="http://schemas.microsoft.com/office/drawing/2012/chart" uri="{02D57815-91ED-43cb-92C2-25804820EDAC}">
                        <c15:formulaRef>
                          <c15:sqref>Dashboard!$AA$5</c15:sqref>
                        </c15:formulaRef>
                      </c:ext>
                    </c:extLst>
                    <c:strCache>
                      <c:ptCount val="1"/>
                      <c:pt idx="0">
                        <c:v>Exercise Therapy</c:v>
                      </c:pt>
                    </c:strCache>
                  </c:strRef>
                </c:tx>
                <c:dPt>
                  <c:idx val="0"/>
                  <c:bubble3D val="0"/>
                  <c:spPr>
                    <a:solidFill>
                      <a:schemeClr val="accent1"/>
                    </a:solidFill>
                    <a:ln w="19050">
                      <a:solidFill>
                        <a:schemeClr val="lt1"/>
                      </a:solidFill>
                    </a:ln>
                    <a:effectLst/>
                  </c:spPr>
                  <c:extLst xmlns:c15="http://schemas.microsoft.com/office/drawing/2012/chart">
                    <c:ext xmlns:c16="http://schemas.microsoft.com/office/drawing/2014/chart" uri="{C3380CC4-5D6E-409C-BE32-E72D297353CC}">
                      <c16:uniqueId val="{00000015-09C6-4120-8C5C-5D4DAFCA87CA}"/>
                    </c:ext>
                  </c:extLst>
                </c:dPt>
                <c:dPt>
                  <c:idx val="1"/>
                  <c:bubble3D val="0"/>
                  <c:spPr>
                    <a:solidFill>
                      <a:schemeClr val="accent2"/>
                    </a:solidFill>
                    <a:ln w="19050">
                      <a:solidFill>
                        <a:schemeClr val="lt1"/>
                      </a:solidFill>
                    </a:ln>
                    <a:effectLst/>
                  </c:spPr>
                  <c:extLst xmlns:c15="http://schemas.microsoft.com/office/drawing/2012/chart">
                    <c:ext xmlns:c16="http://schemas.microsoft.com/office/drawing/2014/chart" uri="{C3380CC4-5D6E-409C-BE32-E72D297353CC}">
                      <c16:uniqueId val="{00000017-09C6-4120-8C5C-5D4DAFCA87CA}"/>
                    </c:ext>
                  </c:extLst>
                </c:dPt>
                <c:cat>
                  <c:strRef>
                    <c:extLst xmlns:c15="http://schemas.microsoft.com/office/drawing/2012/chart">
                      <c:ext xmlns:c15="http://schemas.microsoft.com/office/drawing/2012/chart" uri="{02D57815-91ED-43cb-92C2-25804820EDAC}">
                        <c15:formulaRef>
                          <c15:sqref>Dashboard!$AB$1:$AC$1</c15:sqref>
                        </c15:formulaRef>
                      </c:ext>
                    </c:extLst>
                    <c:strCache>
                      <c:ptCount val="2"/>
                      <c:pt idx="0">
                        <c:v>Revenue Generated</c:v>
                      </c:pt>
                      <c:pt idx="1">
                        <c:v>Revenue Lost</c:v>
                      </c:pt>
                    </c:strCache>
                  </c:strRef>
                </c:cat>
                <c:val>
                  <c:numRef>
                    <c:extLst xmlns:c15="http://schemas.microsoft.com/office/drawing/2012/chart">
                      <c:ext xmlns:c15="http://schemas.microsoft.com/office/drawing/2012/chart" uri="{02D57815-91ED-43cb-92C2-25804820EDAC}">
                        <c15:formulaRef>
                          <c15:sqref>Dashboard!$AB$5:$AC$5</c15:sqref>
                        </c15:formulaRef>
                      </c:ext>
                    </c:extLst>
                    <c:numCache>
                      <c:formatCode>\₹#,##0</c:formatCode>
                      <c:ptCount val="2"/>
                      <c:pt idx="0">
                        <c:v>319300</c:v>
                      </c:pt>
                      <c:pt idx="1">
                        <c:v>95600</c:v>
                      </c:pt>
                    </c:numCache>
                  </c:numRef>
                </c:val>
                <c:extLst xmlns:c15="http://schemas.microsoft.com/office/drawing/2012/chart">
                  <c:ext xmlns:c16="http://schemas.microsoft.com/office/drawing/2014/chart" uri="{C3380CC4-5D6E-409C-BE32-E72D297353CC}">
                    <c16:uniqueId val="{00000018-09C6-4120-8C5C-5D4DAFCA87CA}"/>
                  </c:ext>
                </c:extLst>
              </c15:ser>
            </c15:filteredPieSeries>
            <c15:filteredPieSeries>
              <c15:ser>
                <c:idx val="4"/>
                <c:order val="4"/>
                <c:tx>
                  <c:strRef>
                    <c:extLst xmlns:c15="http://schemas.microsoft.com/office/drawing/2012/chart">
                      <c:ext xmlns:c15="http://schemas.microsoft.com/office/drawing/2012/chart" uri="{02D57815-91ED-43cb-92C2-25804820EDAC}">
                        <c15:formulaRef>
                          <c15:sqref>Dashboard!$AA$6</c15:sqref>
                        </c15:formulaRef>
                      </c:ext>
                    </c:extLst>
                    <c:strCache>
                      <c:ptCount val="1"/>
                      <c:pt idx="0">
                        <c:v>Sports Rehab</c:v>
                      </c:pt>
                    </c:strCache>
                  </c:strRef>
                </c:tx>
                <c:dPt>
                  <c:idx val="0"/>
                  <c:bubble3D val="0"/>
                  <c:spPr>
                    <a:solidFill>
                      <a:schemeClr val="accent1"/>
                    </a:solidFill>
                    <a:ln w="19050">
                      <a:solidFill>
                        <a:schemeClr val="lt1"/>
                      </a:solidFill>
                    </a:ln>
                    <a:effectLst/>
                  </c:spPr>
                  <c:extLst xmlns:c15="http://schemas.microsoft.com/office/drawing/2012/chart">
                    <c:ext xmlns:c16="http://schemas.microsoft.com/office/drawing/2014/chart" uri="{C3380CC4-5D6E-409C-BE32-E72D297353CC}">
                      <c16:uniqueId val="{0000001A-09C6-4120-8C5C-5D4DAFCA87CA}"/>
                    </c:ext>
                  </c:extLst>
                </c:dPt>
                <c:dPt>
                  <c:idx val="1"/>
                  <c:bubble3D val="0"/>
                  <c:spPr>
                    <a:solidFill>
                      <a:schemeClr val="accent2"/>
                    </a:solidFill>
                    <a:ln w="19050">
                      <a:solidFill>
                        <a:schemeClr val="lt1"/>
                      </a:solidFill>
                    </a:ln>
                    <a:effectLst/>
                  </c:spPr>
                  <c:extLst xmlns:c15="http://schemas.microsoft.com/office/drawing/2012/chart">
                    <c:ext xmlns:c16="http://schemas.microsoft.com/office/drawing/2014/chart" uri="{C3380CC4-5D6E-409C-BE32-E72D297353CC}">
                      <c16:uniqueId val="{0000001C-09C6-4120-8C5C-5D4DAFCA87CA}"/>
                    </c:ext>
                  </c:extLst>
                </c:dPt>
                <c:cat>
                  <c:strRef>
                    <c:extLst xmlns:c15="http://schemas.microsoft.com/office/drawing/2012/chart">
                      <c:ext xmlns:c15="http://schemas.microsoft.com/office/drawing/2012/chart" uri="{02D57815-91ED-43cb-92C2-25804820EDAC}">
                        <c15:formulaRef>
                          <c15:sqref>Dashboard!$AB$1:$AC$1</c15:sqref>
                        </c15:formulaRef>
                      </c:ext>
                    </c:extLst>
                    <c:strCache>
                      <c:ptCount val="2"/>
                      <c:pt idx="0">
                        <c:v>Revenue Generated</c:v>
                      </c:pt>
                      <c:pt idx="1">
                        <c:v>Revenue Lost</c:v>
                      </c:pt>
                    </c:strCache>
                  </c:strRef>
                </c:cat>
                <c:val>
                  <c:numRef>
                    <c:extLst xmlns:c15="http://schemas.microsoft.com/office/drawing/2012/chart">
                      <c:ext xmlns:c15="http://schemas.microsoft.com/office/drawing/2012/chart" uri="{02D57815-91ED-43cb-92C2-25804820EDAC}">
                        <c15:formulaRef>
                          <c15:sqref>Dashboard!$AB$6:$AC$6</c15:sqref>
                        </c15:formulaRef>
                      </c:ext>
                    </c:extLst>
                    <c:numCache>
                      <c:formatCode>\₹#,##0</c:formatCode>
                      <c:ptCount val="2"/>
                      <c:pt idx="0">
                        <c:v>318550</c:v>
                      </c:pt>
                      <c:pt idx="1">
                        <c:v>94600</c:v>
                      </c:pt>
                    </c:numCache>
                  </c:numRef>
                </c:val>
                <c:extLst xmlns:c15="http://schemas.microsoft.com/office/drawing/2012/chart">
                  <c:ext xmlns:c16="http://schemas.microsoft.com/office/drawing/2014/chart" uri="{C3380CC4-5D6E-409C-BE32-E72D297353CC}">
                    <c16:uniqueId val="{0000001D-09C6-4120-8C5C-5D4DAFCA87CA}"/>
                  </c:ext>
                </c:extLst>
              </c15:ser>
            </c15:filteredPieSeries>
            <c15:filteredPieSeries>
              <c15:ser>
                <c:idx val="6"/>
                <c:order val="6"/>
                <c:tx>
                  <c:strRef>
                    <c:extLst xmlns:c15="http://schemas.microsoft.com/office/drawing/2012/chart">
                      <c:ext xmlns:c15="http://schemas.microsoft.com/office/drawing/2012/chart" uri="{02D57815-91ED-43cb-92C2-25804820EDAC}">
                        <c15:formulaRef>
                          <c15:sqref>Dashboard!$AA$8</c15:sqref>
                        </c15:formulaRef>
                      </c:ext>
                    </c:extLst>
                    <c:strCache>
                      <c:ptCount val="1"/>
                      <c:pt idx="0">
                        <c:v>Total</c:v>
                      </c:pt>
                    </c:strCache>
                  </c:strRef>
                </c:tx>
                <c:dPt>
                  <c:idx val="0"/>
                  <c:bubble3D val="0"/>
                  <c:spPr>
                    <a:solidFill>
                      <a:schemeClr val="accent1"/>
                    </a:solidFill>
                    <a:ln w="19050">
                      <a:solidFill>
                        <a:schemeClr val="lt1"/>
                      </a:solidFill>
                    </a:ln>
                    <a:effectLst/>
                  </c:spPr>
                  <c:extLst xmlns:c15="http://schemas.microsoft.com/office/drawing/2012/chart">
                    <c:ext xmlns:c16="http://schemas.microsoft.com/office/drawing/2014/chart" uri="{C3380CC4-5D6E-409C-BE32-E72D297353CC}">
                      <c16:uniqueId val="{0000001F-09C6-4120-8C5C-5D4DAFCA87CA}"/>
                    </c:ext>
                  </c:extLst>
                </c:dPt>
                <c:dPt>
                  <c:idx val="1"/>
                  <c:bubble3D val="0"/>
                  <c:spPr>
                    <a:solidFill>
                      <a:schemeClr val="accent2"/>
                    </a:solidFill>
                    <a:ln w="19050">
                      <a:solidFill>
                        <a:schemeClr val="lt1"/>
                      </a:solidFill>
                    </a:ln>
                    <a:effectLst/>
                  </c:spPr>
                  <c:extLst xmlns:c15="http://schemas.microsoft.com/office/drawing/2012/chart">
                    <c:ext xmlns:c16="http://schemas.microsoft.com/office/drawing/2014/chart" uri="{C3380CC4-5D6E-409C-BE32-E72D297353CC}">
                      <c16:uniqueId val="{00000021-09C6-4120-8C5C-5D4DAFCA87CA}"/>
                    </c:ext>
                  </c:extLst>
                </c:dPt>
                <c:cat>
                  <c:strRef>
                    <c:extLst xmlns:c15="http://schemas.microsoft.com/office/drawing/2012/chart">
                      <c:ext xmlns:c15="http://schemas.microsoft.com/office/drawing/2012/chart" uri="{02D57815-91ED-43cb-92C2-25804820EDAC}">
                        <c15:formulaRef>
                          <c15:sqref>Dashboard!$AB$1:$AC$1</c15:sqref>
                        </c15:formulaRef>
                      </c:ext>
                    </c:extLst>
                    <c:strCache>
                      <c:ptCount val="2"/>
                      <c:pt idx="0">
                        <c:v>Revenue Generated</c:v>
                      </c:pt>
                      <c:pt idx="1">
                        <c:v>Revenue Lost</c:v>
                      </c:pt>
                    </c:strCache>
                  </c:strRef>
                </c:cat>
                <c:val>
                  <c:numRef>
                    <c:extLst xmlns:c15="http://schemas.microsoft.com/office/drawing/2012/chart">
                      <c:ext xmlns:c15="http://schemas.microsoft.com/office/drawing/2012/chart" uri="{02D57815-91ED-43cb-92C2-25804820EDAC}">
                        <c15:formulaRef>
                          <c15:sqref>Dashboard!$AB$8:$AC$8</c15:sqref>
                        </c15:formulaRef>
                      </c:ext>
                    </c:extLst>
                    <c:numCache>
                      <c:formatCode>\₹#,##0</c:formatCode>
                      <c:ptCount val="2"/>
                      <c:pt idx="0">
                        <c:v>1990900</c:v>
                      </c:pt>
                      <c:pt idx="1">
                        <c:v>543350</c:v>
                      </c:pt>
                    </c:numCache>
                  </c:numRef>
                </c:val>
                <c:extLst xmlns:c15="http://schemas.microsoft.com/office/drawing/2012/chart">
                  <c:ext xmlns:c16="http://schemas.microsoft.com/office/drawing/2014/chart" uri="{C3380CC4-5D6E-409C-BE32-E72D297353CC}">
                    <c16:uniqueId val="{00000022-09C6-4120-8C5C-5D4DAFCA87CA}"/>
                  </c:ext>
                </c:extLst>
              </c15:ser>
            </c15:filteredPieSeries>
          </c:ext>
        </c:extLst>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withinLinearReversed" id="24">
  <a:schemeClr val="accent4"/>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7">
  <a:schemeClr val="accent4"/>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5" Type="http://schemas.openxmlformats.org/officeDocument/2006/relationships/chart" Target="../charts/chart1.xml"/><Relationship Id="rId4" Type="http://schemas.openxmlformats.org/officeDocument/2006/relationships/image" Target="../media/image4.png"/><Relationship Id="rId9" Type="http://schemas.openxmlformats.org/officeDocument/2006/relationships/chart" Target="../charts/chart5.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3.xml"/><Relationship Id="rId3" Type="http://schemas.openxmlformats.org/officeDocument/2006/relationships/chart" Target="../charts/chart8.xml"/><Relationship Id="rId7" Type="http://schemas.openxmlformats.org/officeDocument/2006/relationships/chart" Target="../charts/chart12.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 Id="rId9" Type="http://schemas.openxmlformats.org/officeDocument/2006/relationships/chart" Target="../charts/chart14.xml"/></Relationships>
</file>

<file path=xl/drawings/_rels/drawing3.xml.rels><?xml version="1.0" encoding="UTF-8" standalone="yes"?>
<Relationships xmlns="http://schemas.openxmlformats.org/package/2006/relationships"><Relationship Id="rId1" Type="http://schemas.openxmlformats.org/officeDocument/2006/relationships/hyperlink" Target="#Dashboard_Review!A1"/></Relationships>
</file>

<file path=xl/drawings/_rels/drawing4.xml.rels><?xml version="1.0" encoding="UTF-8" standalone="yes"?>
<Relationships xmlns="http://schemas.openxmlformats.org/package/2006/relationships"><Relationship Id="rId8" Type="http://schemas.openxmlformats.org/officeDocument/2006/relationships/chart" Target="../charts/chart22.xml"/><Relationship Id="rId3" Type="http://schemas.openxmlformats.org/officeDocument/2006/relationships/chart" Target="../charts/chart17.xml"/><Relationship Id="rId7" Type="http://schemas.openxmlformats.org/officeDocument/2006/relationships/chart" Target="../charts/chart21.xml"/><Relationship Id="rId2" Type="http://schemas.openxmlformats.org/officeDocument/2006/relationships/chart" Target="../charts/chart16.xml"/><Relationship Id="rId1" Type="http://schemas.openxmlformats.org/officeDocument/2006/relationships/chart" Target="../charts/chart15.xml"/><Relationship Id="rId6" Type="http://schemas.openxmlformats.org/officeDocument/2006/relationships/chart" Target="../charts/chart20.xml"/><Relationship Id="rId5" Type="http://schemas.openxmlformats.org/officeDocument/2006/relationships/chart" Target="../charts/chart19.xml"/><Relationship Id="rId10" Type="http://schemas.openxmlformats.org/officeDocument/2006/relationships/chart" Target="../charts/chart24.xml"/><Relationship Id="rId4" Type="http://schemas.openxmlformats.org/officeDocument/2006/relationships/chart" Target="../charts/chart18.xml"/><Relationship Id="rId9" Type="http://schemas.openxmlformats.org/officeDocument/2006/relationships/chart" Target="../charts/chart23.xml"/></Relationships>
</file>

<file path=xl/drawings/drawing1.xml><?xml version="1.0" encoding="utf-8"?>
<xdr:wsDr xmlns:xdr="http://schemas.openxmlformats.org/drawingml/2006/spreadsheetDrawing" xmlns:a="http://schemas.openxmlformats.org/drawingml/2006/main">
  <xdr:twoCellAnchor>
    <xdr:from>
      <xdr:col>0</xdr:col>
      <xdr:colOff>238125</xdr:colOff>
      <xdr:row>0</xdr:row>
      <xdr:rowOff>0</xdr:rowOff>
    </xdr:from>
    <xdr:to>
      <xdr:col>25</xdr:col>
      <xdr:colOff>600075</xdr:colOff>
      <xdr:row>33</xdr:row>
      <xdr:rowOff>171449</xdr:rowOff>
    </xdr:to>
    <xdr:sp macro="" textlink="">
      <xdr:nvSpPr>
        <xdr:cNvPr id="2" name="Rectangle: Rounded Corners 1">
          <a:extLst>
            <a:ext uri="{FF2B5EF4-FFF2-40B4-BE49-F238E27FC236}">
              <a16:creationId xmlns:a16="http://schemas.microsoft.com/office/drawing/2014/main" id="{2C9A89C7-61A8-3B55-4B21-BBA3210F72A9}"/>
            </a:ext>
          </a:extLst>
        </xdr:cNvPr>
        <xdr:cNvSpPr/>
      </xdr:nvSpPr>
      <xdr:spPr>
        <a:xfrm>
          <a:off x="2066925" y="0"/>
          <a:ext cx="15601950" cy="6143624"/>
        </a:xfrm>
        <a:prstGeom prst="roundRect">
          <a:avLst>
            <a:gd name="adj" fmla="val 1847"/>
          </a:avLst>
        </a:prstGeom>
        <a:solidFill>
          <a:srgbClr val="007C89"/>
        </a:solidFill>
        <a:ln/>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342900</xdr:colOff>
      <xdr:row>3</xdr:row>
      <xdr:rowOff>180975</xdr:rowOff>
    </xdr:from>
    <xdr:to>
      <xdr:col>25</xdr:col>
      <xdr:colOff>542925</xdr:colOff>
      <xdr:row>33</xdr:row>
      <xdr:rowOff>123825</xdr:rowOff>
    </xdr:to>
    <xdr:sp macro="" textlink="">
      <xdr:nvSpPr>
        <xdr:cNvPr id="3" name="Rectangle: Rounded Corners 2">
          <a:extLst>
            <a:ext uri="{FF2B5EF4-FFF2-40B4-BE49-F238E27FC236}">
              <a16:creationId xmlns:a16="http://schemas.microsoft.com/office/drawing/2014/main" id="{3FF32863-E255-3982-3D37-BE7B3F347D7F}"/>
            </a:ext>
          </a:extLst>
        </xdr:cNvPr>
        <xdr:cNvSpPr/>
      </xdr:nvSpPr>
      <xdr:spPr>
        <a:xfrm>
          <a:off x="2171700" y="752475"/>
          <a:ext cx="15440025" cy="5657850"/>
        </a:xfrm>
        <a:prstGeom prst="roundRect">
          <a:avLst>
            <a:gd name="adj" fmla="val 1218"/>
          </a:avLst>
        </a:prstGeom>
        <a:solidFill>
          <a:schemeClr val="accent5">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447674</xdr:colOff>
      <xdr:row>4</xdr:row>
      <xdr:rowOff>47625</xdr:rowOff>
    </xdr:from>
    <xdr:to>
      <xdr:col>12</xdr:col>
      <xdr:colOff>57149</xdr:colOff>
      <xdr:row>9</xdr:row>
      <xdr:rowOff>66675</xdr:rowOff>
    </xdr:to>
    <mc:AlternateContent xmlns:mc="http://schemas.openxmlformats.org/markup-compatibility/2006" xmlns:tsle="http://schemas.microsoft.com/office/drawing/2012/timeslicer">
      <mc:Choice Requires="tsle">
        <xdr:graphicFrame macro="">
          <xdr:nvGraphicFramePr>
            <xdr:cNvPr id="7" name="Appointment_Date">
              <a:extLst>
                <a:ext uri="{FF2B5EF4-FFF2-40B4-BE49-F238E27FC236}">
                  <a16:creationId xmlns:a16="http://schemas.microsoft.com/office/drawing/2014/main" id="{B0C95946-CC8C-4BE6-9E9C-82ADE4D04C3C}"/>
                </a:ext>
              </a:extLst>
            </xdr:cNvPr>
            <xdr:cNvGraphicFramePr/>
          </xdr:nvGraphicFramePr>
          <xdr:xfrm>
            <a:off x="0" y="0"/>
            <a:ext cx="0" cy="0"/>
          </xdr:xfrm>
          <a:graphic>
            <a:graphicData uri="http://schemas.microsoft.com/office/drawing/2012/timeslicer">
              <tsle:timeslicer name="Appointment_Date"/>
            </a:graphicData>
          </a:graphic>
        </xdr:graphicFrame>
      </mc:Choice>
      <mc:Fallback xmlns="">
        <xdr:sp macro="" textlink="">
          <xdr:nvSpPr>
            <xdr:cNvPr id="0" name=""/>
            <xdr:cNvSpPr>
              <a:spLocks noTextEdit="1"/>
            </xdr:cNvSpPr>
          </xdr:nvSpPr>
          <xdr:spPr>
            <a:xfrm>
              <a:off x="2276474" y="809625"/>
              <a:ext cx="6924675" cy="97155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22</xdr:col>
      <xdr:colOff>180974</xdr:colOff>
      <xdr:row>4</xdr:row>
      <xdr:rowOff>0</xdr:rowOff>
    </xdr:from>
    <xdr:to>
      <xdr:col>25</xdr:col>
      <xdr:colOff>442653</xdr:colOff>
      <xdr:row>9</xdr:row>
      <xdr:rowOff>76200</xdr:rowOff>
    </xdr:to>
    <mc:AlternateContent xmlns:mc="http://schemas.openxmlformats.org/markup-compatibility/2006" xmlns:a14="http://schemas.microsoft.com/office/drawing/2010/main">
      <mc:Choice Requires="a14">
        <xdr:graphicFrame macro="">
          <xdr:nvGraphicFramePr>
            <xdr:cNvPr id="8" name="Clinic 1">
              <a:extLst>
                <a:ext uri="{FF2B5EF4-FFF2-40B4-BE49-F238E27FC236}">
                  <a16:creationId xmlns:a16="http://schemas.microsoft.com/office/drawing/2014/main" id="{BEF6796B-36E9-4D01-BE5E-ED4103B4C138}"/>
                </a:ext>
              </a:extLst>
            </xdr:cNvPr>
            <xdr:cNvGraphicFramePr/>
          </xdr:nvGraphicFramePr>
          <xdr:xfrm>
            <a:off x="0" y="0"/>
            <a:ext cx="0" cy="0"/>
          </xdr:xfrm>
          <a:graphic>
            <a:graphicData uri="http://schemas.microsoft.com/office/drawing/2010/slicer">
              <sle:slicer xmlns:sle="http://schemas.microsoft.com/office/drawing/2010/slicer" name="Clinic 1"/>
            </a:graphicData>
          </a:graphic>
        </xdr:graphicFrame>
      </mc:Choice>
      <mc:Fallback xmlns="">
        <xdr:sp macro="" textlink="">
          <xdr:nvSpPr>
            <xdr:cNvPr id="0" name=""/>
            <xdr:cNvSpPr>
              <a:spLocks noTextEdit="1"/>
            </xdr:cNvSpPr>
          </xdr:nvSpPr>
          <xdr:spPr>
            <a:xfrm>
              <a:off x="15420974" y="762000"/>
              <a:ext cx="2090479" cy="1028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114300</xdr:colOff>
      <xdr:row>4</xdr:row>
      <xdr:rowOff>28575</xdr:rowOff>
    </xdr:from>
    <xdr:to>
      <xdr:col>22</xdr:col>
      <xdr:colOff>85724</xdr:colOff>
      <xdr:row>9</xdr:row>
      <xdr:rowOff>76200</xdr:rowOff>
    </xdr:to>
    <mc:AlternateContent xmlns:mc="http://schemas.openxmlformats.org/markup-compatibility/2006" xmlns:a14="http://schemas.microsoft.com/office/drawing/2010/main">
      <mc:Choice Requires="a14">
        <xdr:graphicFrame macro="">
          <xdr:nvGraphicFramePr>
            <xdr:cNvPr id="9" name="Therapist 1">
              <a:extLst>
                <a:ext uri="{FF2B5EF4-FFF2-40B4-BE49-F238E27FC236}">
                  <a16:creationId xmlns:a16="http://schemas.microsoft.com/office/drawing/2014/main" id="{65E30889-C910-4370-BE3A-398FE87F80B8}"/>
                </a:ext>
              </a:extLst>
            </xdr:cNvPr>
            <xdr:cNvGraphicFramePr/>
          </xdr:nvGraphicFramePr>
          <xdr:xfrm>
            <a:off x="0" y="0"/>
            <a:ext cx="0" cy="0"/>
          </xdr:xfrm>
          <a:graphic>
            <a:graphicData uri="http://schemas.microsoft.com/office/drawing/2010/slicer">
              <sle:slicer xmlns:sle="http://schemas.microsoft.com/office/drawing/2010/slicer" name="Therapist 1"/>
            </a:graphicData>
          </a:graphic>
        </xdr:graphicFrame>
      </mc:Choice>
      <mc:Fallback xmlns="">
        <xdr:sp macro="" textlink="">
          <xdr:nvSpPr>
            <xdr:cNvPr id="0" name=""/>
            <xdr:cNvSpPr>
              <a:spLocks noTextEdit="1"/>
            </xdr:cNvSpPr>
          </xdr:nvSpPr>
          <xdr:spPr>
            <a:xfrm>
              <a:off x="9258300" y="790575"/>
              <a:ext cx="6067424" cy="1000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438151</xdr:colOff>
      <xdr:row>10</xdr:row>
      <xdr:rowOff>19049</xdr:rowOff>
    </xdr:from>
    <xdr:to>
      <xdr:col>6</xdr:col>
      <xdr:colOff>533400</xdr:colOff>
      <xdr:row>33</xdr:row>
      <xdr:rowOff>116446</xdr:rowOff>
    </xdr:to>
    <xdr:grpSp>
      <xdr:nvGrpSpPr>
        <xdr:cNvPr id="32" name="Group 31">
          <a:extLst>
            <a:ext uri="{FF2B5EF4-FFF2-40B4-BE49-F238E27FC236}">
              <a16:creationId xmlns:a16="http://schemas.microsoft.com/office/drawing/2014/main" id="{FE5145F9-730D-55FB-F171-E3D0759EF25B}"/>
            </a:ext>
          </a:extLst>
        </xdr:cNvPr>
        <xdr:cNvGrpSpPr/>
      </xdr:nvGrpSpPr>
      <xdr:grpSpPr>
        <a:xfrm>
          <a:off x="438151" y="1837458"/>
          <a:ext cx="3732067" cy="4279738"/>
          <a:chOff x="14487526" y="200024"/>
          <a:chExt cx="3067049" cy="3642161"/>
        </a:xfrm>
      </xdr:grpSpPr>
      <xdr:sp macro="" textlink="">
        <xdr:nvSpPr>
          <xdr:cNvPr id="17" name="Rectangle: Rounded Corners 16">
            <a:extLst>
              <a:ext uri="{FF2B5EF4-FFF2-40B4-BE49-F238E27FC236}">
                <a16:creationId xmlns:a16="http://schemas.microsoft.com/office/drawing/2014/main" id="{73B6DBDB-9E10-B0D5-85AB-9C0F513AFD2E}"/>
              </a:ext>
            </a:extLst>
          </xdr:cNvPr>
          <xdr:cNvSpPr/>
        </xdr:nvSpPr>
        <xdr:spPr>
          <a:xfrm>
            <a:off x="14487526" y="200024"/>
            <a:ext cx="3047998" cy="781051"/>
          </a:xfrm>
          <a:prstGeom prst="roundRect">
            <a:avLst>
              <a:gd name="adj" fmla="val 19924"/>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4" name="Rectangle: Rounded Corners 33">
            <a:extLst>
              <a:ext uri="{FF2B5EF4-FFF2-40B4-BE49-F238E27FC236}">
                <a16:creationId xmlns:a16="http://schemas.microsoft.com/office/drawing/2014/main" id="{5218B5FD-6EAF-D141-FBDF-90EC5D7A7E28}"/>
              </a:ext>
            </a:extLst>
          </xdr:cNvPr>
          <xdr:cNvSpPr/>
        </xdr:nvSpPr>
        <xdr:spPr>
          <a:xfrm>
            <a:off x="14497051" y="1152524"/>
            <a:ext cx="3047998" cy="781051"/>
          </a:xfrm>
          <a:prstGeom prst="roundRect">
            <a:avLst>
              <a:gd name="adj" fmla="val 19924"/>
            </a:avLst>
          </a:prstGeom>
          <a:solidFill>
            <a:schemeClr val="accent1"/>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sp macro="" textlink="">
        <xdr:nvSpPr>
          <xdr:cNvPr id="35" name="Rectangle: Rounded Corners 34">
            <a:extLst>
              <a:ext uri="{FF2B5EF4-FFF2-40B4-BE49-F238E27FC236}">
                <a16:creationId xmlns:a16="http://schemas.microsoft.com/office/drawing/2014/main" id="{17122E2C-AAC0-037F-473E-FC5FC5B87105}"/>
              </a:ext>
            </a:extLst>
          </xdr:cNvPr>
          <xdr:cNvSpPr/>
        </xdr:nvSpPr>
        <xdr:spPr>
          <a:xfrm>
            <a:off x="14506576" y="2090153"/>
            <a:ext cx="3047998" cy="781051"/>
          </a:xfrm>
          <a:prstGeom prst="roundRect">
            <a:avLst>
              <a:gd name="adj" fmla="val 19924"/>
            </a:avLst>
          </a:prstGeom>
          <a:solidFill>
            <a:schemeClr val="accent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6" name="Rectangle: Rounded Corners 35">
            <a:extLst>
              <a:ext uri="{FF2B5EF4-FFF2-40B4-BE49-F238E27FC236}">
                <a16:creationId xmlns:a16="http://schemas.microsoft.com/office/drawing/2014/main" id="{D1E98DFF-FC70-E2E2-C1BD-7B0B9F5394DD}"/>
              </a:ext>
            </a:extLst>
          </xdr:cNvPr>
          <xdr:cNvSpPr/>
        </xdr:nvSpPr>
        <xdr:spPr>
          <a:xfrm>
            <a:off x="14487526" y="3019424"/>
            <a:ext cx="3047998" cy="781051"/>
          </a:xfrm>
          <a:prstGeom prst="roundRect">
            <a:avLst>
              <a:gd name="adj" fmla="val 19924"/>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7" name="Rectangle: Rounded Corners 36">
            <a:extLst>
              <a:ext uri="{FF2B5EF4-FFF2-40B4-BE49-F238E27FC236}">
                <a16:creationId xmlns:a16="http://schemas.microsoft.com/office/drawing/2014/main" id="{CACB3898-9060-A00C-3A3C-820F3DEFAFD6}"/>
              </a:ext>
            </a:extLst>
          </xdr:cNvPr>
          <xdr:cNvSpPr/>
        </xdr:nvSpPr>
        <xdr:spPr>
          <a:xfrm>
            <a:off x="14611349" y="200025"/>
            <a:ext cx="2943226" cy="781050"/>
          </a:xfrm>
          <a:prstGeom prst="roundRect">
            <a:avLst>
              <a:gd name="adj" fmla="val 13096"/>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8" name="Rectangle: Rounded Corners 37">
            <a:extLst>
              <a:ext uri="{FF2B5EF4-FFF2-40B4-BE49-F238E27FC236}">
                <a16:creationId xmlns:a16="http://schemas.microsoft.com/office/drawing/2014/main" id="{41F7E706-EE69-CCAA-18F1-C26173E4ACFF}"/>
              </a:ext>
            </a:extLst>
          </xdr:cNvPr>
          <xdr:cNvSpPr/>
        </xdr:nvSpPr>
        <xdr:spPr>
          <a:xfrm>
            <a:off x="14601824" y="1133475"/>
            <a:ext cx="2952751" cy="800099"/>
          </a:xfrm>
          <a:prstGeom prst="roundRect">
            <a:avLst>
              <a:gd name="adj" fmla="val 13096"/>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39" name="Rectangle: Rounded Corners 38">
            <a:extLst>
              <a:ext uri="{FF2B5EF4-FFF2-40B4-BE49-F238E27FC236}">
                <a16:creationId xmlns:a16="http://schemas.microsoft.com/office/drawing/2014/main" id="{BF881849-A44A-25F9-7091-D86F8A06E676}"/>
              </a:ext>
            </a:extLst>
          </xdr:cNvPr>
          <xdr:cNvSpPr/>
        </xdr:nvSpPr>
        <xdr:spPr>
          <a:xfrm>
            <a:off x="14611349" y="2085975"/>
            <a:ext cx="2943226" cy="800838"/>
          </a:xfrm>
          <a:prstGeom prst="roundRect">
            <a:avLst>
              <a:gd name="adj" fmla="val 13096"/>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40" name="Rectangle: Rounded Corners 39">
            <a:extLst>
              <a:ext uri="{FF2B5EF4-FFF2-40B4-BE49-F238E27FC236}">
                <a16:creationId xmlns:a16="http://schemas.microsoft.com/office/drawing/2014/main" id="{4F9DE9A9-2F21-3DDA-CAFE-435620E191D7}"/>
              </a:ext>
            </a:extLst>
          </xdr:cNvPr>
          <xdr:cNvSpPr/>
        </xdr:nvSpPr>
        <xdr:spPr>
          <a:xfrm>
            <a:off x="14592299" y="3019425"/>
            <a:ext cx="2943226" cy="781050"/>
          </a:xfrm>
          <a:prstGeom prst="roundRect">
            <a:avLst>
              <a:gd name="adj" fmla="val 13096"/>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pic>
        <xdr:nvPicPr>
          <xdr:cNvPr id="59" name="Picture 58">
            <a:extLst>
              <a:ext uri="{FF2B5EF4-FFF2-40B4-BE49-F238E27FC236}">
                <a16:creationId xmlns:a16="http://schemas.microsoft.com/office/drawing/2014/main" id="{D903305E-F1E8-5B50-4911-8C075B0D683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658974" y="238124"/>
            <a:ext cx="676275" cy="676275"/>
          </a:xfrm>
          <a:prstGeom prst="rect">
            <a:avLst/>
          </a:prstGeom>
        </xdr:spPr>
      </xdr:pic>
      <xdr:sp macro="" textlink="">
        <xdr:nvSpPr>
          <xdr:cNvPr id="63" name="TextBox 62">
            <a:extLst>
              <a:ext uri="{FF2B5EF4-FFF2-40B4-BE49-F238E27FC236}">
                <a16:creationId xmlns:a16="http://schemas.microsoft.com/office/drawing/2014/main" id="{E4D26195-B8C0-BB80-9D9F-75231368B966}"/>
              </a:ext>
            </a:extLst>
          </xdr:cNvPr>
          <xdr:cNvSpPr txBox="1"/>
        </xdr:nvSpPr>
        <xdr:spPr>
          <a:xfrm>
            <a:off x="15383007" y="523507"/>
            <a:ext cx="1971675" cy="4572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200" b="1">
                <a:solidFill>
                  <a:schemeClr val="accent5">
                    <a:lumMod val="50000"/>
                  </a:schemeClr>
                </a:solidFill>
                <a:latin typeface="Aptos Black" panose="020F0502020204030204" pitchFamily="34" charset="0"/>
              </a:rPr>
              <a:t>₹1,990,900 </a:t>
            </a:r>
          </a:p>
        </xdr:txBody>
      </xdr:sp>
      <xdr:pic>
        <xdr:nvPicPr>
          <xdr:cNvPr id="65" name="Picture 64">
            <a:extLst>
              <a:ext uri="{FF2B5EF4-FFF2-40B4-BE49-F238E27FC236}">
                <a16:creationId xmlns:a16="http://schemas.microsoft.com/office/drawing/2014/main" id="{F2E34DF9-1E61-17BB-449C-68CBA34786D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4697075" y="3076575"/>
            <a:ext cx="647700" cy="647700"/>
          </a:xfrm>
          <a:prstGeom prst="rect">
            <a:avLst/>
          </a:prstGeom>
        </xdr:spPr>
      </xdr:pic>
      <xdr:sp macro="" textlink="">
        <xdr:nvSpPr>
          <xdr:cNvPr id="67" name="TextBox 66">
            <a:extLst>
              <a:ext uri="{FF2B5EF4-FFF2-40B4-BE49-F238E27FC236}">
                <a16:creationId xmlns:a16="http://schemas.microsoft.com/office/drawing/2014/main" id="{1509D672-2FF5-42A4-B051-96B698D653B5}"/>
              </a:ext>
            </a:extLst>
          </xdr:cNvPr>
          <xdr:cNvSpPr txBox="1"/>
        </xdr:nvSpPr>
        <xdr:spPr>
          <a:xfrm>
            <a:off x="15253139" y="3384985"/>
            <a:ext cx="2028825"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200" b="1">
                <a:solidFill>
                  <a:srgbClr val="C00000"/>
                </a:solidFill>
                <a:latin typeface="Aptos Black" panose="020F0502020204030204" pitchFamily="34" charset="0"/>
              </a:rPr>
              <a:t>₹543,350 </a:t>
            </a:r>
          </a:p>
        </xdr:txBody>
      </xdr:sp>
      <xdr:pic>
        <xdr:nvPicPr>
          <xdr:cNvPr id="69" name="Picture 68">
            <a:extLst>
              <a:ext uri="{FF2B5EF4-FFF2-40B4-BE49-F238E27FC236}">
                <a16:creationId xmlns:a16="http://schemas.microsoft.com/office/drawing/2014/main" id="{A762D2CE-D33B-CA96-ADD8-6C5DB8130D0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4697075" y="1200150"/>
            <a:ext cx="676276" cy="676276"/>
          </a:xfrm>
          <a:prstGeom prst="rect">
            <a:avLst/>
          </a:prstGeom>
        </xdr:spPr>
      </xdr:pic>
      <xdr:sp macro="" textlink="">
        <xdr:nvSpPr>
          <xdr:cNvPr id="70" name="TextBox 69">
            <a:extLst>
              <a:ext uri="{FF2B5EF4-FFF2-40B4-BE49-F238E27FC236}">
                <a16:creationId xmlns:a16="http://schemas.microsoft.com/office/drawing/2014/main" id="{5A3F4BE1-7E30-971E-CAD9-23B9826ABAE4}"/>
              </a:ext>
            </a:extLst>
          </xdr:cNvPr>
          <xdr:cNvSpPr txBox="1"/>
        </xdr:nvSpPr>
        <xdr:spPr>
          <a:xfrm>
            <a:off x="15246041" y="2400233"/>
            <a:ext cx="2028825" cy="4572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200" b="1">
                <a:solidFill>
                  <a:schemeClr val="accent4">
                    <a:lumMod val="75000"/>
                  </a:schemeClr>
                </a:solidFill>
                <a:latin typeface="Aptos Black" panose="020F0502020204030204" pitchFamily="34" charset="0"/>
              </a:rPr>
              <a:t>15.10%</a:t>
            </a:r>
          </a:p>
        </xdr:txBody>
      </xdr:sp>
      <xdr:pic>
        <xdr:nvPicPr>
          <xdr:cNvPr id="72" name="Picture 71">
            <a:extLst>
              <a:ext uri="{FF2B5EF4-FFF2-40B4-BE49-F238E27FC236}">
                <a16:creationId xmlns:a16="http://schemas.microsoft.com/office/drawing/2014/main" id="{6BD9B5C7-86BD-D905-6D24-0E18B96B6A99}"/>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4706600" y="2133600"/>
            <a:ext cx="619125" cy="619125"/>
          </a:xfrm>
          <a:prstGeom prst="rect">
            <a:avLst/>
          </a:prstGeom>
        </xdr:spPr>
      </xdr:pic>
      <xdr:sp macro="" textlink="">
        <xdr:nvSpPr>
          <xdr:cNvPr id="73" name="TextBox 72">
            <a:extLst>
              <a:ext uri="{FF2B5EF4-FFF2-40B4-BE49-F238E27FC236}">
                <a16:creationId xmlns:a16="http://schemas.microsoft.com/office/drawing/2014/main" id="{62F62217-DD53-F34A-BC3A-E4DC5A527910}"/>
              </a:ext>
            </a:extLst>
          </xdr:cNvPr>
          <xdr:cNvSpPr txBox="1"/>
        </xdr:nvSpPr>
        <xdr:spPr>
          <a:xfrm>
            <a:off x="15538362" y="1485232"/>
            <a:ext cx="1504950" cy="4572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200" b="1">
                <a:solidFill>
                  <a:schemeClr val="accent1"/>
                </a:solidFill>
                <a:latin typeface="Aptos Black" panose="020F0502020204030204" pitchFamily="34" charset="0"/>
              </a:rPr>
              <a:t>62.50%</a:t>
            </a:r>
          </a:p>
        </xdr:txBody>
      </xdr:sp>
    </xdr:grpSp>
    <xdr:clientData/>
  </xdr:twoCellAnchor>
  <xdr:twoCellAnchor>
    <xdr:from>
      <xdr:col>0</xdr:col>
      <xdr:colOff>333375</xdr:colOff>
      <xdr:row>0</xdr:row>
      <xdr:rowOff>38100</xdr:rowOff>
    </xdr:from>
    <xdr:to>
      <xdr:col>22</xdr:col>
      <xdr:colOff>123825</xdr:colOff>
      <xdr:row>3</xdr:row>
      <xdr:rowOff>142875</xdr:rowOff>
    </xdr:to>
    <xdr:sp macro="" textlink="">
      <xdr:nvSpPr>
        <xdr:cNvPr id="33" name="Rectangle: Rounded Corners 32">
          <a:extLst>
            <a:ext uri="{FF2B5EF4-FFF2-40B4-BE49-F238E27FC236}">
              <a16:creationId xmlns:a16="http://schemas.microsoft.com/office/drawing/2014/main" id="{FE7C6399-E799-1F19-B2DB-66AD81D43244}"/>
            </a:ext>
          </a:extLst>
        </xdr:cNvPr>
        <xdr:cNvSpPr/>
      </xdr:nvSpPr>
      <xdr:spPr>
        <a:xfrm>
          <a:off x="2162175" y="38100"/>
          <a:ext cx="13201650" cy="676275"/>
        </a:xfrm>
        <a:prstGeom prst="roundRect">
          <a:avLst/>
        </a:prstGeom>
        <a:solidFill>
          <a:schemeClr val="accent5">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3200" b="1">
              <a:solidFill>
                <a:srgbClr val="007C89"/>
              </a:solidFill>
              <a:latin typeface="Aptos" panose="020B0004020202020204" pitchFamily="34" charset="0"/>
              <a:ea typeface="+mn-ea"/>
              <a:cs typeface="+mn-cs"/>
            </a:rPr>
            <a:t>Clinical</a:t>
          </a:r>
          <a:r>
            <a:rPr lang="en-US" sz="3200" b="1" baseline="0">
              <a:solidFill>
                <a:srgbClr val="007C89"/>
              </a:solidFill>
              <a:latin typeface="Aptos" panose="020B0004020202020204" pitchFamily="34" charset="0"/>
              <a:ea typeface="+mn-ea"/>
              <a:cs typeface="+mn-cs"/>
            </a:rPr>
            <a:t> OPS Dashboard | Outpatient Rehab Optimization</a:t>
          </a:r>
          <a:endParaRPr lang="en-US" sz="3200" b="1">
            <a:solidFill>
              <a:srgbClr val="007C89"/>
            </a:solidFill>
            <a:latin typeface="Aptos" panose="020B0004020202020204" pitchFamily="34" charset="0"/>
            <a:ea typeface="+mn-ea"/>
            <a:cs typeface="+mn-cs"/>
          </a:endParaRPr>
        </a:p>
      </xdr:txBody>
    </xdr:sp>
    <xdr:clientData/>
  </xdr:twoCellAnchor>
  <xdr:twoCellAnchor>
    <xdr:from>
      <xdr:col>22</xdr:col>
      <xdr:colOff>180974</xdr:colOff>
      <xdr:row>0</xdr:row>
      <xdr:rowOff>28575</xdr:rowOff>
    </xdr:from>
    <xdr:to>
      <xdr:col>25</xdr:col>
      <xdr:colOff>552449</xdr:colOff>
      <xdr:row>3</xdr:row>
      <xdr:rowOff>133350</xdr:rowOff>
    </xdr:to>
    <xdr:sp macro="" textlink="">
      <xdr:nvSpPr>
        <xdr:cNvPr id="42" name="Rectangle: Rounded Corners 41">
          <a:extLst>
            <a:ext uri="{FF2B5EF4-FFF2-40B4-BE49-F238E27FC236}">
              <a16:creationId xmlns:a16="http://schemas.microsoft.com/office/drawing/2014/main" id="{FFD20EF1-487E-4452-AAD6-9BE8F45FFCC8}"/>
            </a:ext>
          </a:extLst>
        </xdr:cNvPr>
        <xdr:cNvSpPr/>
      </xdr:nvSpPr>
      <xdr:spPr>
        <a:xfrm>
          <a:off x="15420974" y="28575"/>
          <a:ext cx="2200275" cy="676275"/>
        </a:xfrm>
        <a:prstGeom prst="roundRect">
          <a:avLst/>
        </a:prstGeom>
        <a:solidFill>
          <a:schemeClr val="accent5">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3200" b="1">
              <a:solidFill>
                <a:srgbClr val="007C89"/>
              </a:solidFill>
              <a:latin typeface="Aptos" panose="020B0004020202020204" pitchFamily="34" charset="0"/>
              <a:ea typeface="+mn-ea"/>
              <a:cs typeface="+mn-cs"/>
            </a:rPr>
            <a:t>Y-2025</a:t>
          </a:r>
        </a:p>
      </xdr:txBody>
    </xdr:sp>
    <xdr:clientData/>
  </xdr:twoCellAnchor>
  <xdr:twoCellAnchor>
    <xdr:from>
      <xdr:col>6</xdr:col>
      <xdr:colOff>581024</xdr:colOff>
      <xdr:row>9</xdr:row>
      <xdr:rowOff>123825</xdr:rowOff>
    </xdr:from>
    <xdr:to>
      <xdr:col>13</xdr:col>
      <xdr:colOff>571499</xdr:colOff>
      <xdr:row>21</xdr:row>
      <xdr:rowOff>114300</xdr:rowOff>
    </xdr:to>
    <xdr:sp macro="" textlink="">
      <xdr:nvSpPr>
        <xdr:cNvPr id="43" name="Rectangle: Rounded Corners 42">
          <a:extLst>
            <a:ext uri="{FF2B5EF4-FFF2-40B4-BE49-F238E27FC236}">
              <a16:creationId xmlns:a16="http://schemas.microsoft.com/office/drawing/2014/main" id="{4511CBA3-AAE5-C37F-8FA2-4208BEC1704C}"/>
            </a:ext>
          </a:extLst>
        </xdr:cNvPr>
        <xdr:cNvSpPr/>
      </xdr:nvSpPr>
      <xdr:spPr>
        <a:xfrm>
          <a:off x="6067424" y="1838325"/>
          <a:ext cx="4257675" cy="2276475"/>
        </a:xfrm>
        <a:prstGeom prst="roundRect">
          <a:avLst>
            <a:gd name="adj" fmla="val 5794"/>
          </a:avLst>
        </a:prstGeom>
        <a:solidFill>
          <a:srgbClr val="A6A6A6">
            <a:alpha val="10196"/>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9525</xdr:colOff>
      <xdr:row>10</xdr:row>
      <xdr:rowOff>38100</xdr:rowOff>
    </xdr:from>
    <xdr:to>
      <xdr:col>13</xdr:col>
      <xdr:colOff>466724</xdr:colOff>
      <xdr:row>20</xdr:row>
      <xdr:rowOff>190499</xdr:rowOff>
    </xdr:to>
    <xdr:graphicFrame macro="">
      <xdr:nvGraphicFramePr>
        <xdr:cNvPr id="44" name="Chart 43">
          <a:extLst>
            <a:ext uri="{FF2B5EF4-FFF2-40B4-BE49-F238E27FC236}">
              <a16:creationId xmlns:a16="http://schemas.microsoft.com/office/drawing/2014/main" id="{AD3093EC-6FB6-4938-B337-E483B378D6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0</xdr:colOff>
      <xdr:row>9</xdr:row>
      <xdr:rowOff>152399</xdr:rowOff>
    </xdr:from>
    <xdr:to>
      <xdr:col>20</xdr:col>
      <xdr:colOff>523876</xdr:colOff>
      <xdr:row>33</xdr:row>
      <xdr:rowOff>66674</xdr:rowOff>
    </xdr:to>
    <xdr:sp macro="" textlink="">
      <xdr:nvSpPr>
        <xdr:cNvPr id="45" name="Rectangle: Rounded Corners 44">
          <a:extLst>
            <a:ext uri="{FF2B5EF4-FFF2-40B4-BE49-F238E27FC236}">
              <a16:creationId xmlns:a16="http://schemas.microsoft.com/office/drawing/2014/main" id="{937D2418-CBB4-56E7-15A1-4BE5006AB3D3}"/>
            </a:ext>
          </a:extLst>
        </xdr:cNvPr>
        <xdr:cNvSpPr/>
      </xdr:nvSpPr>
      <xdr:spPr>
        <a:xfrm>
          <a:off x="10363200" y="1866899"/>
          <a:ext cx="4181476" cy="4486275"/>
        </a:xfrm>
        <a:prstGeom prst="roundRect">
          <a:avLst>
            <a:gd name="adj" fmla="val 5794"/>
          </a:avLst>
        </a:prstGeom>
        <a:solidFill>
          <a:srgbClr val="A6A6A6">
            <a:alpha val="10196"/>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13</xdr:col>
      <xdr:colOff>590550</xdr:colOff>
      <xdr:row>9</xdr:row>
      <xdr:rowOff>180975</xdr:rowOff>
    </xdr:from>
    <xdr:to>
      <xdr:col>20</xdr:col>
      <xdr:colOff>485776</xdr:colOff>
      <xdr:row>32</xdr:row>
      <xdr:rowOff>114301</xdr:rowOff>
    </xdr:to>
    <xdr:graphicFrame macro="">
      <xdr:nvGraphicFramePr>
        <xdr:cNvPr id="48" name="Chart 47">
          <a:extLst>
            <a:ext uri="{FF2B5EF4-FFF2-40B4-BE49-F238E27FC236}">
              <a16:creationId xmlns:a16="http://schemas.microsoft.com/office/drawing/2014/main" id="{F5E88400-302D-4863-865B-75BB233174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28575</xdr:colOff>
      <xdr:row>21</xdr:row>
      <xdr:rowOff>180975</xdr:rowOff>
    </xdr:from>
    <xdr:to>
      <xdr:col>13</xdr:col>
      <xdr:colOff>581025</xdr:colOff>
      <xdr:row>33</xdr:row>
      <xdr:rowOff>76200</xdr:rowOff>
    </xdr:to>
    <xdr:sp macro="" textlink="">
      <xdr:nvSpPr>
        <xdr:cNvPr id="55" name="Rectangle: Rounded Corners 54">
          <a:extLst>
            <a:ext uri="{FF2B5EF4-FFF2-40B4-BE49-F238E27FC236}">
              <a16:creationId xmlns:a16="http://schemas.microsoft.com/office/drawing/2014/main" id="{C64F45A4-6B65-35F0-A4C6-F30B6435A713}"/>
            </a:ext>
          </a:extLst>
        </xdr:cNvPr>
        <xdr:cNvSpPr/>
      </xdr:nvSpPr>
      <xdr:spPr>
        <a:xfrm>
          <a:off x="6124575" y="4181475"/>
          <a:ext cx="4210050" cy="2181225"/>
        </a:xfrm>
        <a:prstGeom prst="roundRect">
          <a:avLst>
            <a:gd name="adj" fmla="val 5794"/>
          </a:avLst>
        </a:prstGeom>
        <a:solidFill>
          <a:srgbClr val="A6A6A6">
            <a:alpha val="10196"/>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571499</xdr:colOff>
      <xdr:row>9</xdr:row>
      <xdr:rowOff>152401</xdr:rowOff>
    </xdr:from>
    <xdr:to>
      <xdr:col>25</xdr:col>
      <xdr:colOff>466724</xdr:colOff>
      <xdr:row>21</xdr:row>
      <xdr:rowOff>133351</xdr:rowOff>
    </xdr:to>
    <xdr:sp macro="" textlink="">
      <xdr:nvSpPr>
        <xdr:cNvPr id="56" name="Rectangle: Rounded Corners 55">
          <a:extLst>
            <a:ext uri="{FF2B5EF4-FFF2-40B4-BE49-F238E27FC236}">
              <a16:creationId xmlns:a16="http://schemas.microsoft.com/office/drawing/2014/main" id="{E39BCF01-808D-9507-CD62-D8B6EE7DF555}"/>
            </a:ext>
          </a:extLst>
        </xdr:cNvPr>
        <xdr:cNvSpPr/>
      </xdr:nvSpPr>
      <xdr:spPr>
        <a:xfrm rot="5400000">
          <a:off x="14930437" y="1528763"/>
          <a:ext cx="2266950" cy="2943225"/>
        </a:xfrm>
        <a:prstGeom prst="roundRect">
          <a:avLst>
            <a:gd name="adj" fmla="val 5794"/>
          </a:avLst>
        </a:prstGeom>
        <a:solidFill>
          <a:srgbClr val="A6A6A6">
            <a:alpha val="10196"/>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57149</xdr:colOff>
      <xdr:row>10</xdr:row>
      <xdr:rowOff>28575</xdr:rowOff>
    </xdr:from>
    <xdr:to>
      <xdr:col>25</xdr:col>
      <xdr:colOff>371474</xdr:colOff>
      <xdr:row>21</xdr:row>
      <xdr:rowOff>47626</xdr:rowOff>
    </xdr:to>
    <xdr:graphicFrame macro="">
      <xdr:nvGraphicFramePr>
        <xdr:cNvPr id="57" name="Chart 56">
          <a:extLst>
            <a:ext uri="{FF2B5EF4-FFF2-40B4-BE49-F238E27FC236}">
              <a16:creationId xmlns:a16="http://schemas.microsoft.com/office/drawing/2014/main" id="{FFC381F7-7EA4-4AA7-A833-48202B1EB7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9525</xdr:colOff>
      <xdr:row>21</xdr:row>
      <xdr:rowOff>180974</xdr:rowOff>
    </xdr:from>
    <xdr:to>
      <xdr:col>13</xdr:col>
      <xdr:colOff>571500</xdr:colOff>
      <xdr:row>32</xdr:row>
      <xdr:rowOff>171449</xdr:rowOff>
    </xdr:to>
    <xdr:graphicFrame macro="">
      <xdr:nvGraphicFramePr>
        <xdr:cNvPr id="58" name="Chart 57">
          <a:extLst>
            <a:ext uri="{FF2B5EF4-FFF2-40B4-BE49-F238E27FC236}">
              <a16:creationId xmlns:a16="http://schemas.microsoft.com/office/drawing/2014/main" id="{EDF08076-5611-4A84-B27D-AE7037A7DB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20</xdr:col>
      <xdr:colOff>581025</xdr:colOff>
      <xdr:row>21</xdr:row>
      <xdr:rowOff>180979</xdr:rowOff>
    </xdr:from>
    <xdr:to>
      <xdr:col>25</xdr:col>
      <xdr:colOff>476249</xdr:colOff>
      <xdr:row>33</xdr:row>
      <xdr:rowOff>76203</xdr:rowOff>
    </xdr:to>
    <xdr:sp macro="" textlink="">
      <xdr:nvSpPr>
        <xdr:cNvPr id="60" name="Rectangle: Rounded Corners 59">
          <a:extLst>
            <a:ext uri="{FF2B5EF4-FFF2-40B4-BE49-F238E27FC236}">
              <a16:creationId xmlns:a16="http://schemas.microsoft.com/office/drawing/2014/main" id="{ED9DD96F-5E48-C995-D814-8DD20B8B14BF}"/>
            </a:ext>
          </a:extLst>
        </xdr:cNvPr>
        <xdr:cNvSpPr/>
      </xdr:nvSpPr>
      <xdr:spPr>
        <a:xfrm rot="5400000">
          <a:off x="14982825" y="3800479"/>
          <a:ext cx="2181224" cy="2943224"/>
        </a:xfrm>
        <a:prstGeom prst="roundRect">
          <a:avLst>
            <a:gd name="adj" fmla="val 5794"/>
          </a:avLst>
        </a:prstGeom>
        <a:solidFill>
          <a:srgbClr val="A6A6A6">
            <a:alpha val="10196"/>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19049</xdr:colOff>
      <xdr:row>22</xdr:row>
      <xdr:rowOff>28576</xdr:rowOff>
    </xdr:from>
    <xdr:to>
      <xdr:col>25</xdr:col>
      <xdr:colOff>514350</xdr:colOff>
      <xdr:row>33</xdr:row>
      <xdr:rowOff>38100</xdr:rowOff>
    </xdr:to>
    <xdr:graphicFrame macro="">
      <xdr:nvGraphicFramePr>
        <xdr:cNvPr id="62" name="Chart 61">
          <a:extLst>
            <a:ext uri="{FF2B5EF4-FFF2-40B4-BE49-F238E27FC236}">
              <a16:creationId xmlns:a16="http://schemas.microsoft.com/office/drawing/2014/main" id="{D31AE89A-846E-4534-8514-A7132A1A76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oneCellAnchor>
    <xdr:from>
      <xdr:col>2</xdr:col>
      <xdr:colOff>277090</xdr:colOff>
      <xdr:row>10</xdr:row>
      <xdr:rowOff>14233</xdr:rowOff>
    </xdr:from>
    <xdr:ext cx="2501515" cy="405432"/>
    <xdr:sp macro="" textlink="">
      <xdr:nvSpPr>
        <xdr:cNvPr id="12" name="TextBox 11">
          <a:extLst>
            <a:ext uri="{FF2B5EF4-FFF2-40B4-BE49-F238E27FC236}">
              <a16:creationId xmlns:a16="http://schemas.microsoft.com/office/drawing/2014/main" id="{760A66B6-2379-C368-7F12-7882C3DE6756}"/>
            </a:ext>
          </a:extLst>
        </xdr:cNvPr>
        <xdr:cNvSpPr txBox="1"/>
      </xdr:nvSpPr>
      <xdr:spPr>
        <a:xfrm>
          <a:off x="1493211" y="1861506"/>
          <a:ext cx="2501515"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2000" b="1">
              <a:solidFill>
                <a:schemeClr val="tx2"/>
              </a:solidFill>
              <a:latin typeface="Aptos" panose="020B0004020202020204" pitchFamily="34" charset="0"/>
            </a:rPr>
            <a:t>Total Revenue</a:t>
          </a:r>
        </a:p>
      </xdr:txBody>
    </xdr:sp>
    <xdr:clientData/>
  </xdr:oneCellAnchor>
  <xdr:oneCellAnchor>
    <xdr:from>
      <xdr:col>2</xdr:col>
      <xdr:colOff>330969</xdr:colOff>
      <xdr:row>16</xdr:row>
      <xdr:rowOff>37325</xdr:rowOff>
    </xdr:from>
    <xdr:ext cx="2640061" cy="405432"/>
    <xdr:sp macro="" textlink="">
      <xdr:nvSpPr>
        <xdr:cNvPr id="13" name="TextBox 12">
          <a:extLst>
            <a:ext uri="{FF2B5EF4-FFF2-40B4-BE49-F238E27FC236}">
              <a16:creationId xmlns:a16="http://schemas.microsoft.com/office/drawing/2014/main" id="{16036B07-1AAD-F103-EE4D-6C8195D7C93A}"/>
            </a:ext>
          </a:extLst>
        </xdr:cNvPr>
        <xdr:cNvSpPr txBox="1"/>
      </xdr:nvSpPr>
      <xdr:spPr>
        <a:xfrm>
          <a:off x="1547090" y="2992961"/>
          <a:ext cx="2640061"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2000" b="1">
              <a:solidFill>
                <a:schemeClr val="tx2"/>
              </a:solidFill>
              <a:latin typeface="Aptos" panose="020B0004020202020204" pitchFamily="34" charset="0"/>
            </a:rPr>
            <a:t>Therapist</a:t>
          </a:r>
          <a:r>
            <a:rPr lang="en-IN" sz="2000" b="1" baseline="0">
              <a:solidFill>
                <a:schemeClr val="tx2"/>
              </a:solidFill>
              <a:latin typeface="Aptos" panose="020B0004020202020204" pitchFamily="34" charset="0"/>
            </a:rPr>
            <a:t> Utilization</a:t>
          </a:r>
          <a:endParaRPr lang="en-IN" sz="2000" b="1">
            <a:solidFill>
              <a:schemeClr val="tx2"/>
            </a:solidFill>
            <a:latin typeface="Aptos" panose="020B0004020202020204" pitchFamily="34" charset="0"/>
          </a:endParaRPr>
        </a:p>
      </xdr:txBody>
    </xdr:sp>
    <xdr:clientData/>
  </xdr:oneCellAnchor>
  <xdr:oneCellAnchor>
    <xdr:from>
      <xdr:col>2</xdr:col>
      <xdr:colOff>269393</xdr:colOff>
      <xdr:row>22</xdr:row>
      <xdr:rowOff>68112</xdr:rowOff>
    </xdr:from>
    <xdr:ext cx="2640061" cy="405432"/>
    <xdr:sp macro="" textlink="">
      <xdr:nvSpPr>
        <xdr:cNvPr id="14" name="TextBox 13">
          <a:extLst>
            <a:ext uri="{FF2B5EF4-FFF2-40B4-BE49-F238E27FC236}">
              <a16:creationId xmlns:a16="http://schemas.microsoft.com/office/drawing/2014/main" id="{1EBB3CC5-D6B2-765F-A5E9-02922D2864B3}"/>
            </a:ext>
          </a:extLst>
        </xdr:cNvPr>
        <xdr:cNvSpPr txBox="1"/>
      </xdr:nvSpPr>
      <xdr:spPr>
        <a:xfrm>
          <a:off x="1485514" y="4132112"/>
          <a:ext cx="2640061"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2000" b="1">
              <a:solidFill>
                <a:schemeClr val="tx2"/>
              </a:solidFill>
              <a:latin typeface="Aptos" panose="020B0004020202020204" pitchFamily="34" charset="0"/>
            </a:rPr>
            <a:t>Patient No-Show</a:t>
          </a:r>
        </a:p>
      </xdr:txBody>
    </xdr:sp>
    <xdr:clientData/>
  </xdr:oneCellAnchor>
  <xdr:oneCellAnchor>
    <xdr:from>
      <xdr:col>2</xdr:col>
      <xdr:colOff>238605</xdr:colOff>
      <xdr:row>28</xdr:row>
      <xdr:rowOff>75809</xdr:rowOff>
    </xdr:from>
    <xdr:ext cx="2640061" cy="405432"/>
    <xdr:sp macro="" textlink="">
      <xdr:nvSpPr>
        <xdr:cNvPr id="15" name="TextBox 14">
          <a:extLst>
            <a:ext uri="{FF2B5EF4-FFF2-40B4-BE49-F238E27FC236}">
              <a16:creationId xmlns:a16="http://schemas.microsoft.com/office/drawing/2014/main" id="{E53E3C90-918B-926F-034C-0D051C89F50C}"/>
            </a:ext>
          </a:extLst>
        </xdr:cNvPr>
        <xdr:cNvSpPr txBox="1"/>
      </xdr:nvSpPr>
      <xdr:spPr>
        <a:xfrm>
          <a:off x="1454726" y="5248173"/>
          <a:ext cx="2640061"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2000" b="1">
              <a:solidFill>
                <a:schemeClr val="tx2"/>
              </a:solidFill>
              <a:latin typeface="Aptos" panose="020B0004020202020204" pitchFamily="34" charset="0"/>
            </a:rPr>
            <a:t>Revenue Lost</a:t>
          </a: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10</xdr:col>
      <xdr:colOff>76201</xdr:colOff>
      <xdr:row>17</xdr:row>
      <xdr:rowOff>38099</xdr:rowOff>
    </xdr:from>
    <xdr:to>
      <xdr:col>20</xdr:col>
      <xdr:colOff>47625</xdr:colOff>
      <xdr:row>34</xdr:row>
      <xdr:rowOff>123825</xdr:rowOff>
    </xdr:to>
    <xdr:graphicFrame macro="">
      <xdr:nvGraphicFramePr>
        <xdr:cNvPr id="9" name="Chart 8">
          <a:extLst>
            <a:ext uri="{FF2B5EF4-FFF2-40B4-BE49-F238E27FC236}">
              <a16:creationId xmlns:a16="http://schemas.microsoft.com/office/drawing/2014/main" id="{F3D060B2-335C-4A3E-BAE6-9466608D27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19049</xdr:colOff>
      <xdr:row>57</xdr:row>
      <xdr:rowOff>61911</xdr:rowOff>
    </xdr:from>
    <xdr:to>
      <xdr:col>19</xdr:col>
      <xdr:colOff>590550</xdr:colOff>
      <xdr:row>78</xdr:row>
      <xdr:rowOff>133350</xdr:rowOff>
    </xdr:to>
    <xdr:graphicFrame macro="">
      <xdr:nvGraphicFramePr>
        <xdr:cNvPr id="18" name="Chart 17">
          <a:extLst>
            <a:ext uri="{FF2B5EF4-FFF2-40B4-BE49-F238E27FC236}">
              <a16:creationId xmlns:a16="http://schemas.microsoft.com/office/drawing/2014/main" id="{D06A999D-C3DD-73B7-18B6-E6C9EC46C5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57150</xdr:colOff>
      <xdr:row>37</xdr:row>
      <xdr:rowOff>52386</xdr:rowOff>
    </xdr:from>
    <xdr:to>
      <xdr:col>19</xdr:col>
      <xdr:colOff>590550</xdr:colOff>
      <xdr:row>53</xdr:row>
      <xdr:rowOff>171449</xdr:rowOff>
    </xdr:to>
    <xdr:graphicFrame macro="">
      <xdr:nvGraphicFramePr>
        <xdr:cNvPr id="20" name="Chart 19">
          <a:extLst>
            <a:ext uri="{FF2B5EF4-FFF2-40B4-BE49-F238E27FC236}">
              <a16:creationId xmlns:a16="http://schemas.microsoft.com/office/drawing/2014/main" id="{50028FC7-3554-B14C-1CCA-B7155DECC4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319088</xdr:colOff>
      <xdr:row>81</xdr:row>
      <xdr:rowOff>80962</xdr:rowOff>
    </xdr:from>
    <xdr:to>
      <xdr:col>14</xdr:col>
      <xdr:colOff>295276</xdr:colOff>
      <xdr:row>95</xdr:row>
      <xdr:rowOff>0</xdr:rowOff>
    </xdr:to>
    <xdr:graphicFrame macro="">
      <xdr:nvGraphicFramePr>
        <xdr:cNvPr id="24" name="Chart 23">
          <a:extLst>
            <a:ext uri="{FF2B5EF4-FFF2-40B4-BE49-F238E27FC236}">
              <a16:creationId xmlns:a16="http://schemas.microsoft.com/office/drawing/2014/main" id="{CE340891-2F2E-57D1-0A55-E939011CF7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4763</xdr:colOff>
      <xdr:row>81</xdr:row>
      <xdr:rowOff>80962</xdr:rowOff>
    </xdr:from>
    <xdr:to>
      <xdr:col>19</xdr:col>
      <xdr:colOff>590551</xdr:colOff>
      <xdr:row>95</xdr:row>
      <xdr:rowOff>0</xdr:rowOff>
    </xdr:to>
    <xdr:graphicFrame macro="">
      <xdr:nvGraphicFramePr>
        <xdr:cNvPr id="25" name="Chart 24">
          <a:extLst>
            <a:ext uri="{FF2B5EF4-FFF2-40B4-BE49-F238E27FC236}">
              <a16:creationId xmlns:a16="http://schemas.microsoft.com/office/drawing/2014/main" id="{0F73A4A6-F65D-3611-6EB5-2A8E68087D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9525</xdr:colOff>
      <xdr:row>95</xdr:row>
      <xdr:rowOff>180975</xdr:rowOff>
    </xdr:from>
    <xdr:to>
      <xdr:col>8</xdr:col>
      <xdr:colOff>595313</xdr:colOff>
      <xdr:row>109</xdr:row>
      <xdr:rowOff>109538</xdr:rowOff>
    </xdr:to>
    <xdr:graphicFrame macro="">
      <xdr:nvGraphicFramePr>
        <xdr:cNvPr id="26" name="Chart 25">
          <a:extLst>
            <a:ext uri="{FF2B5EF4-FFF2-40B4-BE49-F238E27FC236}">
              <a16:creationId xmlns:a16="http://schemas.microsoft.com/office/drawing/2014/main" id="{372D4630-83AC-47DD-AD1B-6A158013E1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295275</xdr:colOff>
      <xdr:row>96</xdr:row>
      <xdr:rowOff>9525</xdr:rowOff>
    </xdr:from>
    <xdr:to>
      <xdr:col>14</xdr:col>
      <xdr:colOff>271463</xdr:colOff>
      <xdr:row>109</xdr:row>
      <xdr:rowOff>128588</xdr:rowOff>
    </xdr:to>
    <xdr:graphicFrame macro="">
      <xdr:nvGraphicFramePr>
        <xdr:cNvPr id="27" name="Chart 26">
          <a:extLst>
            <a:ext uri="{FF2B5EF4-FFF2-40B4-BE49-F238E27FC236}">
              <a16:creationId xmlns:a16="http://schemas.microsoft.com/office/drawing/2014/main" id="{FB3AE96C-67DD-444E-970E-788AED63C4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0</xdr:colOff>
      <xdr:row>95</xdr:row>
      <xdr:rowOff>180975</xdr:rowOff>
    </xdr:from>
    <xdr:to>
      <xdr:col>19</xdr:col>
      <xdr:colOff>585788</xdr:colOff>
      <xdr:row>109</xdr:row>
      <xdr:rowOff>109538</xdr:rowOff>
    </xdr:to>
    <xdr:graphicFrame macro="">
      <xdr:nvGraphicFramePr>
        <xdr:cNvPr id="28" name="Chart 27">
          <a:extLst>
            <a:ext uri="{FF2B5EF4-FFF2-40B4-BE49-F238E27FC236}">
              <a16:creationId xmlns:a16="http://schemas.microsoft.com/office/drawing/2014/main" id="{9E19E5FF-895A-4214-95B3-729FFCDEF7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9525</xdr:colOff>
      <xdr:row>81</xdr:row>
      <xdr:rowOff>66675</xdr:rowOff>
    </xdr:from>
    <xdr:to>
      <xdr:col>8</xdr:col>
      <xdr:colOff>595313</xdr:colOff>
      <xdr:row>94</xdr:row>
      <xdr:rowOff>176213</xdr:rowOff>
    </xdr:to>
    <xdr:graphicFrame macro="">
      <xdr:nvGraphicFramePr>
        <xdr:cNvPr id="2" name="Chart 1">
          <a:extLst>
            <a:ext uri="{FF2B5EF4-FFF2-40B4-BE49-F238E27FC236}">
              <a16:creationId xmlns:a16="http://schemas.microsoft.com/office/drawing/2014/main" id="{111F4FA9-0A4C-401A-B965-C540E5073C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0</xdr:colOff>
      <xdr:row>39</xdr:row>
      <xdr:rowOff>190500</xdr:rowOff>
    </xdr:from>
    <xdr:to>
      <xdr:col>3</xdr:col>
      <xdr:colOff>390524</xdr:colOff>
      <xdr:row>58</xdr:row>
      <xdr:rowOff>66675</xdr:rowOff>
    </xdr:to>
    <mc:AlternateContent xmlns:mc="http://schemas.openxmlformats.org/markup-compatibility/2006" xmlns:a14="http://schemas.microsoft.com/office/drawing/2010/main">
      <mc:Choice Requires="a14">
        <xdr:graphicFrame macro="">
          <xdr:nvGraphicFramePr>
            <xdr:cNvPr id="3" name="Month">
              <a:extLst>
                <a:ext uri="{FF2B5EF4-FFF2-40B4-BE49-F238E27FC236}">
                  <a16:creationId xmlns:a16="http://schemas.microsoft.com/office/drawing/2014/main" id="{0B413A64-26A0-448C-87A3-E3D713C2D752}"/>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0" y="8077200"/>
              <a:ext cx="2219324" cy="3676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15</xdr:row>
      <xdr:rowOff>9525</xdr:rowOff>
    </xdr:from>
    <xdr:to>
      <xdr:col>3</xdr:col>
      <xdr:colOff>485774</xdr:colOff>
      <xdr:row>20</xdr:row>
      <xdr:rowOff>200026</xdr:rowOff>
    </xdr:to>
    <mc:AlternateContent xmlns:mc="http://schemas.openxmlformats.org/markup-compatibility/2006" xmlns:a14="http://schemas.microsoft.com/office/drawing/2010/main">
      <mc:Choice Requires="a14">
        <xdr:graphicFrame macro="">
          <xdr:nvGraphicFramePr>
            <xdr:cNvPr id="4" name="Clinic">
              <a:extLst>
                <a:ext uri="{FF2B5EF4-FFF2-40B4-BE49-F238E27FC236}">
                  <a16:creationId xmlns:a16="http://schemas.microsoft.com/office/drawing/2014/main" id="{42E3B40C-D5F0-4326-AA7D-C73072DF8198}"/>
                </a:ext>
              </a:extLst>
            </xdr:cNvPr>
            <xdr:cNvGraphicFramePr/>
          </xdr:nvGraphicFramePr>
          <xdr:xfrm>
            <a:off x="0" y="0"/>
            <a:ext cx="0" cy="0"/>
          </xdr:xfrm>
          <a:graphic>
            <a:graphicData uri="http://schemas.microsoft.com/office/drawing/2010/slicer">
              <sle:slicer xmlns:sle="http://schemas.microsoft.com/office/drawing/2010/slicer" name="Clinic"/>
            </a:graphicData>
          </a:graphic>
        </xdr:graphicFrame>
      </mc:Choice>
      <mc:Fallback xmlns="">
        <xdr:sp macro="" textlink="">
          <xdr:nvSpPr>
            <xdr:cNvPr id="0" name=""/>
            <xdr:cNvSpPr>
              <a:spLocks noTextEdit="1"/>
            </xdr:cNvSpPr>
          </xdr:nvSpPr>
          <xdr:spPr>
            <a:xfrm>
              <a:off x="0" y="2962275"/>
              <a:ext cx="2314574" cy="12096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21</xdr:row>
      <xdr:rowOff>104775</xdr:rowOff>
    </xdr:from>
    <xdr:to>
      <xdr:col>3</xdr:col>
      <xdr:colOff>457200</xdr:colOff>
      <xdr:row>31</xdr:row>
      <xdr:rowOff>19051</xdr:rowOff>
    </xdr:to>
    <mc:AlternateContent xmlns:mc="http://schemas.openxmlformats.org/markup-compatibility/2006" xmlns:a14="http://schemas.microsoft.com/office/drawing/2010/main">
      <mc:Choice Requires="a14">
        <xdr:graphicFrame macro="">
          <xdr:nvGraphicFramePr>
            <xdr:cNvPr id="5" name="Therapy_Type">
              <a:extLst>
                <a:ext uri="{FF2B5EF4-FFF2-40B4-BE49-F238E27FC236}">
                  <a16:creationId xmlns:a16="http://schemas.microsoft.com/office/drawing/2014/main" id="{3FE51D5B-6079-49BB-A22E-CEA1265096C9}"/>
                </a:ext>
              </a:extLst>
            </xdr:cNvPr>
            <xdr:cNvGraphicFramePr/>
          </xdr:nvGraphicFramePr>
          <xdr:xfrm>
            <a:off x="0" y="0"/>
            <a:ext cx="0" cy="0"/>
          </xdr:xfrm>
          <a:graphic>
            <a:graphicData uri="http://schemas.microsoft.com/office/drawing/2010/slicer">
              <sle:slicer xmlns:sle="http://schemas.microsoft.com/office/drawing/2010/slicer" name="Therapy_Type"/>
            </a:graphicData>
          </a:graphic>
        </xdr:graphicFrame>
      </mc:Choice>
      <mc:Fallback xmlns="">
        <xdr:sp macro="" textlink="">
          <xdr:nvSpPr>
            <xdr:cNvPr id="0" name=""/>
            <xdr:cNvSpPr>
              <a:spLocks noTextEdit="1"/>
            </xdr:cNvSpPr>
          </xdr:nvSpPr>
          <xdr:spPr>
            <a:xfrm>
              <a:off x="0" y="4286250"/>
              <a:ext cx="2286000" cy="20097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31</xdr:row>
      <xdr:rowOff>161924</xdr:rowOff>
    </xdr:from>
    <xdr:to>
      <xdr:col>3</xdr:col>
      <xdr:colOff>428624</xdr:colOff>
      <xdr:row>39</xdr:row>
      <xdr:rowOff>57150</xdr:rowOff>
    </xdr:to>
    <mc:AlternateContent xmlns:mc="http://schemas.openxmlformats.org/markup-compatibility/2006" xmlns:a14="http://schemas.microsoft.com/office/drawing/2010/main">
      <mc:Choice Requires="a14">
        <xdr:graphicFrame macro="">
          <xdr:nvGraphicFramePr>
            <xdr:cNvPr id="6" name="Payer_Type 1">
              <a:extLst>
                <a:ext uri="{FF2B5EF4-FFF2-40B4-BE49-F238E27FC236}">
                  <a16:creationId xmlns:a16="http://schemas.microsoft.com/office/drawing/2014/main" id="{0CC6F7CD-8DAD-4BDE-B38A-26A8BCA23C7A}"/>
                </a:ext>
              </a:extLst>
            </xdr:cNvPr>
            <xdr:cNvGraphicFramePr/>
          </xdr:nvGraphicFramePr>
          <xdr:xfrm>
            <a:off x="0" y="0"/>
            <a:ext cx="0" cy="0"/>
          </xdr:xfrm>
          <a:graphic>
            <a:graphicData uri="http://schemas.microsoft.com/office/drawing/2010/slicer">
              <sle:slicer xmlns:sle="http://schemas.microsoft.com/office/drawing/2010/slicer" name="Payer_Type 1"/>
            </a:graphicData>
          </a:graphic>
        </xdr:graphicFrame>
      </mc:Choice>
      <mc:Fallback xmlns="">
        <xdr:sp macro="" textlink="">
          <xdr:nvSpPr>
            <xdr:cNvPr id="0" name=""/>
            <xdr:cNvSpPr>
              <a:spLocks noTextEdit="1"/>
            </xdr:cNvSpPr>
          </xdr:nvSpPr>
          <xdr:spPr>
            <a:xfrm>
              <a:off x="0" y="6438899"/>
              <a:ext cx="2257424" cy="15049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38100</xdr:colOff>
      <xdr:row>0</xdr:row>
      <xdr:rowOff>85725</xdr:rowOff>
    </xdr:from>
    <xdr:to>
      <xdr:col>1</xdr:col>
      <xdr:colOff>733425</xdr:colOff>
      <xdr:row>3</xdr:row>
      <xdr:rowOff>76200</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FAAC78B3-40E7-4695-8D43-E3E34578E5CE}"/>
            </a:ext>
          </a:extLst>
        </xdr:cNvPr>
        <xdr:cNvSpPr/>
      </xdr:nvSpPr>
      <xdr:spPr>
        <a:xfrm>
          <a:off x="38100" y="85725"/>
          <a:ext cx="1752600" cy="561975"/>
        </a:xfrm>
        <a:prstGeom prst="roundRect">
          <a:avLst>
            <a:gd name="adj" fmla="val 5000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latin typeface="Aptos" panose="020B0004020202020204" pitchFamily="34" charset="0"/>
            </a:rPr>
            <a:t> Back</a:t>
          </a:r>
          <a:endParaRPr lang="en-US" sz="1100" b="1">
            <a:latin typeface="Aptos" panose="020B00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8504</xdr:colOff>
      <xdr:row>30</xdr:row>
      <xdr:rowOff>35038</xdr:rowOff>
    </xdr:from>
    <xdr:to>
      <xdr:col>1</xdr:col>
      <xdr:colOff>909978</xdr:colOff>
      <xdr:row>44</xdr:row>
      <xdr:rowOff>263638</xdr:rowOff>
    </xdr:to>
    <mc:AlternateContent xmlns:mc="http://schemas.openxmlformats.org/markup-compatibility/2006" xmlns:sle15="http://schemas.microsoft.com/office/drawing/2012/slicer">
      <mc:Choice Requires="sle15">
        <xdr:graphicFrame macro="">
          <xdr:nvGraphicFramePr>
            <xdr:cNvPr id="9" name="Slicer_Filter_By_Month">
              <a:extLst>
                <a:ext uri="{FF2B5EF4-FFF2-40B4-BE49-F238E27FC236}">
                  <a16:creationId xmlns:a16="http://schemas.microsoft.com/office/drawing/2014/main" id="{C91DA7B4-C8A0-6E44-69CA-321005411348}"/>
                </a:ext>
                <a:ext uri="{147F2762-F138-4A5C-976F-8EAC2B608ADB}">
                  <a16:predDERef xmlns:a16="http://schemas.microsoft.com/office/drawing/2014/main" pred="{15FAEAC9-94D8-262B-224B-B270A90C4843}"/>
                </a:ext>
              </a:extLst>
            </xdr:cNvPr>
            <xdr:cNvGraphicFramePr/>
          </xdr:nvGraphicFramePr>
          <xdr:xfrm>
            <a:off x="0" y="0"/>
            <a:ext cx="0" cy="0"/>
          </xdr:xfrm>
          <a:graphic>
            <a:graphicData uri="http://schemas.microsoft.com/office/drawing/2010/slicer">
              <sle:slicer xmlns:sle="http://schemas.microsoft.com/office/drawing/2010/slicer" name="Slicer_Filter_By_Month"/>
            </a:graphicData>
          </a:graphic>
        </xdr:graphicFrame>
      </mc:Choice>
      <mc:Fallback xmlns="">
        <xdr:sp macro="" textlink="">
          <xdr:nvSpPr>
            <xdr:cNvPr id="0" name=""/>
            <xdr:cNvSpPr>
              <a:spLocks noTextEdit="1"/>
            </xdr:cNvSpPr>
          </xdr:nvSpPr>
          <xdr:spPr>
            <a:xfrm>
              <a:off x="8504" y="7136266"/>
              <a:ext cx="1887992" cy="3460296"/>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0</xdr:colOff>
      <xdr:row>12</xdr:row>
      <xdr:rowOff>214312</xdr:rowOff>
    </xdr:from>
    <xdr:to>
      <xdr:col>1</xdr:col>
      <xdr:colOff>933450</xdr:colOff>
      <xdr:row>21</xdr:row>
      <xdr:rowOff>73818</xdr:rowOff>
    </xdr:to>
    <mc:AlternateContent xmlns:mc="http://schemas.openxmlformats.org/markup-compatibility/2006" xmlns:sle15="http://schemas.microsoft.com/office/drawing/2012/slicer">
      <mc:Choice Requires="sle15">
        <xdr:graphicFrame macro="">
          <xdr:nvGraphicFramePr>
            <xdr:cNvPr id="10" name="Slicer_Filter_By_Therapy">
              <a:extLst>
                <a:ext uri="{FF2B5EF4-FFF2-40B4-BE49-F238E27FC236}">
                  <a16:creationId xmlns:a16="http://schemas.microsoft.com/office/drawing/2014/main" id="{995762F3-2BD3-7EC7-5450-4A0697F52798}"/>
                </a:ext>
                <a:ext uri="{147F2762-F138-4A5C-976F-8EAC2B608ADB}">
                  <a16:predDERef xmlns:a16="http://schemas.microsoft.com/office/drawing/2014/main" pred="{C91DA7B4-C8A0-6E44-69CA-321005411348}"/>
                </a:ext>
              </a:extLst>
            </xdr:cNvPr>
            <xdr:cNvGraphicFramePr/>
          </xdr:nvGraphicFramePr>
          <xdr:xfrm>
            <a:off x="0" y="0"/>
            <a:ext cx="0" cy="0"/>
          </xdr:xfrm>
          <a:graphic>
            <a:graphicData uri="http://schemas.microsoft.com/office/drawing/2010/slicer">
              <sle:slicer xmlns:sle="http://schemas.microsoft.com/office/drawing/2010/slicer" name="Slicer_Filter_By_Therapy"/>
            </a:graphicData>
          </a:graphic>
        </xdr:graphicFrame>
      </mc:Choice>
      <mc:Fallback xmlns="">
        <xdr:sp macro="" textlink="">
          <xdr:nvSpPr>
            <xdr:cNvPr id="0" name=""/>
            <xdr:cNvSpPr>
              <a:spLocks noTextEdit="1"/>
            </xdr:cNvSpPr>
          </xdr:nvSpPr>
          <xdr:spPr>
            <a:xfrm>
              <a:off x="0" y="3548062"/>
              <a:ext cx="1919968" cy="1926091"/>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0</xdr:colOff>
      <xdr:row>8</xdr:row>
      <xdr:rowOff>9525</xdr:rowOff>
    </xdr:from>
    <xdr:to>
      <xdr:col>1</xdr:col>
      <xdr:colOff>933450</xdr:colOff>
      <xdr:row>12</xdr:row>
      <xdr:rowOff>97291</xdr:rowOff>
    </xdr:to>
    <mc:AlternateContent xmlns:mc="http://schemas.openxmlformats.org/markup-compatibility/2006" xmlns:sle15="http://schemas.microsoft.com/office/drawing/2012/slicer">
      <mc:Choice Requires="sle15">
        <xdr:graphicFrame macro="">
          <xdr:nvGraphicFramePr>
            <xdr:cNvPr id="11" name="Slicer_Filter_By_Clinic">
              <a:extLst>
                <a:ext uri="{FF2B5EF4-FFF2-40B4-BE49-F238E27FC236}">
                  <a16:creationId xmlns:a16="http://schemas.microsoft.com/office/drawing/2014/main" id="{037CD42C-8350-8481-8B16-600733404569}"/>
                </a:ext>
                <a:ext uri="{147F2762-F138-4A5C-976F-8EAC2B608ADB}">
                  <a16:predDERef xmlns:a16="http://schemas.microsoft.com/office/drawing/2014/main" pred="{995762F3-2BD3-7EC7-5450-4A0697F52798}"/>
                </a:ext>
              </a:extLst>
            </xdr:cNvPr>
            <xdr:cNvGraphicFramePr/>
          </xdr:nvGraphicFramePr>
          <xdr:xfrm>
            <a:off x="0" y="0"/>
            <a:ext cx="0" cy="0"/>
          </xdr:xfrm>
          <a:graphic>
            <a:graphicData uri="http://schemas.microsoft.com/office/drawing/2010/slicer">
              <sle:slicer xmlns:sle="http://schemas.microsoft.com/office/drawing/2010/slicer" name="Slicer_Filter_By_Clinic"/>
            </a:graphicData>
          </a:graphic>
        </xdr:graphicFrame>
      </mc:Choice>
      <mc:Fallback xmlns="">
        <xdr:sp macro="" textlink="">
          <xdr:nvSpPr>
            <xdr:cNvPr id="0" name=""/>
            <xdr:cNvSpPr>
              <a:spLocks noTextEdit="1"/>
            </xdr:cNvSpPr>
          </xdr:nvSpPr>
          <xdr:spPr>
            <a:xfrm>
              <a:off x="0" y="2246199"/>
              <a:ext cx="1919968" cy="1184842"/>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2</xdr:col>
      <xdr:colOff>1</xdr:colOff>
      <xdr:row>9</xdr:row>
      <xdr:rowOff>28575</xdr:rowOff>
    </xdr:from>
    <xdr:to>
      <xdr:col>5</xdr:col>
      <xdr:colOff>952501</xdr:colOff>
      <xdr:row>22</xdr:row>
      <xdr:rowOff>28575</xdr:rowOff>
    </xdr:to>
    <xdr:graphicFrame macro="">
      <xdr:nvGraphicFramePr>
        <xdr:cNvPr id="12" name="No_Show_Rate_by_Day">
          <a:extLst>
            <a:ext uri="{FF2B5EF4-FFF2-40B4-BE49-F238E27FC236}">
              <a16:creationId xmlns:a16="http://schemas.microsoft.com/office/drawing/2014/main" id="{1D947257-C1E9-8728-E030-F77735748920}"/>
            </a:ext>
            <a:ext uri="{147F2762-F138-4A5C-976F-8EAC2B608ADB}">
              <a16:predDERef xmlns:a16="http://schemas.microsoft.com/office/drawing/2014/main" pred="{037CD42C-8350-8481-8B16-6007334045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57150</xdr:colOff>
      <xdr:row>9</xdr:row>
      <xdr:rowOff>28575</xdr:rowOff>
    </xdr:from>
    <xdr:to>
      <xdr:col>11</xdr:col>
      <xdr:colOff>885825</xdr:colOff>
      <xdr:row>22</xdr:row>
      <xdr:rowOff>28575</xdr:rowOff>
    </xdr:to>
    <xdr:graphicFrame macro="">
      <xdr:nvGraphicFramePr>
        <xdr:cNvPr id="13" name="Therapist_Utilization_vs_Target">
          <a:extLst>
            <a:ext uri="{FF2B5EF4-FFF2-40B4-BE49-F238E27FC236}">
              <a16:creationId xmlns:a16="http://schemas.microsoft.com/office/drawing/2014/main" id="{2F2FD1F7-298B-242F-E69D-CD54488B364D}"/>
            </a:ext>
            <a:ext uri="{147F2762-F138-4A5C-976F-8EAC2B608ADB}">
              <a16:predDERef xmlns:a16="http://schemas.microsoft.com/office/drawing/2014/main" pred="{1D947257-C1E9-8728-E030-F777357489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9525</xdr:colOff>
      <xdr:row>24</xdr:row>
      <xdr:rowOff>28576</xdr:rowOff>
    </xdr:from>
    <xdr:to>
      <xdr:col>11</xdr:col>
      <xdr:colOff>705870</xdr:colOff>
      <xdr:row>44</xdr:row>
      <xdr:rowOff>93550</xdr:rowOff>
    </xdr:to>
    <xdr:graphicFrame macro="">
      <xdr:nvGraphicFramePr>
        <xdr:cNvPr id="2" name="Volume_Status_By_Therapy">
          <a:extLst>
            <a:ext uri="{FF2B5EF4-FFF2-40B4-BE49-F238E27FC236}">
              <a16:creationId xmlns:a16="http://schemas.microsoft.com/office/drawing/2014/main" id="{3EFFC424-6611-1AB0-D705-C98E35768F53}"/>
            </a:ext>
            <a:ext uri="{147F2762-F138-4A5C-976F-8EAC2B608ADB}">
              <a16:predDERef xmlns:a16="http://schemas.microsoft.com/office/drawing/2014/main" pred="{2F2FD1F7-298B-242F-E69D-CD54488B36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0</xdr:col>
      <xdr:colOff>0</xdr:colOff>
      <xdr:row>22</xdr:row>
      <xdr:rowOff>0</xdr:rowOff>
    </xdr:from>
    <xdr:to>
      <xdr:col>1</xdr:col>
      <xdr:colOff>909978</xdr:colOff>
      <xdr:row>29</xdr:row>
      <xdr:rowOff>127567</xdr:rowOff>
    </xdr:to>
    <mc:AlternateContent xmlns:mc="http://schemas.openxmlformats.org/markup-compatibility/2006" xmlns:sle15="http://schemas.microsoft.com/office/drawing/2012/slicer">
      <mc:Choice Requires="sle15">
        <xdr:graphicFrame macro="">
          <xdr:nvGraphicFramePr>
            <xdr:cNvPr id="4" name="Payer_Type">
              <a:extLst>
                <a:ext uri="{FF2B5EF4-FFF2-40B4-BE49-F238E27FC236}">
                  <a16:creationId xmlns:a16="http://schemas.microsoft.com/office/drawing/2014/main" id="{B53CDBE4-4B11-4BEC-B463-5E23E9F7A744}"/>
                </a:ext>
              </a:extLst>
            </xdr:cNvPr>
            <xdr:cNvGraphicFramePr/>
          </xdr:nvGraphicFramePr>
          <xdr:xfrm>
            <a:off x="0" y="0"/>
            <a:ext cx="0" cy="0"/>
          </xdr:xfrm>
          <a:graphic>
            <a:graphicData uri="http://schemas.microsoft.com/office/drawing/2010/slicer">
              <sle:slicer xmlns:sle="http://schemas.microsoft.com/office/drawing/2010/slicer" name="Payer_Type"/>
            </a:graphicData>
          </a:graphic>
        </xdr:graphicFrame>
      </mc:Choice>
      <mc:Fallback xmlns="">
        <xdr:sp macro="" textlink="">
          <xdr:nvSpPr>
            <xdr:cNvPr id="0" name=""/>
            <xdr:cNvSpPr>
              <a:spLocks noTextEdit="1"/>
            </xdr:cNvSpPr>
          </xdr:nvSpPr>
          <xdr:spPr>
            <a:xfrm>
              <a:off x="0" y="5587433"/>
              <a:ext cx="1896496" cy="1454263"/>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1</xdr:col>
      <xdr:colOff>1088571</xdr:colOff>
      <xdr:row>66</xdr:row>
      <xdr:rowOff>171959</xdr:rowOff>
    </xdr:from>
    <xdr:to>
      <xdr:col>12</xdr:col>
      <xdr:colOff>8504</xdr:colOff>
      <xdr:row>78</xdr:row>
      <xdr:rowOff>246629</xdr:rowOff>
    </xdr:to>
    <xdr:graphicFrame macro="">
      <xdr:nvGraphicFramePr>
        <xdr:cNvPr id="5" name="Chart 4">
          <a:extLst>
            <a:ext uri="{FF2B5EF4-FFF2-40B4-BE49-F238E27FC236}">
              <a16:creationId xmlns:a16="http://schemas.microsoft.com/office/drawing/2014/main" id="{D3129124-27E2-675B-458E-45942814EA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892969</xdr:colOff>
      <xdr:row>46</xdr:row>
      <xdr:rowOff>187099</xdr:rowOff>
    </xdr:from>
    <xdr:to>
      <xdr:col>4</xdr:col>
      <xdr:colOff>578304</xdr:colOff>
      <xdr:row>55</xdr:row>
      <xdr:rowOff>42522</xdr:rowOff>
    </xdr:to>
    <xdr:graphicFrame macro="">
      <xdr:nvGraphicFramePr>
        <xdr:cNvPr id="22" name="Chart 21">
          <a:extLst>
            <a:ext uri="{FF2B5EF4-FFF2-40B4-BE49-F238E27FC236}">
              <a16:creationId xmlns:a16="http://schemas.microsoft.com/office/drawing/2014/main" id="{3E1AFE96-F436-4CFE-B467-FF5BAFC36A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671852</xdr:colOff>
      <xdr:row>46</xdr:row>
      <xdr:rowOff>187099</xdr:rowOff>
    </xdr:from>
    <xdr:to>
      <xdr:col>8</xdr:col>
      <xdr:colOff>816428</xdr:colOff>
      <xdr:row>55</xdr:row>
      <xdr:rowOff>51027</xdr:rowOff>
    </xdr:to>
    <xdr:graphicFrame macro="">
      <xdr:nvGraphicFramePr>
        <xdr:cNvPr id="23" name="Chart 22">
          <a:extLst>
            <a:ext uri="{FF2B5EF4-FFF2-40B4-BE49-F238E27FC236}">
              <a16:creationId xmlns:a16="http://schemas.microsoft.com/office/drawing/2014/main" id="{426750A5-24EA-4E39-9467-6ABDA4DF89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901473</xdr:colOff>
      <xdr:row>46</xdr:row>
      <xdr:rowOff>195603</xdr:rowOff>
    </xdr:from>
    <xdr:to>
      <xdr:col>13</xdr:col>
      <xdr:colOff>722880</xdr:colOff>
      <xdr:row>55</xdr:row>
      <xdr:rowOff>59531</xdr:rowOff>
    </xdr:to>
    <xdr:graphicFrame macro="">
      <xdr:nvGraphicFramePr>
        <xdr:cNvPr id="24" name="Chart 23">
          <a:extLst>
            <a:ext uri="{FF2B5EF4-FFF2-40B4-BE49-F238E27FC236}">
              <a16:creationId xmlns:a16="http://schemas.microsoft.com/office/drawing/2014/main" id="{735D002F-412E-48B5-AB46-75D7D42744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875960</xdr:colOff>
      <xdr:row>55</xdr:row>
      <xdr:rowOff>144575</xdr:rowOff>
    </xdr:from>
    <xdr:to>
      <xdr:col>4</xdr:col>
      <xdr:colOff>578304</xdr:colOff>
      <xdr:row>63</xdr:row>
      <xdr:rowOff>187098</xdr:rowOff>
    </xdr:to>
    <xdr:graphicFrame macro="">
      <xdr:nvGraphicFramePr>
        <xdr:cNvPr id="25" name="Chart 24">
          <a:extLst>
            <a:ext uri="{FF2B5EF4-FFF2-40B4-BE49-F238E27FC236}">
              <a16:creationId xmlns:a16="http://schemas.microsoft.com/office/drawing/2014/main" id="{09DE477C-2699-47E0-8701-47E24C7D54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646340</xdr:colOff>
      <xdr:row>55</xdr:row>
      <xdr:rowOff>153079</xdr:rowOff>
    </xdr:from>
    <xdr:to>
      <xdr:col>8</xdr:col>
      <xdr:colOff>816429</xdr:colOff>
      <xdr:row>63</xdr:row>
      <xdr:rowOff>195602</xdr:rowOff>
    </xdr:to>
    <xdr:graphicFrame macro="">
      <xdr:nvGraphicFramePr>
        <xdr:cNvPr id="26" name="Chart 25">
          <a:extLst>
            <a:ext uri="{FF2B5EF4-FFF2-40B4-BE49-F238E27FC236}">
              <a16:creationId xmlns:a16="http://schemas.microsoft.com/office/drawing/2014/main" id="{7F3A2814-273C-49CD-8A32-DF40F775F1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0</xdr:colOff>
      <xdr:row>55</xdr:row>
      <xdr:rowOff>161584</xdr:rowOff>
    </xdr:from>
    <xdr:to>
      <xdr:col>13</xdr:col>
      <xdr:colOff>722880</xdr:colOff>
      <xdr:row>63</xdr:row>
      <xdr:rowOff>204106</xdr:rowOff>
    </xdr:to>
    <xdr:graphicFrame macro="">
      <xdr:nvGraphicFramePr>
        <xdr:cNvPr id="27" name="Chart 26">
          <a:extLst>
            <a:ext uri="{FF2B5EF4-FFF2-40B4-BE49-F238E27FC236}">
              <a16:creationId xmlns:a16="http://schemas.microsoft.com/office/drawing/2014/main" id="{38FFB6B0-34A0-4F95-BEE3-221870DA0B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 S, Sibeesh" refreshedDate="46218.788638310187" createdVersion="8" refreshedVersion="8" minRefreshableVersion="3" recordCount="2000" xr:uid="{23F8875A-1F96-44B7-9D38-03F0FDCCA982}">
  <cacheSource type="worksheet">
    <worksheetSource name="Appointments_Tbl"/>
  </cacheSource>
  <cacheFields count="24">
    <cacheField name="Appointment_ID" numFmtId="0">
      <sharedItems/>
    </cacheField>
    <cacheField name="Appointment_Date" numFmtId="164">
      <sharedItems containsSemiMixedTypes="0" containsNonDate="0" containsDate="1" containsString="0" minDate="2025-01-01T00:00:00" maxDate="2026-01-01T00:00:00" count="334">
        <d v="2025-12-23T00:00:00"/>
        <d v="2025-11-17T00:00:00"/>
        <d v="2025-09-11T00:00:00"/>
        <d v="2025-03-26T00:00:00"/>
        <d v="2025-06-19T00:00:00"/>
        <d v="2025-12-11T00:00:00"/>
        <d v="2025-02-12T00:00:00"/>
        <d v="2025-03-17T00:00:00"/>
        <d v="2025-12-26T00:00:00"/>
        <d v="2025-11-01T00:00:00"/>
        <d v="2025-04-24T00:00:00"/>
        <d v="2025-10-07T00:00:00"/>
        <d v="2025-07-21T00:00:00"/>
        <d v="2025-06-10T00:00:00"/>
        <d v="2025-11-28T00:00:00"/>
        <d v="2025-08-16T00:00:00"/>
        <d v="2025-10-22T00:00:00"/>
        <d v="2025-12-01T00:00:00"/>
        <d v="2025-06-25T00:00:00"/>
        <d v="2025-06-17T00:00:00"/>
        <d v="2025-04-03T00:00:00"/>
        <d v="2025-05-12T00:00:00"/>
        <d v="2025-01-27T00:00:00"/>
        <d v="2025-02-10T00:00:00"/>
        <d v="2025-01-06T00:00:00"/>
        <d v="2025-01-14T00:00:00"/>
        <d v="2025-03-28T00:00:00"/>
        <d v="2025-08-15T00:00:00"/>
        <d v="2025-02-27T00:00:00"/>
        <d v="2025-02-22T00:00:00"/>
        <d v="2025-08-13T00:00:00"/>
        <d v="2025-01-17T00:00:00"/>
        <d v="2025-07-04T00:00:00"/>
        <d v="2025-12-10T00:00:00"/>
        <d v="2025-05-08T00:00:00"/>
        <d v="2025-03-03T00:00:00"/>
        <d v="2025-09-15T00:00:00"/>
        <d v="2025-02-11T00:00:00"/>
        <d v="2025-04-04T00:00:00"/>
        <d v="2025-04-12T00:00:00"/>
        <d v="2025-02-28T00:00:00"/>
        <d v="2025-01-20T00:00:00"/>
        <d v="2025-10-20T00:00:00"/>
        <d v="2025-09-06T00:00:00"/>
        <d v="2025-06-30T00:00:00"/>
        <d v="2025-08-22T00:00:00"/>
        <d v="2025-01-09T00:00:00"/>
        <d v="2025-12-30T00:00:00"/>
        <d v="2025-11-12T00:00:00"/>
        <d v="2025-08-25T00:00:00"/>
        <d v="2025-02-26T00:00:00"/>
        <d v="2025-04-01T00:00:00"/>
        <d v="2025-08-21T00:00:00"/>
        <d v="2025-05-23T00:00:00"/>
        <d v="2025-05-16T00:00:00"/>
        <d v="2025-12-27T00:00:00"/>
        <d v="2025-04-11T00:00:00"/>
        <d v="2025-03-01T00:00:00"/>
        <d v="2025-01-23T00:00:00"/>
        <d v="2025-02-25T00:00:00"/>
        <d v="2025-08-11T00:00:00"/>
        <d v="2025-05-31T00:00:00"/>
        <d v="2025-06-04T00:00:00"/>
        <d v="2025-01-07T00:00:00"/>
        <d v="2025-10-08T00:00:00"/>
        <d v="2025-10-31T00:00:00"/>
        <d v="2025-10-06T00:00:00"/>
        <d v="2025-01-16T00:00:00"/>
        <d v="2025-02-07T00:00:00"/>
        <d v="2025-06-03T00:00:00"/>
        <d v="2025-03-08T00:00:00"/>
        <d v="2025-09-08T00:00:00"/>
        <d v="2025-05-15T00:00:00"/>
        <d v="2025-05-06T00:00:00"/>
        <d v="2025-05-14T00:00:00"/>
        <d v="2025-05-22T00:00:00"/>
        <d v="2025-09-02T00:00:00"/>
        <d v="2025-02-04T00:00:00"/>
        <d v="2025-12-22T00:00:00"/>
        <d v="2025-09-29T00:00:00"/>
        <d v="2025-01-11T00:00:00"/>
        <d v="2025-06-09T00:00:00"/>
        <d v="2025-09-16T00:00:00"/>
        <d v="2025-11-22T00:00:00"/>
        <d v="2025-04-15T00:00:00"/>
        <d v="2025-10-21T00:00:00"/>
        <d v="2025-09-19T00:00:00"/>
        <d v="2025-07-13T00:00:00"/>
        <d v="2025-04-05T00:00:00"/>
        <d v="2025-07-12T00:00:00"/>
        <d v="2025-12-04T00:00:00"/>
        <d v="2025-06-11T00:00:00"/>
        <d v="2025-03-13T00:00:00"/>
        <d v="2025-07-15T00:00:00"/>
        <d v="2025-09-03T00:00:00"/>
        <d v="2025-01-05T00:00:00"/>
        <d v="2025-09-09T00:00:00"/>
        <d v="2025-12-02T00:00:00"/>
        <d v="2025-03-25T00:00:00"/>
        <d v="2025-07-24T00:00:00"/>
        <d v="2025-11-21T00:00:00"/>
        <d v="2025-08-29T00:00:00"/>
        <d v="2025-11-24T00:00:00"/>
        <d v="2025-02-14T00:00:00"/>
        <d v="2025-09-24T00:00:00"/>
        <d v="2025-10-02T00:00:00"/>
        <d v="2025-03-07T00:00:00"/>
        <d v="2025-11-14T00:00:00"/>
        <d v="2025-01-01T00:00:00"/>
        <d v="2025-12-08T00:00:00"/>
        <d v="2025-02-21T00:00:00"/>
        <d v="2025-07-28T00:00:00"/>
        <d v="2025-08-04T00:00:00"/>
        <d v="2025-09-04T00:00:00"/>
        <d v="2025-03-29T00:00:00"/>
        <d v="2025-10-14T00:00:00"/>
        <d v="2025-04-17T00:00:00"/>
        <d v="2025-04-29T00:00:00"/>
        <d v="2025-12-05T00:00:00"/>
        <d v="2025-11-07T00:00:00"/>
        <d v="2025-01-24T00:00:00"/>
        <d v="2025-10-23T00:00:00"/>
        <d v="2025-07-10T00:00:00"/>
        <d v="2025-11-11T00:00:00"/>
        <d v="2025-12-20T00:00:00"/>
        <d v="2025-05-11T00:00:00"/>
        <d v="2025-01-28T00:00:00"/>
        <d v="2025-06-07T00:00:00"/>
        <d v="2025-08-20T00:00:00"/>
        <d v="2025-05-28T00:00:00"/>
        <d v="2025-03-27T00:00:00"/>
        <d v="2025-01-02T00:00:00"/>
        <d v="2025-07-02T00:00:00"/>
        <d v="2025-04-16T00:00:00"/>
        <d v="2025-09-01T00:00:00"/>
        <d v="2025-11-08T00:00:00"/>
        <d v="2025-04-08T00:00:00"/>
        <d v="2025-10-25T00:00:00"/>
        <d v="2025-07-07T00:00:00"/>
        <d v="2025-05-26T00:00:00"/>
        <d v="2025-06-18T00:00:00"/>
        <d v="2025-09-05T00:00:00"/>
        <d v="2025-01-29T00:00:00"/>
        <d v="2025-12-06T00:00:00"/>
        <d v="2025-01-13T00:00:00"/>
        <d v="2025-11-10T00:00:00"/>
        <d v="2025-07-14T00:00:00"/>
        <d v="2025-07-30T00:00:00"/>
        <d v="2025-06-24T00:00:00"/>
        <d v="2025-05-17T00:00:00"/>
        <d v="2025-04-28T00:00:00"/>
        <d v="2025-05-10T00:00:00"/>
        <d v="2025-01-31T00:00:00"/>
        <d v="2025-12-29T00:00:00"/>
        <d v="2025-05-24T00:00:00"/>
        <d v="2025-02-13T00:00:00"/>
        <d v="2025-08-08T00:00:00"/>
        <d v="2025-10-29T00:00:00"/>
        <d v="2025-06-13T00:00:00"/>
        <d v="2025-02-24T00:00:00"/>
        <d v="2025-12-24T00:00:00"/>
        <d v="2025-09-23T00:00:00"/>
        <d v="2025-12-03T00:00:00"/>
        <d v="2025-07-22T00:00:00"/>
        <d v="2025-05-09T00:00:00"/>
        <d v="2025-08-07T00:00:00"/>
        <d v="2025-05-19T00:00:00"/>
        <d v="2025-06-12T00:00:00"/>
        <d v="2025-10-27T00:00:00"/>
        <d v="2025-03-11T00:00:00"/>
        <d v="2025-04-07T00:00:00"/>
        <d v="2025-05-07T00:00:00"/>
        <d v="2025-10-13T00:00:00"/>
        <d v="2025-08-27T00:00:00"/>
        <d v="2025-04-02T00:00:00"/>
        <d v="2025-03-19T00:00:00"/>
        <d v="2025-05-20T00:00:00"/>
        <d v="2025-10-10T00:00:00"/>
        <d v="2025-10-30T00:00:00"/>
        <d v="2025-03-21T00:00:00"/>
        <d v="2025-09-26T00:00:00"/>
        <d v="2025-10-01T00:00:00"/>
        <d v="2025-02-19T00:00:00"/>
        <d v="2025-05-05T00:00:00"/>
        <d v="2025-01-22T00:00:00"/>
        <d v="2025-11-18T00:00:00"/>
        <d v="2025-03-24T00:00:00"/>
        <d v="2025-03-18T00:00:00"/>
        <d v="2025-02-06T00:00:00"/>
        <d v="2025-07-29T00:00:00"/>
        <d v="2025-02-03T00:00:00"/>
        <d v="2025-04-21T00:00:00"/>
        <d v="2025-12-15T00:00:00"/>
        <d v="2025-03-22T00:00:00"/>
        <d v="2025-07-11T00:00:00"/>
        <d v="2025-07-25T00:00:00"/>
        <d v="2025-05-27T00:00:00"/>
        <d v="2025-03-31T00:00:00"/>
        <d v="2025-12-12T00:00:00"/>
        <d v="2025-06-16T00:00:00"/>
        <d v="2025-11-04T00:00:00"/>
        <d v="2025-07-23T00:00:00"/>
        <d v="2025-11-06T00:00:00"/>
        <d v="2025-01-30T00:00:00"/>
        <d v="2025-03-06T00:00:00"/>
        <d v="2025-05-03T00:00:00"/>
        <d v="2025-06-05T00:00:00"/>
        <d v="2025-09-13T00:00:00"/>
        <d v="2025-03-10T00:00:00"/>
        <d v="2025-06-27T00:00:00"/>
        <d v="2025-10-24T00:00:00"/>
        <d v="2025-06-26T00:00:00"/>
        <d v="2025-01-18T00:00:00"/>
        <d v="2025-07-17T00:00:00"/>
        <d v="2025-02-15T00:00:00"/>
        <d v="2025-08-03T00:00:00"/>
        <d v="2025-03-04T00:00:00"/>
        <d v="2025-02-05T00:00:00"/>
        <d v="2025-07-08T00:00:00"/>
        <d v="2025-03-15T00:00:00"/>
        <d v="2025-12-16T00:00:00"/>
        <d v="2025-11-05T00:00:00"/>
        <d v="2025-09-12T00:00:00"/>
        <d v="2025-03-12T00:00:00"/>
        <d v="2025-03-14T00:00:00"/>
        <d v="2025-11-15T00:00:00"/>
        <d v="2025-11-27T00:00:00"/>
        <d v="2025-11-29T00:00:00"/>
        <d v="2025-11-13T00:00:00"/>
        <d v="2025-07-31T00:00:00"/>
        <d v="2025-04-14T00:00:00"/>
        <d v="2025-06-14T00:00:00"/>
        <d v="2025-01-10T00:00:00"/>
        <d v="2025-03-05T00:00:00"/>
        <d v="2025-11-26T00:00:00"/>
        <d v="2025-12-13T00:00:00"/>
        <d v="2025-12-18T00:00:00"/>
        <d v="2025-12-28T00:00:00"/>
        <d v="2025-09-25T00:00:00"/>
        <d v="2025-07-26T00:00:00"/>
        <d v="2025-09-30T00:00:00"/>
        <d v="2025-07-19T00:00:00"/>
        <d v="2025-09-10T00:00:00"/>
        <d v="2025-08-23T00:00:00"/>
        <d v="2025-08-26T00:00:00"/>
        <d v="2025-11-03T00:00:00"/>
        <d v="2025-08-10T00:00:00"/>
        <d v="2025-12-19T00:00:00"/>
        <d v="2025-10-28T00:00:00"/>
        <d v="2025-10-11T00:00:00"/>
        <d v="2025-06-02T00:00:00"/>
        <d v="2025-10-17T00:00:00"/>
        <d v="2025-04-19T00:00:00"/>
        <d v="2025-02-20T00:00:00"/>
        <d v="2025-01-04T00:00:00"/>
        <d v="2025-01-21T00:00:00"/>
        <d v="2025-12-17T00:00:00"/>
        <d v="2025-06-06T00:00:00"/>
        <d v="2025-01-08T00:00:00"/>
        <d v="2025-12-25T00:00:00"/>
        <d v="2025-01-03T00:00:00"/>
        <d v="2025-12-07T00:00:00"/>
        <d v="2025-08-18T00:00:00"/>
        <d v="2025-07-18T00:00:00"/>
        <d v="2025-07-05T00:00:00"/>
        <d v="2025-05-18T00:00:00"/>
        <d v="2025-05-01T00:00:00"/>
        <d v="2025-10-16T00:00:00"/>
        <d v="2025-09-22T00:00:00"/>
        <d v="2025-07-03T00:00:00"/>
        <d v="2025-02-17T00:00:00"/>
        <d v="2025-08-14T00:00:00"/>
        <d v="2025-08-02T00:00:00"/>
        <d v="2025-05-02T00:00:00"/>
        <d v="2025-08-19T00:00:00"/>
        <d v="2025-04-18T00:00:00"/>
        <d v="2025-02-18T00:00:00"/>
        <d v="2025-08-28T00:00:00"/>
        <d v="2025-06-21T00:00:00"/>
        <d v="2025-04-09T00:00:00"/>
        <d v="2025-10-03T00:00:00"/>
        <d v="2025-01-25T00:00:00"/>
        <d v="2025-11-30T00:00:00"/>
        <d v="2025-04-30T00:00:00"/>
        <d v="2025-10-18T00:00:00"/>
        <d v="2025-04-10T00:00:00"/>
        <d v="2025-08-05T00:00:00"/>
        <d v="2025-08-12T00:00:00"/>
        <d v="2025-05-21T00:00:00"/>
        <d v="2025-11-09T00:00:00"/>
        <d v="2025-07-09T00:00:00"/>
        <d v="2025-09-18T00:00:00"/>
        <d v="2025-06-23T00:00:00"/>
        <d v="2025-01-15T00:00:00"/>
        <d v="2025-02-08T00:00:00"/>
        <d v="2025-12-14T00:00:00"/>
        <d v="2025-12-31T00:00:00"/>
        <d v="2025-09-17T00:00:00"/>
        <d v="2025-09-27T00:00:00"/>
        <d v="2025-10-15T00:00:00"/>
        <d v="2025-07-01T00:00:00"/>
        <d v="2025-08-06T00:00:00"/>
        <d v="2025-08-09T00:00:00"/>
        <d v="2025-04-06T00:00:00"/>
        <d v="2025-11-19T00:00:00"/>
        <d v="2025-06-28T00:00:00"/>
        <d v="2025-09-20T00:00:00"/>
        <d v="2025-11-20T00:00:00"/>
        <d v="2025-08-01T00:00:00"/>
        <d v="2025-06-15T00:00:00"/>
        <d v="2025-02-01T00:00:00"/>
        <d v="2025-11-25T00:00:00"/>
        <d v="2025-02-23T00:00:00"/>
        <d v="2025-12-09T00:00:00"/>
        <d v="2025-06-20T00:00:00"/>
        <d v="2025-04-22T00:00:00"/>
        <d v="2025-04-23T00:00:00"/>
        <d v="2025-04-25T00:00:00"/>
        <d v="2025-10-04T00:00:00"/>
        <d v="2025-05-29T00:00:00"/>
        <d v="2025-10-26T00:00:00"/>
        <d v="2025-09-07T00:00:00"/>
        <d v="2025-10-05T00:00:00"/>
        <d v="2025-07-16T00:00:00"/>
        <d v="2025-03-09T00:00:00"/>
        <d v="2025-03-20T00:00:00"/>
        <d v="2025-10-19T00:00:00"/>
        <d v="2025-05-30T00:00:00"/>
        <d v="2025-11-02T00:00:00"/>
        <d v="2025-08-24T00:00:00"/>
        <d v="2025-02-16T00:00:00"/>
        <d v="2025-12-21T00:00:00"/>
        <d v="2025-04-26T00:00:00"/>
        <d v="2025-05-13T00:00:00"/>
      </sharedItems>
    </cacheField>
    <cacheField name="Month" numFmtId="0">
      <sharedItems count="12">
        <s v="Dec"/>
        <s v="Nov"/>
        <s v="Sep"/>
        <s v="Mar"/>
        <s v="Jun"/>
        <s v="Feb"/>
        <s v="Apr"/>
        <s v="Oct"/>
        <s v="Jul"/>
        <s v="Aug"/>
        <s v="May"/>
        <s v="Jan"/>
      </sharedItems>
    </cacheField>
    <cacheField name="Day_of_Week" numFmtId="0">
      <sharedItems count="7">
        <s v="Tuesday"/>
        <s v="Monday"/>
        <s v="Thursday"/>
        <s v="Wednesday"/>
        <s v="Friday"/>
        <s v="Saturday"/>
        <s v="Sunday"/>
      </sharedItems>
    </cacheField>
    <cacheField name="Time_Slot" numFmtId="0">
      <sharedItems count="4">
        <s v="Evening"/>
        <s v="Morning"/>
        <s v="Afternoon"/>
        <s v="Midday"/>
      </sharedItems>
    </cacheField>
    <cacheField name="Clinic" numFmtId="0">
      <sharedItems count="3">
        <s v="Palakkad Rehab Clinic"/>
        <s v="Thrissur Physio Center"/>
        <s v="Ernakulam Advanced Rehab"/>
      </sharedItems>
    </cacheField>
    <cacheField name="District" numFmtId="0">
      <sharedItems/>
    </cacheField>
    <cacheField name="Therapist" numFmtId="0">
      <sharedItems count="15">
        <s v="Meera S"/>
        <s v="Arun Raj"/>
        <s v="Sreejith K"/>
        <s v="Rohit George"/>
        <s v="Joel Thomas"/>
        <s v="Aparna Varma"/>
        <s v="Anjali Menon"/>
        <s v="Priya Mathew"/>
        <s v="Lakshmi Pillai"/>
        <s v="Deepa Krishnan"/>
        <s v="Nisha Thomas"/>
        <s v="Vishnu Nair"/>
        <s v="Fathima Rahman"/>
        <s v="Rahul P"/>
        <s v="Divya Nambiar"/>
      </sharedItems>
    </cacheField>
    <cacheField name="Patient_ID" numFmtId="0">
      <sharedItems/>
    </cacheField>
    <cacheField name="Patient_Type" numFmtId="0">
      <sharedItems/>
    </cacheField>
    <cacheField name="Therapy_Type" numFmtId="0">
      <sharedItems count="6">
        <s v="Posture Correction"/>
        <s v="Manual Therapy"/>
        <s v="Neuro Rehab"/>
        <s v="Electrotherapy"/>
        <s v="Sports Rehab"/>
        <s v="Exercise Therapy"/>
      </sharedItems>
    </cacheField>
    <cacheField name="Payer_Type" numFmtId="0">
      <sharedItems count="4">
        <s v="Self Pay"/>
        <s v="Government Scheme"/>
        <s v="Private Insurance"/>
        <s v="Corporate Tie-up"/>
      </sharedItems>
    </cacheField>
    <cacheField name="Referral_Source" numFmtId="0">
      <sharedItems/>
    </cacheField>
    <cacheField name="Appointment_Status" numFmtId="0">
      <sharedItems count="4">
        <s v="Completed"/>
        <s v="No-show"/>
        <s v="Cancelled Late"/>
        <s v="Rescheduled"/>
      </sharedItems>
    </cacheField>
    <cacheField name="Scheduled_Minutes" numFmtId="0">
      <sharedItems containsSemiMixedTypes="0" containsString="0" containsNumber="1" containsInteger="1" minValue="30" maxValue="90"/>
    </cacheField>
    <cacheField name="Treated_Minutes" numFmtId="0">
      <sharedItems containsSemiMixedTypes="0" containsString="0" containsNumber="1" containsInteger="1" minValue="0" maxValue="90"/>
    </cacheField>
    <cacheField name="Allocated_Shift_Capacity_Minutes" numFmtId="0">
      <sharedItems containsSemiMixedTypes="0" containsString="0" containsNumber="1" minValue="32.6" maxValue="121"/>
    </cacheField>
    <cacheField name="Session_Fee_INR" numFmtId="0">
      <sharedItems containsSemiMixedTypes="0" containsString="0" containsNumber="1" containsInteger="1" minValue="550" maxValue="2700"/>
    </cacheField>
    <cacheField name="Revenue_INR" numFmtId="0">
      <sharedItems containsSemiMixedTypes="0" containsString="0" containsNumber="1" containsInteger="1" minValue="0" maxValue="2700" count="37">
        <n v="1900"/>
        <n v="1550"/>
        <n v="1050"/>
        <n v="1500"/>
        <n v="2600"/>
        <n v="1250"/>
        <n v="1700"/>
        <n v="950"/>
        <n v="1950"/>
        <n v="0"/>
        <n v="1450"/>
        <n v="1600"/>
        <n v="2250"/>
        <n v="1000"/>
        <n v="1350"/>
        <n v="1150"/>
        <n v="600"/>
        <n v="900"/>
        <n v="800"/>
        <n v="700"/>
        <n v="1100"/>
        <n v="1400"/>
        <n v="1300"/>
        <n v="850"/>
        <n v="1850"/>
        <n v="1800"/>
        <n v="1200"/>
        <n v="750"/>
        <n v="2450"/>
        <n v="550"/>
        <n v="2150"/>
        <n v="2050"/>
        <n v="1650"/>
        <n v="2000"/>
        <n v="2700"/>
        <n v="2350"/>
        <n v="650"/>
      </sharedItems>
    </cacheField>
    <cacheField name="Lost_Revenue_INR" numFmtId="0">
      <sharedItems containsSemiMixedTypes="0" containsString="0" containsNumber="1" containsInteger="1" minValue="0" maxValue="2600" count="35">
        <n v="0"/>
        <n v="1300"/>
        <n v="1350"/>
        <n v="700"/>
        <n v="1900"/>
        <n v="1700"/>
        <n v="1100"/>
        <n v="2250"/>
        <n v="2150"/>
        <n v="1250"/>
        <n v="1600"/>
        <n v="1150"/>
        <n v="1500"/>
        <n v="1800"/>
        <n v="1550"/>
        <n v="1050"/>
        <n v="1000"/>
        <n v="1950"/>
        <n v="600"/>
        <n v="950"/>
        <n v="650"/>
        <n v="2000"/>
        <n v="1450"/>
        <n v="1400"/>
        <n v="850"/>
        <n v="2600"/>
        <n v="1650"/>
        <n v="1200"/>
        <n v="2050"/>
        <n v="550"/>
        <n v="800"/>
        <n v="750"/>
        <n v="2350"/>
        <n v="2450"/>
        <n v="1850"/>
      </sharedItems>
    </cacheField>
    <cacheField name="No_Show_Flag" numFmtId="0">
      <sharedItems containsSemiMixedTypes="0" containsString="0" containsNumber="1" containsInteger="1" minValue="0" maxValue="1"/>
    </cacheField>
    <cacheField name="Completed_Flag" numFmtId="0">
      <sharedItems containsSemiMixedTypes="0" containsString="0" containsNumber="1" containsInteger="1" minValue="0" maxValue="1"/>
    </cacheField>
    <cacheField name="Cancellation_Flag" numFmtId="0">
      <sharedItems containsSemiMixedTypes="0" containsString="0" containsNumber="1" containsInteger="1" minValue="0" maxValue="1"/>
    </cacheField>
    <cacheField name="Utilization_Target" numFmtId="0">
      <sharedItems containsSemiMixedTypes="0" containsString="0" containsNumber="1" minValue="0.85" maxValue="0.85"/>
    </cacheField>
  </cacheFields>
  <extLst>
    <ext xmlns:x14="http://schemas.microsoft.com/office/spreadsheetml/2009/9/main" uri="{725AE2AE-9491-48be-B2B4-4EB974FC3084}">
      <x14:pivotCacheDefinition pivotCacheId="202223665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 S, Sibeesh" refreshedDate="46218.788638888887" createdVersion="8" refreshedVersion="8" minRefreshableVersion="3" recordCount="2000" xr:uid="{49F0362E-7ED2-4716-9D92-3A736F298FB8}">
  <cacheSource type="worksheet">
    <worksheetSource ref="A1:X2001" sheet="Appointments"/>
  </cacheSource>
  <cacheFields count="24">
    <cacheField name="Appointment_ID" numFmtId="0">
      <sharedItems/>
    </cacheField>
    <cacheField name="Appointment_Date" numFmtId="164">
      <sharedItems containsSemiMixedTypes="0" containsNonDate="0" containsDate="1" containsString="0" minDate="2025-01-01T00:00:00" maxDate="2026-01-01T00:00:00"/>
    </cacheField>
    <cacheField name="Month" numFmtId="0">
      <sharedItems count="12">
        <s v="Dec"/>
        <s v="Nov"/>
        <s v="Sep"/>
        <s v="Mar"/>
        <s v="Jun"/>
        <s v="Feb"/>
        <s v="Apr"/>
        <s v="Oct"/>
        <s v="Jul"/>
        <s v="Aug"/>
        <s v="May"/>
        <s v="Jan"/>
      </sharedItems>
    </cacheField>
    <cacheField name="Day_of_Week" numFmtId="0">
      <sharedItems count="7">
        <s v="Tuesday"/>
        <s v="Monday"/>
        <s v="Thursday"/>
        <s v="Wednesday"/>
        <s v="Friday"/>
        <s v="Saturday"/>
        <s v="Sunday"/>
      </sharedItems>
    </cacheField>
    <cacheField name="Time_Slot" numFmtId="0">
      <sharedItems/>
    </cacheField>
    <cacheField name="Clinic" numFmtId="0">
      <sharedItems count="3">
        <s v="Palakkad Rehab Clinic"/>
        <s v="Thrissur Physio Center"/>
        <s v="Ernakulam Advanced Rehab"/>
      </sharedItems>
    </cacheField>
    <cacheField name="District" numFmtId="0">
      <sharedItems/>
    </cacheField>
    <cacheField name="Therapist" numFmtId="0">
      <sharedItems count="15">
        <s v="Meera S"/>
        <s v="Arun Raj"/>
        <s v="Sreejith K"/>
        <s v="Rohit George"/>
        <s v="Joel Thomas"/>
        <s v="Aparna Varma"/>
        <s v="Anjali Menon"/>
        <s v="Priya Mathew"/>
        <s v="Lakshmi Pillai"/>
        <s v="Deepa Krishnan"/>
        <s v="Nisha Thomas"/>
        <s v="Vishnu Nair"/>
        <s v="Fathima Rahman"/>
        <s v="Rahul P"/>
        <s v="Divya Nambiar"/>
      </sharedItems>
    </cacheField>
    <cacheField name="Patient_ID" numFmtId="0">
      <sharedItems/>
    </cacheField>
    <cacheField name="Patient_Type" numFmtId="0">
      <sharedItems/>
    </cacheField>
    <cacheField name="Therapy_Type" numFmtId="0">
      <sharedItems count="6">
        <s v="Posture Correction"/>
        <s v="Manual Therapy"/>
        <s v="Neuro Rehab"/>
        <s v="Electrotherapy"/>
        <s v="Sports Rehab"/>
        <s v="Exercise Therapy"/>
      </sharedItems>
    </cacheField>
    <cacheField name="Payer_Type" numFmtId="0">
      <sharedItems/>
    </cacheField>
    <cacheField name="Referral_Source" numFmtId="0">
      <sharedItems/>
    </cacheField>
    <cacheField name="Appointment_Status" numFmtId="0">
      <sharedItems count="4">
        <s v="Completed"/>
        <s v="No-show"/>
        <s v="Cancelled Late"/>
        <s v="Rescheduled"/>
      </sharedItems>
    </cacheField>
    <cacheField name="Scheduled_Minutes" numFmtId="0">
      <sharedItems containsSemiMixedTypes="0" containsString="0" containsNumber="1" containsInteger="1" minValue="30" maxValue="90"/>
    </cacheField>
    <cacheField name="Treated_Minutes" numFmtId="0">
      <sharedItems containsSemiMixedTypes="0" containsString="0" containsNumber="1" containsInteger="1" minValue="0" maxValue="90"/>
    </cacheField>
    <cacheField name="Allocated_Shift_Capacity_Minutes" numFmtId="0">
      <sharedItems containsSemiMixedTypes="0" containsString="0" containsNumber="1" minValue="32.6" maxValue="121"/>
    </cacheField>
    <cacheField name="Session_Fee_INR" numFmtId="0">
      <sharedItems containsSemiMixedTypes="0" containsString="0" containsNumber="1" containsInteger="1" minValue="550" maxValue="2700"/>
    </cacheField>
    <cacheField name="Revenue_INR" numFmtId="0">
      <sharedItems containsSemiMixedTypes="0" containsString="0" containsNumber="1" containsInteger="1" minValue="0" maxValue="2700"/>
    </cacheField>
    <cacheField name="Lost_Revenue_INR" numFmtId="0">
      <sharedItems containsSemiMixedTypes="0" containsString="0" containsNumber="1" containsInteger="1" minValue="0" maxValue="2600"/>
    </cacheField>
    <cacheField name="No_Show_Flag" numFmtId="0">
      <sharedItems containsSemiMixedTypes="0" containsString="0" containsNumber="1" containsInteger="1" minValue="0" maxValue="1"/>
    </cacheField>
    <cacheField name="Completed_Flag" numFmtId="0">
      <sharedItems containsSemiMixedTypes="0" containsString="0" containsNumber="1" containsInteger="1" minValue="0" maxValue="1"/>
    </cacheField>
    <cacheField name="Cancellation_Flag" numFmtId="0">
      <sharedItems containsSemiMixedTypes="0" containsString="0" containsNumber="1" containsInteger="1" minValue="0" maxValue="1"/>
    </cacheField>
    <cacheField name="Utilization_Target" numFmtId="0">
      <sharedItems containsSemiMixedTypes="0" containsString="0" containsNumber="1" minValue="0.85" maxValue="0.85"/>
    </cacheField>
  </cacheFields>
  <extLst>
    <ext xmlns:x14="http://schemas.microsoft.com/office/spreadsheetml/2009/9/main" uri="{725AE2AE-9491-48be-B2B4-4EB974FC3084}">
      <x14:pivotCacheDefinition pivotCacheId="699214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APT-00001"/>
    <x v="0"/>
    <x v="0"/>
    <x v="0"/>
    <x v="0"/>
    <x v="0"/>
    <s v="Palakkad"/>
    <x v="0"/>
    <s v="PT-1019"/>
    <s v="Chronic Pain"/>
    <x v="0"/>
    <x v="0"/>
    <s v="Corporate Wellness"/>
    <x v="0"/>
    <n v="90"/>
    <n v="90"/>
    <n v="118.8"/>
    <n v="1900"/>
    <x v="0"/>
    <x v="0"/>
    <n v="0"/>
    <n v="1"/>
    <n v="0"/>
    <n v="0.85"/>
  </r>
  <r>
    <s v="APT-00002"/>
    <x v="1"/>
    <x v="1"/>
    <x v="1"/>
    <x v="1"/>
    <x v="1"/>
    <s v="Thrissur"/>
    <x v="1"/>
    <s v="PT-1157"/>
    <s v="Post-op Rehab"/>
    <x v="1"/>
    <x v="0"/>
    <s v="Neurologist"/>
    <x v="0"/>
    <n v="60"/>
    <n v="60"/>
    <n v="67.2"/>
    <n v="1550"/>
    <x v="1"/>
    <x v="0"/>
    <n v="0"/>
    <n v="1"/>
    <n v="0"/>
    <n v="0.85"/>
  </r>
  <r>
    <s v="APT-00003"/>
    <x v="2"/>
    <x v="2"/>
    <x v="2"/>
    <x v="1"/>
    <x v="1"/>
    <s v="Thrissur"/>
    <x v="2"/>
    <s v="PT-1593"/>
    <s v="New Patient"/>
    <x v="1"/>
    <x v="1"/>
    <s v="Neurologist"/>
    <x v="0"/>
    <n v="45"/>
    <n v="45"/>
    <n v="58.2"/>
    <n v="1050"/>
    <x v="2"/>
    <x v="0"/>
    <n v="0"/>
    <n v="1"/>
    <n v="0"/>
    <n v="0.85"/>
  </r>
  <r>
    <s v="APT-00004"/>
    <x v="3"/>
    <x v="3"/>
    <x v="3"/>
    <x v="1"/>
    <x v="2"/>
    <s v="Ernakulam"/>
    <x v="3"/>
    <s v="PT-1637"/>
    <s v="Follow-up"/>
    <x v="2"/>
    <x v="2"/>
    <s v="Online Search"/>
    <x v="0"/>
    <n v="75"/>
    <n v="75"/>
    <n v="83.9"/>
    <n v="1900"/>
    <x v="0"/>
    <x v="0"/>
    <n v="0"/>
    <n v="1"/>
    <n v="0"/>
    <n v="0.85"/>
  </r>
  <r>
    <s v="APT-00005"/>
    <x v="4"/>
    <x v="4"/>
    <x v="2"/>
    <x v="2"/>
    <x v="2"/>
    <s v="Ernakulam"/>
    <x v="3"/>
    <s v="PT-1605"/>
    <s v="Follow-up"/>
    <x v="3"/>
    <x v="0"/>
    <s v="Self Referral"/>
    <x v="0"/>
    <n v="60"/>
    <n v="60"/>
    <n v="79.5"/>
    <n v="1500"/>
    <x v="3"/>
    <x v="0"/>
    <n v="0"/>
    <n v="1"/>
    <n v="0"/>
    <n v="0.85"/>
  </r>
  <r>
    <s v="APT-00006"/>
    <x v="5"/>
    <x v="0"/>
    <x v="2"/>
    <x v="2"/>
    <x v="2"/>
    <s v="Ernakulam"/>
    <x v="4"/>
    <s v="PT-1042"/>
    <s v="Post-op Rehab"/>
    <x v="2"/>
    <x v="2"/>
    <s v="Corporate Wellness"/>
    <x v="0"/>
    <n v="90"/>
    <n v="90"/>
    <n v="108.6"/>
    <n v="2600"/>
    <x v="4"/>
    <x v="0"/>
    <n v="0"/>
    <n v="1"/>
    <n v="0"/>
    <n v="0.85"/>
  </r>
  <r>
    <s v="APT-00007"/>
    <x v="6"/>
    <x v="5"/>
    <x v="3"/>
    <x v="2"/>
    <x v="1"/>
    <s v="Thrissur"/>
    <x v="2"/>
    <s v="PT-1548"/>
    <s v="Follow-up"/>
    <x v="2"/>
    <x v="3"/>
    <s v="Corporate Wellness"/>
    <x v="0"/>
    <n v="60"/>
    <n v="60"/>
    <n v="71.099999999999994"/>
    <n v="1250"/>
    <x v="5"/>
    <x v="0"/>
    <n v="0"/>
    <n v="1"/>
    <n v="0"/>
    <n v="0.85"/>
  </r>
  <r>
    <s v="APT-00008"/>
    <x v="7"/>
    <x v="3"/>
    <x v="1"/>
    <x v="2"/>
    <x v="1"/>
    <s v="Thrissur"/>
    <x v="2"/>
    <s v="PT-1545"/>
    <s v="New Patient"/>
    <x v="2"/>
    <x v="1"/>
    <s v="Self Referral"/>
    <x v="0"/>
    <n v="75"/>
    <n v="75"/>
    <n v="86"/>
    <n v="1700"/>
    <x v="6"/>
    <x v="0"/>
    <n v="0"/>
    <n v="1"/>
    <n v="0"/>
    <n v="0.85"/>
  </r>
  <r>
    <s v="APT-00009"/>
    <x v="8"/>
    <x v="0"/>
    <x v="4"/>
    <x v="3"/>
    <x v="2"/>
    <s v="Ernakulam"/>
    <x v="4"/>
    <s v="PT-1198"/>
    <s v="Follow-up"/>
    <x v="4"/>
    <x v="1"/>
    <s v="Hospital Discharge"/>
    <x v="0"/>
    <n v="45"/>
    <n v="45"/>
    <n v="60.3"/>
    <n v="950"/>
    <x v="7"/>
    <x v="0"/>
    <n v="0"/>
    <n v="1"/>
    <n v="0"/>
    <n v="0.85"/>
  </r>
  <r>
    <s v="APT-00010"/>
    <x v="9"/>
    <x v="1"/>
    <x v="5"/>
    <x v="3"/>
    <x v="1"/>
    <s v="Thrissur"/>
    <x v="5"/>
    <s v="PT-1052"/>
    <s v="Post-op Rehab"/>
    <x v="4"/>
    <x v="0"/>
    <s v="Neurologist"/>
    <x v="0"/>
    <n v="75"/>
    <n v="75"/>
    <n v="97"/>
    <n v="1950"/>
    <x v="8"/>
    <x v="0"/>
    <n v="0"/>
    <n v="1"/>
    <n v="0"/>
    <n v="0.85"/>
  </r>
  <r>
    <s v="APT-00011"/>
    <x v="10"/>
    <x v="6"/>
    <x v="2"/>
    <x v="1"/>
    <x v="2"/>
    <s v="Ernakulam"/>
    <x v="4"/>
    <s v="PT-1513"/>
    <s v="Follow-up"/>
    <x v="1"/>
    <x v="1"/>
    <s v="Orthopedic Doctor"/>
    <x v="1"/>
    <n v="60"/>
    <n v="0"/>
    <n v="74.099999999999994"/>
    <n v="1300"/>
    <x v="9"/>
    <x v="1"/>
    <n v="1"/>
    <n v="0"/>
    <n v="0"/>
    <n v="0.85"/>
  </r>
  <r>
    <s v="APT-00012"/>
    <x v="11"/>
    <x v="7"/>
    <x v="0"/>
    <x v="1"/>
    <x v="0"/>
    <s v="Palakkad"/>
    <x v="0"/>
    <s v="PT-1353"/>
    <s v="Sports Injury"/>
    <x v="3"/>
    <x v="3"/>
    <s v="Neurologist"/>
    <x v="0"/>
    <n v="75"/>
    <n v="75"/>
    <n v="90.3"/>
    <n v="1450"/>
    <x v="10"/>
    <x v="0"/>
    <n v="0"/>
    <n v="1"/>
    <n v="0"/>
    <n v="0.85"/>
  </r>
  <r>
    <s v="APT-00013"/>
    <x v="12"/>
    <x v="8"/>
    <x v="1"/>
    <x v="0"/>
    <x v="0"/>
    <s v="Palakkad"/>
    <x v="6"/>
    <s v="PT-1015"/>
    <s v="New Patient"/>
    <x v="5"/>
    <x v="0"/>
    <s v="Corporate Wellness"/>
    <x v="0"/>
    <n v="60"/>
    <n v="60"/>
    <n v="77.3"/>
    <n v="1500"/>
    <x v="3"/>
    <x v="0"/>
    <n v="0"/>
    <n v="1"/>
    <n v="0"/>
    <n v="0.85"/>
  </r>
  <r>
    <s v="APT-00014"/>
    <x v="13"/>
    <x v="4"/>
    <x v="0"/>
    <x v="1"/>
    <x v="0"/>
    <s v="Palakkad"/>
    <x v="6"/>
    <s v="PT-1274"/>
    <s v="Follow-up"/>
    <x v="2"/>
    <x v="2"/>
    <s v="Online Search"/>
    <x v="0"/>
    <n v="45"/>
    <n v="45"/>
    <n v="58"/>
    <n v="950"/>
    <x v="7"/>
    <x v="0"/>
    <n v="0"/>
    <n v="1"/>
    <n v="0"/>
    <n v="0.85"/>
  </r>
  <r>
    <s v="APT-00015"/>
    <x v="14"/>
    <x v="1"/>
    <x v="4"/>
    <x v="3"/>
    <x v="2"/>
    <s v="Ernakulam"/>
    <x v="4"/>
    <s v="PT-1655"/>
    <s v="Chronic Pain"/>
    <x v="5"/>
    <x v="0"/>
    <s v="Self Referral"/>
    <x v="0"/>
    <n v="60"/>
    <n v="60"/>
    <n v="80.900000000000006"/>
    <n v="1500"/>
    <x v="3"/>
    <x v="0"/>
    <n v="0"/>
    <n v="1"/>
    <n v="0"/>
    <n v="0.85"/>
  </r>
  <r>
    <s v="APT-00016"/>
    <x v="15"/>
    <x v="9"/>
    <x v="5"/>
    <x v="0"/>
    <x v="1"/>
    <s v="Thrissur"/>
    <x v="7"/>
    <s v="PT-1624"/>
    <s v="Follow-up"/>
    <x v="2"/>
    <x v="0"/>
    <s v="Online Search"/>
    <x v="2"/>
    <n v="60"/>
    <n v="0"/>
    <n v="68.5"/>
    <n v="1350"/>
    <x v="9"/>
    <x v="2"/>
    <n v="0"/>
    <n v="0"/>
    <n v="1"/>
    <n v="0.85"/>
  </r>
  <r>
    <s v="APT-00017"/>
    <x v="16"/>
    <x v="7"/>
    <x v="3"/>
    <x v="1"/>
    <x v="1"/>
    <s v="Thrissur"/>
    <x v="2"/>
    <s v="PT-1653"/>
    <s v="New Patient"/>
    <x v="4"/>
    <x v="2"/>
    <s v="Orthopedic Doctor"/>
    <x v="0"/>
    <n v="60"/>
    <n v="60"/>
    <n v="78.2"/>
    <n v="1600"/>
    <x v="11"/>
    <x v="0"/>
    <n v="0"/>
    <n v="1"/>
    <n v="0"/>
    <n v="0.85"/>
  </r>
  <r>
    <s v="APT-00018"/>
    <x v="17"/>
    <x v="0"/>
    <x v="1"/>
    <x v="2"/>
    <x v="2"/>
    <s v="Ernakulam"/>
    <x v="8"/>
    <s v="PT-1497"/>
    <s v="Follow-up"/>
    <x v="2"/>
    <x v="2"/>
    <s v="Corporate Wellness"/>
    <x v="0"/>
    <n v="90"/>
    <n v="90"/>
    <n v="108"/>
    <n v="2250"/>
    <x v="12"/>
    <x v="0"/>
    <n v="0"/>
    <n v="1"/>
    <n v="0"/>
    <n v="0.85"/>
  </r>
  <r>
    <s v="APT-00019"/>
    <x v="18"/>
    <x v="4"/>
    <x v="3"/>
    <x v="2"/>
    <x v="0"/>
    <s v="Palakkad"/>
    <x v="9"/>
    <s v="PT-1103"/>
    <s v="Follow-up"/>
    <x v="2"/>
    <x v="2"/>
    <s v="Online Search"/>
    <x v="0"/>
    <n v="60"/>
    <n v="60"/>
    <n v="75.2"/>
    <n v="1250"/>
    <x v="5"/>
    <x v="0"/>
    <n v="0"/>
    <n v="1"/>
    <n v="0"/>
    <n v="0.85"/>
  </r>
  <r>
    <s v="APT-00020"/>
    <x v="19"/>
    <x v="4"/>
    <x v="0"/>
    <x v="0"/>
    <x v="2"/>
    <s v="Ernakulam"/>
    <x v="8"/>
    <s v="PT-1607"/>
    <s v="Follow-up"/>
    <x v="3"/>
    <x v="0"/>
    <s v="Hospital Discharge"/>
    <x v="0"/>
    <n v="60"/>
    <n v="60"/>
    <n v="74.3"/>
    <n v="1500"/>
    <x v="3"/>
    <x v="0"/>
    <n v="0"/>
    <n v="1"/>
    <n v="0"/>
    <n v="0.85"/>
  </r>
  <r>
    <s v="APT-00021"/>
    <x v="20"/>
    <x v="6"/>
    <x v="2"/>
    <x v="3"/>
    <x v="1"/>
    <s v="Thrissur"/>
    <x v="10"/>
    <s v="PT-1511"/>
    <s v="Follow-up"/>
    <x v="2"/>
    <x v="0"/>
    <s v="Hospital Discharge"/>
    <x v="0"/>
    <n v="45"/>
    <n v="45"/>
    <n v="52.1"/>
    <n v="1000"/>
    <x v="13"/>
    <x v="0"/>
    <n v="0"/>
    <n v="1"/>
    <n v="0"/>
    <n v="0.85"/>
  </r>
  <r>
    <s v="APT-00022"/>
    <x v="21"/>
    <x v="10"/>
    <x v="1"/>
    <x v="2"/>
    <x v="0"/>
    <s v="Palakkad"/>
    <x v="6"/>
    <s v="PT-1157"/>
    <s v="New Patient"/>
    <x v="0"/>
    <x v="0"/>
    <s v="Online Search"/>
    <x v="0"/>
    <n v="60"/>
    <n v="60"/>
    <n v="73.3"/>
    <n v="1500"/>
    <x v="3"/>
    <x v="0"/>
    <n v="0"/>
    <n v="1"/>
    <n v="0"/>
    <n v="0.85"/>
  </r>
  <r>
    <s v="APT-00023"/>
    <x v="22"/>
    <x v="11"/>
    <x v="1"/>
    <x v="1"/>
    <x v="1"/>
    <s v="Thrissur"/>
    <x v="2"/>
    <s v="PT-1691"/>
    <s v="Follow-up"/>
    <x v="4"/>
    <x v="2"/>
    <s v="Corporate Wellness"/>
    <x v="0"/>
    <n v="60"/>
    <n v="60"/>
    <n v="70"/>
    <n v="1350"/>
    <x v="14"/>
    <x v="0"/>
    <n v="0"/>
    <n v="1"/>
    <n v="0"/>
    <n v="0.85"/>
  </r>
  <r>
    <s v="APT-00024"/>
    <x v="23"/>
    <x v="5"/>
    <x v="1"/>
    <x v="0"/>
    <x v="1"/>
    <s v="Thrissur"/>
    <x v="5"/>
    <s v="PT-1190"/>
    <s v="Post-op Rehab"/>
    <x v="3"/>
    <x v="2"/>
    <s v="Orthopedic Doctor"/>
    <x v="0"/>
    <n v="45"/>
    <n v="45"/>
    <n v="53.7"/>
    <n v="1150"/>
    <x v="15"/>
    <x v="0"/>
    <n v="0"/>
    <n v="1"/>
    <n v="0"/>
    <n v="0.85"/>
  </r>
  <r>
    <s v="APT-00025"/>
    <x v="4"/>
    <x v="4"/>
    <x v="2"/>
    <x v="2"/>
    <x v="0"/>
    <s v="Palakkad"/>
    <x v="11"/>
    <s v="PT-1332"/>
    <s v="Geriatric Rehab"/>
    <x v="1"/>
    <x v="2"/>
    <s v="Corporate Wellness"/>
    <x v="0"/>
    <n v="30"/>
    <n v="30"/>
    <n v="40.299999999999997"/>
    <n v="600"/>
    <x v="16"/>
    <x v="0"/>
    <n v="0"/>
    <n v="1"/>
    <n v="0"/>
    <n v="0.85"/>
  </r>
  <r>
    <s v="APT-00026"/>
    <x v="24"/>
    <x v="11"/>
    <x v="1"/>
    <x v="3"/>
    <x v="1"/>
    <s v="Thrissur"/>
    <x v="2"/>
    <s v="PT-1406"/>
    <s v="Post-op Rehab"/>
    <x v="1"/>
    <x v="3"/>
    <s v="Orthopedic Doctor"/>
    <x v="2"/>
    <n v="30"/>
    <n v="0"/>
    <n v="35.299999999999997"/>
    <n v="700"/>
    <x v="9"/>
    <x v="3"/>
    <n v="0"/>
    <n v="0"/>
    <n v="1"/>
    <n v="0.85"/>
  </r>
  <r>
    <s v="APT-00027"/>
    <x v="25"/>
    <x v="11"/>
    <x v="0"/>
    <x v="3"/>
    <x v="0"/>
    <s v="Palakkad"/>
    <x v="9"/>
    <s v="PT-1284"/>
    <s v="New Patient"/>
    <x v="2"/>
    <x v="2"/>
    <s v="Hospital Discharge"/>
    <x v="1"/>
    <n v="75"/>
    <n v="0"/>
    <n v="87.4"/>
    <n v="1900"/>
    <x v="9"/>
    <x v="4"/>
    <n v="1"/>
    <n v="0"/>
    <n v="0"/>
    <n v="0.85"/>
  </r>
  <r>
    <s v="APT-00028"/>
    <x v="26"/>
    <x v="3"/>
    <x v="4"/>
    <x v="0"/>
    <x v="0"/>
    <s v="Palakkad"/>
    <x v="9"/>
    <s v="PT-1470"/>
    <s v="Post-op Rehab"/>
    <x v="3"/>
    <x v="3"/>
    <s v="Hospital Discharge"/>
    <x v="0"/>
    <n v="45"/>
    <n v="45"/>
    <n v="52.8"/>
    <n v="1000"/>
    <x v="13"/>
    <x v="0"/>
    <n v="0"/>
    <n v="1"/>
    <n v="0"/>
    <n v="0.85"/>
  </r>
  <r>
    <s v="APT-00029"/>
    <x v="27"/>
    <x v="9"/>
    <x v="4"/>
    <x v="3"/>
    <x v="2"/>
    <s v="Ernakulam"/>
    <x v="4"/>
    <s v="PT-1033"/>
    <s v="Follow-up"/>
    <x v="0"/>
    <x v="2"/>
    <s v="Neurologist"/>
    <x v="0"/>
    <n v="75"/>
    <n v="75"/>
    <n v="84.6"/>
    <n v="1900"/>
    <x v="0"/>
    <x v="0"/>
    <n v="0"/>
    <n v="1"/>
    <n v="0"/>
    <n v="0.85"/>
  </r>
  <r>
    <s v="APT-00030"/>
    <x v="28"/>
    <x v="5"/>
    <x v="2"/>
    <x v="0"/>
    <x v="2"/>
    <s v="Ernakulam"/>
    <x v="8"/>
    <s v="PT-1508"/>
    <s v="New Patient"/>
    <x v="1"/>
    <x v="0"/>
    <s v="Neurologist"/>
    <x v="0"/>
    <n v="30"/>
    <n v="30"/>
    <n v="33.799999999999997"/>
    <n v="900"/>
    <x v="17"/>
    <x v="0"/>
    <n v="0"/>
    <n v="1"/>
    <n v="0"/>
    <n v="0.85"/>
  </r>
  <r>
    <s v="APT-00031"/>
    <x v="29"/>
    <x v="5"/>
    <x v="5"/>
    <x v="0"/>
    <x v="0"/>
    <s v="Palakkad"/>
    <x v="6"/>
    <s v="PT-1696"/>
    <s v="Follow-up"/>
    <x v="1"/>
    <x v="1"/>
    <s v="Neurologist"/>
    <x v="0"/>
    <n v="45"/>
    <n v="45"/>
    <n v="52.4"/>
    <n v="800"/>
    <x v="18"/>
    <x v="0"/>
    <n v="0"/>
    <n v="1"/>
    <n v="0"/>
    <n v="0.85"/>
  </r>
  <r>
    <s v="APT-00032"/>
    <x v="29"/>
    <x v="5"/>
    <x v="5"/>
    <x v="2"/>
    <x v="2"/>
    <s v="Ernakulam"/>
    <x v="12"/>
    <s v="PT-1289"/>
    <s v="Post-op Rehab"/>
    <x v="4"/>
    <x v="3"/>
    <s v="Corporate Wellness"/>
    <x v="3"/>
    <n v="90"/>
    <n v="0"/>
    <n v="111.9"/>
    <n v="2400"/>
    <x v="9"/>
    <x v="0"/>
    <n v="0"/>
    <n v="0"/>
    <n v="0"/>
    <n v="0.85"/>
  </r>
  <r>
    <s v="APT-00033"/>
    <x v="30"/>
    <x v="9"/>
    <x v="3"/>
    <x v="2"/>
    <x v="1"/>
    <s v="Thrissur"/>
    <x v="7"/>
    <s v="PT-1305"/>
    <s v="Chronic Pain"/>
    <x v="1"/>
    <x v="2"/>
    <s v="Self Referral"/>
    <x v="0"/>
    <n v="30"/>
    <n v="30"/>
    <n v="36.700000000000003"/>
    <n v="700"/>
    <x v="19"/>
    <x v="0"/>
    <n v="0"/>
    <n v="1"/>
    <n v="0"/>
    <n v="0.85"/>
  </r>
  <r>
    <s v="APT-00034"/>
    <x v="31"/>
    <x v="11"/>
    <x v="4"/>
    <x v="2"/>
    <x v="1"/>
    <s v="Thrissur"/>
    <x v="2"/>
    <s v="PT-1221"/>
    <s v="New Patient"/>
    <x v="0"/>
    <x v="0"/>
    <s v="Orthopedic Doctor"/>
    <x v="0"/>
    <n v="60"/>
    <n v="60"/>
    <n v="75.400000000000006"/>
    <n v="1600"/>
    <x v="11"/>
    <x v="0"/>
    <n v="0"/>
    <n v="1"/>
    <n v="0"/>
    <n v="0.85"/>
  </r>
  <r>
    <s v="APT-00035"/>
    <x v="32"/>
    <x v="8"/>
    <x v="4"/>
    <x v="1"/>
    <x v="1"/>
    <s v="Thrissur"/>
    <x v="1"/>
    <s v="PT-1434"/>
    <s v="Post-op Rehab"/>
    <x v="2"/>
    <x v="0"/>
    <s v="Corporate Wellness"/>
    <x v="0"/>
    <n v="45"/>
    <n v="45"/>
    <n v="49.3"/>
    <n v="1150"/>
    <x v="15"/>
    <x v="0"/>
    <n v="0"/>
    <n v="1"/>
    <n v="0"/>
    <n v="0.85"/>
  </r>
  <r>
    <s v="APT-00036"/>
    <x v="33"/>
    <x v="0"/>
    <x v="3"/>
    <x v="2"/>
    <x v="0"/>
    <s v="Palakkad"/>
    <x v="9"/>
    <s v="PT-1110"/>
    <s v="Post-op Rehab"/>
    <x v="0"/>
    <x v="2"/>
    <s v="Hospital Discharge"/>
    <x v="0"/>
    <n v="45"/>
    <n v="45"/>
    <n v="49.2"/>
    <n v="1100"/>
    <x v="20"/>
    <x v="0"/>
    <n v="0"/>
    <n v="1"/>
    <n v="0"/>
    <n v="0.85"/>
  </r>
  <r>
    <s v="APT-00037"/>
    <x v="30"/>
    <x v="9"/>
    <x v="3"/>
    <x v="0"/>
    <x v="1"/>
    <s v="Thrissur"/>
    <x v="1"/>
    <s v="PT-1036"/>
    <s v="Chronic Pain"/>
    <x v="1"/>
    <x v="2"/>
    <s v="Online Search"/>
    <x v="1"/>
    <n v="75"/>
    <n v="0"/>
    <n v="87.3"/>
    <n v="1700"/>
    <x v="9"/>
    <x v="5"/>
    <n v="1"/>
    <n v="0"/>
    <n v="0"/>
    <n v="0.85"/>
  </r>
  <r>
    <s v="APT-00038"/>
    <x v="26"/>
    <x v="3"/>
    <x v="4"/>
    <x v="0"/>
    <x v="2"/>
    <s v="Ernakulam"/>
    <x v="4"/>
    <s v="PT-1593"/>
    <s v="Follow-up"/>
    <x v="1"/>
    <x v="3"/>
    <s v="Self Referral"/>
    <x v="0"/>
    <n v="60"/>
    <n v="60"/>
    <n v="78.099999999999994"/>
    <n v="1400"/>
    <x v="21"/>
    <x v="0"/>
    <n v="0"/>
    <n v="1"/>
    <n v="0"/>
    <n v="0.85"/>
  </r>
  <r>
    <s v="APT-00039"/>
    <x v="34"/>
    <x v="10"/>
    <x v="2"/>
    <x v="3"/>
    <x v="2"/>
    <s v="Ernakulam"/>
    <x v="3"/>
    <s v="PT-1314"/>
    <s v="Post-op Rehab"/>
    <x v="4"/>
    <x v="2"/>
    <s v="Neurologist"/>
    <x v="0"/>
    <n v="45"/>
    <n v="45"/>
    <n v="49"/>
    <n v="1300"/>
    <x v="22"/>
    <x v="0"/>
    <n v="0"/>
    <n v="1"/>
    <n v="0"/>
    <n v="0.85"/>
  </r>
  <r>
    <s v="APT-00040"/>
    <x v="35"/>
    <x v="3"/>
    <x v="1"/>
    <x v="1"/>
    <x v="2"/>
    <s v="Ernakulam"/>
    <x v="12"/>
    <s v="PT-1269"/>
    <s v="Follow-up"/>
    <x v="5"/>
    <x v="0"/>
    <s v="Hospital Discharge"/>
    <x v="0"/>
    <n v="60"/>
    <n v="60"/>
    <n v="80.5"/>
    <n v="1500"/>
    <x v="3"/>
    <x v="0"/>
    <n v="0"/>
    <n v="1"/>
    <n v="0"/>
    <n v="0.85"/>
  </r>
  <r>
    <s v="APT-00041"/>
    <x v="36"/>
    <x v="2"/>
    <x v="1"/>
    <x v="2"/>
    <x v="1"/>
    <s v="Thrissur"/>
    <x v="2"/>
    <s v="PT-1380"/>
    <s v="Geriatric Rehab"/>
    <x v="0"/>
    <x v="0"/>
    <s v="Corporate Wellness"/>
    <x v="0"/>
    <n v="30"/>
    <n v="30"/>
    <n v="35.4"/>
    <n v="700"/>
    <x v="19"/>
    <x v="0"/>
    <n v="0"/>
    <n v="1"/>
    <n v="0"/>
    <n v="0.85"/>
  </r>
  <r>
    <s v="APT-00042"/>
    <x v="37"/>
    <x v="5"/>
    <x v="0"/>
    <x v="0"/>
    <x v="2"/>
    <s v="Ernakulam"/>
    <x v="12"/>
    <s v="PT-1356"/>
    <s v="Post-op Rehab"/>
    <x v="3"/>
    <x v="0"/>
    <s v="Orthopedic Doctor"/>
    <x v="0"/>
    <n v="60"/>
    <n v="60"/>
    <n v="78.599999999999994"/>
    <n v="1700"/>
    <x v="6"/>
    <x v="0"/>
    <n v="0"/>
    <n v="1"/>
    <n v="0"/>
    <n v="0.85"/>
  </r>
  <r>
    <s v="APT-00043"/>
    <x v="1"/>
    <x v="1"/>
    <x v="1"/>
    <x v="2"/>
    <x v="1"/>
    <s v="Thrissur"/>
    <x v="10"/>
    <s v="PT-1594"/>
    <s v="Geriatric Rehab"/>
    <x v="1"/>
    <x v="2"/>
    <s v="Neurologist"/>
    <x v="3"/>
    <n v="60"/>
    <n v="0"/>
    <n v="66.3"/>
    <n v="1350"/>
    <x v="9"/>
    <x v="0"/>
    <n v="0"/>
    <n v="0"/>
    <n v="0"/>
    <n v="0.85"/>
  </r>
  <r>
    <s v="APT-00044"/>
    <x v="38"/>
    <x v="6"/>
    <x v="4"/>
    <x v="1"/>
    <x v="2"/>
    <s v="Ernakulam"/>
    <x v="4"/>
    <s v="PT-1342"/>
    <s v="Sports Injury"/>
    <x v="3"/>
    <x v="2"/>
    <s v="Hospital Discharge"/>
    <x v="1"/>
    <n v="45"/>
    <n v="0"/>
    <n v="54.9"/>
    <n v="1100"/>
    <x v="9"/>
    <x v="6"/>
    <n v="1"/>
    <n v="0"/>
    <n v="0"/>
    <n v="0.85"/>
  </r>
  <r>
    <s v="APT-00045"/>
    <x v="39"/>
    <x v="6"/>
    <x v="5"/>
    <x v="2"/>
    <x v="0"/>
    <s v="Palakkad"/>
    <x v="11"/>
    <s v="PT-1499"/>
    <s v="Follow-up"/>
    <x v="1"/>
    <x v="0"/>
    <s v="Self Referral"/>
    <x v="0"/>
    <n v="60"/>
    <n v="60"/>
    <n v="70.3"/>
    <n v="1250"/>
    <x v="5"/>
    <x v="0"/>
    <n v="0"/>
    <n v="1"/>
    <n v="0"/>
    <n v="0.85"/>
  </r>
  <r>
    <s v="APT-00046"/>
    <x v="40"/>
    <x v="5"/>
    <x v="4"/>
    <x v="2"/>
    <x v="0"/>
    <s v="Palakkad"/>
    <x v="11"/>
    <s v="PT-1289"/>
    <s v="Sports Injury"/>
    <x v="1"/>
    <x v="0"/>
    <s v="Corporate Wellness"/>
    <x v="0"/>
    <n v="60"/>
    <n v="60"/>
    <n v="75.7"/>
    <n v="1250"/>
    <x v="5"/>
    <x v="0"/>
    <n v="0"/>
    <n v="1"/>
    <n v="0"/>
    <n v="0.85"/>
  </r>
  <r>
    <s v="APT-00047"/>
    <x v="41"/>
    <x v="11"/>
    <x v="1"/>
    <x v="1"/>
    <x v="1"/>
    <s v="Thrissur"/>
    <x v="5"/>
    <s v="PT-1691"/>
    <s v="Chronic Pain"/>
    <x v="5"/>
    <x v="3"/>
    <s v="Orthopedic Doctor"/>
    <x v="0"/>
    <n v="45"/>
    <n v="45"/>
    <n v="55.4"/>
    <n v="950"/>
    <x v="7"/>
    <x v="0"/>
    <n v="0"/>
    <n v="1"/>
    <n v="0"/>
    <n v="0.85"/>
  </r>
  <r>
    <s v="APT-00048"/>
    <x v="42"/>
    <x v="7"/>
    <x v="1"/>
    <x v="0"/>
    <x v="2"/>
    <s v="Ernakulam"/>
    <x v="3"/>
    <s v="PT-1232"/>
    <s v="Follow-up"/>
    <x v="3"/>
    <x v="0"/>
    <s v="Online Search"/>
    <x v="1"/>
    <n v="90"/>
    <n v="0"/>
    <n v="101.6"/>
    <n v="2250"/>
    <x v="9"/>
    <x v="7"/>
    <n v="1"/>
    <n v="0"/>
    <n v="0"/>
    <n v="0.85"/>
  </r>
  <r>
    <s v="APT-00049"/>
    <x v="43"/>
    <x v="2"/>
    <x v="5"/>
    <x v="2"/>
    <x v="2"/>
    <s v="Ernakulam"/>
    <x v="3"/>
    <s v="PT-1445"/>
    <s v="Post-op Rehab"/>
    <x v="3"/>
    <x v="2"/>
    <s v="Neurologist"/>
    <x v="1"/>
    <n v="75"/>
    <n v="0"/>
    <n v="93.3"/>
    <n v="2150"/>
    <x v="9"/>
    <x v="8"/>
    <n v="1"/>
    <n v="0"/>
    <n v="0"/>
    <n v="0.85"/>
  </r>
  <r>
    <s v="APT-00050"/>
    <x v="44"/>
    <x v="4"/>
    <x v="1"/>
    <x v="1"/>
    <x v="2"/>
    <s v="Ernakulam"/>
    <x v="8"/>
    <s v="PT-1096"/>
    <s v="Post-op Rehab"/>
    <x v="2"/>
    <x v="3"/>
    <s v="Self Referral"/>
    <x v="0"/>
    <n v="60"/>
    <n v="60"/>
    <n v="70.099999999999994"/>
    <n v="1600"/>
    <x v="11"/>
    <x v="0"/>
    <n v="0"/>
    <n v="1"/>
    <n v="0"/>
    <n v="0.85"/>
  </r>
  <r>
    <s v="APT-00051"/>
    <x v="45"/>
    <x v="9"/>
    <x v="4"/>
    <x v="1"/>
    <x v="0"/>
    <s v="Palakkad"/>
    <x v="9"/>
    <s v="PT-1168"/>
    <s v="Chronic Pain"/>
    <x v="1"/>
    <x v="2"/>
    <s v="Corporate Wellness"/>
    <x v="1"/>
    <n v="60"/>
    <n v="0"/>
    <n v="72.099999999999994"/>
    <n v="1250"/>
    <x v="9"/>
    <x v="9"/>
    <n v="1"/>
    <n v="0"/>
    <n v="0"/>
    <n v="0.85"/>
  </r>
  <r>
    <s v="APT-00052"/>
    <x v="46"/>
    <x v="11"/>
    <x v="2"/>
    <x v="1"/>
    <x v="0"/>
    <s v="Palakkad"/>
    <x v="6"/>
    <s v="PT-1465"/>
    <s v="Post-op Rehab"/>
    <x v="4"/>
    <x v="0"/>
    <s v="Orthopedic Doctor"/>
    <x v="0"/>
    <n v="60"/>
    <n v="60"/>
    <n v="72.8"/>
    <n v="1450"/>
    <x v="10"/>
    <x v="0"/>
    <n v="0"/>
    <n v="1"/>
    <n v="0"/>
    <n v="0.85"/>
  </r>
  <r>
    <s v="APT-00053"/>
    <x v="47"/>
    <x v="0"/>
    <x v="0"/>
    <x v="2"/>
    <x v="1"/>
    <s v="Thrissur"/>
    <x v="5"/>
    <s v="PT-1261"/>
    <s v="Post-op Rehab"/>
    <x v="2"/>
    <x v="2"/>
    <s v="Online Search"/>
    <x v="0"/>
    <n v="60"/>
    <n v="60"/>
    <n v="78.400000000000006"/>
    <n v="1550"/>
    <x v="1"/>
    <x v="0"/>
    <n v="0"/>
    <n v="1"/>
    <n v="0"/>
    <n v="0.85"/>
  </r>
  <r>
    <s v="APT-00054"/>
    <x v="48"/>
    <x v="1"/>
    <x v="3"/>
    <x v="2"/>
    <x v="1"/>
    <s v="Thrissur"/>
    <x v="10"/>
    <s v="PT-1654"/>
    <s v="Post-op Rehab"/>
    <x v="5"/>
    <x v="2"/>
    <s v="Self Referral"/>
    <x v="0"/>
    <n v="60"/>
    <n v="60"/>
    <n v="79.099999999999994"/>
    <n v="1550"/>
    <x v="1"/>
    <x v="0"/>
    <n v="0"/>
    <n v="1"/>
    <n v="0"/>
    <n v="0.85"/>
  </r>
  <r>
    <s v="APT-00055"/>
    <x v="49"/>
    <x v="9"/>
    <x v="1"/>
    <x v="1"/>
    <x v="1"/>
    <s v="Thrissur"/>
    <x v="7"/>
    <s v="PT-1446"/>
    <s v="Geriatric Rehab"/>
    <x v="1"/>
    <x v="3"/>
    <s v="Orthopedic Doctor"/>
    <x v="3"/>
    <n v="60"/>
    <n v="0"/>
    <n v="78.099999999999994"/>
    <n v="1250"/>
    <x v="9"/>
    <x v="0"/>
    <n v="0"/>
    <n v="0"/>
    <n v="0"/>
    <n v="0.85"/>
  </r>
  <r>
    <s v="APT-00056"/>
    <x v="50"/>
    <x v="5"/>
    <x v="3"/>
    <x v="3"/>
    <x v="1"/>
    <s v="Thrissur"/>
    <x v="5"/>
    <s v="PT-1634"/>
    <s v="Chronic Pain"/>
    <x v="2"/>
    <x v="0"/>
    <s v="Hospital Discharge"/>
    <x v="0"/>
    <n v="60"/>
    <n v="60"/>
    <n v="73"/>
    <n v="1350"/>
    <x v="14"/>
    <x v="0"/>
    <n v="0"/>
    <n v="1"/>
    <n v="0"/>
    <n v="0.85"/>
  </r>
  <r>
    <s v="APT-00057"/>
    <x v="51"/>
    <x v="6"/>
    <x v="0"/>
    <x v="2"/>
    <x v="0"/>
    <s v="Palakkad"/>
    <x v="9"/>
    <s v="PT-1687"/>
    <s v="Follow-up"/>
    <x v="2"/>
    <x v="0"/>
    <s v="Self Referral"/>
    <x v="0"/>
    <n v="45"/>
    <n v="45"/>
    <n v="50.6"/>
    <n v="950"/>
    <x v="7"/>
    <x v="0"/>
    <n v="0"/>
    <n v="1"/>
    <n v="0"/>
    <n v="0.85"/>
  </r>
  <r>
    <s v="APT-00058"/>
    <x v="52"/>
    <x v="9"/>
    <x v="2"/>
    <x v="1"/>
    <x v="1"/>
    <s v="Thrissur"/>
    <x v="7"/>
    <s v="PT-1231"/>
    <s v="Follow-up"/>
    <x v="3"/>
    <x v="3"/>
    <s v="Hospital Discharge"/>
    <x v="0"/>
    <n v="45"/>
    <n v="45"/>
    <n v="56.7"/>
    <n v="950"/>
    <x v="7"/>
    <x v="0"/>
    <n v="0"/>
    <n v="1"/>
    <n v="0"/>
    <n v="0.85"/>
  </r>
  <r>
    <s v="APT-00059"/>
    <x v="53"/>
    <x v="10"/>
    <x v="4"/>
    <x v="3"/>
    <x v="0"/>
    <s v="Palakkad"/>
    <x v="9"/>
    <s v="PT-1621"/>
    <s v="Chronic Pain"/>
    <x v="0"/>
    <x v="1"/>
    <s v="Corporate Wellness"/>
    <x v="1"/>
    <n v="90"/>
    <n v="0"/>
    <n v="118.1"/>
    <n v="1600"/>
    <x v="9"/>
    <x v="10"/>
    <n v="1"/>
    <n v="0"/>
    <n v="0"/>
    <n v="0.85"/>
  </r>
  <r>
    <s v="APT-00060"/>
    <x v="54"/>
    <x v="10"/>
    <x v="4"/>
    <x v="2"/>
    <x v="0"/>
    <s v="Palakkad"/>
    <x v="0"/>
    <s v="PT-1218"/>
    <s v="Sports Injury"/>
    <x v="3"/>
    <x v="0"/>
    <s v="Corporate Wellness"/>
    <x v="0"/>
    <n v="30"/>
    <n v="30"/>
    <n v="38.200000000000003"/>
    <n v="600"/>
    <x v="16"/>
    <x v="0"/>
    <n v="0"/>
    <n v="1"/>
    <n v="0"/>
    <n v="0.85"/>
  </r>
  <r>
    <s v="APT-00061"/>
    <x v="55"/>
    <x v="0"/>
    <x v="5"/>
    <x v="1"/>
    <x v="2"/>
    <s v="Ernakulam"/>
    <x v="3"/>
    <s v="PT-1475"/>
    <s v="Post-op Rehab"/>
    <x v="2"/>
    <x v="0"/>
    <s v="Self Referral"/>
    <x v="0"/>
    <n v="30"/>
    <n v="30"/>
    <n v="36.700000000000003"/>
    <n v="850"/>
    <x v="23"/>
    <x v="0"/>
    <n v="0"/>
    <n v="1"/>
    <n v="0"/>
    <n v="0.85"/>
  </r>
  <r>
    <s v="APT-00062"/>
    <x v="56"/>
    <x v="6"/>
    <x v="4"/>
    <x v="2"/>
    <x v="0"/>
    <s v="Palakkad"/>
    <x v="13"/>
    <s v="PT-1215"/>
    <s v="Follow-up"/>
    <x v="5"/>
    <x v="2"/>
    <s v="Orthopedic Doctor"/>
    <x v="0"/>
    <n v="75"/>
    <n v="75"/>
    <n v="87.2"/>
    <n v="1550"/>
    <x v="1"/>
    <x v="0"/>
    <n v="0"/>
    <n v="1"/>
    <n v="0"/>
    <n v="0.85"/>
  </r>
  <r>
    <s v="APT-00063"/>
    <x v="57"/>
    <x v="3"/>
    <x v="5"/>
    <x v="2"/>
    <x v="0"/>
    <s v="Palakkad"/>
    <x v="11"/>
    <s v="PT-1235"/>
    <s v="Follow-up"/>
    <x v="3"/>
    <x v="2"/>
    <s v="Orthopedic Doctor"/>
    <x v="0"/>
    <n v="60"/>
    <n v="60"/>
    <n v="68.5"/>
    <n v="1250"/>
    <x v="5"/>
    <x v="0"/>
    <n v="0"/>
    <n v="1"/>
    <n v="0"/>
    <n v="0.85"/>
  </r>
  <r>
    <s v="APT-00064"/>
    <x v="58"/>
    <x v="11"/>
    <x v="2"/>
    <x v="2"/>
    <x v="1"/>
    <s v="Thrissur"/>
    <x v="5"/>
    <s v="PT-1473"/>
    <s v="Follow-up"/>
    <x v="1"/>
    <x v="0"/>
    <s v="Orthopedic Doctor"/>
    <x v="1"/>
    <n v="60"/>
    <n v="0"/>
    <n v="70"/>
    <n v="1350"/>
    <x v="9"/>
    <x v="2"/>
    <n v="1"/>
    <n v="0"/>
    <n v="0"/>
    <n v="0.85"/>
  </r>
  <r>
    <s v="APT-00065"/>
    <x v="57"/>
    <x v="3"/>
    <x v="5"/>
    <x v="3"/>
    <x v="0"/>
    <s v="Palakkad"/>
    <x v="0"/>
    <s v="PT-1019"/>
    <s v="New Patient"/>
    <x v="0"/>
    <x v="2"/>
    <s v="Self Referral"/>
    <x v="0"/>
    <n v="45"/>
    <n v="45"/>
    <n v="54.8"/>
    <n v="1100"/>
    <x v="20"/>
    <x v="0"/>
    <n v="0"/>
    <n v="1"/>
    <n v="0"/>
    <n v="0.85"/>
  </r>
  <r>
    <s v="APT-00066"/>
    <x v="59"/>
    <x v="5"/>
    <x v="0"/>
    <x v="2"/>
    <x v="2"/>
    <s v="Ernakulam"/>
    <x v="8"/>
    <s v="PT-1228"/>
    <s v="Follow-up"/>
    <x v="3"/>
    <x v="0"/>
    <s v="Self Referral"/>
    <x v="3"/>
    <n v="60"/>
    <n v="0"/>
    <n v="66.3"/>
    <n v="1500"/>
    <x v="9"/>
    <x v="0"/>
    <n v="0"/>
    <n v="0"/>
    <n v="0"/>
    <n v="0.85"/>
  </r>
  <r>
    <s v="APT-00067"/>
    <x v="60"/>
    <x v="9"/>
    <x v="1"/>
    <x v="2"/>
    <x v="1"/>
    <s v="Thrissur"/>
    <x v="7"/>
    <s v="PT-1360"/>
    <s v="New Patient"/>
    <x v="2"/>
    <x v="0"/>
    <s v="Corporate Wellness"/>
    <x v="0"/>
    <n v="30"/>
    <n v="30"/>
    <n v="36.200000000000003"/>
    <n v="800"/>
    <x v="18"/>
    <x v="0"/>
    <n v="0"/>
    <n v="1"/>
    <n v="0"/>
    <n v="0.85"/>
  </r>
  <r>
    <s v="APT-00068"/>
    <x v="61"/>
    <x v="10"/>
    <x v="5"/>
    <x v="0"/>
    <x v="1"/>
    <s v="Thrissur"/>
    <x v="7"/>
    <s v="PT-1604"/>
    <s v="New Patient"/>
    <x v="1"/>
    <x v="2"/>
    <s v="Orthopedic Doctor"/>
    <x v="1"/>
    <n v="60"/>
    <n v="0"/>
    <n v="71"/>
    <n v="1600"/>
    <x v="9"/>
    <x v="10"/>
    <n v="1"/>
    <n v="0"/>
    <n v="0"/>
    <n v="0.85"/>
  </r>
  <r>
    <s v="APT-00069"/>
    <x v="62"/>
    <x v="4"/>
    <x v="3"/>
    <x v="2"/>
    <x v="0"/>
    <s v="Palakkad"/>
    <x v="9"/>
    <s v="PT-1083"/>
    <s v="Follow-up"/>
    <x v="4"/>
    <x v="2"/>
    <s v="Hospital Discharge"/>
    <x v="0"/>
    <n v="75"/>
    <n v="75"/>
    <n v="99.4"/>
    <n v="1550"/>
    <x v="1"/>
    <x v="0"/>
    <n v="0"/>
    <n v="1"/>
    <n v="0"/>
    <n v="0.85"/>
  </r>
  <r>
    <s v="APT-00070"/>
    <x v="47"/>
    <x v="0"/>
    <x v="0"/>
    <x v="3"/>
    <x v="2"/>
    <s v="Ernakulam"/>
    <x v="12"/>
    <s v="PT-1023"/>
    <s v="New Patient"/>
    <x v="1"/>
    <x v="0"/>
    <s v="Orthopedic Doctor"/>
    <x v="0"/>
    <n v="45"/>
    <n v="45"/>
    <n v="49.3"/>
    <n v="1350"/>
    <x v="14"/>
    <x v="0"/>
    <n v="0"/>
    <n v="1"/>
    <n v="0"/>
    <n v="0.85"/>
  </r>
  <r>
    <s v="APT-00071"/>
    <x v="55"/>
    <x v="0"/>
    <x v="5"/>
    <x v="3"/>
    <x v="0"/>
    <s v="Palakkad"/>
    <x v="0"/>
    <s v="PT-1190"/>
    <s v="Follow-up"/>
    <x v="4"/>
    <x v="3"/>
    <s v="Online Search"/>
    <x v="2"/>
    <n v="60"/>
    <n v="0"/>
    <n v="67.3"/>
    <n v="1150"/>
    <x v="9"/>
    <x v="11"/>
    <n v="0"/>
    <n v="0"/>
    <n v="1"/>
    <n v="0.85"/>
  </r>
  <r>
    <s v="APT-00072"/>
    <x v="63"/>
    <x v="11"/>
    <x v="0"/>
    <x v="2"/>
    <x v="0"/>
    <s v="Palakkad"/>
    <x v="9"/>
    <s v="PT-1525"/>
    <s v="Sports Injury"/>
    <x v="1"/>
    <x v="2"/>
    <s v="Hospital Discharge"/>
    <x v="3"/>
    <n v="60"/>
    <n v="0"/>
    <n v="75.7"/>
    <n v="1250"/>
    <x v="9"/>
    <x v="0"/>
    <n v="0"/>
    <n v="0"/>
    <n v="0"/>
    <n v="0.85"/>
  </r>
  <r>
    <s v="APT-00073"/>
    <x v="7"/>
    <x v="3"/>
    <x v="1"/>
    <x v="1"/>
    <x v="1"/>
    <s v="Thrissur"/>
    <x v="7"/>
    <s v="PT-1051"/>
    <s v="New Patient"/>
    <x v="2"/>
    <x v="3"/>
    <s v="Orthopedic Doctor"/>
    <x v="0"/>
    <n v="60"/>
    <n v="60"/>
    <n v="78.7"/>
    <n v="1500"/>
    <x v="3"/>
    <x v="0"/>
    <n v="0"/>
    <n v="1"/>
    <n v="0"/>
    <n v="0.85"/>
  </r>
  <r>
    <s v="APT-00074"/>
    <x v="28"/>
    <x v="5"/>
    <x v="2"/>
    <x v="2"/>
    <x v="1"/>
    <s v="Thrissur"/>
    <x v="5"/>
    <s v="PT-1087"/>
    <s v="New Patient"/>
    <x v="2"/>
    <x v="0"/>
    <s v="Neurologist"/>
    <x v="0"/>
    <n v="60"/>
    <n v="60"/>
    <n v="77.7"/>
    <n v="1600"/>
    <x v="11"/>
    <x v="0"/>
    <n v="0"/>
    <n v="1"/>
    <n v="0"/>
    <n v="0.85"/>
  </r>
  <r>
    <s v="APT-00075"/>
    <x v="64"/>
    <x v="7"/>
    <x v="3"/>
    <x v="3"/>
    <x v="2"/>
    <s v="Ernakulam"/>
    <x v="4"/>
    <s v="PT-1385"/>
    <s v="Follow-up"/>
    <x v="1"/>
    <x v="2"/>
    <s v="Self Referral"/>
    <x v="0"/>
    <n v="75"/>
    <n v="75"/>
    <n v="87.2"/>
    <n v="1900"/>
    <x v="0"/>
    <x v="0"/>
    <n v="0"/>
    <n v="1"/>
    <n v="0"/>
    <n v="0.85"/>
  </r>
  <r>
    <s v="APT-00076"/>
    <x v="65"/>
    <x v="7"/>
    <x v="4"/>
    <x v="2"/>
    <x v="0"/>
    <s v="Palakkad"/>
    <x v="6"/>
    <s v="PT-1110"/>
    <s v="Follow-up"/>
    <x v="5"/>
    <x v="2"/>
    <s v="Corporate Wellness"/>
    <x v="0"/>
    <n v="45"/>
    <n v="45"/>
    <n v="49.6"/>
    <n v="950"/>
    <x v="7"/>
    <x v="0"/>
    <n v="0"/>
    <n v="1"/>
    <n v="0"/>
    <n v="0.85"/>
  </r>
  <r>
    <s v="APT-00077"/>
    <x v="50"/>
    <x v="5"/>
    <x v="3"/>
    <x v="1"/>
    <x v="1"/>
    <s v="Thrissur"/>
    <x v="7"/>
    <s v="PT-1555"/>
    <s v="Follow-up"/>
    <x v="2"/>
    <x v="3"/>
    <s v="Self Referral"/>
    <x v="0"/>
    <n v="90"/>
    <n v="90"/>
    <n v="106.4"/>
    <n v="1850"/>
    <x v="24"/>
    <x v="0"/>
    <n v="0"/>
    <n v="1"/>
    <n v="0"/>
    <n v="0.85"/>
  </r>
  <r>
    <s v="APT-00078"/>
    <x v="66"/>
    <x v="7"/>
    <x v="1"/>
    <x v="1"/>
    <x v="0"/>
    <s v="Palakkad"/>
    <x v="9"/>
    <s v="PT-1353"/>
    <s v="Sports Injury"/>
    <x v="4"/>
    <x v="0"/>
    <s v="Self Referral"/>
    <x v="0"/>
    <n v="45"/>
    <n v="45"/>
    <n v="53.4"/>
    <n v="950"/>
    <x v="7"/>
    <x v="0"/>
    <n v="0"/>
    <n v="1"/>
    <n v="0"/>
    <n v="0.85"/>
  </r>
  <r>
    <s v="APT-00079"/>
    <x v="67"/>
    <x v="11"/>
    <x v="2"/>
    <x v="0"/>
    <x v="2"/>
    <s v="Ernakulam"/>
    <x v="3"/>
    <s v="PT-1392"/>
    <s v="Geriatric Rehab"/>
    <x v="1"/>
    <x v="0"/>
    <s v="Neurologist"/>
    <x v="2"/>
    <n v="60"/>
    <n v="0"/>
    <n v="73.400000000000006"/>
    <n v="1500"/>
    <x v="9"/>
    <x v="12"/>
    <n v="0"/>
    <n v="0"/>
    <n v="1"/>
    <n v="0.85"/>
  </r>
  <r>
    <s v="APT-00080"/>
    <x v="57"/>
    <x v="3"/>
    <x v="5"/>
    <x v="0"/>
    <x v="0"/>
    <s v="Palakkad"/>
    <x v="13"/>
    <s v="PT-1196"/>
    <s v="Post-op Rehab"/>
    <x v="1"/>
    <x v="2"/>
    <s v="Self Referral"/>
    <x v="1"/>
    <n v="30"/>
    <n v="0"/>
    <n v="36.6"/>
    <n v="700"/>
    <x v="9"/>
    <x v="3"/>
    <n v="1"/>
    <n v="0"/>
    <n v="0"/>
    <n v="0.85"/>
  </r>
  <r>
    <s v="APT-00081"/>
    <x v="68"/>
    <x v="5"/>
    <x v="4"/>
    <x v="1"/>
    <x v="1"/>
    <s v="Thrissur"/>
    <x v="10"/>
    <s v="PT-1680"/>
    <s v="Follow-up"/>
    <x v="1"/>
    <x v="0"/>
    <s v="Self Referral"/>
    <x v="0"/>
    <n v="60"/>
    <n v="60"/>
    <n v="73.2"/>
    <n v="1350"/>
    <x v="14"/>
    <x v="0"/>
    <n v="0"/>
    <n v="1"/>
    <n v="0"/>
    <n v="0.85"/>
  </r>
  <r>
    <s v="APT-00082"/>
    <x v="69"/>
    <x v="4"/>
    <x v="0"/>
    <x v="2"/>
    <x v="0"/>
    <s v="Palakkad"/>
    <x v="13"/>
    <s v="PT-1091"/>
    <s v="Follow-up"/>
    <x v="4"/>
    <x v="0"/>
    <s v="Hospital Discharge"/>
    <x v="0"/>
    <n v="60"/>
    <n v="60"/>
    <n v="71.099999999999994"/>
    <n v="1250"/>
    <x v="5"/>
    <x v="0"/>
    <n v="0"/>
    <n v="1"/>
    <n v="0"/>
    <n v="0.85"/>
  </r>
  <r>
    <s v="APT-00083"/>
    <x v="70"/>
    <x v="3"/>
    <x v="5"/>
    <x v="3"/>
    <x v="1"/>
    <s v="Thrissur"/>
    <x v="7"/>
    <s v="PT-1551"/>
    <s v="Follow-up"/>
    <x v="5"/>
    <x v="1"/>
    <s v="Neurologist"/>
    <x v="0"/>
    <n v="60"/>
    <n v="60"/>
    <n v="73.400000000000006"/>
    <n v="1150"/>
    <x v="15"/>
    <x v="0"/>
    <n v="0"/>
    <n v="1"/>
    <n v="0"/>
    <n v="0.85"/>
  </r>
  <r>
    <s v="APT-00084"/>
    <x v="71"/>
    <x v="2"/>
    <x v="1"/>
    <x v="1"/>
    <x v="2"/>
    <s v="Ernakulam"/>
    <x v="12"/>
    <s v="PT-1679"/>
    <s v="Geriatric Rehab"/>
    <x v="4"/>
    <x v="0"/>
    <s v="Corporate Wellness"/>
    <x v="1"/>
    <n v="60"/>
    <n v="0"/>
    <n v="80.099999999999994"/>
    <n v="1500"/>
    <x v="9"/>
    <x v="12"/>
    <n v="1"/>
    <n v="0"/>
    <n v="0"/>
    <n v="0.85"/>
  </r>
  <r>
    <s v="APT-00085"/>
    <x v="72"/>
    <x v="10"/>
    <x v="2"/>
    <x v="1"/>
    <x v="2"/>
    <s v="Ernakulam"/>
    <x v="12"/>
    <s v="PT-1450"/>
    <s v="New Patient"/>
    <x v="2"/>
    <x v="0"/>
    <s v="Online Search"/>
    <x v="0"/>
    <n v="60"/>
    <n v="60"/>
    <n v="74.3"/>
    <n v="1800"/>
    <x v="25"/>
    <x v="0"/>
    <n v="0"/>
    <n v="1"/>
    <n v="0"/>
    <n v="0.85"/>
  </r>
  <r>
    <s v="APT-00086"/>
    <x v="73"/>
    <x v="10"/>
    <x v="0"/>
    <x v="0"/>
    <x v="0"/>
    <s v="Palakkad"/>
    <x v="13"/>
    <s v="PT-1629"/>
    <s v="Post-op Rehab"/>
    <x v="3"/>
    <x v="2"/>
    <s v="Corporate Wellness"/>
    <x v="0"/>
    <n v="60"/>
    <n v="60"/>
    <n v="71.900000000000006"/>
    <n v="1450"/>
    <x v="10"/>
    <x v="0"/>
    <n v="0"/>
    <n v="1"/>
    <n v="0"/>
    <n v="0.85"/>
  </r>
  <r>
    <s v="APT-00087"/>
    <x v="74"/>
    <x v="10"/>
    <x v="3"/>
    <x v="2"/>
    <x v="1"/>
    <s v="Thrissur"/>
    <x v="2"/>
    <s v="PT-1236"/>
    <s v="Follow-up"/>
    <x v="1"/>
    <x v="0"/>
    <s v="Hospital Discharge"/>
    <x v="0"/>
    <n v="60"/>
    <n v="60"/>
    <n v="65.5"/>
    <n v="1350"/>
    <x v="14"/>
    <x v="0"/>
    <n v="0"/>
    <n v="1"/>
    <n v="0"/>
    <n v="0.85"/>
  </r>
  <r>
    <s v="APT-00088"/>
    <x v="75"/>
    <x v="10"/>
    <x v="2"/>
    <x v="0"/>
    <x v="1"/>
    <s v="Thrissur"/>
    <x v="10"/>
    <s v="PT-1507"/>
    <s v="Sports Injury"/>
    <x v="3"/>
    <x v="2"/>
    <s v="Online Search"/>
    <x v="0"/>
    <n v="60"/>
    <n v="60"/>
    <n v="68.7"/>
    <n v="1350"/>
    <x v="14"/>
    <x v="0"/>
    <n v="0"/>
    <n v="1"/>
    <n v="0"/>
    <n v="0.85"/>
  </r>
  <r>
    <s v="APT-00089"/>
    <x v="76"/>
    <x v="2"/>
    <x v="0"/>
    <x v="0"/>
    <x v="1"/>
    <s v="Thrissur"/>
    <x v="10"/>
    <s v="PT-1364"/>
    <s v="Sports Injury"/>
    <x v="5"/>
    <x v="2"/>
    <s v="Self Referral"/>
    <x v="0"/>
    <n v="30"/>
    <n v="30"/>
    <n v="35.200000000000003"/>
    <n v="700"/>
    <x v="19"/>
    <x v="0"/>
    <n v="0"/>
    <n v="1"/>
    <n v="0"/>
    <n v="0.85"/>
  </r>
  <r>
    <s v="APT-00090"/>
    <x v="77"/>
    <x v="5"/>
    <x v="0"/>
    <x v="0"/>
    <x v="0"/>
    <s v="Palakkad"/>
    <x v="6"/>
    <s v="PT-1618"/>
    <s v="Geriatric Rehab"/>
    <x v="4"/>
    <x v="0"/>
    <s v="Orthopedic Doctor"/>
    <x v="0"/>
    <n v="30"/>
    <n v="30"/>
    <n v="32.9"/>
    <n v="600"/>
    <x v="16"/>
    <x v="0"/>
    <n v="0"/>
    <n v="1"/>
    <n v="0"/>
    <n v="0.85"/>
  </r>
  <r>
    <s v="APT-00091"/>
    <x v="78"/>
    <x v="0"/>
    <x v="1"/>
    <x v="2"/>
    <x v="1"/>
    <s v="Thrissur"/>
    <x v="5"/>
    <s v="PT-1273"/>
    <s v="Follow-up"/>
    <x v="3"/>
    <x v="3"/>
    <s v="Online Search"/>
    <x v="0"/>
    <n v="75"/>
    <n v="75"/>
    <n v="94.8"/>
    <n v="1550"/>
    <x v="1"/>
    <x v="0"/>
    <n v="0"/>
    <n v="1"/>
    <n v="0"/>
    <n v="0.85"/>
  </r>
  <r>
    <s v="APT-00092"/>
    <x v="79"/>
    <x v="2"/>
    <x v="1"/>
    <x v="2"/>
    <x v="1"/>
    <s v="Thrissur"/>
    <x v="1"/>
    <s v="PT-1337"/>
    <s v="Follow-up"/>
    <x v="1"/>
    <x v="0"/>
    <s v="Orthopedic Doctor"/>
    <x v="3"/>
    <n v="60"/>
    <n v="0"/>
    <n v="67.2"/>
    <n v="1350"/>
    <x v="9"/>
    <x v="0"/>
    <n v="0"/>
    <n v="0"/>
    <n v="0"/>
    <n v="0.85"/>
  </r>
  <r>
    <s v="APT-00093"/>
    <x v="80"/>
    <x v="11"/>
    <x v="5"/>
    <x v="1"/>
    <x v="2"/>
    <s v="Ernakulam"/>
    <x v="8"/>
    <s v="PT-1433"/>
    <s v="New Patient"/>
    <x v="4"/>
    <x v="0"/>
    <s v="Neurologist"/>
    <x v="2"/>
    <n v="60"/>
    <n v="0"/>
    <n v="65.8"/>
    <n v="1800"/>
    <x v="9"/>
    <x v="13"/>
    <n v="0"/>
    <n v="0"/>
    <n v="1"/>
    <n v="0.85"/>
  </r>
  <r>
    <s v="APT-00094"/>
    <x v="81"/>
    <x v="4"/>
    <x v="1"/>
    <x v="3"/>
    <x v="1"/>
    <s v="Thrissur"/>
    <x v="10"/>
    <s v="PT-1348"/>
    <s v="Chronic Pain"/>
    <x v="2"/>
    <x v="3"/>
    <s v="Hospital Discharge"/>
    <x v="2"/>
    <n v="75"/>
    <n v="0"/>
    <n v="91.1"/>
    <n v="1550"/>
    <x v="9"/>
    <x v="14"/>
    <n v="0"/>
    <n v="0"/>
    <n v="1"/>
    <n v="0.85"/>
  </r>
  <r>
    <s v="APT-00095"/>
    <x v="82"/>
    <x v="2"/>
    <x v="0"/>
    <x v="0"/>
    <x v="2"/>
    <s v="Ernakulam"/>
    <x v="4"/>
    <s v="PT-1424"/>
    <s v="New Patient"/>
    <x v="0"/>
    <x v="1"/>
    <s v="Self Referral"/>
    <x v="2"/>
    <n v="75"/>
    <n v="0"/>
    <n v="86.6"/>
    <n v="1900"/>
    <x v="9"/>
    <x v="4"/>
    <n v="0"/>
    <n v="0"/>
    <n v="1"/>
    <n v="0.85"/>
  </r>
  <r>
    <s v="APT-00096"/>
    <x v="44"/>
    <x v="4"/>
    <x v="1"/>
    <x v="0"/>
    <x v="2"/>
    <s v="Ernakulam"/>
    <x v="3"/>
    <s v="PT-1387"/>
    <s v="Sports Injury"/>
    <x v="1"/>
    <x v="2"/>
    <s v="Self Referral"/>
    <x v="0"/>
    <n v="90"/>
    <n v="90"/>
    <n v="101.5"/>
    <n v="2250"/>
    <x v="12"/>
    <x v="0"/>
    <n v="0"/>
    <n v="1"/>
    <n v="0"/>
    <n v="0.85"/>
  </r>
  <r>
    <s v="APT-00097"/>
    <x v="24"/>
    <x v="11"/>
    <x v="1"/>
    <x v="3"/>
    <x v="0"/>
    <s v="Palakkad"/>
    <x v="9"/>
    <s v="PT-1578"/>
    <s v="Follow-up"/>
    <x v="3"/>
    <x v="2"/>
    <s v="Corporate Wellness"/>
    <x v="0"/>
    <n v="60"/>
    <n v="60"/>
    <n v="77.599999999999994"/>
    <n v="1250"/>
    <x v="5"/>
    <x v="0"/>
    <n v="0"/>
    <n v="1"/>
    <n v="0"/>
    <n v="0.85"/>
  </r>
  <r>
    <s v="APT-00098"/>
    <x v="83"/>
    <x v="1"/>
    <x v="5"/>
    <x v="1"/>
    <x v="1"/>
    <s v="Thrissur"/>
    <x v="5"/>
    <s v="PT-1125"/>
    <s v="Chronic Pain"/>
    <x v="5"/>
    <x v="3"/>
    <s v="Online Search"/>
    <x v="0"/>
    <n v="60"/>
    <n v="60"/>
    <n v="68.2"/>
    <n v="1250"/>
    <x v="5"/>
    <x v="0"/>
    <n v="0"/>
    <n v="1"/>
    <n v="0"/>
    <n v="0.85"/>
  </r>
  <r>
    <s v="APT-00099"/>
    <x v="84"/>
    <x v="6"/>
    <x v="0"/>
    <x v="2"/>
    <x v="1"/>
    <s v="Thrissur"/>
    <x v="10"/>
    <s v="PT-1518"/>
    <s v="Sports Injury"/>
    <x v="3"/>
    <x v="1"/>
    <s v="Corporate Wellness"/>
    <x v="0"/>
    <n v="45"/>
    <n v="45"/>
    <n v="60.5"/>
    <n v="850"/>
    <x v="23"/>
    <x v="0"/>
    <n v="0"/>
    <n v="1"/>
    <n v="0"/>
    <n v="0.85"/>
  </r>
  <r>
    <s v="APT-00100"/>
    <x v="85"/>
    <x v="7"/>
    <x v="0"/>
    <x v="0"/>
    <x v="0"/>
    <s v="Palakkad"/>
    <x v="6"/>
    <s v="PT-1660"/>
    <s v="Geriatric Rehab"/>
    <x v="0"/>
    <x v="2"/>
    <s v="Online Search"/>
    <x v="0"/>
    <n v="90"/>
    <n v="90"/>
    <n v="111.1"/>
    <n v="1900"/>
    <x v="0"/>
    <x v="0"/>
    <n v="0"/>
    <n v="1"/>
    <n v="0"/>
    <n v="0.85"/>
  </r>
  <r>
    <s v="APT-00101"/>
    <x v="86"/>
    <x v="2"/>
    <x v="4"/>
    <x v="2"/>
    <x v="2"/>
    <s v="Ernakulam"/>
    <x v="8"/>
    <s v="PT-1537"/>
    <s v="Post-op Rehab"/>
    <x v="3"/>
    <x v="0"/>
    <s v="Hospital Discharge"/>
    <x v="0"/>
    <n v="30"/>
    <n v="30"/>
    <n v="34.9"/>
    <n v="850"/>
    <x v="23"/>
    <x v="0"/>
    <n v="0"/>
    <n v="1"/>
    <n v="0"/>
    <n v="0.85"/>
  </r>
  <r>
    <s v="APT-00102"/>
    <x v="87"/>
    <x v="8"/>
    <x v="6"/>
    <x v="2"/>
    <x v="0"/>
    <s v="Palakkad"/>
    <x v="0"/>
    <s v="PT-1552"/>
    <s v="Chronic Pain"/>
    <x v="1"/>
    <x v="2"/>
    <s v="Online Search"/>
    <x v="0"/>
    <n v="60"/>
    <n v="60"/>
    <n v="75.3"/>
    <n v="1250"/>
    <x v="5"/>
    <x v="0"/>
    <n v="0"/>
    <n v="1"/>
    <n v="0"/>
    <n v="0.85"/>
  </r>
  <r>
    <s v="APT-00103"/>
    <x v="88"/>
    <x v="6"/>
    <x v="5"/>
    <x v="3"/>
    <x v="1"/>
    <s v="Thrissur"/>
    <x v="1"/>
    <s v="PT-1326"/>
    <s v="Follow-up"/>
    <x v="3"/>
    <x v="3"/>
    <s v="Orthopedic Doctor"/>
    <x v="2"/>
    <n v="60"/>
    <n v="0"/>
    <n v="67.5"/>
    <n v="1250"/>
    <x v="9"/>
    <x v="9"/>
    <n v="0"/>
    <n v="0"/>
    <n v="1"/>
    <n v="0.85"/>
  </r>
  <r>
    <s v="APT-00104"/>
    <x v="89"/>
    <x v="8"/>
    <x v="5"/>
    <x v="0"/>
    <x v="2"/>
    <s v="Ernakulam"/>
    <x v="8"/>
    <s v="PT-1580"/>
    <s v="Sports Injury"/>
    <x v="5"/>
    <x v="2"/>
    <s v="Neurologist"/>
    <x v="0"/>
    <n v="45"/>
    <n v="45"/>
    <n v="59.1"/>
    <n v="1100"/>
    <x v="20"/>
    <x v="0"/>
    <n v="0"/>
    <n v="1"/>
    <n v="0"/>
    <n v="0.85"/>
  </r>
  <r>
    <s v="APT-00105"/>
    <x v="90"/>
    <x v="0"/>
    <x v="2"/>
    <x v="0"/>
    <x v="2"/>
    <s v="Ernakulam"/>
    <x v="3"/>
    <s v="PT-1390"/>
    <s v="New Patient"/>
    <x v="5"/>
    <x v="0"/>
    <s v="Hospital Discharge"/>
    <x v="0"/>
    <n v="45"/>
    <n v="45"/>
    <n v="57"/>
    <n v="1350"/>
    <x v="14"/>
    <x v="0"/>
    <n v="0"/>
    <n v="1"/>
    <n v="0"/>
    <n v="0.85"/>
  </r>
  <r>
    <s v="APT-00106"/>
    <x v="91"/>
    <x v="4"/>
    <x v="3"/>
    <x v="1"/>
    <x v="2"/>
    <s v="Ernakulam"/>
    <x v="14"/>
    <s v="PT-1507"/>
    <s v="Follow-up"/>
    <x v="5"/>
    <x v="3"/>
    <s v="Hospital Discharge"/>
    <x v="1"/>
    <n v="45"/>
    <n v="0"/>
    <n v="58.2"/>
    <n v="1050"/>
    <x v="9"/>
    <x v="15"/>
    <n v="1"/>
    <n v="0"/>
    <n v="0"/>
    <n v="0.85"/>
  </r>
  <r>
    <s v="APT-00107"/>
    <x v="92"/>
    <x v="3"/>
    <x v="2"/>
    <x v="3"/>
    <x v="0"/>
    <s v="Palakkad"/>
    <x v="6"/>
    <s v="PT-1113"/>
    <s v="Follow-up"/>
    <x v="0"/>
    <x v="2"/>
    <s v="Orthopedic Doctor"/>
    <x v="0"/>
    <n v="60"/>
    <n v="60"/>
    <n v="69.8"/>
    <n v="1250"/>
    <x v="5"/>
    <x v="0"/>
    <n v="0"/>
    <n v="1"/>
    <n v="0"/>
    <n v="0.85"/>
  </r>
  <r>
    <s v="APT-00108"/>
    <x v="93"/>
    <x v="8"/>
    <x v="0"/>
    <x v="1"/>
    <x v="0"/>
    <s v="Palakkad"/>
    <x v="6"/>
    <s v="PT-1234"/>
    <s v="Sports Injury"/>
    <x v="5"/>
    <x v="3"/>
    <s v="Neurologist"/>
    <x v="0"/>
    <n v="45"/>
    <n v="45"/>
    <n v="60.1"/>
    <n v="850"/>
    <x v="23"/>
    <x v="0"/>
    <n v="0"/>
    <n v="1"/>
    <n v="0"/>
    <n v="0.85"/>
  </r>
  <r>
    <s v="APT-00109"/>
    <x v="94"/>
    <x v="2"/>
    <x v="3"/>
    <x v="1"/>
    <x v="0"/>
    <s v="Palakkad"/>
    <x v="0"/>
    <s v="PT-1615"/>
    <s v="Chronic Pain"/>
    <x v="5"/>
    <x v="0"/>
    <s v="Corporate Wellness"/>
    <x v="1"/>
    <n v="60"/>
    <n v="0"/>
    <n v="74.400000000000006"/>
    <n v="1250"/>
    <x v="9"/>
    <x v="9"/>
    <n v="1"/>
    <n v="0"/>
    <n v="0"/>
    <n v="0.85"/>
  </r>
  <r>
    <s v="APT-00110"/>
    <x v="7"/>
    <x v="3"/>
    <x v="1"/>
    <x v="3"/>
    <x v="2"/>
    <s v="Ernakulam"/>
    <x v="4"/>
    <s v="PT-1341"/>
    <s v="Follow-up"/>
    <x v="2"/>
    <x v="2"/>
    <s v="Self Referral"/>
    <x v="0"/>
    <n v="60"/>
    <n v="60"/>
    <n v="73.900000000000006"/>
    <n v="1500"/>
    <x v="3"/>
    <x v="0"/>
    <n v="0"/>
    <n v="1"/>
    <n v="0"/>
    <n v="0.85"/>
  </r>
  <r>
    <s v="APT-00111"/>
    <x v="95"/>
    <x v="11"/>
    <x v="6"/>
    <x v="3"/>
    <x v="1"/>
    <s v="Thrissur"/>
    <x v="1"/>
    <s v="PT-1693"/>
    <s v="Geriatric Rehab"/>
    <x v="0"/>
    <x v="2"/>
    <s v="Neurologist"/>
    <x v="0"/>
    <n v="60"/>
    <n v="60"/>
    <n v="66.3"/>
    <n v="1350"/>
    <x v="14"/>
    <x v="0"/>
    <n v="0"/>
    <n v="1"/>
    <n v="0"/>
    <n v="0.85"/>
  </r>
  <r>
    <s v="APT-00112"/>
    <x v="96"/>
    <x v="2"/>
    <x v="0"/>
    <x v="0"/>
    <x v="1"/>
    <s v="Thrissur"/>
    <x v="10"/>
    <s v="PT-1069"/>
    <s v="Chronic Pain"/>
    <x v="2"/>
    <x v="3"/>
    <s v="Corporate Wellness"/>
    <x v="0"/>
    <n v="60"/>
    <n v="60"/>
    <n v="68.3"/>
    <n v="1250"/>
    <x v="5"/>
    <x v="0"/>
    <n v="0"/>
    <n v="1"/>
    <n v="0"/>
    <n v="0.85"/>
  </r>
  <r>
    <s v="APT-00113"/>
    <x v="97"/>
    <x v="0"/>
    <x v="0"/>
    <x v="0"/>
    <x v="1"/>
    <s v="Thrissur"/>
    <x v="10"/>
    <s v="PT-1272"/>
    <s v="New Patient"/>
    <x v="2"/>
    <x v="2"/>
    <s v="Self Referral"/>
    <x v="0"/>
    <n v="45"/>
    <n v="45"/>
    <n v="53.1"/>
    <n v="1200"/>
    <x v="26"/>
    <x v="0"/>
    <n v="0"/>
    <n v="1"/>
    <n v="0"/>
    <n v="0.85"/>
  </r>
  <r>
    <s v="APT-00114"/>
    <x v="21"/>
    <x v="10"/>
    <x v="1"/>
    <x v="1"/>
    <x v="0"/>
    <s v="Palakkad"/>
    <x v="11"/>
    <s v="PT-1662"/>
    <s v="Follow-up"/>
    <x v="4"/>
    <x v="3"/>
    <s v="Neurologist"/>
    <x v="0"/>
    <n v="45"/>
    <n v="45"/>
    <n v="56.7"/>
    <n v="850"/>
    <x v="23"/>
    <x v="0"/>
    <n v="0"/>
    <n v="1"/>
    <n v="0"/>
    <n v="0.85"/>
  </r>
  <r>
    <s v="APT-00115"/>
    <x v="98"/>
    <x v="3"/>
    <x v="0"/>
    <x v="3"/>
    <x v="0"/>
    <s v="Palakkad"/>
    <x v="13"/>
    <s v="PT-1376"/>
    <s v="Follow-up"/>
    <x v="4"/>
    <x v="3"/>
    <s v="Orthopedic Doctor"/>
    <x v="3"/>
    <n v="45"/>
    <n v="0"/>
    <n v="50.7"/>
    <n v="850"/>
    <x v="9"/>
    <x v="0"/>
    <n v="0"/>
    <n v="0"/>
    <n v="0"/>
    <n v="0.85"/>
  </r>
  <r>
    <s v="APT-00116"/>
    <x v="0"/>
    <x v="0"/>
    <x v="0"/>
    <x v="2"/>
    <x v="0"/>
    <s v="Palakkad"/>
    <x v="13"/>
    <s v="PT-1462"/>
    <s v="Follow-up"/>
    <x v="1"/>
    <x v="0"/>
    <s v="Neurologist"/>
    <x v="0"/>
    <n v="90"/>
    <n v="90"/>
    <n v="110.4"/>
    <n v="1900"/>
    <x v="0"/>
    <x v="0"/>
    <n v="0"/>
    <n v="1"/>
    <n v="0"/>
    <n v="0.85"/>
  </r>
  <r>
    <s v="APT-00117"/>
    <x v="99"/>
    <x v="8"/>
    <x v="2"/>
    <x v="3"/>
    <x v="2"/>
    <s v="Ernakulam"/>
    <x v="8"/>
    <s v="PT-1490"/>
    <s v="Follow-up"/>
    <x v="0"/>
    <x v="0"/>
    <s v="Corporate Wellness"/>
    <x v="0"/>
    <n v="60"/>
    <n v="60"/>
    <n v="71.5"/>
    <n v="1500"/>
    <x v="3"/>
    <x v="0"/>
    <n v="0"/>
    <n v="1"/>
    <n v="0"/>
    <n v="0.85"/>
  </r>
  <r>
    <s v="APT-00118"/>
    <x v="40"/>
    <x v="5"/>
    <x v="4"/>
    <x v="2"/>
    <x v="2"/>
    <s v="Ernakulam"/>
    <x v="4"/>
    <s v="PT-1483"/>
    <s v="Chronic Pain"/>
    <x v="0"/>
    <x v="2"/>
    <s v="Corporate Wellness"/>
    <x v="0"/>
    <n v="45"/>
    <n v="45"/>
    <n v="57.7"/>
    <n v="1100"/>
    <x v="20"/>
    <x v="0"/>
    <n v="0"/>
    <n v="1"/>
    <n v="0"/>
    <n v="0.85"/>
  </r>
  <r>
    <s v="APT-00119"/>
    <x v="100"/>
    <x v="1"/>
    <x v="4"/>
    <x v="0"/>
    <x v="1"/>
    <s v="Thrissur"/>
    <x v="5"/>
    <s v="PT-1480"/>
    <s v="Follow-up"/>
    <x v="5"/>
    <x v="0"/>
    <s v="Hospital Discharge"/>
    <x v="0"/>
    <n v="60"/>
    <n v="60"/>
    <n v="69.8"/>
    <n v="1350"/>
    <x v="14"/>
    <x v="0"/>
    <n v="0"/>
    <n v="1"/>
    <n v="0"/>
    <n v="0.85"/>
  </r>
  <r>
    <s v="APT-00120"/>
    <x v="101"/>
    <x v="9"/>
    <x v="4"/>
    <x v="1"/>
    <x v="1"/>
    <s v="Thrissur"/>
    <x v="10"/>
    <s v="PT-1294"/>
    <s v="Geriatric Rehab"/>
    <x v="3"/>
    <x v="1"/>
    <s v="Neurologist"/>
    <x v="0"/>
    <n v="75"/>
    <n v="75"/>
    <n v="89.1"/>
    <n v="1450"/>
    <x v="10"/>
    <x v="0"/>
    <n v="0"/>
    <n v="1"/>
    <n v="0"/>
    <n v="0.85"/>
  </r>
  <r>
    <s v="APT-00121"/>
    <x v="42"/>
    <x v="7"/>
    <x v="1"/>
    <x v="3"/>
    <x v="2"/>
    <s v="Ernakulam"/>
    <x v="4"/>
    <s v="PT-1482"/>
    <s v="Follow-up"/>
    <x v="5"/>
    <x v="0"/>
    <s v="Corporate Wellness"/>
    <x v="0"/>
    <n v="30"/>
    <n v="30"/>
    <n v="35.700000000000003"/>
    <n v="750"/>
    <x v="27"/>
    <x v="0"/>
    <n v="0"/>
    <n v="1"/>
    <n v="0"/>
    <n v="0.85"/>
  </r>
  <r>
    <s v="APT-00122"/>
    <x v="102"/>
    <x v="1"/>
    <x v="1"/>
    <x v="0"/>
    <x v="0"/>
    <s v="Palakkad"/>
    <x v="11"/>
    <s v="PT-1300"/>
    <s v="Follow-up"/>
    <x v="3"/>
    <x v="0"/>
    <s v="Orthopedic Doctor"/>
    <x v="0"/>
    <n v="45"/>
    <n v="45"/>
    <n v="50.3"/>
    <n v="950"/>
    <x v="7"/>
    <x v="0"/>
    <n v="0"/>
    <n v="1"/>
    <n v="0"/>
    <n v="0.85"/>
  </r>
  <r>
    <s v="APT-00123"/>
    <x v="103"/>
    <x v="5"/>
    <x v="4"/>
    <x v="2"/>
    <x v="0"/>
    <s v="Palakkad"/>
    <x v="9"/>
    <s v="PT-1457"/>
    <s v="Chronic Pain"/>
    <x v="0"/>
    <x v="0"/>
    <s v="Neurologist"/>
    <x v="3"/>
    <n v="75"/>
    <n v="0"/>
    <n v="84.1"/>
    <n v="1550"/>
    <x v="9"/>
    <x v="0"/>
    <n v="0"/>
    <n v="0"/>
    <n v="0"/>
    <n v="0.85"/>
  </r>
  <r>
    <s v="APT-00124"/>
    <x v="104"/>
    <x v="2"/>
    <x v="3"/>
    <x v="2"/>
    <x v="2"/>
    <s v="Ernakulam"/>
    <x v="3"/>
    <s v="PT-1285"/>
    <s v="Post-op Rehab"/>
    <x v="2"/>
    <x v="1"/>
    <s v="Self Referral"/>
    <x v="1"/>
    <n v="45"/>
    <n v="0"/>
    <n v="49.7"/>
    <n v="1100"/>
    <x v="9"/>
    <x v="6"/>
    <n v="1"/>
    <n v="0"/>
    <n v="0"/>
    <n v="0.85"/>
  </r>
  <r>
    <s v="APT-00125"/>
    <x v="60"/>
    <x v="9"/>
    <x v="1"/>
    <x v="3"/>
    <x v="1"/>
    <s v="Thrissur"/>
    <x v="1"/>
    <s v="PT-1579"/>
    <s v="Chronic Pain"/>
    <x v="0"/>
    <x v="0"/>
    <s v="Hospital Discharge"/>
    <x v="2"/>
    <n v="45"/>
    <n v="0"/>
    <n v="49.7"/>
    <n v="1000"/>
    <x v="9"/>
    <x v="16"/>
    <n v="0"/>
    <n v="0"/>
    <n v="1"/>
    <n v="0.85"/>
  </r>
  <r>
    <s v="APT-00126"/>
    <x v="69"/>
    <x v="4"/>
    <x v="0"/>
    <x v="0"/>
    <x v="2"/>
    <s v="Ernakulam"/>
    <x v="3"/>
    <s v="PT-1157"/>
    <s v="Sports Injury"/>
    <x v="3"/>
    <x v="2"/>
    <s v="Hospital Discharge"/>
    <x v="0"/>
    <n v="60"/>
    <n v="60"/>
    <n v="66.2"/>
    <n v="1500"/>
    <x v="3"/>
    <x v="0"/>
    <n v="0"/>
    <n v="1"/>
    <n v="0"/>
    <n v="0.85"/>
  </r>
  <r>
    <s v="APT-00127"/>
    <x v="105"/>
    <x v="7"/>
    <x v="2"/>
    <x v="2"/>
    <x v="2"/>
    <s v="Ernakulam"/>
    <x v="12"/>
    <s v="PT-1075"/>
    <s v="Follow-up"/>
    <x v="2"/>
    <x v="0"/>
    <s v="Self Referral"/>
    <x v="0"/>
    <n v="45"/>
    <n v="45"/>
    <n v="50.1"/>
    <n v="1100"/>
    <x v="20"/>
    <x v="0"/>
    <n v="0"/>
    <n v="1"/>
    <n v="0"/>
    <n v="0.85"/>
  </r>
  <r>
    <s v="APT-00128"/>
    <x v="106"/>
    <x v="3"/>
    <x v="4"/>
    <x v="3"/>
    <x v="2"/>
    <s v="Ernakulam"/>
    <x v="12"/>
    <s v="PT-1036"/>
    <s v="Sports Injury"/>
    <x v="1"/>
    <x v="3"/>
    <s v="Orthopedic Doctor"/>
    <x v="0"/>
    <n v="60"/>
    <n v="60"/>
    <n v="65.599999999999994"/>
    <n v="1400"/>
    <x v="21"/>
    <x v="0"/>
    <n v="0"/>
    <n v="1"/>
    <n v="0"/>
    <n v="0.85"/>
  </r>
  <r>
    <s v="APT-00129"/>
    <x v="88"/>
    <x v="6"/>
    <x v="5"/>
    <x v="1"/>
    <x v="1"/>
    <s v="Thrissur"/>
    <x v="7"/>
    <s v="PT-1516"/>
    <s v="Chronic Pain"/>
    <x v="5"/>
    <x v="2"/>
    <s v="Neurologist"/>
    <x v="0"/>
    <n v="75"/>
    <n v="75"/>
    <n v="82.9"/>
    <n v="1700"/>
    <x v="6"/>
    <x v="0"/>
    <n v="0"/>
    <n v="1"/>
    <n v="0"/>
    <n v="0.85"/>
  </r>
  <r>
    <s v="APT-00130"/>
    <x v="23"/>
    <x v="5"/>
    <x v="1"/>
    <x v="3"/>
    <x v="1"/>
    <s v="Thrissur"/>
    <x v="10"/>
    <s v="PT-1411"/>
    <s v="Post-op Rehab"/>
    <x v="4"/>
    <x v="0"/>
    <s v="Self Referral"/>
    <x v="1"/>
    <n v="75"/>
    <n v="0"/>
    <n v="87.2"/>
    <n v="1950"/>
    <x v="9"/>
    <x v="17"/>
    <n v="1"/>
    <n v="0"/>
    <n v="0"/>
    <n v="0.85"/>
  </r>
  <r>
    <s v="APT-00131"/>
    <x v="107"/>
    <x v="1"/>
    <x v="4"/>
    <x v="0"/>
    <x v="1"/>
    <s v="Thrissur"/>
    <x v="5"/>
    <s v="PT-1338"/>
    <s v="New Patient"/>
    <x v="2"/>
    <x v="0"/>
    <s v="Online Search"/>
    <x v="0"/>
    <n v="90"/>
    <n v="90"/>
    <n v="120.3"/>
    <n v="2450"/>
    <x v="28"/>
    <x v="0"/>
    <n v="0"/>
    <n v="1"/>
    <n v="0"/>
    <n v="0.85"/>
  </r>
  <r>
    <s v="APT-00132"/>
    <x v="108"/>
    <x v="11"/>
    <x v="3"/>
    <x v="3"/>
    <x v="0"/>
    <s v="Palakkad"/>
    <x v="11"/>
    <s v="PT-1195"/>
    <s v="Chronic Pain"/>
    <x v="3"/>
    <x v="0"/>
    <s v="Orthopedic Doctor"/>
    <x v="1"/>
    <n v="30"/>
    <n v="0"/>
    <n v="39.299999999999997"/>
    <n v="600"/>
    <x v="9"/>
    <x v="18"/>
    <n v="1"/>
    <n v="0"/>
    <n v="0"/>
    <n v="0.85"/>
  </r>
  <r>
    <s v="APT-00133"/>
    <x v="109"/>
    <x v="0"/>
    <x v="1"/>
    <x v="3"/>
    <x v="2"/>
    <s v="Ernakulam"/>
    <x v="4"/>
    <s v="PT-1237"/>
    <s v="Geriatric Rehab"/>
    <x v="2"/>
    <x v="2"/>
    <s v="Hospital Discharge"/>
    <x v="0"/>
    <n v="45"/>
    <n v="45"/>
    <n v="58.4"/>
    <n v="1100"/>
    <x v="20"/>
    <x v="0"/>
    <n v="0"/>
    <n v="1"/>
    <n v="0"/>
    <n v="0.85"/>
  </r>
  <r>
    <s v="APT-00134"/>
    <x v="110"/>
    <x v="5"/>
    <x v="4"/>
    <x v="2"/>
    <x v="0"/>
    <s v="Palakkad"/>
    <x v="13"/>
    <s v="PT-1602"/>
    <s v="New Patient"/>
    <x v="0"/>
    <x v="2"/>
    <s v="Corporate Wellness"/>
    <x v="0"/>
    <n v="60"/>
    <n v="60"/>
    <n v="65.8"/>
    <n v="1500"/>
    <x v="3"/>
    <x v="0"/>
    <n v="0"/>
    <n v="1"/>
    <n v="0"/>
    <n v="0.85"/>
  </r>
  <r>
    <s v="APT-00135"/>
    <x v="111"/>
    <x v="8"/>
    <x v="1"/>
    <x v="0"/>
    <x v="1"/>
    <s v="Thrissur"/>
    <x v="7"/>
    <s v="PT-1576"/>
    <s v="Follow-up"/>
    <x v="5"/>
    <x v="0"/>
    <s v="Online Search"/>
    <x v="0"/>
    <n v="75"/>
    <n v="75"/>
    <n v="83.6"/>
    <n v="1700"/>
    <x v="6"/>
    <x v="0"/>
    <n v="0"/>
    <n v="1"/>
    <n v="0"/>
    <n v="0.85"/>
  </r>
  <r>
    <s v="APT-00136"/>
    <x v="66"/>
    <x v="7"/>
    <x v="1"/>
    <x v="3"/>
    <x v="2"/>
    <s v="Ernakulam"/>
    <x v="8"/>
    <s v="PT-1583"/>
    <s v="Chronic Pain"/>
    <x v="2"/>
    <x v="0"/>
    <s v="Neurologist"/>
    <x v="1"/>
    <n v="45"/>
    <n v="0"/>
    <n v="57.3"/>
    <n v="1100"/>
    <x v="9"/>
    <x v="6"/>
    <n v="1"/>
    <n v="0"/>
    <n v="0"/>
    <n v="0.85"/>
  </r>
  <r>
    <s v="APT-00137"/>
    <x v="112"/>
    <x v="9"/>
    <x v="1"/>
    <x v="1"/>
    <x v="0"/>
    <s v="Palakkad"/>
    <x v="9"/>
    <s v="PT-1515"/>
    <s v="Follow-up"/>
    <x v="4"/>
    <x v="2"/>
    <s v="Orthopedic Doctor"/>
    <x v="0"/>
    <n v="60"/>
    <n v="60"/>
    <n v="73"/>
    <n v="1250"/>
    <x v="5"/>
    <x v="0"/>
    <n v="0"/>
    <n v="1"/>
    <n v="0"/>
    <n v="0.85"/>
  </r>
  <r>
    <s v="APT-00138"/>
    <x v="113"/>
    <x v="2"/>
    <x v="2"/>
    <x v="3"/>
    <x v="2"/>
    <s v="Ernakulam"/>
    <x v="12"/>
    <s v="PT-1175"/>
    <s v="New Patient"/>
    <x v="1"/>
    <x v="1"/>
    <s v="Online Search"/>
    <x v="0"/>
    <n v="60"/>
    <n v="60"/>
    <n v="77.5"/>
    <n v="1550"/>
    <x v="1"/>
    <x v="0"/>
    <n v="0"/>
    <n v="1"/>
    <n v="0"/>
    <n v="0.85"/>
  </r>
  <r>
    <s v="APT-00139"/>
    <x v="60"/>
    <x v="9"/>
    <x v="1"/>
    <x v="0"/>
    <x v="2"/>
    <s v="Ernakulam"/>
    <x v="3"/>
    <s v="PT-1010"/>
    <s v="Follow-up"/>
    <x v="2"/>
    <x v="1"/>
    <s v="Orthopedic Doctor"/>
    <x v="2"/>
    <n v="45"/>
    <n v="0"/>
    <n v="57.8"/>
    <n v="950"/>
    <x v="9"/>
    <x v="19"/>
    <n v="0"/>
    <n v="0"/>
    <n v="1"/>
    <n v="0.85"/>
  </r>
  <r>
    <s v="APT-00140"/>
    <x v="91"/>
    <x v="4"/>
    <x v="3"/>
    <x v="0"/>
    <x v="1"/>
    <s v="Thrissur"/>
    <x v="2"/>
    <s v="PT-1340"/>
    <s v="New Patient"/>
    <x v="5"/>
    <x v="0"/>
    <s v="Orthopedic Doctor"/>
    <x v="0"/>
    <n v="45"/>
    <n v="45"/>
    <n v="58.3"/>
    <n v="1200"/>
    <x v="26"/>
    <x v="0"/>
    <n v="0"/>
    <n v="1"/>
    <n v="0"/>
    <n v="0.85"/>
  </r>
  <r>
    <s v="APT-00141"/>
    <x v="114"/>
    <x v="3"/>
    <x v="5"/>
    <x v="2"/>
    <x v="1"/>
    <s v="Thrissur"/>
    <x v="10"/>
    <s v="PT-1533"/>
    <s v="Follow-up"/>
    <x v="5"/>
    <x v="0"/>
    <s v="Self Referral"/>
    <x v="3"/>
    <n v="60"/>
    <n v="0"/>
    <n v="66.2"/>
    <n v="1350"/>
    <x v="9"/>
    <x v="0"/>
    <n v="0"/>
    <n v="0"/>
    <n v="0"/>
    <n v="0.85"/>
  </r>
  <r>
    <s v="APT-00142"/>
    <x v="115"/>
    <x v="7"/>
    <x v="0"/>
    <x v="0"/>
    <x v="2"/>
    <s v="Ernakulam"/>
    <x v="3"/>
    <s v="PT-1585"/>
    <s v="Follow-up"/>
    <x v="4"/>
    <x v="1"/>
    <s v="Online Search"/>
    <x v="0"/>
    <n v="45"/>
    <n v="45"/>
    <n v="58.6"/>
    <n v="950"/>
    <x v="7"/>
    <x v="0"/>
    <n v="0"/>
    <n v="1"/>
    <n v="0"/>
    <n v="0.85"/>
  </r>
  <r>
    <s v="APT-00143"/>
    <x v="116"/>
    <x v="6"/>
    <x v="2"/>
    <x v="1"/>
    <x v="1"/>
    <s v="Thrissur"/>
    <x v="7"/>
    <s v="PT-1239"/>
    <s v="Chronic Pain"/>
    <x v="3"/>
    <x v="0"/>
    <s v="Online Search"/>
    <x v="0"/>
    <n v="60"/>
    <n v="60"/>
    <n v="71.400000000000006"/>
    <n v="1350"/>
    <x v="14"/>
    <x v="0"/>
    <n v="0"/>
    <n v="1"/>
    <n v="0"/>
    <n v="0.85"/>
  </r>
  <r>
    <s v="APT-00144"/>
    <x v="117"/>
    <x v="6"/>
    <x v="0"/>
    <x v="0"/>
    <x v="0"/>
    <s v="Palakkad"/>
    <x v="9"/>
    <s v="PT-1199"/>
    <s v="Chronic Pain"/>
    <x v="4"/>
    <x v="0"/>
    <s v="Hospital Discharge"/>
    <x v="0"/>
    <n v="45"/>
    <n v="45"/>
    <n v="53"/>
    <n v="950"/>
    <x v="7"/>
    <x v="0"/>
    <n v="0"/>
    <n v="1"/>
    <n v="0"/>
    <n v="0.85"/>
  </r>
  <r>
    <s v="APT-00145"/>
    <x v="68"/>
    <x v="5"/>
    <x v="4"/>
    <x v="0"/>
    <x v="0"/>
    <s v="Palakkad"/>
    <x v="0"/>
    <s v="PT-1090"/>
    <s v="Follow-up"/>
    <x v="3"/>
    <x v="0"/>
    <s v="Self Referral"/>
    <x v="0"/>
    <n v="30"/>
    <n v="30"/>
    <n v="36.4"/>
    <n v="600"/>
    <x v="16"/>
    <x v="0"/>
    <n v="0"/>
    <n v="1"/>
    <n v="0"/>
    <n v="0.85"/>
  </r>
  <r>
    <s v="APT-00146"/>
    <x v="118"/>
    <x v="0"/>
    <x v="4"/>
    <x v="0"/>
    <x v="0"/>
    <s v="Palakkad"/>
    <x v="0"/>
    <s v="PT-1629"/>
    <s v="Follow-up"/>
    <x v="5"/>
    <x v="1"/>
    <s v="Orthopedic Doctor"/>
    <x v="0"/>
    <n v="30"/>
    <n v="30"/>
    <n v="35"/>
    <n v="550"/>
    <x v="29"/>
    <x v="0"/>
    <n v="0"/>
    <n v="1"/>
    <n v="0"/>
    <n v="0.85"/>
  </r>
  <r>
    <s v="APT-00147"/>
    <x v="119"/>
    <x v="1"/>
    <x v="4"/>
    <x v="0"/>
    <x v="2"/>
    <s v="Ernakulam"/>
    <x v="14"/>
    <s v="PT-1407"/>
    <s v="Follow-up"/>
    <x v="1"/>
    <x v="0"/>
    <s v="Self Referral"/>
    <x v="0"/>
    <n v="45"/>
    <n v="45"/>
    <n v="55.4"/>
    <n v="1100"/>
    <x v="20"/>
    <x v="0"/>
    <n v="0"/>
    <n v="1"/>
    <n v="0"/>
    <n v="0.85"/>
  </r>
  <r>
    <s v="APT-00148"/>
    <x v="102"/>
    <x v="1"/>
    <x v="1"/>
    <x v="0"/>
    <x v="1"/>
    <s v="Thrissur"/>
    <x v="2"/>
    <s v="PT-1206"/>
    <s v="Sports Injury"/>
    <x v="5"/>
    <x v="2"/>
    <s v="Corporate Wellness"/>
    <x v="0"/>
    <n v="75"/>
    <n v="75"/>
    <n v="83.7"/>
    <n v="1700"/>
    <x v="6"/>
    <x v="0"/>
    <n v="0"/>
    <n v="1"/>
    <n v="0"/>
    <n v="0.85"/>
  </r>
  <r>
    <s v="APT-00149"/>
    <x v="120"/>
    <x v="11"/>
    <x v="4"/>
    <x v="3"/>
    <x v="1"/>
    <s v="Thrissur"/>
    <x v="10"/>
    <s v="PT-1062"/>
    <s v="Geriatric Rehab"/>
    <x v="5"/>
    <x v="0"/>
    <s v="Self Referral"/>
    <x v="0"/>
    <n v="60"/>
    <n v="60"/>
    <n v="75.599999999999994"/>
    <n v="1350"/>
    <x v="14"/>
    <x v="0"/>
    <n v="0"/>
    <n v="1"/>
    <n v="0"/>
    <n v="0.85"/>
  </r>
  <r>
    <s v="APT-00150"/>
    <x v="121"/>
    <x v="7"/>
    <x v="2"/>
    <x v="0"/>
    <x v="0"/>
    <s v="Palakkad"/>
    <x v="0"/>
    <s v="PT-1547"/>
    <s v="Sports Injury"/>
    <x v="2"/>
    <x v="0"/>
    <s v="Orthopedic Doctor"/>
    <x v="0"/>
    <n v="30"/>
    <n v="30"/>
    <n v="37.6"/>
    <n v="600"/>
    <x v="16"/>
    <x v="0"/>
    <n v="0"/>
    <n v="1"/>
    <n v="0"/>
    <n v="0.85"/>
  </r>
  <r>
    <s v="APT-00151"/>
    <x v="101"/>
    <x v="9"/>
    <x v="4"/>
    <x v="1"/>
    <x v="0"/>
    <s v="Palakkad"/>
    <x v="11"/>
    <s v="PT-1579"/>
    <s v="Chronic Pain"/>
    <x v="5"/>
    <x v="0"/>
    <s v="Corporate Wellness"/>
    <x v="0"/>
    <n v="60"/>
    <n v="60"/>
    <n v="77.5"/>
    <n v="1250"/>
    <x v="5"/>
    <x v="0"/>
    <n v="0"/>
    <n v="1"/>
    <n v="0"/>
    <n v="0.85"/>
  </r>
  <r>
    <s v="APT-00152"/>
    <x v="19"/>
    <x v="4"/>
    <x v="0"/>
    <x v="3"/>
    <x v="2"/>
    <s v="Ernakulam"/>
    <x v="14"/>
    <s v="PT-1343"/>
    <s v="Follow-up"/>
    <x v="5"/>
    <x v="1"/>
    <s v="Online Search"/>
    <x v="0"/>
    <n v="60"/>
    <n v="60"/>
    <n v="79.599999999999994"/>
    <n v="1300"/>
    <x v="22"/>
    <x v="0"/>
    <n v="0"/>
    <n v="1"/>
    <n v="0"/>
    <n v="0.85"/>
  </r>
  <r>
    <s v="APT-00153"/>
    <x v="122"/>
    <x v="8"/>
    <x v="2"/>
    <x v="2"/>
    <x v="2"/>
    <s v="Ernakulam"/>
    <x v="4"/>
    <s v="PT-1583"/>
    <s v="Sports Injury"/>
    <x v="2"/>
    <x v="1"/>
    <s v="Orthopedic Doctor"/>
    <x v="1"/>
    <n v="45"/>
    <n v="0"/>
    <n v="56.6"/>
    <n v="950"/>
    <x v="9"/>
    <x v="19"/>
    <n v="1"/>
    <n v="0"/>
    <n v="0"/>
    <n v="0.85"/>
  </r>
  <r>
    <s v="APT-00154"/>
    <x v="123"/>
    <x v="1"/>
    <x v="0"/>
    <x v="1"/>
    <x v="0"/>
    <s v="Palakkad"/>
    <x v="0"/>
    <s v="PT-1527"/>
    <s v="New Patient"/>
    <x v="1"/>
    <x v="0"/>
    <s v="Neurologist"/>
    <x v="1"/>
    <n v="75"/>
    <n v="0"/>
    <n v="98.5"/>
    <n v="1900"/>
    <x v="9"/>
    <x v="4"/>
    <n v="1"/>
    <n v="0"/>
    <n v="0"/>
    <n v="0.85"/>
  </r>
  <r>
    <s v="APT-00155"/>
    <x v="124"/>
    <x v="0"/>
    <x v="5"/>
    <x v="2"/>
    <x v="2"/>
    <s v="Ernakulam"/>
    <x v="4"/>
    <s v="PT-1561"/>
    <s v="Post-op Rehab"/>
    <x v="1"/>
    <x v="0"/>
    <s v="Self Referral"/>
    <x v="0"/>
    <n v="90"/>
    <n v="90"/>
    <n v="108.9"/>
    <n v="2600"/>
    <x v="4"/>
    <x v="0"/>
    <n v="0"/>
    <n v="1"/>
    <n v="0"/>
    <n v="0.85"/>
  </r>
  <r>
    <s v="APT-00156"/>
    <x v="125"/>
    <x v="10"/>
    <x v="6"/>
    <x v="1"/>
    <x v="2"/>
    <s v="Ernakulam"/>
    <x v="12"/>
    <s v="PT-1151"/>
    <s v="Post-op Rehab"/>
    <x v="5"/>
    <x v="0"/>
    <s v="Neurologist"/>
    <x v="0"/>
    <n v="60"/>
    <n v="60"/>
    <n v="74.599999999999994"/>
    <n v="1700"/>
    <x v="6"/>
    <x v="0"/>
    <n v="0"/>
    <n v="1"/>
    <n v="0"/>
    <n v="0.85"/>
  </r>
  <r>
    <s v="APT-00157"/>
    <x v="126"/>
    <x v="11"/>
    <x v="0"/>
    <x v="3"/>
    <x v="1"/>
    <s v="Thrissur"/>
    <x v="2"/>
    <s v="PT-1055"/>
    <s v="Follow-up"/>
    <x v="3"/>
    <x v="2"/>
    <s v="Hospital Discharge"/>
    <x v="0"/>
    <n v="60"/>
    <n v="60"/>
    <n v="71.5"/>
    <n v="1350"/>
    <x v="14"/>
    <x v="0"/>
    <n v="0"/>
    <n v="1"/>
    <n v="0"/>
    <n v="0.85"/>
  </r>
  <r>
    <s v="APT-00158"/>
    <x v="113"/>
    <x v="2"/>
    <x v="2"/>
    <x v="2"/>
    <x v="0"/>
    <s v="Palakkad"/>
    <x v="13"/>
    <s v="PT-1374"/>
    <s v="Follow-up"/>
    <x v="0"/>
    <x v="0"/>
    <s v="Corporate Wellness"/>
    <x v="2"/>
    <n v="75"/>
    <n v="0"/>
    <n v="91.8"/>
    <n v="1550"/>
    <x v="9"/>
    <x v="14"/>
    <n v="0"/>
    <n v="0"/>
    <n v="1"/>
    <n v="0.85"/>
  </r>
  <r>
    <s v="APT-00159"/>
    <x v="127"/>
    <x v="4"/>
    <x v="5"/>
    <x v="1"/>
    <x v="1"/>
    <s v="Thrissur"/>
    <x v="10"/>
    <s v="PT-1472"/>
    <s v="Follow-up"/>
    <x v="0"/>
    <x v="2"/>
    <s v="Hospital Discharge"/>
    <x v="0"/>
    <n v="60"/>
    <n v="60"/>
    <n v="66.599999999999994"/>
    <n v="1350"/>
    <x v="14"/>
    <x v="0"/>
    <n v="0"/>
    <n v="1"/>
    <n v="0"/>
    <n v="0.85"/>
  </r>
  <r>
    <s v="APT-00160"/>
    <x v="21"/>
    <x v="10"/>
    <x v="1"/>
    <x v="2"/>
    <x v="0"/>
    <s v="Palakkad"/>
    <x v="13"/>
    <s v="PT-1625"/>
    <s v="Follow-up"/>
    <x v="3"/>
    <x v="0"/>
    <s v="Corporate Wellness"/>
    <x v="0"/>
    <n v="45"/>
    <n v="45"/>
    <n v="49"/>
    <n v="950"/>
    <x v="7"/>
    <x v="0"/>
    <n v="0"/>
    <n v="1"/>
    <n v="0"/>
    <n v="0.85"/>
  </r>
  <r>
    <s v="APT-00161"/>
    <x v="67"/>
    <x v="11"/>
    <x v="2"/>
    <x v="0"/>
    <x v="2"/>
    <s v="Ernakulam"/>
    <x v="12"/>
    <s v="PT-1317"/>
    <s v="Follow-up"/>
    <x v="3"/>
    <x v="2"/>
    <s v="Self Referral"/>
    <x v="0"/>
    <n v="60"/>
    <n v="60"/>
    <n v="69.2"/>
    <n v="1500"/>
    <x v="3"/>
    <x v="0"/>
    <n v="0"/>
    <n v="1"/>
    <n v="0"/>
    <n v="0.85"/>
  </r>
  <r>
    <s v="APT-00162"/>
    <x v="61"/>
    <x v="10"/>
    <x v="5"/>
    <x v="1"/>
    <x v="1"/>
    <s v="Thrissur"/>
    <x v="7"/>
    <s v="PT-1306"/>
    <s v="Chronic Pain"/>
    <x v="3"/>
    <x v="3"/>
    <s v="Corporate Wellness"/>
    <x v="0"/>
    <n v="45"/>
    <n v="45"/>
    <n v="58.4"/>
    <n v="950"/>
    <x v="7"/>
    <x v="0"/>
    <n v="0"/>
    <n v="1"/>
    <n v="0"/>
    <n v="0.85"/>
  </r>
  <r>
    <s v="APT-00163"/>
    <x v="128"/>
    <x v="9"/>
    <x v="3"/>
    <x v="2"/>
    <x v="0"/>
    <s v="Palakkad"/>
    <x v="6"/>
    <s v="PT-1237"/>
    <s v="Chronic Pain"/>
    <x v="3"/>
    <x v="0"/>
    <s v="Orthopedic Doctor"/>
    <x v="1"/>
    <n v="30"/>
    <n v="0"/>
    <n v="33.9"/>
    <n v="600"/>
    <x v="9"/>
    <x v="18"/>
    <n v="1"/>
    <n v="0"/>
    <n v="0"/>
    <n v="0.85"/>
  </r>
  <r>
    <s v="APT-00164"/>
    <x v="59"/>
    <x v="5"/>
    <x v="0"/>
    <x v="1"/>
    <x v="1"/>
    <s v="Thrissur"/>
    <x v="1"/>
    <s v="PT-1294"/>
    <s v="Post-op Rehab"/>
    <x v="5"/>
    <x v="2"/>
    <s v="Orthopedic Doctor"/>
    <x v="0"/>
    <n v="45"/>
    <n v="45"/>
    <n v="56.5"/>
    <n v="1150"/>
    <x v="15"/>
    <x v="0"/>
    <n v="0"/>
    <n v="1"/>
    <n v="0"/>
    <n v="0.85"/>
  </r>
  <r>
    <s v="APT-00165"/>
    <x v="91"/>
    <x v="4"/>
    <x v="3"/>
    <x v="3"/>
    <x v="1"/>
    <s v="Thrissur"/>
    <x v="2"/>
    <s v="PT-1177"/>
    <s v="Follow-up"/>
    <x v="5"/>
    <x v="1"/>
    <s v="Online Search"/>
    <x v="0"/>
    <n v="45"/>
    <n v="45"/>
    <n v="58.9"/>
    <n v="850"/>
    <x v="23"/>
    <x v="0"/>
    <n v="0"/>
    <n v="1"/>
    <n v="0"/>
    <n v="0.85"/>
  </r>
  <r>
    <s v="APT-00166"/>
    <x v="44"/>
    <x v="4"/>
    <x v="1"/>
    <x v="0"/>
    <x v="2"/>
    <s v="Ernakulam"/>
    <x v="14"/>
    <s v="PT-1476"/>
    <s v="New Patient"/>
    <x v="1"/>
    <x v="0"/>
    <s v="Self Referral"/>
    <x v="0"/>
    <n v="45"/>
    <n v="45"/>
    <n v="60.6"/>
    <n v="1350"/>
    <x v="14"/>
    <x v="0"/>
    <n v="0"/>
    <n v="1"/>
    <n v="0"/>
    <n v="0.85"/>
  </r>
  <r>
    <s v="APT-00167"/>
    <x v="54"/>
    <x v="10"/>
    <x v="4"/>
    <x v="3"/>
    <x v="2"/>
    <s v="Ernakulam"/>
    <x v="12"/>
    <s v="PT-1285"/>
    <s v="Follow-up"/>
    <x v="4"/>
    <x v="3"/>
    <s v="Corporate Wellness"/>
    <x v="0"/>
    <n v="45"/>
    <n v="45"/>
    <n v="59.7"/>
    <n v="1050"/>
    <x v="2"/>
    <x v="0"/>
    <n v="0"/>
    <n v="1"/>
    <n v="0"/>
    <n v="0.85"/>
  </r>
  <r>
    <s v="APT-00168"/>
    <x v="37"/>
    <x v="5"/>
    <x v="0"/>
    <x v="3"/>
    <x v="2"/>
    <s v="Ernakulam"/>
    <x v="4"/>
    <s v="PT-1097"/>
    <s v="Sports Injury"/>
    <x v="0"/>
    <x v="1"/>
    <s v="Self Referral"/>
    <x v="1"/>
    <n v="30"/>
    <n v="0"/>
    <n v="39.5"/>
    <n v="650"/>
    <x v="9"/>
    <x v="20"/>
    <n v="1"/>
    <n v="0"/>
    <n v="0"/>
    <n v="0.85"/>
  </r>
  <r>
    <s v="APT-00169"/>
    <x v="93"/>
    <x v="8"/>
    <x v="0"/>
    <x v="3"/>
    <x v="1"/>
    <s v="Thrissur"/>
    <x v="2"/>
    <s v="PT-1516"/>
    <s v="Post-op Rehab"/>
    <x v="1"/>
    <x v="2"/>
    <s v="Neurologist"/>
    <x v="0"/>
    <n v="30"/>
    <n v="30"/>
    <n v="40.1"/>
    <n v="800"/>
    <x v="18"/>
    <x v="0"/>
    <n v="0"/>
    <n v="1"/>
    <n v="0"/>
    <n v="0.85"/>
  </r>
  <r>
    <s v="APT-00170"/>
    <x v="129"/>
    <x v="10"/>
    <x v="3"/>
    <x v="1"/>
    <x v="2"/>
    <s v="Ernakulam"/>
    <x v="14"/>
    <s v="PT-1332"/>
    <s v="Follow-up"/>
    <x v="3"/>
    <x v="0"/>
    <s v="Corporate Wellness"/>
    <x v="0"/>
    <n v="75"/>
    <n v="75"/>
    <n v="92.8"/>
    <n v="1900"/>
    <x v="0"/>
    <x v="0"/>
    <n v="0"/>
    <n v="1"/>
    <n v="0"/>
    <n v="0.85"/>
  </r>
  <r>
    <s v="APT-00171"/>
    <x v="130"/>
    <x v="3"/>
    <x v="2"/>
    <x v="2"/>
    <x v="1"/>
    <s v="Thrissur"/>
    <x v="5"/>
    <s v="PT-1640"/>
    <s v="Follow-up"/>
    <x v="5"/>
    <x v="0"/>
    <s v="Online Search"/>
    <x v="0"/>
    <n v="75"/>
    <n v="75"/>
    <n v="93.2"/>
    <n v="1700"/>
    <x v="6"/>
    <x v="0"/>
    <n v="0"/>
    <n v="1"/>
    <n v="0"/>
    <n v="0.85"/>
  </r>
  <r>
    <s v="APT-00172"/>
    <x v="131"/>
    <x v="11"/>
    <x v="2"/>
    <x v="0"/>
    <x v="0"/>
    <s v="Palakkad"/>
    <x v="0"/>
    <s v="PT-1130"/>
    <s v="New Patient"/>
    <x v="1"/>
    <x v="0"/>
    <s v="Online Search"/>
    <x v="0"/>
    <n v="45"/>
    <n v="45"/>
    <n v="56.9"/>
    <n v="1100"/>
    <x v="20"/>
    <x v="0"/>
    <n v="0"/>
    <n v="1"/>
    <n v="0"/>
    <n v="0.85"/>
  </r>
  <r>
    <s v="APT-00173"/>
    <x v="119"/>
    <x v="1"/>
    <x v="4"/>
    <x v="3"/>
    <x v="0"/>
    <s v="Palakkad"/>
    <x v="9"/>
    <s v="PT-1484"/>
    <s v="Follow-up"/>
    <x v="0"/>
    <x v="3"/>
    <s v="Hospital Discharge"/>
    <x v="0"/>
    <n v="45"/>
    <n v="45"/>
    <n v="48.9"/>
    <n v="850"/>
    <x v="23"/>
    <x v="0"/>
    <n v="0"/>
    <n v="1"/>
    <n v="0"/>
    <n v="0.85"/>
  </r>
  <r>
    <s v="APT-00174"/>
    <x v="132"/>
    <x v="8"/>
    <x v="3"/>
    <x v="1"/>
    <x v="0"/>
    <s v="Palakkad"/>
    <x v="11"/>
    <s v="PT-1169"/>
    <s v="Post-op Rehab"/>
    <x v="4"/>
    <x v="0"/>
    <s v="Neurologist"/>
    <x v="2"/>
    <n v="45"/>
    <n v="0"/>
    <n v="52.4"/>
    <n v="1100"/>
    <x v="9"/>
    <x v="6"/>
    <n v="0"/>
    <n v="0"/>
    <n v="1"/>
    <n v="0.85"/>
  </r>
  <r>
    <s v="APT-00175"/>
    <x v="133"/>
    <x v="6"/>
    <x v="3"/>
    <x v="3"/>
    <x v="2"/>
    <s v="Ernakulam"/>
    <x v="14"/>
    <s v="PT-1350"/>
    <s v="Follow-up"/>
    <x v="3"/>
    <x v="1"/>
    <s v="Corporate Wellness"/>
    <x v="1"/>
    <n v="60"/>
    <n v="0"/>
    <n v="73.5"/>
    <n v="1300"/>
    <x v="9"/>
    <x v="1"/>
    <n v="1"/>
    <n v="0"/>
    <n v="0"/>
    <n v="0.85"/>
  </r>
  <r>
    <s v="APT-00176"/>
    <x v="134"/>
    <x v="2"/>
    <x v="1"/>
    <x v="3"/>
    <x v="1"/>
    <s v="Thrissur"/>
    <x v="7"/>
    <s v="PT-1002"/>
    <s v="Follow-up"/>
    <x v="4"/>
    <x v="3"/>
    <s v="Corporate Wellness"/>
    <x v="0"/>
    <n v="75"/>
    <n v="75"/>
    <n v="91.2"/>
    <n v="1550"/>
    <x v="1"/>
    <x v="0"/>
    <n v="0"/>
    <n v="1"/>
    <n v="0"/>
    <n v="0.85"/>
  </r>
  <r>
    <s v="APT-00177"/>
    <x v="22"/>
    <x v="11"/>
    <x v="1"/>
    <x v="3"/>
    <x v="0"/>
    <s v="Palakkad"/>
    <x v="13"/>
    <s v="PT-1177"/>
    <s v="Geriatric Rehab"/>
    <x v="2"/>
    <x v="2"/>
    <s v="Orthopedic Doctor"/>
    <x v="1"/>
    <n v="90"/>
    <n v="0"/>
    <n v="104.3"/>
    <n v="1900"/>
    <x v="9"/>
    <x v="4"/>
    <n v="1"/>
    <n v="0"/>
    <n v="0"/>
    <n v="0.85"/>
  </r>
  <r>
    <s v="APT-00178"/>
    <x v="135"/>
    <x v="1"/>
    <x v="5"/>
    <x v="0"/>
    <x v="2"/>
    <s v="Ernakulam"/>
    <x v="3"/>
    <s v="PT-1584"/>
    <s v="New Patient"/>
    <x v="3"/>
    <x v="2"/>
    <s v="Self Referral"/>
    <x v="3"/>
    <n v="45"/>
    <n v="0"/>
    <n v="53.7"/>
    <n v="1350"/>
    <x v="9"/>
    <x v="0"/>
    <n v="0"/>
    <n v="0"/>
    <n v="0"/>
    <n v="0.85"/>
  </r>
  <r>
    <s v="APT-00179"/>
    <x v="136"/>
    <x v="6"/>
    <x v="0"/>
    <x v="2"/>
    <x v="1"/>
    <s v="Thrissur"/>
    <x v="2"/>
    <s v="PT-1225"/>
    <s v="Sports Injury"/>
    <x v="1"/>
    <x v="0"/>
    <s v="Hospital Discharge"/>
    <x v="0"/>
    <n v="60"/>
    <n v="60"/>
    <n v="66.900000000000006"/>
    <n v="1350"/>
    <x v="14"/>
    <x v="0"/>
    <n v="0"/>
    <n v="1"/>
    <n v="0"/>
    <n v="0.85"/>
  </r>
  <r>
    <s v="APT-00180"/>
    <x v="137"/>
    <x v="7"/>
    <x v="5"/>
    <x v="1"/>
    <x v="2"/>
    <s v="Ernakulam"/>
    <x v="8"/>
    <s v="PT-1574"/>
    <s v="Post-op Rehab"/>
    <x v="2"/>
    <x v="0"/>
    <s v="Hospital Discharge"/>
    <x v="0"/>
    <n v="75"/>
    <n v="75"/>
    <n v="86.2"/>
    <n v="2150"/>
    <x v="30"/>
    <x v="0"/>
    <n v="0"/>
    <n v="1"/>
    <n v="0"/>
    <n v="0.85"/>
  </r>
  <r>
    <s v="APT-00181"/>
    <x v="124"/>
    <x v="0"/>
    <x v="5"/>
    <x v="3"/>
    <x v="0"/>
    <s v="Palakkad"/>
    <x v="13"/>
    <s v="PT-1287"/>
    <s v="New Patient"/>
    <x v="4"/>
    <x v="3"/>
    <s v="Hospital Discharge"/>
    <x v="0"/>
    <n v="90"/>
    <n v="90"/>
    <n v="103.2"/>
    <n v="2050"/>
    <x v="31"/>
    <x v="0"/>
    <n v="0"/>
    <n v="1"/>
    <n v="0"/>
    <n v="0.85"/>
  </r>
  <r>
    <s v="APT-00182"/>
    <x v="138"/>
    <x v="8"/>
    <x v="1"/>
    <x v="2"/>
    <x v="1"/>
    <s v="Thrissur"/>
    <x v="10"/>
    <s v="PT-1611"/>
    <s v="Follow-up"/>
    <x v="5"/>
    <x v="3"/>
    <s v="Self Referral"/>
    <x v="0"/>
    <n v="60"/>
    <n v="60"/>
    <n v="79.099999999999994"/>
    <n v="1250"/>
    <x v="5"/>
    <x v="0"/>
    <n v="0"/>
    <n v="1"/>
    <n v="0"/>
    <n v="0.85"/>
  </r>
  <r>
    <s v="APT-00183"/>
    <x v="136"/>
    <x v="6"/>
    <x v="0"/>
    <x v="1"/>
    <x v="0"/>
    <s v="Palakkad"/>
    <x v="11"/>
    <s v="PT-1655"/>
    <s v="Post-op Rehab"/>
    <x v="1"/>
    <x v="2"/>
    <s v="Hospital Discharge"/>
    <x v="0"/>
    <n v="60"/>
    <n v="60"/>
    <n v="66.2"/>
    <n v="1450"/>
    <x v="10"/>
    <x v="0"/>
    <n v="0"/>
    <n v="1"/>
    <n v="0"/>
    <n v="0.85"/>
  </r>
  <r>
    <s v="APT-00184"/>
    <x v="127"/>
    <x v="4"/>
    <x v="5"/>
    <x v="0"/>
    <x v="2"/>
    <s v="Ernakulam"/>
    <x v="8"/>
    <s v="PT-1443"/>
    <s v="Follow-up"/>
    <x v="3"/>
    <x v="0"/>
    <s v="Online Search"/>
    <x v="0"/>
    <n v="60"/>
    <n v="60"/>
    <n v="65.5"/>
    <n v="1500"/>
    <x v="3"/>
    <x v="0"/>
    <n v="0"/>
    <n v="1"/>
    <n v="0"/>
    <n v="0.85"/>
  </r>
  <r>
    <s v="APT-00185"/>
    <x v="139"/>
    <x v="10"/>
    <x v="1"/>
    <x v="3"/>
    <x v="1"/>
    <s v="Thrissur"/>
    <x v="7"/>
    <s v="PT-1144"/>
    <s v="Follow-up"/>
    <x v="5"/>
    <x v="2"/>
    <s v="Corporate Wellness"/>
    <x v="0"/>
    <n v="60"/>
    <n v="60"/>
    <n v="72.099999999999994"/>
    <n v="1350"/>
    <x v="14"/>
    <x v="0"/>
    <n v="0"/>
    <n v="1"/>
    <n v="0"/>
    <n v="0.85"/>
  </r>
  <r>
    <s v="APT-00186"/>
    <x v="140"/>
    <x v="4"/>
    <x v="3"/>
    <x v="0"/>
    <x v="2"/>
    <s v="Ernakulam"/>
    <x v="8"/>
    <s v="PT-1138"/>
    <s v="Geriatric Rehab"/>
    <x v="4"/>
    <x v="3"/>
    <s v="Orthopedic Doctor"/>
    <x v="0"/>
    <n v="45"/>
    <n v="45"/>
    <n v="57.7"/>
    <n v="1050"/>
    <x v="2"/>
    <x v="0"/>
    <n v="0"/>
    <n v="1"/>
    <n v="0"/>
    <n v="0.85"/>
  </r>
  <r>
    <s v="APT-00187"/>
    <x v="141"/>
    <x v="2"/>
    <x v="4"/>
    <x v="3"/>
    <x v="0"/>
    <s v="Palakkad"/>
    <x v="0"/>
    <s v="PT-1356"/>
    <s v="Post-op Rehab"/>
    <x v="4"/>
    <x v="0"/>
    <s v="Self Referral"/>
    <x v="0"/>
    <n v="30"/>
    <n v="30"/>
    <n v="36.799999999999997"/>
    <n v="700"/>
    <x v="19"/>
    <x v="0"/>
    <n v="0"/>
    <n v="1"/>
    <n v="0"/>
    <n v="0.85"/>
  </r>
  <r>
    <s v="APT-00188"/>
    <x v="142"/>
    <x v="11"/>
    <x v="3"/>
    <x v="0"/>
    <x v="2"/>
    <s v="Ernakulam"/>
    <x v="4"/>
    <s v="PT-1566"/>
    <s v="New Patient"/>
    <x v="4"/>
    <x v="0"/>
    <s v="Corporate Wellness"/>
    <x v="0"/>
    <n v="60"/>
    <n v="60"/>
    <n v="77.900000000000006"/>
    <n v="1800"/>
    <x v="25"/>
    <x v="0"/>
    <n v="0"/>
    <n v="1"/>
    <n v="0"/>
    <n v="0.85"/>
  </r>
  <r>
    <s v="APT-00189"/>
    <x v="143"/>
    <x v="0"/>
    <x v="5"/>
    <x v="2"/>
    <x v="2"/>
    <s v="Ernakulam"/>
    <x v="14"/>
    <s v="PT-1526"/>
    <s v="Chronic Pain"/>
    <x v="0"/>
    <x v="1"/>
    <s v="Corporate Wellness"/>
    <x v="0"/>
    <n v="60"/>
    <n v="60"/>
    <n v="74.400000000000006"/>
    <n v="1300"/>
    <x v="22"/>
    <x v="0"/>
    <n v="0"/>
    <n v="1"/>
    <n v="0"/>
    <n v="0.85"/>
  </r>
  <r>
    <s v="APT-00190"/>
    <x v="34"/>
    <x v="10"/>
    <x v="2"/>
    <x v="2"/>
    <x v="1"/>
    <s v="Thrissur"/>
    <x v="5"/>
    <s v="PT-1383"/>
    <s v="Follow-up"/>
    <x v="3"/>
    <x v="2"/>
    <s v="Self Referral"/>
    <x v="0"/>
    <n v="45"/>
    <n v="45"/>
    <n v="52.1"/>
    <n v="1000"/>
    <x v="13"/>
    <x v="0"/>
    <n v="0"/>
    <n v="1"/>
    <n v="0"/>
    <n v="0.85"/>
  </r>
  <r>
    <s v="APT-00191"/>
    <x v="99"/>
    <x v="8"/>
    <x v="2"/>
    <x v="3"/>
    <x v="1"/>
    <s v="Thrissur"/>
    <x v="7"/>
    <s v="PT-1399"/>
    <s v="Sports Injury"/>
    <x v="3"/>
    <x v="0"/>
    <s v="Corporate Wellness"/>
    <x v="1"/>
    <n v="60"/>
    <n v="0"/>
    <n v="75.900000000000006"/>
    <n v="1350"/>
    <x v="9"/>
    <x v="2"/>
    <n v="1"/>
    <n v="0"/>
    <n v="0"/>
    <n v="0.85"/>
  </r>
  <r>
    <s v="APT-00192"/>
    <x v="144"/>
    <x v="11"/>
    <x v="1"/>
    <x v="0"/>
    <x v="0"/>
    <s v="Palakkad"/>
    <x v="6"/>
    <s v="PT-1580"/>
    <s v="Follow-up"/>
    <x v="1"/>
    <x v="2"/>
    <s v="Online Search"/>
    <x v="0"/>
    <n v="60"/>
    <n v="60"/>
    <n v="72.099999999999994"/>
    <n v="1250"/>
    <x v="5"/>
    <x v="0"/>
    <n v="0"/>
    <n v="1"/>
    <n v="0"/>
    <n v="0.85"/>
  </r>
  <r>
    <s v="APT-00193"/>
    <x v="145"/>
    <x v="1"/>
    <x v="1"/>
    <x v="0"/>
    <x v="2"/>
    <s v="Ernakulam"/>
    <x v="8"/>
    <s v="PT-1210"/>
    <s v="Follow-up"/>
    <x v="4"/>
    <x v="0"/>
    <s v="Self Referral"/>
    <x v="0"/>
    <n v="30"/>
    <n v="30"/>
    <n v="36.9"/>
    <n v="750"/>
    <x v="27"/>
    <x v="0"/>
    <n v="0"/>
    <n v="1"/>
    <n v="0"/>
    <n v="0.85"/>
  </r>
  <r>
    <s v="APT-00194"/>
    <x v="32"/>
    <x v="8"/>
    <x v="4"/>
    <x v="0"/>
    <x v="2"/>
    <s v="Ernakulam"/>
    <x v="4"/>
    <s v="PT-1367"/>
    <s v="Follow-up"/>
    <x v="3"/>
    <x v="2"/>
    <s v="Neurologist"/>
    <x v="0"/>
    <n v="30"/>
    <n v="30"/>
    <n v="36.1"/>
    <n v="750"/>
    <x v="27"/>
    <x v="0"/>
    <n v="0"/>
    <n v="1"/>
    <n v="0"/>
    <n v="0.85"/>
  </r>
  <r>
    <s v="APT-00195"/>
    <x v="146"/>
    <x v="8"/>
    <x v="1"/>
    <x v="3"/>
    <x v="0"/>
    <s v="Palakkad"/>
    <x v="0"/>
    <s v="PT-1072"/>
    <s v="Follow-up"/>
    <x v="5"/>
    <x v="2"/>
    <s v="Corporate Wellness"/>
    <x v="1"/>
    <n v="45"/>
    <n v="0"/>
    <n v="49.8"/>
    <n v="950"/>
    <x v="9"/>
    <x v="19"/>
    <n v="1"/>
    <n v="0"/>
    <n v="0"/>
    <n v="0.85"/>
  </r>
  <r>
    <s v="APT-00196"/>
    <x v="147"/>
    <x v="8"/>
    <x v="3"/>
    <x v="2"/>
    <x v="1"/>
    <s v="Thrissur"/>
    <x v="7"/>
    <s v="PT-1128"/>
    <s v="Chronic Pain"/>
    <x v="5"/>
    <x v="0"/>
    <s v="Corporate Wellness"/>
    <x v="1"/>
    <n v="90"/>
    <n v="0"/>
    <n v="110.2"/>
    <n v="2000"/>
    <x v="9"/>
    <x v="21"/>
    <n v="1"/>
    <n v="0"/>
    <n v="0"/>
    <n v="0.85"/>
  </r>
  <r>
    <s v="APT-00197"/>
    <x v="148"/>
    <x v="4"/>
    <x v="0"/>
    <x v="2"/>
    <x v="0"/>
    <s v="Palakkad"/>
    <x v="9"/>
    <s v="PT-1227"/>
    <s v="Follow-up"/>
    <x v="4"/>
    <x v="0"/>
    <s v="Hospital Discharge"/>
    <x v="0"/>
    <n v="30"/>
    <n v="30"/>
    <n v="36.1"/>
    <n v="600"/>
    <x v="16"/>
    <x v="0"/>
    <n v="0"/>
    <n v="1"/>
    <n v="0"/>
    <n v="0.85"/>
  </r>
  <r>
    <s v="APT-00198"/>
    <x v="149"/>
    <x v="10"/>
    <x v="5"/>
    <x v="3"/>
    <x v="2"/>
    <s v="Ernakulam"/>
    <x v="3"/>
    <s v="PT-1575"/>
    <s v="Follow-up"/>
    <x v="5"/>
    <x v="3"/>
    <s v="Neurologist"/>
    <x v="0"/>
    <n v="75"/>
    <n v="75"/>
    <n v="99.7"/>
    <n v="1700"/>
    <x v="6"/>
    <x v="0"/>
    <n v="0"/>
    <n v="1"/>
    <n v="0"/>
    <n v="0.85"/>
  </r>
  <r>
    <s v="APT-00199"/>
    <x v="21"/>
    <x v="10"/>
    <x v="1"/>
    <x v="2"/>
    <x v="2"/>
    <s v="Ernakulam"/>
    <x v="12"/>
    <s v="PT-1438"/>
    <s v="Follow-up"/>
    <x v="0"/>
    <x v="0"/>
    <s v="Corporate Wellness"/>
    <x v="0"/>
    <n v="60"/>
    <n v="60"/>
    <n v="68.8"/>
    <n v="1500"/>
    <x v="3"/>
    <x v="0"/>
    <n v="0"/>
    <n v="1"/>
    <n v="0"/>
    <n v="0.85"/>
  </r>
  <r>
    <s v="APT-00200"/>
    <x v="144"/>
    <x v="11"/>
    <x v="1"/>
    <x v="1"/>
    <x v="0"/>
    <s v="Palakkad"/>
    <x v="11"/>
    <s v="PT-1231"/>
    <s v="New Patient"/>
    <x v="3"/>
    <x v="2"/>
    <s v="Self Referral"/>
    <x v="1"/>
    <n v="60"/>
    <n v="0"/>
    <n v="76.900000000000006"/>
    <n v="1500"/>
    <x v="9"/>
    <x v="12"/>
    <n v="1"/>
    <n v="0"/>
    <n v="0"/>
    <n v="0.85"/>
  </r>
  <r>
    <s v="APT-00201"/>
    <x v="150"/>
    <x v="6"/>
    <x v="1"/>
    <x v="2"/>
    <x v="0"/>
    <s v="Palakkad"/>
    <x v="0"/>
    <s v="PT-1635"/>
    <s v="New Patient"/>
    <x v="1"/>
    <x v="0"/>
    <s v="Corporate Wellness"/>
    <x v="0"/>
    <n v="60"/>
    <n v="60"/>
    <n v="68.3"/>
    <n v="1500"/>
    <x v="3"/>
    <x v="0"/>
    <n v="0"/>
    <n v="1"/>
    <n v="0"/>
    <n v="0.85"/>
  </r>
  <r>
    <s v="APT-00202"/>
    <x v="151"/>
    <x v="10"/>
    <x v="5"/>
    <x v="0"/>
    <x v="2"/>
    <s v="Ernakulam"/>
    <x v="14"/>
    <s v="PT-1630"/>
    <s v="Follow-up"/>
    <x v="3"/>
    <x v="0"/>
    <s v="Corporate Wellness"/>
    <x v="0"/>
    <n v="75"/>
    <n v="75"/>
    <n v="88.8"/>
    <n v="1900"/>
    <x v="0"/>
    <x v="0"/>
    <n v="0"/>
    <n v="1"/>
    <n v="0"/>
    <n v="0.85"/>
  </r>
  <r>
    <s v="APT-00203"/>
    <x v="152"/>
    <x v="11"/>
    <x v="4"/>
    <x v="1"/>
    <x v="0"/>
    <s v="Palakkad"/>
    <x v="11"/>
    <s v="PT-1657"/>
    <s v="Post-op Rehab"/>
    <x v="2"/>
    <x v="0"/>
    <s v="Orthopedic Doctor"/>
    <x v="3"/>
    <n v="60"/>
    <n v="0"/>
    <n v="75.900000000000006"/>
    <n v="1450"/>
    <x v="9"/>
    <x v="0"/>
    <n v="0"/>
    <n v="0"/>
    <n v="0"/>
    <n v="0.85"/>
  </r>
  <r>
    <s v="APT-00204"/>
    <x v="153"/>
    <x v="0"/>
    <x v="1"/>
    <x v="3"/>
    <x v="0"/>
    <s v="Palakkad"/>
    <x v="6"/>
    <s v="PT-1186"/>
    <s v="Post-op Rehab"/>
    <x v="5"/>
    <x v="2"/>
    <s v="Online Search"/>
    <x v="0"/>
    <n v="60"/>
    <n v="60"/>
    <n v="80.099999999999994"/>
    <n v="1450"/>
    <x v="10"/>
    <x v="0"/>
    <n v="0"/>
    <n v="1"/>
    <n v="0"/>
    <n v="0.85"/>
  </r>
  <r>
    <s v="APT-00205"/>
    <x v="154"/>
    <x v="10"/>
    <x v="5"/>
    <x v="3"/>
    <x v="0"/>
    <s v="Palakkad"/>
    <x v="9"/>
    <s v="PT-1581"/>
    <s v="New Patient"/>
    <x v="4"/>
    <x v="0"/>
    <s v="Hospital Discharge"/>
    <x v="0"/>
    <n v="75"/>
    <n v="75"/>
    <n v="96"/>
    <n v="1900"/>
    <x v="0"/>
    <x v="0"/>
    <n v="0"/>
    <n v="1"/>
    <n v="0"/>
    <n v="0.85"/>
  </r>
  <r>
    <s v="APT-00206"/>
    <x v="124"/>
    <x v="0"/>
    <x v="5"/>
    <x v="3"/>
    <x v="0"/>
    <s v="Palakkad"/>
    <x v="13"/>
    <s v="PT-1484"/>
    <s v="Follow-up"/>
    <x v="3"/>
    <x v="0"/>
    <s v="Orthopedic Doctor"/>
    <x v="0"/>
    <n v="45"/>
    <n v="45"/>
    <n v="59.6"/>
    <n v="950"/>
    <x v="7"/>
    <x v="0"/>
    <n v="0"/>
    <n v="1"/>
    <n v="0"/>
    <n v="0.85"/>
  </r>
  <r>
    <s v="APT-00207"/>
    <x v="155"/>
    <x v="5"/>
    <x v="2"/>
    <x v="2"/>
    <x v="2"/>
    <s v="Ernakulam"/>
    <x v="4"/>
    <s v="PT-1370"/>
    <s v="Follow-up"/>
    <x v="0"/>
    <x v="2"/>
    <s v="Corporate Wellness"/>
    <x v="0"/>
    <n v="60"/>
    <n v="60"/>
    <n v="70"/>
    <n v="1500"/>
    <x v="3"/>
    <x v="0"/>
    <n v="0"/>
    <n v="1"/>
    <n v="0"/>
    <n v="0.85"/>
  </r>
  <r>
    <s v="APT-00208"/>
    <x v="62"/>
    <x v="4"/>
    <x v="3"/>
    <x v="0"/>
    <x v="1"/>
    <s v="Thrissur"/>
    <x v="2"/>
    <s v="PT-1205"/>
    <s v="Chronic Pain"/>
    <x v="4"/>
    <x v="0"/>
    <s v="Hospital Discharge"/>
    <x v="1"/>
    <n v="30"/>
    <n v="0"/>
    <n v="35.799999999999997"/>
    <n v="700"/>
    <x v="9"/>
    <x v="3"/>
    <n v="1"/>
    <n v="0"/>
    <n v="0"/>
    <n v="0.85"/>
  </r>
  <r>
    <s v="APT-00209"/>
    <x v="150"/>
    <x v="6"/>
    <x v="1"/>
    <x v="3"/>
    <x v="2"/>
    <s v="Ernakulam"/>
    <x v="4"/>
    <s v="PT-1565"/>
    <s v="Chronic Pain"/>
    <x v="0"/>
    <x v="0"/>
    <s v="Neurologist"/>
    <x v="0"/>
    <n v="45"/>
    <n v="45"/>
    <n v="57.8"/>
    <n v="1100"/>
    <x v="20"/>
    <x v="0"/>
    <n v="0"/>
    <n v="1"/>
    <n v="0"/>
    <n v="0.85"/>
  </r>
  <r>
    <s v="APT-00210"/>
    <x v="156"/>
    <x v="9"/>
    <x v="4"/>
    <x v="2"/>
    <x v="0"/>
    <s v="Palakkad"/>
    <x v="6"/>
    <s v="PT-1583"/>
    <s v="Post-op Rehab"/>
    <x v="0"/>
    <x v="2"/>
    <s v="Neurologist"/>
    <x v="1"/>
    <n v="60"/>
    <n v="0"/>
    <n v="77"/>
    <n v="1450"/>
    <x v="9"/>
    <x v="22"/>
    <n v="1"/>
    <n v="0"/>
    <n v="0"/>
    <n v="0.85"/>
  </r>
  <r>
    <s v="APT-00211"/>
    <x v="45"/>
    <x v="9"/>
    <x v="4"/>
    <x v="2"/>
    <x v="2"/>
    <s v="Ernakulam"/>
    <x v="4"/>
    <s v="PT-1268"/>
    <s v="New Patient"/>
    <x v="5"/>
    <x v="1"/>
    <s v="Neurologist"/>
    <x v="0"/>
    <n v="60"/>
    <n v="60"/>
    <n v="74.900000000000006"/>
    <n v="1550"/>
    <x v="1"/>
    <x v="0"/>
    <n v="0"/>
    <n v="1"/>
    <n v="0"/>
    <n v="0.85"/>
  </r>
  <r>
    <s v="APT-00212"/>
    <x v="139"/>
    <x v="10"/>
    <x v="1"/>
    <x v="3"/>
    <x v="1"/>
    <s v="Thrissur"/>
    <x v="2"/>
    <s v="PT-1330"/>
    <s v="Geriatric Rehab"/>
    <x v="5"/>
    <x v="3"/>
    <s v="Corporate Wellness"/>
    <x v="0"/>
    <n v="30"/>
    <n v="30"/>
    <n v="33.1"/>
    <n v="600"/>
    <x v="16"/>
    <x v="0"/>
    <n v="0"/>
    <n v="1"/>
    <n v="0"/>
    <n v="0.85"/>
  </r>
  <r>
    <s v="APT-00213"/>
    <x v="31"/>
    <x v="11"/>
    <x v="4"/>
    <x v="0"/>
    <x v="2"/>
    <s v="Ernakulam"/>
    <x v="3"/>
    <s v="PT-1597"/>
    <s v="Follow-up"/>
    <x v="0"/>
    <x v="2"/>
    <s v="Orthopedic Doctor"/>
    <x v="0"/>
    <n v="30"/>
    <n v="30"/>
    <n v="36.6"/>
    <n v="750"/>
    <x v="27"/>
    <x v="0"/>
    <n v="0"/>
    <n v="1"/>
    <n v="0"/>
    <n v="0.85"/>
  </r>
  <r>
    <s v="APT-00214"/>
    <x v="157"/>
    <x v="7"/>
    <x v="3"/>
    <x v="1"/>
    <x v="0"/>
    <s v="Palakkad"/>
    <x v="6"/>
    <s v="PT-1587"/>
    <s v="Follow-up"/>
    <x v="2"/>
    <x v="0"/>
    <s v="Orthopedic Doctor"/>
    <x v="0"/>
    <n v="60"/>
    <n v="60"/>
    <n v="74.900000000000006"/>
    <n v="1250"/>
    <x v="5"/>
    <x v="0"/>
    <n v="0"/>
    <n v="1"/>
    <n v="0"/>
    <n v="0.85"/>
  </r>
  <r>
    <s v="APT-00215"/>
    <x v="158"/>
    <x v="4"/>
    <x v="4"/>
    <x v="3"/>
    <x v="1"/>
    <s v="Thrissur"/>
    <x v="2"/>
    <s v="PT-1314"/>
    <s v="Follow-up"/>
    <x v="3"/>
    <x v="3"/>
    <s v="Orthopedic Doctor"/>
    <x v="0"/>
    <n v="60"/>
    <n v="60"/>
    <n v="68.2"/>
    <n v="1250"/>
    <x v="5"/>
    <x v="0"/>
    <n v="0"/>
    <n v="1"/>
    <n v="0"/>
    <n v="0.85"/>
  </r>
  <r>
    <s v="APT-00216"/>
    <x v="156"/>
    <x v="9"/>
    <x v="4"/>
    <x v="1"/>
    <x v="1"/>
    <s v="Thrissur"/>
    <x v="2"/>
    <s v="PT-1305"/>
    <s v="Follow-up"/>
    <x v="1"/>
    <x v="2"/>
    <s v="Self Referral"/>
    <x v="0"/>
    <n v="45"/>
    <n v="45"/>
    <n v="54.4"/>
    <n v="1000"/>
    <x v="13"/>
    <x v="0"/>
    <n v="0"/>
    <n v="1"/>
    <n v="0"/>
    <n v="0.85"/>
  </r>
  <r>
    <s v="APT-00217"/>
    <x v="159"/>
    <x v="5"/>
    <x v="1"/>
    <x v="1"/>
    <x v="2"/>
    <s v="Ernakulam"/>
    <x v="3"/>
    <s v="PT-1515"/>
    <s v="New Patient"/>
    <x v="1"/>
    <x v="2"/>
    <s v="Online Search"/>
    <x v="0"/>
    <n v="45"/>
    <n v="45"/>
    <n v="59.3"/>
    <n v="1350"/>
    <x v="14"/>
    <x v="0"/>
    <n v="0"/>
    <n v="1"/>
    <n v="0"/>
    <n v="0.85"/>
  </r>
  <r>
    <s v="APT-00218"/>
    <x v="32"/>
    <x v="8"/>
    <x v="4"/>
    <x v="1"/>
    <x v="0"/>
    <s v="Palakkad"/>
    <x v="0"/>
    <s v="PT-1168"/>
    <s v="Follow-up"/>
    <x v="4"/>
    <x v="0"/>
    <s v="Corporate Wellness"/>
    <x v="2"/>
    <n v="60"/>
    <n v="0"/>
    <n v="68.900000000000006"/>
    <n v="1250"/>
    <x v="9"/>
    <x v="9"/>
    <n v="0"/>
    <n v="0"/>
    <n v="1"/>
    <n v="0.85"/>
  </r>
  <r>
    <s v="APT-00219"/>
    <x v="160"/>
    <x v="0"/>
    <x v="3"/>
    <x v="2"/>
    <x v="1"/>
    <s v="Thrissur"/>
    <x v="10"/>
    <s v="PT-1631"/>
    <s v="Follow-up"/>
    <x v="3"/>
    <x v="0"/>
    <s v="Corporate Wellness"/>
    <x v="0"/>
    <n v="60"/>
    <n v="60"/>
    <n v="69.3"/>
    <n v="1350"/>
    <x v="14"/>
    <x v="0"/>
    <n v="0"/>
    <n v="1"/>
    <n v="0"/>
    <n v="0.85"/>
  </r>
  <r>
    <s v="APT-00220"/>
    <x v="161"/>
    <x v="2"/>
    <x v="0"/>
    <x v="0"/>
    <x v="1"/>
    <s v="Thrissur"/>
    <x v="5"/>
    <s v="PT-1534"/>
    <s v="Chronic Pain"/>
    <x v="2"/>
    <x v="0"/>
    <s v="Online Search"/>
    <x v="0"/>
    <n v="45"/>
    <n v="45"/>
    <n v="60.7"/>
    <n v="1000"/>
    <x v="13"/>
    <x v="0"/>
    <n v="0"/>
    <n v="1"/>
    <n v="0"/>
    <n v="0.85"/>
  </r>
  <r>
    <s v="APT-00221"/>
    <x v="162"/>
    <x v="0"/>
    <x v="3"/>
    <x v="3"/>
    <x v="1"/>
    <s v="Thrissur"/>
    <x v="2"/>
    <s v="PT-1220"/>
    <s v="New Patient"/>
    <x v="3"/>
    <x v="1"/>
    <s v="Self Referral"/>
    <x v="1"/>
    <n v="60"/>
    <n v="0"/>
    <n v="67.2"/>
    <n v="1400"/>
    <x v="9"/>
    <x v="23"/>
    <n v="1"/>
    <n v="0"/>
    <n v="0"/>
    <n v="0.85"/>
  </r>
  <r>
    <s v="APT-00222"/>
    <x v="163"/>
    <x v="8"/>
    <x v="0"/>
    <x v="3"/>
    <x v="2"/>
    <s v="Ernakulam"/>
    <x v="4"/>
    <s v="PT-1257"/>
    <s v="Geriatric Rehab"/>
    <x v="0"/>
    <x v="0"/>
    <s v="Orthopedic Doctor"/>
    <x v="1"/>
    <n v="45"/>
    <n v="0"/>
    <n v="50"/>
    <n v="1100"/>
    <x v="9"/>
    <x v="6"/>
    <n v="1"/>
    <n v="0"/>
    <n v="0"/>
    <n v="0.85"/>
  </r>
  <r>
    <s v="APT-00223"/>
    <x v="164"/>
    <x v="10"/>
    <x v="4"/>
    <x v="3"/>
    <x v="2"/>
    <s v="Ernakulam"/>
    <x v="8"/>
    <s v="PT-1045"/>
    <s v="New Patient"/>
    <x v="4"/>
    <x v="0"/>
    <s v="Online Search"/>
    <x v="0"/>
    <n v="75"/>
    <n v="75"/>
    <n v="90"/>
    <n v="2250"/>
    <x v="12"/>
    <x v="0"/>
    <n v="0"/>
    <n v="1"/>
    <n v="0"/>
    <n v="0.85"/>
  </r>
  <r>
    <s v="APT-00224"/>
    <x v="112"/>
    <x v="9"/>
    <x v="1"/>
    <x v="0"/>
    <x v="1"/>
    <s v="Thrissur"/>
    <x v="2"/>
    <s v="PT-1524"/>
    <s v="Chronic Pain"/>
    <x v="2"/>
    <x v="1"/>
    <s v="Online Search"/>
    <x v="1"/>
    <n v="45"/>
    <n v="0"/>
    <n v="59.9"/>
    <n v="850"/>
    <x v="9"/>
    <x v="24"/>
    <n v="1"/>
    <n v="0"/>
    <n v="0"/>
    <n v="0.85"/>
  </r>
  <r>
    <s v="APT-00225"/>
    <x v="148"/>
    <x v="4"/>
    <x v="0"/>
    <x v="0"/>
    <x v="2"/>
    <s v="Ernakulam"/>
    <x v="8"/>
    <s v="PT-1302"/>
    <s v="Follow-up"/>
    <x v="2"/>
    <x v="2"/>
    <s v="Online Search"/>
    <x v="2"/>
    <n v="60"/>
    <n v="0"/>
    <n v="79.5"/>
    <n v="1500"/>
    <x v="9"/>
    <x v="12"/>
    <n v="0"/>
    <n v="0"/>
    <n v="1"/>
    <n v="0.85"/>
  </r>
  <r>
    <s v="APT-00226"/>
    <x v="143"/>
    <x v="0"/>
    <x v="5"/>
    <x v="3"/>
    <x v="2"/>
    <s v="Ernakulam"/>
    <x v="8"/>
    <s v="PT-1631"/>
    <s v="Post-op Rehab"/>
    <x v="3"/>
    <x v="3"/>
    <s v="Hospital Discharge"/>
    <x v="0"/>
    <n v="45"/>
    <n v="45"/>
    <n v="53.3"/>
    <n v="1200"/>
    <x v="26"/>
    <x v="0"/>
    <n v="0"/>
    <n v="1"/>
    <n v="0"/>
    <n v="0.85"/>
  </r>
  <r>
    <s v="APT-00227"/>
    <x v="41"/>
    <x v="11"/>
    <x v="1"/>
    <x v="2"/>
    <x v="1"/>
    <s v="Thrissur"/>
    <x v="1"/>
    <s v="PT-1220"/>
    <s v="Follow-up"/>
    <x v="0"/>
    <x v="2"/>
    <s v="Orthopedic Doctor"/>
    <x v="2"/>
    <n v="30"/>
    <n v="0"/>
    <n v="40.1"/>
    <n v="700"/>
    <x v="9"/>
    <x v="3"/>
    <n v="0"/>
    <n v="0"/>
    <n v="1"/>
    <n v="0.85"/>
  </r>
  <r>
    <s v="APT-00228"/>
    <x v="101"/>
    <x v="9"/>
    <x v="4"/>
    <x v="2"/>
    <x v="2"/>
    <s v="Ernakulam"/>
    <x v="12"/>
    <s v="PT-1197"/>
    <s v="Geriatric Rehab"/>
    <x v="2"/>
    <x v="3"/>
    <s v="Orthopedic Doctor"/>
    <x v="3"/>
    <n v="60"/>
    <n v="0"/>
    <n v="66.2"/>
    <n v="1400"/>
    <x v="9"/>
    <x v="0"/>
    <n v="0"/>
    <n v="0"/>
    <n v="0"/>
    <n v="0.85"/>
  </r>
  <r>
    <s v="APT-00229"/>
    <x v="79"/>
    <x v="2"/>
    <x v="1"/>
    <x v="3"/>
    <x v="2"/>
    <s v="Ernakulam"/>
    <x v="14"/>
    <s v="PT-1541"/>
    <s v="Chronic Pain"/>
    <x v="3"/>
    <x v="2"/>
    <s v="Orthopedic Doctor"/>
    <x v="0"/>
    <n v="60"/>
    <n v="60"/>
    <n v="76.400000000000006"/>
    <n v="1500"/>
    <x v="3"/>
    <x v="0"/>
    <n v="0"/>
    <n v="1"/>
    <n v="0"/>
    <n v="0.85"/>
  </r>
  <r>
    <s v="APT-00230"/>
    <x v="132"/>
    <x v="8"/>
    <x v="3"/>
    <x v="0"/>
    <x v="0"/>
    <s v="Palakkad"/>
    <x v="6"/>
    <s v="PT-1589"/>
    <s v="Chronic Pain"/>
    <x v="3"/>
    <x v="0"/>
    <s v="Online Search"/>
    <x v="0"/>
    <n v="60"/>
    <n v="60"/>
    <n v="70.5"/>
    <n v="1250"/>
    <x v="5"/>
    <x v="0"/>
    <n v="0"/>
    <n v="1"/>
    <n v="0"/>
    <n v="0.85"/>
  </r>
  <r>
    <s v="APT-00231"/>
    <x v="1"/>
    <x v="1"/>
    <x v="1"/>
    <x v="0"/>
    <x v="0"/>
    <s v="Palakkad"/>
    <x v="0"/>
    <s v="PT-1639"/>
    <s v="Follow-up"/>
    <x v="0"/>
    <x v="2"/>
    <s v="Corporate Wellness"/>
    <x v="0"/>
    <n v="30"/>
    <n v="30"/>
    <n v="38.5"/>
    <n v="600"/>
    <x v="16"/>
    <x v="0"/>
    <n v="0"/>
    <n v="1"/>
    <n v="0"/>
    <n v="0.85"/>
  </r>
  <r>
    <s v="APT-00232"/>
    <x v="94"/>
    <x v="2"/>
    <x v="3"/>
    <x v="1"/>
    <x v="0"/>
    <s v="Palakkad"/>
    <x v="13"/>
    <s v="PT-1227"/>
    <s v="Follow-up"/>
    <x v="2"/>
    <x v="2"/>
    <s v="Hospital Discharge"/>
    <x v="0"/>
    <n v="45"/>
    <n v="45"/>
    <n v="54.6"/>
    <n v="950"/>
    <x v="7"/>
    <x v="0"/>
    <n v="0"/>
    <n v="1"/>
    <n v="0"/>
    <n v="0.85"/>
  </r>
  <r>
    <s v="APT-00233"/>
    <x v="165"/>
    <x v="9"/>
    <x v="2"/>
    <x v="3"/>
    <x v="0"/>
    <s v="Palakkad"/>
    <x v="6"/>
    <s v="PT-1142"/>
    <s v="Geriatric Rehab"/>
    <x v="4"/>
    <x v="0"/>
    <s v="Hospital Discharge"/>
    <x v="0"/>
    <n v="60"/>
    <n v="60"/>
    <n v="76.099999999999994"/>
    <n v="1250"/>
    <x v="5"/>
    <x v="0"/>
    <n v="0"/>
    <n v="1"/>
    <n v="0"/>
    <n v="0.85"/>
  </r>
  <r>
    <s v="APT-00234"/>
    <x v="11"/>
    <x v="7"/>
    <x v="0"/>
    <x v="3"/>
    <x v="2"/>
    <s v="Ernakulam"/>
    <x v="14"/>
    <s v="PT-1162"/>
    <s v="Follow-up"/>
    <x v="2"/>
    <x v="0"/>
    <s v="Online Search"/>
    <x v="0"/>
    <n v="45"/>
    <n v="45"/>
    <n v="59.6"/>
    <n v="1100"/>
    <x v="20"/>
    <x v="0"/>
    <n v="0"/>
    <n v="1"/>
    <n v="0"/>
    <n v="0.85"/>
  </r>
  <r>
    <s v="APT-00235"/>
    <x v="84"/>
    <x v="6"/>
    <x v="0"/>
    <x v="1"/>
    <x v="2"/>
    <s v="Ernakulam"/>
    <x v="12"/>
    <s v="PT-1009"/>
    <s v="Chronic Pain"/>
    <x v="3"/>
    <x v="2"/>
    <s v="Self Referral"/>
    <x v="0"/>
    <n v="75"/>
    <n v="75"/>
    <n v="98"/>
    <n v="1900"/>
    <x v="0"/>
    <x v="0"/>
    <n v="0"/>
    <n v="1"/>
    <n v="0"/>
    <n v="0.85"/>
  </r>
  <r>
    <s v="APT-00236"/>
    <x v="166"/>
    <x v="10"/>
    <x v="1"/>
    <x v="1"/>
    <x v="0"/>
    <s v="Palakkad"/>
    <x v="11"/>
    <s v="PT-1201"/>
    <s v="New Patient"/>
    <x v="4"/>
    <x v="3"/>
    <s v="Self Referral"/>
    <x v="0"/>
    <n v="60"/>
    <n v="60"/>
    <n v="68.2"/>
    <n v="1400"/>
    <x v="21"/>
    <x v="0"/>
    <n v="0"/>
    <n v="1"/>
    <n v="0"/>
    <n v="0.85"/>
  </r>
  <r>
    <s v="APT-00237"/>
    <x v="167"/>
    <x v="4"/>
    <x v="2"/>
    <x v="2"/>
    <x v="2"/>
    <s v="Ernakulam"/>
    <x v="3"/>
    <s v="PT-1069"/>
    <s v="New Patient"/>
    <x v="2"/>
    <x v="0"/>
    <s v="Self Referral"/>
    <x v="0"/>
    <n v="60"/>
    <n v="60"/>
    <n v="67.2"/>
    <n v="1800"/>
    <x v="25"/>
    <x v="0"/>
    <n v="0"/>
    <n v="1"/>
    <n v="0"/>
    <n v="0.85"/>
  </r>
  <r>
    <s v="APT-00238"/>
    <x v="51"/>
    <x v="6"/>
    <x v="0"/>
    <x v="1"/>
    <x v="0"/>
    <s v="Palakkad"/>
    <x v="9"/>
    <s v="PT-1573"/>
    <s v="Follow-up"/>
    <x v="5"/>
    <x v="0"/>
    <s v="Self Referral"/>
    <x v="0"/>
    <n v="60"/>
    <n v="60"/>
    <n v="73"/>
    <n v="1250"/>
    <x v="5"/>
    <x v="0"/>
    <n v="0"/>
    <n v="1"/>
    <n v="0"/>
    <n v="0.85"/>
  </r>
  <r>
    <s v="APT-00239"/>
    <x v="168"/>
    <x v="7"/>
    <x v="1"/>
    <x v="0"/>
    <x v="1"/>
    <s v="Thrissur"/>
    <x v="5"/>
    <s v="PT-1021"/>
    <s v="Post-op Rehab"/>
    <x v="2"/>
    <x v="1"/>
    <s v="Self Referral"/>
    <x v="0"/>
    <n v="75"/>
    <n v="75"/>
    <n v="91.6"/>
    <n v="1650"/>
    <x v="32"/>
    <x v="0"/>
    <n v="0"/>
    <n v="1"/>
    <n v="0"/>
    <n v="0.85"/>
  </r>
  <r>
    <s v="APT-00240"/>
    <x v="169"/>
    <x v="3"/>
    <x v="0"/>
    <x v="2"/>
    <x v="2"/>
    <s v="Ernakulam"/>
    <x v="12"/>
    <s v="PT-1436"/>
    <s v="Follow-up"/>
    <x v="1"/>
    <x v="2"/>
    <s v="Online Search"/>
    <x v="1"/>
    <n v="45"/>
    <n v="0"/>
    <n v="56.5"/>
    <n v="1100"/>
    <x v="9"/>
    <x v="6"/>
    <n v="1"/>
    <n v="0"/>
    <n v="0"/>
    <n v="0.85"/>
  </r>
  <r>
    <s v="APT-00241"/>
    <x v="89"/>
    <x v="8"/>
    <x v="5"/>
    <x v="2"/>
    <x v="2"/>
    <s v="Ernakulam"/>
    <x v="4"/>
    <s v="PT-1090"/>
    <s v="Post-op Rehab"/>
    <x v="2"/>
    <x v="2"/>
    <s v="Orthopedic Doctor"/>
    <x v="0"/>
    <n v="75"/>
    <n v="75"/>
    <n v="93.6"/>
    <n v="2150"/>
    <x v="30"/>
    <x v="0"/>
    <n v="0"/>
    <n v="1"/>
    <n v="0"/>
    <n v="0.85"/>
  </r>
  <r>
    <s v="APT-00242"/>
    <x v="149"/>
    <x v="10"/>
    <x v="5"/>
    <x v="0"/>
    <x v="1"/>
    <s v="Thrissur"/>
    <x v="5"/>
    <s v="PT-1153"/>
    <s v="New Patient"/>
    <x v="5"/>
    <x v="2"/>
    <s v="Neurologist"/>
    <x v="0"/>
    <n v="45"/>
    <n v="45"/>
    <n v="53"/>
    <n v="1200"/>
    <x v="26"/>
    <x v="0"/>
    <n v="0"/>
    <n v="1"/>
    <n v="0"/>
    <n v="0.85"/>
  </r>
  <r>
    <s v="APT-00243"/>
    <x v="170"/>
    <x v="6"/>
    <x v="1"/>
    <x v="0"/>
    <x v="2"/>
    <s v="Ernakulam"/>
    <x v="12"/>
    <s v="PT-1208"/>
    <s v="New Patient"/>
    <x v="1"/>
    <x v="2"/>
    <s v="Hospital Discharge"/>
    <x v="0"/>
    <n v="45"/>
    <n v="45"/>
    <n v="58.8"/>
    <n v="1350"/>
    <x v="14"/>
    <x v="0"/>
    <n v="0"/>
    <n v="1"/>
    <n v="0"/>
    <n v="0.85"/>
  </r>
  <r>
    <s v="APT-00244"/>
    <x v="171"/>
    <x v="10"/>
    <x v="3"/>
    <x v="3"/>
    <x v="1"/>
    <s v="Thrissur"/>
    <x v="7"/>
    <s v="PT-1451"/>
    <s v="Follow-up"/>
    <x v="3"/>
    <x v="2"/>
    <s v="Neurologist"/>
    <x v="0"/>
    <n v="90"/>
    <n v="90"/>
    <n v="116.2"/>
    <n v="2000"/>
    <x v="33"/>
    <x v="0"/>
    <n v="0"/>
    <n v="1"/>
    <n v="0"/>
    <n v="0.85"/>
  </r>
  <r>
    <s v="APT-00245"/>
    <x v="32"/>
    <x v="8"/>
    <x v="4"/>
    <x v="0"/>
    <x v="0"/>
    <s v="Palakkad"/>
    <x v="9"/>
    <s v="PT-1579"/>
    <s v="Sports Injury"/>
    <x v="3"/>
    <x v="2"/>
    <s v="Online Search"/>
    <x v="0"/>
    <n v="60"/>
    <n v="60"/>
    <n v="66.900000000000006"/>
    <n v="1250"/>
    <x v="5"/>
    <x v="0"/>
    <n v="0"/>
    <n v="1"/>
    <n v="0"/>
    <n v="0.85"/>
  </r>
  <r>
    <s v="APT-00246"/>
    <x v="172"/>
    <x v="7"/>
    <x v="1"/>
    <x v="1"/>
    <x v="2"/>
    <s v="Ernakulam"/>
    <x v="4"/>
    <s v="PT-1602"/>
    <s v="Post-op Rehab"/>
    <x v="3"/>
    <x v="1"/>
    <s v="Neurologist"/>
    <x v="0"/>
    <n v="75"/>
    <n v="75"/>
    <n v="89.8"/>
    <n v="1850"/>
    <x v="24"/>
    <x v="0"/>
    <n v="0"/>
    <n v="1"/>
    <n v="0"/>
    <n v="0.85"/>
  </r>
  <r>
    <s v="APT-00247"/>
    <x v="132"/>
    <x v="8"/>
    <x v="3"/>
    <x v="0"/>
    <x v="0"/>
    <s v="Palakkad"/>
    <x v="11"/>
    <s v="PT-1128"/>
    <s v="Follow-up"/>
    <x v="3"/>
    <x v="0"/>
    <s v="Online Search"/>
    <x v="0"/>
    <n v="60"/>
    <n v="60"/>
    <n v="66.3"/>
    <n v="1250"/>
    <x v="5"/>
    <x v="0"/>
    <n v="0"/>
    <n v="1"/>
    <n v="0"/>
    <n v="0.85"/>
  </r>
  <r>
    <s v="APT-00248"/>
    <x v="173"/>
    <x v="9"/>
    <x v="3"/>
    <x v="0"/>
    <x v="0"/>
    <s v="Palakkad"/>
    <x v="11"/>
    <s v="PT-1554"/>
    <s v="New Patient"/>
    <x v="2"/>
    <x v="0"/>
    <s v="Self Referral"/>
    <x v="0"/>
    <n v="60"/>
    <n v="60"/>
    <n v="68.3"/>
    <n v="1500"/>
    <x v="3"/>
    <x v="0"/>
    <n v="0"/>
    <n v="1"/>
    <n v="0"/>
    <n v="0.85"/>
  </r>
  <r>
    <s v="APT-00249"/>
    <x v="174"/>
    <x v="6"/>
    <x v="3"/>
    <x v="0"/>
    <x v="2"/>
    <s v="Ernakulam"/>
    <x v="8"/>
    <s v="PT-1547"/>
    <s v="New Patient"/>
    <x v="2"/>
    <x v="0"/>
    <s v="Orthopedic Doctor"/>
    <x v="0"/>
    <n v="30"/>
    <n v="30"/>
    <n v="40.4"/>
    <n v="900"/>
    <x v="17"/>
    <x v="0"/>
    <n v="0"/>
    <n v="1"/>
    <n v="0"/>
    <n v="0.85"/>
  </r>
  <r>
    <s v="APT-00250"/>
    <x v="131"/>
    <x v="11"/>
    <x v="2"/>
    <x v="0"/>
    <x v="2"/>
    <s v="Ernakulam"/>
    <x v="8"/>
    <s v="PT-1655"/>
    <s v="Follow-up"/>
    <x v="3"/>
    <x v="0"/>
    <s v="Hospital Discharge"/>
    <x v="0"/>
    <n v="90"/>
    <n v="90"/>
    <n v="113.3"/>
    <n v="2250"/>
    <x v="12"/>
    <x v="0"/>
    <n v="0"/>
    <n v="1"/>
    <n v="0"/>
    <n v="0.85"/>
  </r>
  <r>
    <s v="APT-00251"/>
    <x v="21"/>
    <x v="10"/>
    <x v="1"/>
    <x v="3"/>
    <x v="1"/>
    <s v="Thrissur"/>
    <x v="2"/>
    <s v="PT-1683"/>
    <s v="Chronic Pain"/>
    <x v="3"/>
    <x v="0"/>
    <s v="Online Search"/>
    <x v="0"/>
    <n v="45"/>
    <n v="45"/>
    <n v="57.8"/>
    <n v="1000"/>
    <x v="13"/>
    <x v="0"/>
    <n v="0"/>
    <n v="1"/>
    <n v="0"/>
    <n v="0.85"/>
  </r>
  <r>
    <s v="APT-00252"/>
    <x v="6"/>
    <x v="5"/>
    <x v="3"/>
    <x v="3"/>
    <x v="2"/>
    <s v="Ernakulam"/>
    <x v="8"/>
    <s v="PT-1443"/>
    <s v="Chronic Pain"/>
    <x v="1"/>
    <x v="0"/>
    <s v="Online Search"/>
    <x v="0"/>
    <n v="90"/>
    <n v="90"/>
    <n v="99.6"/>
    <n v="2250"/>
    <x v="12"/>
    <x v="0"/>
    <n v="0"/>
    <n v="1"/>
    <n v="0"/>
    <n v="0.85"/>
  </r>
  <r>
    <s v="APT-00253"/>
    <x v="23"/>
    <x v="5"/>
    <x v="1"/>
    <x v="3"/>
    <x v="0"/>
    <s v="Palakkad"/>
    <x v="13"/>
    <s v="PT-1613"/>
    <s v="Geriatric Rehab"/>
    <x v="0"/>
    <x v="2"/>
    <s v="Corporate Wellness"/>
    <x v="1"/>
    <n v="30"/>
    <n v="0"/>
    <n v="33.799999999999997"/>
    <n v="600"/>
    <x v="9"/>
    <x v="18"/>
    <n v="1"/>
    <n v="0"/>
    <n v="0"/>
    <n v="0.85"/>
  </r>
  <r>
    <s v="APT-00254"/>
    <x v="144"/>
    <x v="11"/>
    <x v="1"/>
    <x v="2"/>
    <x v="2"/>
    <s v="Ernakulam"/>
    <x v="14"/>
    <s v="PT-1645"/>
    <s v="Sports Injury"/>
    <x v="0"/>
    <x v="0"/>
    <s v="Self Referral"/>
    <x v="0"/>
    <n v="60"/>
    <n v="60"/>
    <n v="70.599999999999994"/>
    <n v="1500"/>
    <x v="3"/>
    <x v="0"/>
    <n v="0"/>
    <n v="1"/>
    <n v="0"/>
    <n v="0.85"/>
  </r>
  <r>
    <s v="APT-00255"/>
    <x v="0"/>
    <x v="0"/>
    <x v="0"/>
    <x v="3"/>
    <x v="0"/>
    <s v="Palakkad"/>
    <x v="13"/>
    <s v="PT-1692"/>
    <s v="Chronic Pain"/>
    <x v="5"/>
    <x v="3"/>
    <s v="Neurologist"/>
    <x v="0"/>
    <n v="90"/>
    <n v="90"/>
    <n v="113.2"/>
    <n v="1700"/>
    <x v="6"/>
    <x v="0"/>
    <n v="0"/>
    <n v="1"/>
    <n v="0"/>
    <n v="0.85"/>
  </r>
  <r>
    <s v="APT-00256"/>
    <x v="175"/>
    <x v="3"/>
    <x v="3"/>
    <x v="3"/>
    <x v="0"/>
    <s v="Palakkad"/>
    <x v="13"/>
    <s v="PT-1250"/>
    <s v="Follow-up"/>
    <x v="3"/>
    <x v="1"/>
    <s v="Neurologist"/>
    <x v="0"/>
    <n v="45"/>
    <n v="45"/>
    <n v="56.8"/>
    <n v="800"/>
    <x v="18"/>
    <x v="0"/>
    <n v="0"/>
    <n v="1"/>
    <n v="0"/>
    <n v="0.85"/>
  </r>
  <r>
    <s v="APT-00257"/>
    <x v="70"/>
    <x v="3"/>
    <x v="5"/>
    <x v="2"/>
    <x v="2"/>
    <s v="Ernakulam"/>
    <x v="12"/>
    <s v="PT-1179"/>
    <s v="Follow-up"/>
    <x v="2"/>
    <x v="3"/>
    <s v="Hospital Discharge"/>
    <x v="0"/>
    <n v="60"/>
    <n v="60"/>
    <n v="74.5"/>
    <n v="1400"/>
    <x v="21"/>
    <x v="0"/>
    <n v="0"/>
    <n v="1"/>
    <n v="0"/>
    <n v="0.85"/>
  </r>
  <r>
    <s v="APT-00258"/>
    <x v="133"/>
    <x v="6"/>
    <x v="3"/>
    <x v="2"/>
    <x v="0"/>
    <s v="Palakkad"/>
    <x v="11"/>
    <s v="PT-1026"/>
    <s v="Sports Injury"/>
    <x v="3"/>
    <x v="0"/>
    <s v="Hospital Discharge"/>
    <x v="0"/>
    <n v="60"/>
    <n v="60"/>
    <n v="70.900000000000006"/>
    <n v="1250"/>
    <x v="5"/>
    <x v="0"/>
    <n v="0"/>
    <n v="1"/>
    <n v="0"/>
    <n v="0.85"/>
  </r>
  <r>
    <s v="APT-00259"/>
    <x v="158"/>
    <x v="4"/>
    <x v="4"/>
    <x v="0"/>
    <x v="0"/>
    <s v="Palakkad"/>
    <x v="6"/>
    <s v="PT-1508"/>
    <s v="New Patient"/>
    <x v="3"/>
    <x v="0"/>
    <s v="Neurologist"/>
    <x v="0"/>
    <n v="30"/>
    <n v="30"/>
    <n v="36.4"/>
    <n v="750"/>
    <x v="27"/>
    <x v="0"/>
    <n v="0"/>
    <n v="1"/>
    <n v="0"/>
    <n v="0.85"/>
  </r>
  <r>
    <s v="APT-00260"/>
    <x v="89"/>
    <x v="8"/>
    <x v="5"/>
    <x v="2"/>
    <x v="0"/>
    <s v="Palakkad"/>
    <x v="9"/>
    <s v="PT-1109"/>
    <s v="Post-op Rehab"/>
    <x v="4"/>
    <x v="0"/>
    <s v="Self Referral"/>
    <x v="2"/>
    <n v="60"/>
    <n v="0"/>
    <n v="74.400000000000006"/>
    <n v="1450"/>
    <x v="9"/>
    <x v="22"/>
    <n v="0"/>
    <n v="0"/>
    <n v="1"/>
    <n v="0.85"/>
  </r>
  <r>
    <s v="APT-00261"/>
    <x v="120"/>
    <x v="11"/>
    <x v="4"/>
    <x v="2"/>
    <x v="2"/>
    <s v="Ernakulam"/>
    <x v="3"/>
    <s v="PT-1545"/>
    <s v="Follow-up"/>
    <x v="5"/>
    <x v="0"/>
    <s v="Neurologist"/>
    <x v="0"/>
    <n v="60"/>
    <n v="60"/>
    <n v="66.599999999999994"/>
    <n v="1500"/>
    <x v="3"/>
    <x v="0"/>
    <n v="0"/>
    <n v="1"/>
    <n v="0"/>
    <n v="0.85"/>
  </r>
  <r>
    <s v="APT-00262"/>
    <x v="176"/>
    <x v="10"/>
    <x v="0"/>
    <x v="1"/>
    <x v="1"/>
    <s v="Thrissur"/>
    <x v="2"/>
    <s v="PT-1012"/>
    <s v="Follow-up"/>
    <x v="2"/>
    <x v="2"/>
    <s v="Online Search"/>
    <x v="0"/>
    <n v="60"/>
    <n v="60"/>
    <n v="75.599999999999994"/>
    <n v="1350"/>
    <x v="14"/>
    <x v="0"/>
    <n v="0"/>
    <n v="1"/>
    <n v="0"/>
    <n v="0.85"/>
  </r>
  <r>
    <s v="APT-00263"/>
    <x v="61"/>
    <x v="10"/>
    <x v="5"/>
    <x v="3"/>
    <x v="1"/>
    <s v="Thrissur"/>
    <x v="1"/>
    <s v="PT-1354"/>
    <s v="Post-op Rehab"/>
    <x v="4"/>
    <x v="2"/>
    <s v="Online Search"/>
    <x v="0"/>
    <n v="60"/>
    <n v="60"/>
    <n v="72.400000000000006"/>
    <n v="1550"/>
    <x v="1"/>
    <x v="0"/>
    <n v="0"/>
    <n v="1"/>
    <n v="0"/>
    <n v="0.85"/>
  </r>
  <r>
    <s v="APT-00264"/>
    <x v="177"/>
    <x v="7"/>
    <x v="4"/>
    <x v="0"/>
    <x v="2"/>
    <s v="Ernakulam"/>
    <x v="12"/>
    <s v="PT-1576"/>
    <s v="Sports Injury"/>
    <x v="1"/>
    <x v="2"/>
    <s v="Online Search"/>
    <x v="0"/>
    <n v="60"/>
    <n v="60"/>
    <n v="70.599999999999994"/>
    <n v="1500"/>
    <x v="3"/>
    <x v="0"/>
    <n v="0"/>
    <n v="1"/>
    <n v="0"/>
    <n v="0.85"/>
  </r>
  <r>
    <s v="APT-00265"/>
    <x v="56"/>
    <x v="6"/>
    <x v="4"/>
    <x v="1"/>
    <x v="0"/>
    <s v="Palakkad"/>
    <x v="0"/>
    <s v="PT-1330"/>
    <s v="Sports Injury"/>
    <x v="1"/>
    <x v="0"/>
    <s v="Online Search"/>
    <x v="0"/>
    <n v="60"/>
    <n v="60"/>
    <n v="73.099999999999994"/>
    <n v="1250"/>
    <x v="5"/>
    <x v="0"/>
    <n v="0"/>
    <n v="1"/>
    <n v="0"/>
    <n v="0.85"/>
  </r>
  <r>
    <s v="APT-00266"/>
    <x v="165"/>
    <x v="9"/>
    <x v="2"/>
    <x v="2"/>
    <x v="2"/>
    <s v="Ernakulam"/>
    <x v="3"/>
    <s v="PT-1060"/>
    <s v="Post-op Rehab"/>
    <x v="2"/>
    <x v="0"/>
    <s v="Online Search"/>
    <x v="0"/>
    <n v="60"/>
    <n v="60"/>
    <n v="77.3"/>
    <n v="1700"/>
    <x v="6"/>
    <x v="0"/>
    <n v="0"/>
    <n v="1"/>
    <n v="0"/>
    <n v="0.85"/>
  </r>
  <r>
    <s v="APT-00267"/>
    <x v="148"/>
    <x v="4"/>
    <x v="0"/>
    <x v="1"/>
    <x v="2"/>
    <s v="Ernakulam"/>
    <x v="12"/>
    <s v="PT-1528"/>
    <s v="Sports Injury"/>
    <x v="1"/>
    <x v="2"/>
    <s v="Hospital Discharge"/>
    <x v="0"/>
    <n v="45"/>
    <n v="45"/>
    <n v="56.5"/>
    <n v="1100"/>
    <x v="20"/>
    <x v="0"/>
    <n v="0"/>
    <n v="1"/>
    <n v="0"/>
    <n v="0.85"/>
  </r>
  <r>
    <s v="APT-00268"/>
    <x v="178"/>
    <x v="7"/>
    <x v="2"/>
    <x v="1"/>
    <x v="2"/>
    <s v="Ernakulam"/>
    <x v="8"/>
    <s v="PT-1075"/>
    <s v="New Patient"/>
    <x v="3"/>
    <x v="2"/>
    <s v="Hospital Discharge"/>
    <x v="0"/>
    <n v="30"/>
    <n v="30"/>
    <n v="34.5"/>
    <n v="900"/>
    <x v="17"/>
    <x v="0"/>
    <n v="0"/>
    <n v="1"/>
    <n v="0"/>
    <n v="0.85"/>
  </r>
  <r>
    <s v="APT-00269"/>
    <x v="109"/>
    <x v="0"/>
    <x v="1"/>
    <x v="3"/>
    <x v="2"/>
    <s v="Ernakulam"/>
    <x v="14"/>
    <s v="PT-1676"/>
    <s v="New Patient"/>
    <x v="2"/>
    <x v="0"/>
    <s v="Corporate Wellness"/>
    <x v="0"/>
    <n v="45"/>
    <n v="45"/>
    <n v="52.6"/>
    <n v="1350"/>
    <x v="14"/>
    <x v="0"/>
    <n v="0"/>
    <n v="1"/>
    <n v="0"/>
    <n v="0.85"/>
  </r>
  <r>
    <s v="APT-00270"/>
    <x v="138"/>
    <x v="8"/>
    <x v="1"/>
    <x v="1"/>
    <x v="0"/>
    <s v="Palakkad"/>
    <x v="9"/>
    <s v="PT-1337"/>
    <s v="Post-op Rehab"/>
    <x v="5"/>
    <x v="2"/>
    <s v="Hospital Discharge"/>
    <x v="0"/>
    <n v="45"/>
    <n v="45"/>
    <n v="52.6"/>
    <n v="1100"/>
    <x v="20"/>
    <x v="0"/>
    <n v="0"/>
    <n v="1"/>
    <n v="0"/>
    <n v="0.85"/>
  </r>
  <r>
    <s v="APT-00271"/>
    <x v="5"/>
    <x v="0"/>
    <x v="2"/>
    <x v="2"/>
    <x v="2"/>
    <s v="Ernakulam"/>
    <x v="14"/>
    <s v="PT-1268"/>
    <s v="Geriatric Rehab"/>
    <x v="4"/>
    <x v="3"/>
    <s v="Hospital Discharge"/>
    <x v="2"/>
    <n v="45"/>
    <n v="0"/>
    <n v="60.7"/>
    <n v="1050"/>
    <x v="9"/>
    <x v="15"/>
    <n v="0"/>
    <n v="0"/>
    <n v="1"/>
    <n v="0.85"/>
  </r>
  <r>
    <s v="APT-00272"/>
    <x v="179"/>
    <x v="3"/>
    <x v="4"/>
    <x v="0"/>
    <x v="2"/>
    <s v="Ernakulam"/>
    <x v="14"/>
    <s v="PT-1084"/>
    <s v="Follow-up"/>
    <x v="1"/>
    <x v="0"/>
    <s v="Online Search"/>
    <x v="0"/>
    <n v="45"/>
    <n v="45"/>
    <n v="54"/>
    <n v="1100"/>
    <x v="20"/>
    <x v="0"/>
    <n v="0"/>
    <n v="1"/>
    <n v="0"/>
    <n v="0.85"/>
  </r>
  <r>
    <s v="APT-00273"/>
    <x v="180"/>
    <x v="2"/>
    <x v="4"/>
    <x v="3"/>
    <x v="0"/>
    <s v="Palakkad"/>
    <x v="11"/>
    <s v="PT-1354"/>
    <s v="Follow-up"/>
    <x v="3"/>
    <x v="3"/>
    <s v="Neurologist"/>
    <x v="0"/>
    <n v="60"/>
    <n v="60"/>
    <n v="68.5"/>
    <n v="1150"/>
    <x v="15"/>
    <x v="0"/>
    <n v="0"/>
    <n v="1"/>
    <n v="0"/>
    <n v="0.85"/>
  </r>
  <r>
    <s v="APT-00274"/>
    <x v="59"/>
    <x v="5"/>
    <x v="0"/>
    <x v="2"/>
    <x v="1"/>
    <s v="Thrissur"/>
    <x v="2"/>
    <s v="PT-1179"/>
    <s v="Post-op Rehab"/>
    <x v="2"/>
    <x v="1"/>
    <s v="Orthopedic Doctor"/>
    <x v="0"/>
    <n v="45"/>
    <n v="45"/>
    <n v="55"/>
    <n v="1000"/>
    <x v="13"/>
    <x v="0"/>
    <n v="0"/>
    <n v="1"/>
    <n v="0"/>
    <n v="0.85"/>
  </r>
  <r>
    <s v="APT-00275"/>
    <x v="79"/>
    <x v="2"/>
    <x v="1"/>
    <x v="1"/>
    <x v="2"/>
    <s v="Ernakulam"/>
    <x v="3"/>
    <s v="PT-1092"/>
    <s v="Follow-up"/>
    <x v="0"/>
    <x v="0"/>
    <s v="Self Referral"/>
    <x v="0"/>
    <n v="75"/>
    <n v="75"/>
    <n v="86.2"/>
    <n v="1900"/>
    <x v="0"/>
    <x v="0"/>
    <n v="0"/>
    <n v="1"/>
    <n v="0"/>
    <n v="0.85"/>
  </r>
  <r>
    <s v="APT-00276"/>
    <x v="12"/>
    <x v="8"/>
    <x v="1"/>
    <x v="2"/>
    <x v="1"/>
    <s v="Thrissur"/>
    <x v="10"/>
    <s v="PT-1526"/>
    <s v="New Patient"/>
    <x v="5"/>
    <x v="0"/>
    <s v="Corporate Wellness"/>
    <x v="0"/>
    <n v="45"/>
    <n v="45"/>
    <n v="57.9"/>
    <n v="1200"/>
    <x v="26"/>
    <x v="0"/>
    <n v="0"/>
    <n v="1"/>
    <n v="0"/>
    <n v="0.85"/>
  </r>
  <r>
    <s v="APT-00277"/>
    <x v="150"/>
    <x v="6"/>
    <x v="1"/>
    <x v="2"/>
    <x v="1"/>
    <s v="Thrissur"/>
    <x v="2"/>
    <s v="PT-1400"/>
    <s v="Sports Injury"/>
    <x v="2"/>
    <x v="2"/>
    <s v="Self Referral"/>
    <x v="0"/>
    <n v="60"/>
    <n v="60"/>
    <n v="79.599999999999994"/>
    <n v="1350"/>
    <x v="14"/>
    <x v="0"/>
    <n v="0"/>
    <n v="1"/>
    <n v="0"/>
    <n v="0.85"/>
  </r>
  <r>
    <s v="APT-00278"/>
    <x v="107"/>
    <x v="1"/>
    <x v="4"/>
    <x v="3"/>
    <x v="2"/>
    <s v="Ernakulam"/>
    <x v="14"/>
    <s v="PT-1126"/>
    <s v="Follow-up"/>
    <x v="2"/>
    <x v="2"/>
    <s v="Neurologist"/>
    <x v="0"/>
    <n v="30"/>
    <n v="30"/>
    <n v="35.5"/>
    <n v="750"/>
    <x v="27"/>
    <x v="0"/>
    <n v="0"/>
    <n v="1"/>
    <n v="0"/>
    <n v="0.85"/>
  </r>
  <r>
    <s v="APT-00279"/>
    <x v="181"/>
    <x v="7"/>
    <x v="3"/>
    <x v="1"/>
    <x v="0"/>
    <s v="Palakkad"/>
    <x v="13"/>
    <s v="PT-1137"/>
    <s v="Follow-up"/>
    <x v="5"/>
    <x v="3"/>
    <s v="Self Referral"/>
    <x v="0"/>
    <n v="30"/>
    <n v="30"/>
    <n v="32.799999999999997"/>
    <n v="600"/>
    <x v="16"/>
    <x v="0"/>
    <n v="0"/>
    <n v="1"/>
    <n v="0"/>
    <n v="0.85"/>
  </r>
  <r>
    <s v="APT-00280"/>
    <x v="182"/>
    <x v="5"/>
    <x v="3"/>
    <x v="1"/>
    <x v="1"/>
    <s v="Thrissur"/>
    <x v="5"/>
    <s v="PT-1365"/>
    <s v="New Patient"/>
    <x v="3"/>
    <x v="2"/>
    <s v="Corporate Wellness"/>
    <x v="0"/>
    <n v="45"/>
    <n v="45"/>
    <n v="55.2"/>
    <n v="1200"/>
    <x v="26"/>
    <x v="0"/>
    <n v="0"/>
    <n v="1"/>
    <n v="0"/>
    <n v="0.85"/>
  </r>
  <r>
    <s v="APT-00281"/>
    <x v="183"/>
    <x v="10"/>
    <x v="1"/>
    <x v="1"/>
    <x v="2"/>
    <s v="Ernakulam"/>
    <x v="4"/>
    <s v="PT-1388"/>
    <s v="Follow-up"/>
    <x v="2"/>
    <x v="1"/>
    <s v="Online Search"/>
    <x v="0"/>
    <n v="60"/>
    <n v="60"/>
    <n v="72.3"/>
    <n v="1300"/>
    <x v="22"/>
    <x v="0"/>
    <n v="0"/>
    <n v="1"/>
    <n v="0"/>
    <n v="0.85"/>
  </r>
  <r>
    <s v="APT-00282"/>
    <x v="146"/>
    <x v="8"/>
    <x v="1"/>
    <x v="3"/>
    <x v="2"/>
    <s v="Ernakulam"/>
    <x v="14"/>
    <s v="PT-1461"/>
    <s v="Sports Injury"/>
    <x v="1"/>
    <x v="2"/>
    <s v="Corporate Wellness"/>
    <x v="0"/>
    <n v="30"/>
    <n v="30"/>
    <n v="33.1"/>
    <n v="750"/>
    <x v="27"/>
    <x v="0"/>
    <n v="0"/>
    <n v="1"/>
    <n v="0"/>
    <n v="0.85"/>
  </r>
  <r>
    <s v="APT-00283"/>
    <x v="7"/>
    <x v="3"/>
    <x v="1"/>
    <x v="0"/>
    <x v="2"/>
    <s v="Ernakulam"/>
    <x v="4"/>
    <s v="PT-1302"/>
    <s v="Chronic Pain"/>
    <x v="0"/>
    <x v="0"/>
    <s v="Hospital Discharge"/>
    <x v="0"/>
    <n v="75"/>
    <n v="75"/>
    <n v="100.5"/>
    <n v="1900"/>
    <x v="0"/>
    <x v="0"/>
    <n v="0"/>
    <n v="1"/>
    <n v="0"/>
    <n v="0.85"/>
  </r>
  <r>
    <s v="APT-00284"/>
    <x v="184"/>
    <x v="11"/>
    <x v="3"/>
    <x v="2"/>
    <x v="2"/>
    <s v="Ernakulam"/>
    <x v="8"/>
    <s v="PT-1525"/>
    <s v="Follow-up"/>
    <x v="2"/>
    <x v="2"/>
    <s v="Self Referral"/>
    <x v="0"/>
    <n v="60"/>
    <n v="60"/>
    <n v="76.3"/>
    <n v="1500"/>
    <x v="3"/>
    <x v="0"/>
    <n v="0"/>
    <n v="1"/>
    <n v="0"/>
    <n v="0.85"/>
  </r>
  <r>
    <s v="APT-00285"/>
    <x v="136"/>
    <x v="6"/>
    <x v="0"/>
    <x v="0"/>
    <x v="0"/>
    <s v="Palakkad"/>
    <x v="13"/>
    <s v="PT-1554"/>
    <s v="Sports Injury"/>
    <x v="4"/>
    <x v="0"/>
    <s v="Corporate Wellness"/>
    <x v="0"/>
    <n v="75"/>
    <n v="75"/>
    <n v="99.4"/>
    <n v="1550"/>
    <x v="1"/>
    <x v="0"/>
    <n v="0"/>
    <n v="1"/>
    <n v="0"/>
    <n v="0.85"/>
  </r>
  <r>
    <s v="APT-00286"/>
    <x v="185"/>
    <x v="1"/>
    <x v="0"/>
    <x v="3"/>
    <x v="2"/>
    <s v="Ernakulam"/>
    <x v="3"/>
    <s v="PT-1574"/>
    <s v="Follow-up"/>
    <x v="2"/>
    <x v="3"/>
    <s v="Hospital Discharge"/>
    <x v="0"/>
    <n v="30"/>
    <n v="30"/>
    <n v="34.1"/>
    <n v="700"/>
    <x v="19"/>
    <x v="0"/>
    <n v="0"/>
    <n v="1"/>
    <n v="0"/>
    <n v="0.85"/>
  </r>
  <r>
    <s v="APT-00287"/>
    <x v="68"/>
    <x v="5"/>
    <x v="4"/>
    <x v="1"/>
    <x v="1"/>
    <s v="Thrissur"/>
    <x v="10"/>
    <s v="PT-1660"/>
    <s v="Follow-up"/>
    <x v="5"/>
    <x v="2"/>
    <s v="Corporate Wellness"/>
    <x v="1"/>
    <n v="60"/>
    <n v="0"/>
    <n v="65.900000000000006"/>
    <n v="1350"/>
    <x v="9"/>
    <x v="2"/>
    <n v="1"/>
    <n v="0"/>
    <n v="0"/>
    <n v="0.85"/>
  </r>
  <r>
    <s v="APT-00288"/>
    <x v="119"/>
    <x v="1"/>
    <x v="4"/>
    <x v="0"/>
    <x v="1"/>
    <s v="Thrissur"/>
    <x v="7"/>
    <s v="PT-1425"/>
    <s v="Post-op Rehab"/>
    <x v="3"/>
    <x v="3"/>
    <s v="Online Search"/>
    <x v="0"/>
    <n v="30"/>
    <n v="30"/>
    <n v="37.5"/>
    <n v="700"/>
    <x v="19"/>
    <x v="0"/>
    <n v="0"/>
    <n v="1"/>
    <n v="0"/>
    <n v="0.85"/>
  </r>
  <r>
    <s v="APT-00289"/>
    <x v="117"/>
    <x v="6"/>
    <x v="0"/>
    <x v="3"/>
    <x v="0"/>
    <s v="Palakkad"/>
    <x v="0"/>
    <s v="PT-1340"/>
    <s v="Follow-up"/>
    <x v="3"/>
    <x v="2"/>
    <s v="Orthopedic Doctor"/>
    <x v="1"/>
    <n v="45"/>
    <n v="0"/>
    <n v="51.5"/>
    <n v="950"/>
    <x v="9"/>
    <x v="19"/>
    <n v="1"/>
    <n v="0"/>
    <n v="0"/>
    <n v="0.85"/>
  </r>
  <r>
    <s v="APT-00290"/>
    <x v="111"/>
    <x v="8"/>
    <x v="1"/>
    <x v="0"/>
    <x v="2"/>
    <s v="Ernakulam"/>
    <x v="3"/>
    <s v="PT-1025"/>
    <s v="Follow-up"/>
    <x v="1"/>
    <x v="2"/>
    <s v="Neurologist"/>
    <x v="1"/>
    <n v="60"/>
    <n v="0"/>
    <n v="69.900000000000006"/>
    <n v="1500"/>
    <x v="9"/>
    <x v="12"/>
    <n v="1"/>
    <n v="0"/>
    <n v="0"/>
    <n v="0.85"/>
  </r>
  <r>
    <s v="APT-00291"/>
    <x v="186"/>
    <x v="3"/>
    <x v="1"/>
    <x v="2"/>
    <x v="0"/>
    <s v="Palakkad"/>
    <x v="13"/>
    <s v="PT-1580"/>
    <s v="Chronic Pain"/>
    <x v="0"/>
    <x v="0"/>
    <s v="Self Referral"/>
    <x v="0"/>
    <n v="90"/>
    <n v="90"/>
    <n v="99.6"/>
    <n v="1900"/>
    <x v="0"/>
    <x v="0"/>
    <n v="0"/>
    <n v="1"/>
    <n v="0"/>
    <n v="0.85"/>
  </r>
  <r>
    <s v="APT-00292"/>
    <x v="46"/>
    <x v="11"/>
    <x v="2"/>
    <x v="0"/>
    <x v="2"/>
    <s v="Ernakulam"/>
    <x v="8"/>
    <s v="PT-1119"/>
    <s v="Post-op Rehab"/>
    <x v="2"/>
    <x v="0"/>
    <s v="Hospital Discharge"/>
    <x v="2"/>
    <n v="45"/>
    <n v="0"/>
    <n v="60.6"/>
    <n v="1300"/>
    <x v="9"/>
    <x v="1"/>
    <n v="0"/>
    <n v="0"/>
    <n v="1"/>
    <n v="0.85"/>
  </r>
  <r>
    <s v="APT-00293"/>
    <x v="33"/>
    <x v="0"/>
    <x v="3"/>
    <x v="0"/>
    <x v="0"/>
    <s v="Palakkad"/>
    <x v="0"/>
    <s v="PT-1151"/>
    <s v="Sports Injury"/>
    <x v="2"/>
    <x v="0"/>
    <s v="Self Referral"/>
    <x v="1"/>
    <n v="45"/>
    <n v="0"/>
    <n v="58.2"/>
    <n v="950"/>
    <x v="9"/>
    <x v="19"/>
    <n v="1"/>
    <n v="0"/>
    <n v="0"/>
    <n v="0.85"/>
  </r>
  <r>
    <s v="APT-00294"/>
    <x v="183"/>
    <x v="10"/>
    <x v="1"/>
    <x v="1"/>
    <x v="1"/>
    <s v="Thrissur"/>
    <x v="7"/>
    <s v="PT-1328"/>
    <s v="New Patient"/>
    <x v="2"/>
    <x v="2"/>
    <s v="Neurologist"/>
    <x v="0"/>
    <n v="45"/>
    <n v="45"/>
    <n v="52.9"/>
    <n v="1200"/>
    <x v="26"/>
    <x v="0"/>
    <n v="0"/>
    <n v="1"/>
    <n v="0"/>
    <n v="0.85"/>
  </r>
  <r>
    <s v="APT-00295"/>
    <x v="28"/>
    <x v="5"/>
    <x v="2"/>
    <x v="1"/>
    <x v="0"/>
    <s v="Palakkad"/>
    <x v="6"/>
    <s v="PT-1652"/>
    <s v="Chronic Pain"/>
    <x v="0"/>
    <x v="1"/>
    <s v="Neurologist"/>
    <x v="0"/>
    <n v="60"/>
    <n v="60"/>
    <n v="74.2"/>
    <n v="1050"/>
    <x v="2"/>
    <x v="0"/>
    <n v="0"/>
    <n v="1"/>
    <n v="0"/>
    <n v="0.85"/>
  </r>
  <r>
    <s v="APT-00296"/>
    <x v="187"/>
    <x v="3"/>
    <x v="0"/>
    <x v="2"/>
    <x v="1"/>
    <s v="Thrissur"/>
    <x v="7"/>
    <s v="PT-1617"/>
    <s v="Chronic Pain"/>
    <x v="0"/>
    <x v="1"/>
    <s v="Online Search"/>
    <x v="2"/>
    <n v="60"/>
    <n v="0"/>
    <n v="76.3"/>
    <n v="1150"/>
    <x v="9"/>
    <x v="11"/>
    <n v="0"/>
    <n v="0"/>
    <n v="1"/>
    <n v="0.85"/>
  </r>
  <r>
    <s v="APT-00297"/>
    <x v="188"/>
    <x v="5"/>
    <x v="2"/>
    <x v="0"/>
    <x v="0"/>
    <s v="Palakkad"/>
    <x v="6"/>
    <s v="PT-1446"/>
    <s v="Post-op Rehab"/>
    <x v="5"/>
    <x v="2"/>
    <s v="Self Referral"/>
    <x v="0"/>
    <n v="75"/>
    <n v="75"/>
    <n v="98.2"/>
    <n v="1800"/>
    <x v="25"/>
    <x v="0"/>
    <n v="0"/>
    <n v="1"/>
    <n v="0"/>
    <n v="0.85"/>
  </r>
  <r>
    <s v="APT-00298"/>
    <x v="138"/>
    <x v="8"/>
    <x v="1"/>
    <x v="1"/>
    <x v="1"/>
    <s v="Thrissur"/>
    <x v="7"/>
    <s v="PT-1580"/>
    <s v="Sports Injury"/>
    <x v="3"/>
    <x v="2"/>
    <s v="Neurologist"/>
    <x v="0"/>
    <n v="90"/>
    <n v="90"/>
    <n v="103.2"/>
    <n v="2000"/>
    <x v="33"/>
    <x v="0"/>
    <n v="0"/>
    <n v="1"/>
    <n v="0"/>
    <n v="0.85"/>
  </r>
  <r>
    <s v="APT-00299"/>
    <x v="106"/>
    <x v="3"/>
    <x v="4"/>
    <x v="3"/>
    <x v="1"/>
    <s v="Thrissur"/>
    <x v="10"/>
    <s v="PT-1604"/>
    <s v="Geriatric Rehab"/>
    <x v="4"/>
    <x v="1"/>
    <s v="Self Referral"/>
    <x v="0"/>
    <n v="90"/>
    <n v="90"/>
    <n v="103"/>
    <n v="1700"/>
    <x v="6"/>
    <x v="0"/>
    <n v="0"/>
    <n v="1"/>
    <n v="0"/>
    <n v="0.85"/>
  </r>
  <r>
    <s v="APT-00300"/>
    <x v="100"/>
    <x v="1"/>
    <x v="4"/>
    <x v="2"/>
    <x v="2"/>
    <s v="Ernakulam"/>
    <x v="8"/>
    <s v="PT-1166"/>
    <s v="Geriatric Rehab"/>
    <x v="5"/>
    <x v="3"/>
    <s v="Hospital Discharge"/>
    <x v="0"/>
    <n v="75"/>
    <n v="75"/>
    <n v="93.7"/>
    <n v="1700"/>
    <x v="6"/>
    <x v="0"/>
    <n v="0"/>
    <n v="1"/>
    <n v="0"/>
    <n v="0.85"/>
  </r>
  <r>
    <s v="APT-00301"/>
    <x v="26"/>
    <x v="3"/>
    <x v="4"/>
    <x v="3"/>
    <x v="2"/>
    <s v="Ernakulam"/>
    <x v="14"/>
    <s v="PT-1304"/>
    <s v="Chronic Pain"/>
    <x v="0"/>
    <x v="2"/>
    <s v="Self Referral"/>
    <x v="0"/>
    <n v="45"/>
    <n v="45"/>
    <n v="50.5"/>
    <n v="1100"/>
    <x v="20"/>
    <x v="0"/>
    <n v="0"/>
    <n v="1"/>
    <n v="0"/>
    <n v="0.85"/>
  </r>
  <r>
    <s v="APT-00302"/>
    <x v="109"/>
    <x v="0"/>
    <x v="1"/>
    <x v="1"/>
    <x v="0"/>
    <s v="Palakkad"/>
    <x v="6"/>
    <s v="PT-1364"/>
    <s v="Post-op Rehab"/>
    <x v="1"/>
    <x v="1"/>
    <s v="Corporate Wellness"/>
    <x v="0"/>
    <n v="60"/>
    <n v="60"/>
    <n v="65.900000000000006"/>
    <n v="1200"/>
    <x v="26"/>
    <x v="0"/>
    <n v="0"/>
    <n v="1"/>
    <n v="0"/>
    <n v="0.85"/>
  </r>
  <r>
    <s v="APT-00303"/>
    <x v="35"/>
    <x v="3"/>
    <x v="1"/>
    <x v="3"/>
    <x v="0"/>
    <s v="Palakkad"/>
    <x v="9"/>
    <s v="PT-1544"/>
    <s v="New Patient"/>
    <x v="4"/>
    <x v="2"/>
    <s v="Orthopedic Doctor"/>
    <x v="0"/>
    <n v="45"/>
    <n v="45"/>
    <n v="58.4"/>
    <n v="1100"/>
    <x v="20"/>
    <x v="0"/>
    <n v="0"/>
    <n v="1"/>
    <n v="0"/>
    <n v="0.85"/>
  </r>
  <r>
    <s v="APT-00304"/>
    <x v="149"/>
    <x v="10"/>
    <x v="5"/>
    <x v="0"/>
    <x v="2"/>
    <s v="Ernakulam"/>
    <x v="4"/>
    <s v="PT-1374"/>
    <s v="Sports Injury"/>
    <x v="4"/>
    <x v="2"/>
    <s v="Self Referral"/>
    <x v="0"/>
    <n v="90"/>
    <n v="90"/>
    <n v="114.4"/>
    <n v="2250"/>
    <x v="12"/>
    <x v="0"/>
    <n v="0"/>
    <n v="1"/>
    <n v="0"/>
    <n v="0.85"/>
  </r>
  <r>
    <s v="APT-00305"/>
    <x v="103"/>
    <x v="5"/>
    <x v="4"/>
    <x v="0"/>
    <x v="1"/>
    <s v="Thrissur"/>
    <x v="5"/>
    <s v="PT-1491"/>
    <s v="Follow-up"/>
    <x v="4"/>
    <x v="3"/>
    <s v="Hospital Discharge"/>
    <x v="0"/>
    <n v="45"/>
    <n v="45"/>
    <n v="57.2"/>
    <n v="950"/>
    <x v="7"/>
    <x v="0"/>
    <n v="0"/>
    <n v="1"/>
    <n v="0"/>
    <n v="0.85"/>
  </r>
  <r>
    <s v="APT-00306"/>
    <x v="189"/>
    <x v="8"/>
    <x v="0"/>
    <x v="0"/>
    <x v="2"/>
    <s v="Ernakulam"/>
    <x v="8"/>
    <s v="PT-1476"/>
    <s v="Follow-up"/>
    <x v="5"/>
    <x v="1"/>
    <s v="Corporate Wellness"/>
    <x v="0"/>
    <n v="90"/>
    <n v="90"/>
    <n v="105.2"/>
    <n v="1900"/>
    <x v="0"/>
    <x v="0"/>
    <n v="0"/>
    <n v="1"/>
    <n v="0"/>
    <n v="0.85"/>
  </r>
  <r>
    <s v="APT-00307"/>
    <x v="12"/>
    <x v="8"/>
    <x v="1"/>
    <x v="3"/>
    <x v="1"/>
    <s v="Thrissur"/>
    <x v="7"/>
    <s v="PT-1060"/>
    <s v="Follow-up"/>
    <x v="0"/>
    <x v="0"/>
    <s v="Corporate Wellness"/>
    <x v="0"/>
    <n v="45"/>
    <n v="45"/>
    <n v="56.3"/>
    <n v="1000"/>
    <x v="13"/>
    <x v="0"/>
    <n v="0"/>
    <n v="1"/>
    <n v="0"/>
    <n v="0.85"/>
  </r>
  <r>
    <s v="APT-00308"/>
    <x v="190"/>
    <x v="5"/>
    <x v="1"/>
    <x v="0"/>
    <x v="0"/>
    <s v="Palakkad"/>
    <x v="11"/>
    <s v="PT-1311"/>
    <s v="Follow-up"/>
    <x v="5"/>
    <x v="3"/>
    <s v="Self Referral"/>
    <x v="1"/>
    <n v="45"/>
    <n v="0"/>
    <n v="55.7"/>
    <n v="850"/>
    <x v="9"/>
    <x v="24"/>
    <n v="1"/>
    <n v="0"/>
    <n v="0"/>
    <n v="0.85"/>
  </r>
  <r>
    <s v="APT-00309"/>
    <x v="33"/>
    <x v="0"/>
    <x v="3"/>
    <x v="2"/>
    <x v="2"/>
    <s v="Ernakulam"/>
    <x v="4"/>
    <s v="PT-1310"/>
    <s v="Follow-up"/>
    <x v="5"/>
    <x v="0"/>
    <s v="Hospital Discharge"/>
    <x v="0"/>
    <n v="60"/>
    <n v="60"/>
    <n v="78.5"/>
    <n v="1500"/>
    <x v="3"/>
    <x v="0"/>
    <n v="0"/>
    <n v="1"/>
    <n v="0"/>
    <n v="0.85"/>
  </r>
  <r>
    <s v="APT-00310"/>
    <x v="101"/>
    <x v="9"/>
    <x v="4"/>
    <x v="3"/>
    <x v="2"/>
    <s v="Ernakulam"/>
    <x v="14"/>
    <s v="PT-1594"/>
    <s v="Post-op Rehab"/>
    <x v="0"/>
    <x v="2"/>
    <s v="Self Referral"/>
    <x v="1"/>
    <n v="90"/>
    <n v="0"/>
    <n v="111.7"/>
    <n v="2600"/>
    <x v="9"/>
    <x v="25"/>
    <n v="1"/>
    <n v="0"/>
    <n v="0"/>
    <n v="0.85"/>
  </r>
  <r>
    <s v="APT-00311"/>
    <x v="191"/>
    <x v="6"/>
    <x v="1"/>
    <x v="1"/>
    <x v="0"/>
    <s v="Palakkad"/>
    <x v="0"/>
    <s v="PT-1659"/>
    <s v="Follow-up"/>
    <x v="4"/>
    <x v="0"/>
    <s v="Self Referral"/>
    <x v="0"/>
    <n v="90"/>
    <n v="90"/>
    <n v="113.3"/>
    <n v="1900"/>
    <x v="0"/>
    <x v="0"/>
    <n v="0"/>
    <n v="1"/>
    <n v="0"/>
    <n v="0.85"/>
  </r>
  <r>
    <s v="APT-00312"/>
    <x v="164"/>
    <x v="10"/>
    <x v="4"/>
    <x v="2"/>
    <x v="0"/>
    <s v="Palakkad"/>
    <x v="13"/>
    <s v="PT-1690"/>
    <s v="Sports Injury"/>
    <x v="4"/>
    <x v="1"/>
    <s v="Hospital Discharge"/>
    <x v="0"/>
    <n v="45"/>
    <n v="45"/>
    <n v="52.8"/>
    <n v="800"/>
    <x v="18"/>
    <x v="0"/>
    <n v="0"/>
    <n v="1"/>
    <n v="0"/>
    <n v="0.85"/>
  </r>
  <r>
    <s v="APT-00313"/>
    <x v="64"/>
    <x v="7"/>
    <x v="3"/>
    <x v="0"/>
    <x v="0"/>
    <s v="Palakkad"/>
    <x v="0"/>
    <s v="PT-1543"/>
    <s v="Geriatric Rehab"/>
    <x v="5"/>
    <x v="0"/>
    <s v="Neurologist"/>
    <x v="0"/>
    <n v="75"/>
    <n v="75"/>
    <n v="100.6"/>
    <n v="1550"/>
    <x v="1"/>
    <x v="0"/>
    <n v="0"/>
    <n v="1"/>
    <n v="0"/>
    <n v="0.85"/>
  </r>
  <r>
    <s v="APT-00314"/>
    <x v="192"/>
    <x v="0"/>
    <x v="1"/>
    <x v="3"/>
    <x v="0"/>
    <s v="Palakkad"/>
    <x v="13"/>
    <s v="PT-1575"/>
    <s v="Post-op Rehab"/>
    <x v="0"/>
    <x v="2"/>
    <s v="Orthopedic Doctor"/>
    <x v="0"/>
    <n v="60"/>
    <n v="60"/>
    <n v="71.099999999999994"/>
    <n v="1450"/>
    <x v="10"/>
    <x v="0"/>
    <n v="0"/>
    <n v="1"/>
    <n v="0"/>
    <n v="0.85"/>
  </r>
  <r>
    <s v="APT-00315"/>
    <x v="193"/>
    <x v="3"/>
    <x v="5"/>
    <x v="2"/>
    <x v="0"/>
    <s v="Palakkad"/>
    <x v="13"/>
    <s v="PT-1576"/>
    <s v="New Patient"/>
    <x v="2"/>
    <x v="2"/>
    <s v="Online Search"/>
    <x v="1"/>
    <n v="60"/>
    <n v="0"/>
    <n v="65.5"/>
    <n v="1500"/>
    <x v="9"/>
    <x v="12"/>
    <n v="1"/>
    <n v="0"/>
    <n v="0"/>
    <n v="0.85"/>
  </r>
  <r>
    <s v="APT-00316"/>
    <x v="194"/>
    <x v="8"/>
    <x v="4"/>
    <x v="1"/>
    <x v="2"/>
    <s v="Ernakulam"/>
    <x v="3"/>
    <s v="PT-1272"/>
    <s v="Chronic Pain"/>
    <x v="0"/>
    <x v="0"/>
    <s v="Self Referral"/>
    <x v="0"/>
    <n v="90"/>
    <n v="90"/>
    <n v="106.3"/>
    <n v="2250"/>
    <x v="12"/>
    <x v="0"/>
    <n v="0"/>
    <n v="1"/>
    <n v="0"/>
    <n v="0.85"/>
  </r>
  <r>
    <s v="APT-00317"/>
    <x v="112"/>
    <x v="9"/>
    <x v="1"/>
    <x v="2"/>
    <x v="0"/>
    <s v="Palakkad"/>
    <x v="0"/>
    <s v="PT-1322"/>
    <s v="Post-op Rehab"/>
    <x v="3"/>
    <x v="2"/>
    <s v="Neurologist"/>
    <x v="0"/>
    <n v="60"/>
    <n v="60"/>
    <n v="65.599999999999994"/>
    <n v="1450"/>
    <x v="10"/>
    <x v="0"/>
    <n v="0"/>
    <n v="1"/>
    <n v="0"/>
    <n v="0.85"/>
  </r>
  <r>
    <s v="APT-00318"/>
    <x v="153"/>
    <x v="0"/>
    <x v="1"/>
    <x v="1"/>
    <x v="2"/>
    <s v="Ernakulam"/>
    <x v="14"/>
    <s v="PT-1392"/>
    <s v="New Patient"/>
    <x v="2"/>
    <x v="0"/>
    <s v="Corporate Wellness"/>
    <x v="0"/>
    <n v="45"/>
    <n v="45"/>
    <n v="50.4"/>
    <n v="1350"/>
    <x v="14"/>
    <x v="0"/>
    <n v="0"/>
    <n v="1"/>
    <n v="0"/>
    <n v="0.85"/>
  </r>
  <r>
    <s v="APT-00319"/>
    <x v="195"/>
    <x v="8"/>
    <x v="4"/>
    <x v="3"/>
    <x v="1"/>
    <s v="Thrissur"/>
    <x v="5"/>
    <s v="PT-1399"/>
    <s v="Geriatric Rehab"/>
    <x v="2"/>
    <x v="2"/>
    <s v="Orthopedic Doctor"/>
    <x v="0"/>
    <n v="60"/>
    <n v="60"/>
    <n v="71.7"/>
    <n v="1350"/>
    <x v="14"/>
    <x v="0"/>
    <n v="0"/>
    <n v="1"/>
    <n v="0"/>
    <n v="0.85"/>
  </r>
  <r>
    <s v="APT-00320"/>
    <x v="130"/>
    <x v="3"/>
    <x v="2"/>
    <x v="2"/>
    <x v="1"/>
    <s v="Thrissur"/>
    <x v="7"/>
    <s v="PT-1078"/>
    <s v="New Patient"/>
    <x v="5"/>
    <x v="2"/>
    <s v="Hospital Discharge"/>
    <x v="0"/>
    <n v="30"/>
    <n v="30"/>
    <n v="37.299999999999997"/>
    <n v="800"/>
    <x v="18"/>
    <x v="0"/>
    <n v="0"/>
    <n v="1"/>
    <n v="0"/>
    <n v="0.85"/>
  </r>
  <r>
    <s v="APT-00321"/>
    <x v="196"/>
    <x v="10"/>
    <x v="0"/>
    <x v="0"/>
    <x v="0"/>
    <s v="Palakkad"/>
    <x v="9"/>
    <s v="PT-1375"/>
    <s v="Sports Injury"/>
    <x v="4"/>
    <x v="2"/>
    <s v="Corporate Wellness"/>
    <x v="0"/>
    <n v="45"/>
    <n v="45"/>
    <n v="56.2"/>
    <n v="950"/>
    <x v="7"/>
    <x v="0"/>
    <n v="0"/>
    <n v="1"/>
    <n v="0"/>
    <n v="0.85"/>
  </r>
  <r>
    <s v="APT-00322"/>
    <x v="83"/>
    <x v="1"/>
    <x v="5"/>
    <x v="1"/>
    <x v="1"/>
    <s v="Thrissur"/>
    <x v="7"/>
    <s v="PT-1676"/>
    <s v="Follow-up"/>
    <x v="4"/>
    <x v="0"/>
    <s v="Hospital Discharge"/>
    <x v="0"/>
    <n v="60"/>
    <n v="60"/>
    <n v="78"/>
    <n v="1350"/>
    <x v="14"/>
    <x v="0"/>
    <n v="0"/>
    <n v="1"/>
    <n v="0"/>
    <n v="0.85"/>
  </r>
  <r>
    <s v="APT-00323"/>
    <x v="2"/>
    <x v="2"/>
    <x v="2"/>
    <x v="0"/>
    <x v="0"/>
    <s v="Palakkad"/>
    <x v="0"/>
    <s v="PT-1081"/>
    <s v="Follow-up"/>
    <x v="4"/>
    <x v="0"/>
    <s v="Online Search"/>
    <x v="0"/>
    <n v="45"/>
    <n v="45"/>
    <n v="54.9"/>
    <n v="950"/>
    <x v="7"/>
    <x v="0"/>
    <n v="0"/>
    <n v="1"/>
    <n v="0"/>
    <n v="0.85"/>
  </r>
  <r>
    <s v="APT-00324"/>
    <x v="197"/>
    <x v="3"/>
    <x v="1"/>
    <x v="2"/>
    <x v="0"/>
    <s v="Palakkad"/>
    <x v="0"/>
    <s v="PT-1374"/>
    <s v="Sports Injury"/>
    <x v="2"/>
    <x v="2"/>
    <s v="Hospital Discharge"/>
    <x v="0"/>
    <n v="60"/>
    <n v="60"/>
    <n v="65.599999999999994"/>
    <n v="1250"/>
    <x v="5"/>
    <x v="0"/>
    <n v="0"/>
    <n v="1"/>
    <n v="0"/>
    <n v="0.85"/>
  </r>
  <r>
    <s v="APT-00325"/>
    <x v="31"/>
    <x v="11"/>
    <x v="4"/>
    <x v="0"/>
    <x v="2"/>
    <s v="Ernakulam"/>
    <x v="14"/>
    <s v="PT-1187"/>
    <s v="Follow-up"/>
    <x v="0"/>
    <x v="2"/>
    <s v="Orthopedic Doctor"/>
    <x v="1"/>
    <n v="60"/>
    <n v="0"/>
    <n v="74.599999999999994"/>
    <n v="1500"/>
    <x v="9"/>
    <x v="12"/>
    <n v="1"/>
    <n v="0"/>
    <n v="0"/>
    <n v="0.85"/>
  </r>
  <r>
    <s v="APT-00326"/>
    <x v="186"/>
    <x v="3"/>
    <x v="1"/>
    <x v="0"/>
    <x v="2"/>
    <s v="Ernakulam"/>
    <x v="3"/>
    <s v="PT-1018"/>
    <s v="Chronic Pain"/>
    <x v="0"/>
    <x v="0"/>
    <s v="Online Search"/>
    <x v="0"/>
    <n v="60"/>
    <n v="60"/>
    <n v="80.400000000000006"/>
    <n v="1500"/>
    <x v="3"/>
    <x v="0"/>
    <n v="0"/>
    <n v="1"/>
    <n v="0"/>
    <n v="0.85"/>
  </r>
  <r>
    <s v="APT-00327"/>
    <x v="198"/>
    <x v="0"/>
    <x v="4"/>
    <x v="3"/>
    <x v="1"/>
    <s v="Thrissur"/>
    <x v="1"/>
    <s v="PT-1233"/>
    <s v="New Patient"/>
    <x v="5"/>
    <x v="3"/>
    <s v="Neurologist"/>
    <x v="0"/>
    <n v="45"/>
    <n v="45"/>
    <n v="54.8"/>
    <n v="1100"/>
    <x v="20"/>
    <x v="0"/>
    <n v="0"/>
    <n v="1"/>
    <n v="0"/>
    <n v="0.85"/>
  </r>
  <r>
    <s v="APT-00328"/>
    <x v="199"/>
    <x v="4"/>
    <x v="1"/>
    <x v="3"/>
    <x v="0"/>
    <s v="Palakkad"/>
    <x v="6"/>
    <s v="PT-1453"/>
    <s v="Geriatric Rehab"/>
    <x v="4"/>
    <x v="3"/>
    <s v="Self Referral"/>
    <x v="0"/>
    <n v="45"/>
    <n v="45"/>
    <n v="56.5"/>
    <n v="850"/>
    <x v="23"/>
    <x v="0"/>
    <n v="0"/>
    <n v="1"/>
    <n v="0"/>
    <n v="0.85"/>
  </r>
  <r>
    <s v="APT-00329"/>
    <x v="15"/>
    <x v="9"/>
    <x v="5"/>
    <x v="1"/>
    <x v="2"/>
    <s v="Ernakulam"/>
    <x v="3"/>
    <s v="PT-1487"/>
    <s v="Geriatric Rehab"/>
    <x v="4"/>
    <x v="1"/>
    <s v="Self Referral"/>
    <x v="1"/>
    <n v="60"/>
    <n v="0"/>
    <n v="66.400000000000006"/>
    <n v="1300"/>
    <x v="9"/>
    <x v="1"/>
    <n v="1"/>
    <n v="0"/>
    <n v="0"/>
    <n v="0.85"/>
  </r>
  <r>
    <s v="APT-00330"/>
    <x v="200"/>
    <x v="1"/>
    <x v="0"/>
    <x v="2"/>
    <x v="0"/>
    <s v="Palakkad"/>
    <x v="6"/>
    <s v="PT-1440"/>
    <s v="Follow-up"/>
    <x v="4"/>
    <x v="0"/>
    <s v="Online Search"/>
    <x v="1"/>
    <n v="60"/>
    <n v="0"/>
    <n v="65.7"/>
    <n v="1250"/>
    <x v="9"/>
    <x v="9"/>
    <n v="1"/>
    <n v="0"/>
    <n v="0"/>
    <n v="0.85"/>
  </r>
  <r>
    <s v="APT-00331"/>
    <x v="73"/>
    <x v="10"/>
    <x v="0"/>
    <x v="0"/>
    <x v="2"/>
    <s v="Ernakulam"/>
    <x v="4"/>
    <s v="PT-1441"/>
    <s v="Follow-up"/>
    <x v="0"/>
    <x v="0"/>
    <s v="Corporate Wellness"/>
    <x v="0"/>
    <n v="30"/>
    <n v="30"/>
    <n v="37"/>
    <n v="750"/>
    <x v="27"/>
    <x v="0"/>
    <n v="0"/>
    <n v="1"/>
    <n v="0"/>
    <n v="0.85"/>
  </r>
  <r>
    <s v="APT-00332"/>
    <x v="201"/>
    <x v="8"/>
    <x v="3"/>
    <x v="3"/>
    <x v="1"/>
    <s v="Thrissur"/>
    <x v="1"/>
    <s v="PT-1227"/>
    <s v="New Patient"/>
    <x v="3"/>
    <x v="0"/>
    <s v="Self Referral"/>
    <x v="0"/>
    <n v="75"/>
    <n v="75"/>
    <n v="88"/>
    <n v="2000"/>
    <x v="33"/>
    <x v="0"/>
    <n v="0"/>
    <n v="1"/>
    <n v="0"/>
    <n v="0.85"/>
  </r>
  <r>
    <s v="APT-00333"/>
    <x v="202"/>
    <x v="1"/>
    <x v="2"/>
    <x v="0"/>
    <x v="1"/>
    <s v="Thrissur"/>
    <x v="2"/>
    <s v="PT-1414"/>
    <s v="Follow-up"/>
    <x v="3"/>
    <x v="0"/>
    <s v="Neurologist"/>
    <x v="0"/>
    <n v="75"/>
    <n v="75"/>
    <n v="92.3"/>
    <n v="1700"/>
    <x v="6"/>
    <x v="0"/>
    <n v="0"/>
    <n v="1"/>
    <n v="0"/>
    <n v="0.85"/>
  </r>
  <r>
    <s v="APT-00334"/>
    <x v="67"/>
    <x v="11"/>
    <x v="2"/>
    <x v="1"/>
    <x v="2"/>
    <s v="Ernakulam"/>
    <x v="3"/>
    <s v="PT-1659"/>
    <s v="Follow-up"/>
    <x v="3"/>
    <x v="2"/>
    <s v="Online Search"/>
    <x v="0"/>
    <n v="60"/>
    <n v="60"/>
    <n v="74.7"/>
    <n v="1500"/>
    <x v="3"/>
    <x v="0"/>
    <n v="0"/>
    <n v="1"/>
    <n v="0"/>
    <n v="0.85"/>
  </r>
  <r>
    <s v="APT-00335"/>
    <x v="105"/>
    <x v="7"/>
    <x v="2"/>
    <x v="1"/>
    <x v="1"/>
    <s v="Thrissur"/>
    <x v="5"/>
    <s v="PT-1595"/>
    <s v="New Patient"/>
    <x v="0"/>
    <x v="2"/>
    <s v="Corporate Wellness"/>
    <x v="0"/>
    <n v="45"/>
    <n v="45"/>
    <n v="53.8"/>
    <n v="1200"/>
    <x v="26"/>
    <x v="0"/>
    <n v="0"/>
    <n v="1"/>
    <n v="0"/>
    <n v="0.85"/>
  </r>
  <r>
    <s v="APT-00336"/>
    <x v="203"/>
    <x v="11"/>
    <x v="2"/>
    <x v="3"/>
    <x v="2"/>
    <s v="Ernakulam"/>
    <x v="8"/>
    <s v="PT-1025"/>
    <s v="New Patient"/>
    <x v="4"/>
    <x v="2"/>
    <s v="Self Referral"/>
    <x v="1"/>
    <n v="60"/>
    <n v="0"/>
    <n v="74.7"/>
    <n v="1800"/>
    <x v="9"/>
    <x v="13"/>
    <n v="1"/>
    <n v="0"/>
    <n v="0"/>
    <n v="0.85"/>
  </r>
  <r>
    <s v="APT-00337"/>
    <x v="38"/>
    <x v="6"/>
    <x v="4"/>
    <x v="0"/>
    <x v="2"/>
    <s v="Ernakulam"/>
    <x v="14"/>
    <s v="PT-1185"/>
    <s v="New Patient"/>
    <x v="3"/>
    <x v="0"/>
    <s v="Corporate Wellness"/>
    <x v="1"/>
    <n v="45"/>
    <n v="0"/>
    <n v="57.5"/>
    <n v="1350"/>
    <x v="9"/>
    <x v="2"/>
    <n v="1"/>
    <n v="0"/>
    <n v="0"/>
    <n v="0.85"/>
  </r>
  <r>
    <s v="APT-00338"/>
    <x v="168"/>
    <x v="7"/>
    <x v="1"/>
    <x v="3"/>
    <x v="0"/>
    <s v="Palakkad"/>
    <x v="0"/>
    <s v="PT-1429"/>
    <s v="Post-op Rehab"/>
    <x v="5"/>
    <x v="0"/>
    <s v="Self Referral"/>
    <x v="1"/>
    <n v="60"/>
    <n v="0"/>
    <n v="74.599999999999994"/>
    <n v="1450"/>
    <x v="9"/>
    <x v="22"/>
    <n v="1"/>
    <n v="0"/>
    <n v="0"/>
    <n v="0.85"/>
  </r>
  <r>
    <s v="APT-00339"/>
    <x v="129"/>
    <x v="10"/>
    <x v="3"/>
    <x v="3"/>
    <x v="1"/>
    <s v="Thrissur"/>
    <x v="10"/>
    <s v="PT-1501"/>
    <s v="New Patient"/>
    <x v="0"/>
    <x v="0"/>
    <s v="Neurologist"/>
    <x v="0"/>
    <n v="75"/>
    <n v="75"/>
    <n v="81.5"/>
    <n v="2000"/>
    <x v="33"/>
    <x v="0"/>
    <n v="0"/>
    <n v="1"/>
    <n v="0"/>
    <n v="0.85"/>
  </r>
  <r>
    <s v="APT-00340"/>
    <x v="111"/>
    <x v="8"/>
    <x v="1"/>
    <x v="0"/>
    <x v="0"/>
    <s v="Palakkad"/>
    <x v="9"/>
    <s v="PT-1046"/>
    <s v="Geriatric Rehab"/>
    <x v="1"/>
    <x v="3"/>
    <s v="Hospital Discharge"/>
    <x v="0"/>
    <n v="75"/>
    <n v="75"/>
    <n v="86.9"/>
    <n v="1450"/>
    <x v="10"/>
    <x v="0"/>
    <n v="0"/>
    <n v="1"/>
    <n v="0"/>
    <n v="0.85"/>
  </r>
  <r>
    <s v="APT-00341"/>
    <x v="61"/>
    <x v="10"/>
    <x v="5"/>
    <x v="3"/>
    <x v="1"/>
    <s v="Thrissur"/>
    <x v="2"/>
    <s v="PT-1630"/>
    <s v="Sports Injury"/>
    <x v="0"/>
    <x v="0"/>
    <s v="Online Search"/>
    <x v="1"/>
    <n v="60"/>
    <n v="0"/>
    <n v="67.3"/>
    <n v="1350"/>
    <x v="9"/>
    <x v="2"/>
    <n v="1"/>
    <n v="0"/>
    <n v="0"/>
    <n v="0.85"/>
  </r>
  <r>
    <s v="APT-00342"/>
    <x v="204"/>
    <x v="3"/>
    <x v="2"/>
    <x v="0"/>
    <x v="1"/>
    <s v="Thrissur"/>
    <x v="5"/>
    <s v="PT-1279"/>
    <s v="Post-op Rehab"/>
    <x v="2"/>
    <x v="2"/>
    <s v="Self Referral"/>
    <x v="0"/>
    <n v="60"/>
    <n v="60"/>
    <n v="80.099999999999994"/>
    <n v="1550"/>
    <x v="1"/>
    <x v="0"/>
    <n v="0"/>
    <n v="1"/>
    <n v="0"/>
    <n v="0.85"/>
  </r>
  <r>
    <s v="APT-00343"/>
    <x v="205"/>
    <x v="10"/>
    <x v="5"/>
    <x v="3"/>
    <x v="1"/>
    <s v="Thrissur"/>
    <x v="1"/>
    <s v="PT-1320"/>
    <s v="New Patient"/>
    <x v="3"/>
    <x v="2"/>
    <s v="Neurologist"/>
    <x v="0"/>
    <n v="45"/>
    <n v="45"/>
    <n v="54.3"/>
    <n v="1200"/>
    <x v="26"/>
    <x v="0"/>
    <n v="0"/>
    <n v="1"/>
    <n v="0"/>
    <n v="0.85"/>
  </r>
  <r>
    <s v="APT-00344"/>
    <x v="80"/>
    <x v="11"/>
    <x v="5"/>
    <x v="1"/>
    <x v="0"/>
    <s v="Palakkad"/>
    <x v="6"/>
    <s v="PT-1362"/>
    <s v="Sports Injury"/>
    <x v="0"/>
    <x v="2"/>
    <s v="Hospital Discharge"/>
    <x v="0"/>
    <n v="75"/>
    <n v="75"/>
    <n v="93.4"/>
    <n v="1550"/>
    <x v="1"/>
    <x v="0"/>
    <n v="0"/>
    <n v="1"/>
    <n v="0"/>
    <n v="0.85"/>
  </r>
  <r>
    <s v="APT-00345"/>
    <x v="97"/>
    <x v="0"/>
    <x v="0"/>
    <x v="0"/>
    <x v="2"/>
    <s v="Ernakulam"/>
    <x v="14"/>
    <s v="PT-1301"/>
    <s v="Follow-up"/>
    <x v="1"/>
    <x v="2"/>
    <s v="Orthopedic Doctor"/>
    <x v="0"/>
    <n v="45"/>
    <n v="45"/>
    <n v="60.2"/>
    <n v="1100"/>
    <x v="20"/>
    <x v="0"/>
    <n v="0"/>
    <n v="1"/>
    <n v="0"/>
    <n v="0.85"/>
  </r>
  <r>
    <s v="APT-00346"/>
    <x v="206"/>
    <x v="4"/>
    <x v="2"/>
    <x v="0"/>
    <x v="2"/>
    <s v="Ernakulam"/>
    <x v="8"/>
    <s v="PT-1318"/>
    <s v="Chronic Pain"/>
    <x v="0"/>
    <x v="3"/>
    <s v="Online Search"/>
    <x v="0"/>
    <n v="90"/>
    <n v="90"/>
    <n v="115.4"/>
    <n v="2050"/>
    <x v="31"/>
    <x v="0"/>
    <n v="0"/>
    <n v="1"/>
    <n v="0"/>
    <n v="0.85"/>
  </r>
  <r>
    <s v="APT-00347"/>
    <x v="200"/>
    <x v="1"/>
    <x v="0"/>
    <x v="2"/>
    <x v="0"/>
    <s v="Palakkad"/>
    <x v="6"/>
    <s v="PT-1418"/>
    <s v="New Patient"/>
    <x v="1"/>
    <x v="2"/>
    <s v="Orthopedic Doctor"/>
    <x v="0"/>
    <n v="60"/>
    <n v="60"/>
    <n v="75.3"/>
    <n v="1500"/>
    <x v="3"/>
    <x v="0"/>
    <n v="0"/>
    <n v="1"/>
    <n v="0"/>
    <n v="0.85"/>
  </r>
  <r>
    <s v="APT-00348"/>
    <x v="207"/>
    <x v="2"/>
    <x v="5"/>
    <x v="2"/>
    <x v="1"/>
    <s v="Thrissur"/>
    <x v="5"/>
    <s v="PT-1364"/>
    <s v="Follow-up"/>
    <x v="2"/>
    <x v="1"/>
    <s v="Neurologist"/>
    <x v="0"/>
    <n v="90"/>
    <n v="90"/>
    <n v="106.7"/>
    <n v="1700"/>
    <x v="6"/>
    <x v="0"/>
    <n v="0"/>
    <n v="1"/>
    <n v="0"/>
    <n v="0.85"/>
  </r>
  <r>
    <s v="APT-00349"/>
    <x v="112"/>
    <x v="9"/>
    <x v="1"/>
    <x v="3"/>
    <x v="1"/>
    <s v="Thrissur"/>
    <x v="5"/>
    <s v="PT-1064"/>
    <s v="Follow-up"/>
    <x v="3"/>
    <x v="0"/>
    <s v="Self Referral"/>
    <x v="0"/>
    <n v="60"/>
    <n v="60"/>
    <n v="76.099999999999994"/>
    <n v="1350"/>
    <x v="14"/>
    <x v="0"/>
    <n v="0"/>
    <n v="1"/>
    <n v="0"/>
    <n v="0.85"/>
  </r>
  <r>
    <s v="APT-00350"/>
    <x v="57"/>
    <x v="3"/>
    <x v="5"/>
    <x v="2"/>
    <x v="1"/>
    <s v="Thrissur"/>
    <x v="7"/>
    <s v="PT-1362"/>
    <s v="Follow-up"/>
    <x v="1"/>
    <x v="3"/>
    <s v="Corporate Wellness"/>
    <x v="0"/>
    <n v="30"/>
    <n v="30"/>
    <n v="33.5"/>
    <n v="600"/>
    <x v="16"/>
    <x v="0"/>
    <n v="0"/>
    <n v="1"/>
    <n v="0"/>
    <n v="0.85"/>
  </r>
  <r>
    <s v="APT-00351"/>
    <x v="42"/>
    <x v="7"/>
    <x v="1"/>
    <x v="1"/>
    <x v="1"/>
    <s v="Thrissur"/>
    <x v="10"/>
    <s v="PT-1571"/>
    <s v="Geriatric Rehab"/>
    <x v="5"/>
    <x v="3"/>
    <s v="Hospital Discharge"/>
    <x v="0"/>
    <n v="60"/>
    <n v="60"/>
    <n v="67.5"/>
    <n v="1250"/>
    <x v="5"/>
    <x v="0"/>
    <n v="0"/>
    <n v="1"/>
    <n v="0"/>
    <n v="0.85"/>
  </r>
  <r>
    <s v="APT-00352"/>
    <x v="150"/>
    <x v="6"/>
    <x v="1"/>
    <x v="3"/>
    <x v="2"/>
    <s v="Ernakulam"/>
    <x v="8"/>
    <s v="PT-1314"/>
    <s v="Follow-up"/>
    <x v="0"/>
    <x v="3"/>
    <s v="Orthopedic Doctor"/>
    <x v="2"/>
    <n v="45"/>
    <n v="0"/>
    <n v="51"/>
    <n v="1050"/>
    <x v="9"/>
    <x v="15"/>
    <n v="0"/>
    <n v="0"/>
    <n v="1"/>
    <n v="0.85"/>
  </r>
  <r>
    <s v="APT-00353"/>
    <x v="111"/>
    <x v="8"/>
    <x v="1"/>
    <x v="3"/>
    <x v="0"/>
    <s v="Palakkad"/>
    <x v="0"/>
    <s v="PT-1261"/>
    <s v="Sports Injury"/>
    <x v="0"/>
    <x v="0"/>
    <s v="Self Referral"/>
    <x v="0"/>
    <n v="30"/>
    <n v="30"/>
    <n v="32.799999999999997"/>
    <n v="600"/>
    <x v="16"/>
    <x v="0"/>
    <n v="0"/>
    <n v="1"/>
    <n v="0"/>
    <n v="0.85"/>
  </r>
  <r>
    <s v="APT-00354"/>
    <x v="24"/>
    <x v="11"/>
    <x v="1"/>
    <x v="1"/>
    <x v="1"/>
    <s v="Thrissur"/>
    <x v="7"/>
    <s v="PT-1166"/>
    <s v="Sports Injury"/>
    <x v="3"/>
    <x v="0"/>
    <s v="Online Search"/>
    <x v="0"/>
    <n v="30"/>
    <n v="30"/>
    <n v="40"/>
    <n v="700"/>
    <x v="19"/>
    <x v="0"/>
    <n v="0"/>
    <n v="1"/>
    <n v="0"/>
    <n v="0.85"/>
  </r>
  <r>
    <s v="APT-00355"/>
    <x v="208"/>
    <x v="3"/>
    <x v="1"/>
    <x v="0"/>
    <x v="1"/>
    <s v="Thrissur"/>
    <x v="5"/>
    <s v="PT-1612"/>
    <s v="Follow-up"/>
    <x v="2"/>
    <x v="1"/>
    <s v="Self Referral"/>
    <x v="0"/>
    <n v="30"/>
    <n v="30"/>
    <n v="34.9"/>
    <n v="550"/>
    <x v="29"/>
    <x v="0"/>
    <n v="0"/>
    <n v="1"/>
    <n v="0"/>
    <n v="0.85"/>
  </r>
  <r>
    <s v="APT-00356"/>
    <x v="209"/>
    <x v="4"/>
    <x v="4"/>
    <x v="3"/>
    <x v="1"/>
    <s v="Thrissur"/>
    <x v="1"/>
    <s v="PT-1442"/>
    <s v="Post-op Rehab"/>
    <x v="0"/>
    <x v="1"/>
    <s v="Hospital Discharge"/>
    <x v="1"/>
    <n v="75"/>
    <n v="0"/>
    <n v="94.8"/>
    <n v="1650"/>
    <x v="9"/>
    <x v="26"/>
    <n v="1"/>
    <n v="0"/>
    <n v="0"/>
    <n v="0.85"/>
  </r>
  <r>
    <s v="APT-00357"/>
    <x v="210"/>
    <x v="7"/>
    <x v="4"/>
    <x v="2"/>
    <x v="1"/>
    <s v="Thrissur"/>
    <x v="1"/>
    <s v="PT-1132"/>
    <s v="New Patient"/>
    <x v="1"/>
    <x v="0"/>
    <s v="Online Search"/>
    <x v="0"/>
    <n v="30"/>
    <n v="30"/>
    <n v="35.6"/>
    <n v="800"/>
    <x v="18"/>
    <x v="0"/>
    <n v="0"/>
    <n v="1"/>
    <n v="0"/>
    <n v="0.85"/>
  </r>
  <r>
    <s v="APT-00358"/>
    <x v="97"/>
    <x v="0"/>
    <x v="0"/>
    <x v="2"/>
    <x v="2"/>
    <s v="Ernakulam"/>
    <x v="14"/>
    <s v="PT-1665"/>
    <s v="New Patient"/>
    <x v="2"/>
    <x v="0"/>
    <s v="Neurologist"/>
    <x v="0"/>
    <n v="90"/>
    <n v="90"/>
    <n v="107.1"/>
    <n v="2700"/>
    <x v="34"/>
    <x v="0"/>
    <n v="0"/>
    <n v="1"/>
    <n v="0"/>
    <n v="0.85"/>
  </r>
  <r>
    <s v="APT-00359"/>
    <x v="211"/>
    <x v="4"/>
    <x v="2"/>
    <x v="2"/>
    <x v="0"/>
    <s v="Palakkad"/>
    <x v="13"/>
    <s v="PT-1562"/>
    <s v="Geriatric Rehab"/>
    <x v="5"/>
    <x v="2"/>
    <s v="Online Search"/>
    <x v="0"/>
    <n v="60"/>
    <n v="60"/>
    <n v="68.099999999999994"/>
    <n v="1250"/>
    <x v="5"/>
    <x v="0"/>
    <n v="0"/>
    <n v="1"/>
    <n v="0"/>
    <n v="0.85"/>
  </r>
  <r>
    <s v="APT-00360"/>
    <x v="38"/>
    <x v="6"/>
    <x v="4"/>
    <x v="3"/>
    <x v="2"/>
    <s v="Ernakulam"/>
    <x v="4"/>
    <s v="PT-1506"/>
    <s v="Geriatric Rehab"/>
    <x v="0"/>
    <x v="0"/>
    <s v="Self Referral"/>
    <x v="0"/>
    <n v="60"/>
    <n v="60"/>
    <n v="79.8"/>
    <n v="1500"/>
    <x v="3"/>
    <x v="0"/>
    <n v="0"/>
    <n v="1"/>
    <n v="0"/>
    <n v="0.85"/>
  </r>
  <r>
    <s v="APT-00361"/>
    <x v="165"/>
    <x v="9"/>
    <x v="2"/>
    <x v="2"/>
    <x v="2"/>
    <s v="Ernakulam"/>
    <x v="14"/>
    <s v="PT-1632"/>
    <s v="Geriatric Rehab"/>
    <x v="3"/>
    <x v="0"/>
    <s v="Hospital Discharge"/>
    <x v="0"/>
    <n v="90"/>
    <n v="90"/>
    <n v="117.7"/>
    <n v="2250"/>
    <x v="12"/>
    <x v="0"/>
    <n v="0"/>
    <n v="1"/>
    <n v="0"/>
    <n v="0.85"/>
  </r>
  <r>
    <s v="APT-00362"/>
    <x v="212"/>
    <x v="11"/>
    <x v="5"/>
    <x v="1"/>
    <x v="0"/>
    <s v="Palakkad"/>
    <x v="0"/>
    <s v="PT-1533"/>
    <s v="Follow-up"/>
    <x v="2"/>
    <x v="3"/>
    <s v="Neurologist"/>
    <x v="0"/>
    <n v="30"/>
    <n v="30"/>
    <n v="32.9"/>
    <n v="600"/>
    <x v="16"/>
    <x v="0"/>
    <n v="0"/>
    <n v="1"/>
    <n v="0"/>
    <n v="0.85"/>
  </r>
  <r>
    <s v="APT-00363"/>
    <x v="213"/>
    <x v="8"/>
    <x v="2"/>
    <x v="2"/>
    <x v="0"/>
    <s v="Palakkad"/>
    <x v="0"/>
    <s v="PT-1568"/>
    <s v="Sports Injury"/>
    <x v="2"/>
    <x v="0"/>
    <s v="Self Referral"/>
    <x v="0"/>
    <n v="60"/>
    <n v="60"/>
    <n v="67.599999999999994"/>
    <n v="1250"/>
    <x v="5"/>
    <x v="0"/>
    <n v="0"/>
    <n v="1"/>
    <n v="0"/>
    <n v="0.85"/>
  </r>
  <r>
    <s v="APT-00364"/>
    <x v="214"/>
    <x v="5"/>
    <x v="5"/>
    <x v="1"/>
    <x v="2"/>
    <s v="Ernakulam"/>
    <x v="8"/>
    <s v="PT-1534"/>
    <s v="New Patient"/>
    <x v="1"/>
    <x v="0"/>
    <s v="Hospital Discharge"/>
    <x v="2"/>
    <n v="45"/>
    <n v="0"/>
    <n v="59"/>
    <n v="1350"/>
    <x v="9"/>
    <x v="2"/>
    <n v="0"/>
    <n v="0"/>
    <n v="1"/>
    <n v="0.85"/>
  </r>
  <r>
    <s v="APT-00365"/>
    <x v="198"/>
    <x v="0"/>
    <x v="4"/>
    <x v="0"/>
    <x v="1"/>
    <s v="Thrissur"/>
    <x v="7"/>
    <s v="PT-1375"/>
    <s v="Follow-up"/>
    <x v="0"/>
    <x v="0"/>
    <s v="Orthopedic Doctor"/>
    <x v="0"/>
    <n v="45"/>
    <n v="45"/>
    <n v="50.2"/>
    <n v="1000"/>
    <x v="13"/>
    <x v="0"/>
    <n v="0"/>
    <n v="1"/>
    <n v="0"/>
    <n v="0.85"/>
  </r>
  <r>
    <s v="APT-00366"/>
    <x v="189"/>
    <x v="8"/>
    <x v="0"/>
    <x v="0"/>
    <x v="0"/>
    <s v="Palakkad"/>
    <x v="11"/>
    <s v="PT-1467"/>
    <s v="Post-op Rehab"/>
    <x v="5"/>
    <x v="0"/>
    <s v="Self Referral"/>
    <x v="0"/>
    <n v="60"/>
    <n v="60"/>
    <n v="74.3"/>
    <n v="1450"/>
    <x v="10"/>
    <x v="0"/>
    <n v="0"/>
    <n v="1"/>
    <n v="0"/>
    <n v="0.85"/>
  </r>
  <r>
    <s v="APT-00367"/>
    <x v="172"/>
    <x v="7"/>
    <x v="1"/>
    <x v="3"/>
    <x v="0"/>
    <s v="Palakkad"/>
    <x v="9"/>
    <s v="PT-1699"/>
    <s v="Chronic Pain"/>
    <x v="0"/>
    <x v="2"/>
    <s v="Neurologist"/>
    <x v="0"/>
    <n v="75"/>
    <n v="75"/>
    <n v="99.9"/>
    <n v="1550"/>
    <x v="1"/>
    <x v="0"/>
    <n v="0"/>
    <n v="1"/>
    <n v="0"/>
    <n v="0.85"/>
  </r>
  <r>
    <s v="APT-00368"/>
    <x v="148"/>
    <x v="4"/>
    <x v="0"/>
    <x v="2"/>
    <x v="0"/>
    <s v="Palakkad"/>
    <x v="13"/>
    <s v="PT-1132"/>
    <s v="Chronic Pain"/>
    <x v="2"/>
    <x v="0"/>
    <s v="Neurologist"/>
    <x v="1"/>
    <n v="60"/>
    <n v="0"/>
    <n v="66.5"/>
    <n v="1250"/>
    <x v="9"/>
    <x v="9"/>
    <n v="1"/>
    <n v="0"/>
    <n v="0"/>
    <n v="0.85"/>
  </r>
  <r>
    <s v="APT-00369"/>
    <x v="112"/>
    <x v="9"/>
    <x v="1"/>
    <x v="2"/>
    <x v="2"/>
    <s v="Ernakulam"/>
    <x v="3"/>
    <s v="PT-1013"/>
    <s v="Follow-up"/>
    <x v="1"/>
    <x v="0"/>
    <s v="Orthopedic Doctor"/>
    <x v="0"/>
    <n v="60"/>
    <n v="60"/>
    <n v="77.400000000000006"/>
    <n v="1500"/>
    <x v="3"/>
    <x v="0"/>
    <n v="0"/>
    <n v="1"/>
    <n v="0"/>
    <n v="0.85"/>
  </r>
  <r>
    <s v="APT-00370"/>
    <x v="215"/>
    <x v="9"/>
    <x v="6"/>
    <x v="2"/>
    <x v="1"/>
    <s v="Thrissur"/>
    <x v="5"/>
    <s v="PT-1457"/>
    <s v="Follow-up"/>
    <x v="5"/>
    <x v="0"/>
    <s v="Online Search"/>
    <x v="0"/>
    <n v="90"/>
    <n v="90"/>
    <n v="100.5"/>
    <n v="2000"/>
    <x v="33"/>
    <x v="0"/>
    <n v="0"/>
    <n v="1"/>
    <n v="0"/>
    <n v="0.85"/>
  </r>
  <r>
    <s v="APT-00371"/>
    <x v="114"/>
    <x v="3"/>
    <x v="5"/>
    <x v="2"/>
    <x v="1"/>
    <s v="Thrissur"/>
    <x v="1"/>
    <s v="PT-1517"/>
    <s v="Follow-up"/>
    <x v="1"/>
    <x v="1"/>
    <s v="Corporate Wellness"/>
    <x v="1"/>
    <n v="45"/>
    <n v="0"/>
    <n v="53.9"/>
    <n v="850"/>
    <x v="9"/>
    <x v="24"/>
    <n v="1"/>
    <n v="0"/>
    <n v="0"/>
    <n v="0.85"/>
  </r>
  <r>
    <s v="APT-00372"/>
    <x v="154"/>
    <x v="10"/>
    <x v="5"/>
    <x v="0"/>
    <x v="1"/>
    <s v="Thrissur"/>
    <x v="2"/>
    <s v="PT-1220"/>
    <s v="Follow-up"/>
    <x v="2"/>
    <x v="3"/>
    <s v="Neurologist"/>
    <x v="1"/>
    <n v="60"/>
    <n v="0"/>
    <n v="69.5"/>
    <n v="1250"/>
    <x v="9"/>
    <x v="9"/>
    <n v="1"/>
    <n v="0"/>
    <n v="0"/>
    <n v="0.85"/>
  </r>
  <r>
    <s v="APT-00373"/>
    <x v="122"/>
    <x v="8"/>
    <x v="2"/>
    <x v="3"/>
    <x v="2"/>
    <s v="Ernakulam"/>
    <x v="12"/>
    <s v="PT-1048"/>
    <s v="Post-op Rehab"/>
    <x v="4"/>
    <x v="1"/>
    <s v="Corporate Wellness"/>
    <x v="0"/>
    <n v="60"/>
    <n v="60"/>
    <n v="69.400000000000006"/>
    <n v="1450"/>
    <x v="10"/>
    <x v="0"/>
    <n v="0"/>
    <n v="1"/>
    <n v="0"/>
    <n v="0.85"/>
  </r>
  <r>
    <s v="APT-00374"/>
    <x v="196"/>
    <x v="10"/>
    <x v="0"/>
    <x v="2"/>
    <x v="0"/>
    <s v="Palakkad"/>
    <x v="9"/>
    <s v="PT-1106"/>
    <s v="Chronic Pain"/>
    <x v="4"/>
    <x v="1"/>
    <s v="Corporate Wellness"/>
    <x v="0"/>
    <n v="45"/>
    <n v="45"/>
    <n v="49.9"/>
    <n v="800"/>
    <x v="18"/>
    <x v="0"/>
    <n v="0"/>
    <n v="1"/>
    <n v="0"/>
    <n v="0.85"/>
  </r>
  <r>
    <s v="APT-00375"/>
    <x v="39"/>
    <x v="6"/>
    <x v="5"/>
    <x v="0"/>
    <x v="2"/>
    <s v="Ernakulam"/>
    <x v="12"/>
    <s v="PT-1204"/>
    <s v="Chronic Pain"/>
    <x v="2"/>
    <x v="0"/>
    <s v="Corporate Wellness"/>
    <x v="0"/>
    <n v="60"/>
    <n v="60"/>
    <n v="70"/>
    <n v="1500"/>
    <x v="3"/>
    <x v="0"/>
    <n v="0"/>
    <n v="1"/>
    <n v="0"/>
    <n v="0.85"/>
  </r>
  <r>
    <s v="APT-00376"/>
    <x v="104"/>
    <x v="2"/>
    <x v="3"/>
    <x v="1"/>
    <x v="1"/>
    <s v="Thrissur"/>
    <x v="7"/>
    <s v="PT-1325"/>
    <s v="Chronic Pain"/>
    <x v="0"/>
    <x v="0"/>
    <s v="Corporate Wellness"/>
    <x v="0"/>
    <n v="60"/>
    <n v="60"/>
    <n v="71"/>
    <n v="1350"/>
    <x v="14"/>
    <x v="0"/>
    <n v="0"/>
    <n v="1"/>
    <n v="0"/>
    <n v="0.85"/>
  </r>
  <r>
    <s v="APT-00377"/>
    <x v="37"/>
    <x v="5"/>
    <x v="0"/>
    <x v="2"/>
    <x v="2"/>
    <s v="Ernakulam"/>
    <x v="14"/>
    <s v="PT-1078"/>
    <s v="Sports Injury"/>
    <x v="1"/>
    <x v="3"/>
    <s v="Hospital Discharge"/>
    <x v="0"/>
    <n v="90"/>
    <n v="90"/>
    <n v="108.7"/>
    <n v="2050"/>
    <x v="31"/>
    <x v="0"/>
    <n v="0"/>
    <n v="1"/>
    <n v="0"/>
    <n v="0.85"/>
  </r>
  <r>
    <s v="APT-00378"/>
    <x v="216"/>
    <x v="3"/>
    <x v="0"/>
    <x v="2"/>
    <x v="1"/>
    <s v="Thrissur"/>
    <x v="5"/>
    <s v="PT-1030"/>
    <s v="New Patient"/>
    <x v="1"/>
    <x v="1"/>
    <s v="Orthopedic Doctor"/>
    <x v="0"/>
    <n v="60"/>
    <n v="60"/>
    <n v="79.5"/>
    <n v="1400"/>
    <x v="21"/>
    <x v="0"/>
    <n v="0"/>
    <n v="1"/>
    <n v="0"/>
    <n v="0.85"/>
  </r>
  <r>
    <s v="APT-00379"/>
    <x v="189"/>
    <x v="8"/>
    <x v="0"/>
    <x v="1"/>
    <x v="2"/>
    <s v="Ernakulam"/>
    <x v="3"/>
    <s v="PT-1272"/>
    <s v="Post-op Rehab"/>
    <x v="4"/>
    <x v="0"/>
    <s v="Neurologist"/>
    <x v="0"/>
    <n v="60"/>
    <n v="60"/>
    <n v="79"/>
    <n v="1700"/>
    <x v="6"/>
    <x v="0"/>
    <n v="0"/>
    <n v="1"/>
    <n v="0"/>
    <n v="0.85"/>
  </r>
  <r>
    <s v="APT-00380"/>
    <x v="42"/>
    <x v="7"/>
    <x v="1"/>
    <x v="3"/>
    <x v="2"/>
    <s v="Ernakulam"/>
    <x v="8"/>
    <s v="PT-1464"/>
    <s v="Follow-up"/>
    <x v="3"/>
    <x v="3"/>
    <s v="Self Referral"/>
    <x v="0"/>
    <n v="60"/>
    <n v="60"/>
    <n v="69.900000000000006"/>
    <n v="1400"/>
    <x v="21"/>
    <x v="0"/>
    <n v="0"/>
    <n v="1"/>
    <n v="0"/>
    <n v="0.85"/>
  </r>
  <r>
    <s v="APT-00381"/>
    <x v="217"/>
    <x v="5"/>
    <x v="3"/>
    <x v="1"/>
    <x v="2"/>
    <s v="Ernakulam"/>
    <x v="14"/>
    <s v="PT-1120"/>
    <s v="New Patient"/>
    <x v="3"/>
    <x v="0"/>
    <s v="Self Referral"/>
    <x v="1"/>
    <n v="45"/>
    <n v="0"/>
    <n v="59.1"/>
    <n v="1350"/>
    <x v="9"/>
    <x v="2"/>
    <n v="1"/>
    <n v="0"/>
    <n v="0"/>
    <n v="0.85"/>
  </r>
  <r>
    <s v="APT-00382"/>
    <x v="170"/>
    <x v="6"/>
    <x v="1"/>
    <x v="0"/>
    <x v="1"/>
    <s v="Thrissur"/>
    <x v="2"/>
    <s v="PT-1566"/>
    <s v="Post-op Rehab"/>
    <x v="4"/>
    <x v="2"/>
    <s v="Online Search"/>
    <x v="0"/>
    <n v="30"/>
    <n v="30"/>
    <n v="38.799999999999997"/>
    <n v="800"/>
    <x v="18"/>
    <x v="0"/>
    <n v="0"/>
    <n v="1"/>
    <n v="0"/>
    <n v="0.85"/>
  </r>
  <r>
    <s v="APT-00383"/>
    <x v="218"/>
    <x v="8"/>
    <x v="0"/>
    <x v="3"/>
    <x v="0"/>
    <s v="Palakkad"/>
    <x v="6"/>
    <s v="PT-1234"/>
    <s v="Post-op Rehab"/>
    <x v="3"/>
    <x v="2"/>
    <s v="Online Search"/>
    <x v="0"/>
    <n v="60"/>
    <n v="60"/>
    <n v="80.900000000000006"/>
    <n v="1450"/>
    <x v="10"/>
    <x v="0"/>
    <n v="0"/>
    <n v="1"/>
    <n v="0"/>
    <n v="0.85"/>
  </r>
  <r>
    <s v="APT-00384"/>
    <x v="219"/>
    <x v="3"/>
    <x v="5"/>
    <x v="2"/>
    <x v="2"/>
    <s v="Ernakulam"/>
    <x v="14"/>
    <s v="PT-1065"/>
    <s v="Follow-up"/>
    <x v="3"/>
    <x v="3"/>
    <s v="Corporate Wellness"/>
    <x v="0"/>
    <n v="45"/>
    <n v="45"/>
    <n v="53.2"/>
    <n v="1050"/>
    <x v="2"/>
    <x v="0"/>
    <n v="0"/>
    <n v="1"/>
    <n v="0"/>
    <n v="0.85"/>
  </r>
  <r>
    <s v="APT-00385"/>
    <x v="147"/>
    <x v="8"/>
    <x v="3"/>
    <x v="2"/>
    <x v="0"/>
    <s v="Palakkad"/>
    <x v="9"/>
    <s v="PT-1116"/>
    <s v="Sports Injury"/>
    <x v="0"/>
    <x v="3"/>
    <s v="Orthopedic Doctor"/>
    <x v="0"/>
    <n v="60"/>
    <n v="60"/>
    <n v="66.599999999999994"/>
    <n v="1150"/>
    <x v="15"/>
    <x v="0"/>
    <n v="0"/>
    <n v="1"/>
    <n v="0"/>
    <n v="0.85"/>
  </r>
  <r>
    <s v="APT-00386"/>
    <x v="220"/>
    <x v="0"/>
    <x v="0"/>
    <x v="2"/>
    <x v="2"/>
    <s v="Ernakulam"/>
    <x v="3"/>
    <s v="PT-1063"/>
    <s v="Post-op Rehab"/>
    <x v="5"/>
    <x v="1"/>
    <s v="Neurologist"/>
    <x v="3"/>
    <n v="60"/>
    <n v="0"/>
    <n v="80.900000000000006"/>
    <n v="1450"/>
    <x v="9"/>
    <x v="0"/>
    <n v="0"/>
    <n v="0"/>
    <n v="0"/>
    <n v="0.85"/>
  </r>
  <r>
    <s v="APT-00387"/>
    <x v="149"/>
    <x v="10"/>
    <x v="5"/>
    <x v="3"/>
    <x v="0"/>
    <s v="Palakkad"/>
    <x v="13"/>
    <s v="PT-1545"/>
    <s v="Follow-up"/>
    <x v="0"/>
    <x v="2"/>
    <s v="Orthopedic Doctor"/>
    <x v="0"/>
    <n v="30"/>
    <n v="30"/>
    <n v="39.9"/>
    <n v="600"/>
    <x v="16"/>
    <x v="0"/>
    <n v="0"/>
    <n v="1"/>
    <n v="0"/>
    <n v="0.85"/>
  </r>
  <r>
    <s v="APT-00388"/>
    <x v="221"/>
    <x v="1"/>
    <x v="3"/>
    <x v="1"/>
    <x v="1"/>
    <s v="Thrissur"/>
    <x v="7"/>
    <s v="PT-1624"/>
    <s v="New Patient"/>
    <x v="4"/>
    <x v="2"/>
    <s v="Orthopedic Doctor"/>
    <x v="1"/>
    <n v="45"/>
    <n v="0"/>
    <n v="51"/>
    <n v="1200"/>
    <x v="9"/>
    <x v="27"/>
    <n v="1"/>
    <n v="0"/>
    <n v="0"/>
    <n v="0.85"/>
  </r>
  <r>
    <s v="APT-00389"/>
    <x v="65"/>
    <x v="7"/>
    <x v="4"/>
    <x v="0"/>
    <x v="2"/>
    <s v="Ernakulam"/>
    <x v="8"/>
    <s v="PT-1359"/>
    <s v="Follow-up"/>
    <x v="5"/>
    <x v="2"/>
    <s v="Orthopedic Doctor"/>
    <x v="0"/>
    <n v="45"/>
    <n v="45"/>
    <n v="60.1"/>
    <n v="1100"/>
    <x v="20"/>
    <x v="0"/>
    <n v="0"/>
    <n v="1"/>
    <n v="0"/>
    <n v="0.85"/>
  </r>
  <r>
    <s v="APT-00390"/>
    <x v="51"/>
    <x v="6"/>
    <x v="0"/>
    <x v="0"/>
    <x v="1"/>
    <s v="Thrissur"/>
    <x v="2"/>
    <s v="PT-1479"/>
    <s v="Chronic Pain"/>
    <x v="0"/>
    <x v="3"/>
    <s v="Neurologist"/>
    <x v="1"/>
    <n v="60"/>
    <n v="0"/>
    <n v="79.3"/>
    <n v="1250"/>
    <x v="9"/>
    <x v="9"/>
    <n v="1"/>
    <n v="0"/>
    <n v="0"/>
    <n v="0.85"/>
  </r>
  <r>
    <s v="APT-00391"/>
    <x v="21"/>
    <x v="10"/>
    <x v="1"/>
    <x v="0"/>
    <x v="0"/>
    <s v="Palakkad"/>
    <x v="6"/>
    <s v="PT-1670"/>
    <s v="Follow-up"/>
    <x v="4"/>
    <x v="0"/>
    <s v="Online Search"/>
    <x v="3"/>
    <n v="30"/>
    <n v="0"/>
    <n v="35.5"/>
    <n v="600"/>
    <x v="9"/>
    <x v="0"/>
    <n v="0"/>
    <n v="0"/>
    <n v="0"/>
    <n v="0.85"/>
  </r>
  <r>
    <s v="APT-00392"/>
    <x v="81"/>
    <x v="4"/>
    <x v="1"/>
    <x v="3"/>
    <x v="2"/>
    <s v="Ernakulam"/>
    <x v="4"/>
    <s v="PT-1457"/>
    <s v="Chronic Pain"/>
    <x v="2"/>
    <x v="1"/>
    <s v="Corporate Wellness"/>
    <x v="0"/>
    <n v="45"/>
    <n v="45"/>
    <n v="57.6"/>
    <n v="950"/>
    <x v="7"/>
    <x v="0"/>
    <n v="0"/>
    <n v="1"/>
    <n v="0"/>
    <n v="0.85"/>
  </r>
  <r>
    <s v="APT-00393"/>
    <x v="3"/>
    <x v="3"/>
    <x v="3"/>
    <x v="0"/>
    <x v="1"/>
    <s v="Thrissur"/>
    <x v="5"/>
    <s v="PT-1272"/>
    <s v="Geriatric Rehab"/>
    <x v="4"/>
    <x v="2"/>
    <s v="Neurologist"/>
    <x v="0"/>
    <n v="60"/>
    <n v="60"/>
    <n v="78.099999999999994"/>
    <n v="1350"/>
    <x v="14"/>
    <x v="0"/>
    <n v="0"/>
    <n v="1"/>
    <n v="0"/>
    <n v="0.85"/>
  </r>
  <r>
    <s v="APT-00394"/>
    <x v="143"/>
    <x v="0"/>
    <x v="5"/>
    <x v="3"/>
    <x v="2"/>
    <s v="Ernakulam"/>
    <x v="4"/>
    <s v="PT-1587"/>
    <s v="New Patient"/>
    <x v="5"/>
    <x v="2"/>
    <s v="Corporate Wellness"/>
    <x v="0"/>
    <n v="45"/>
    <n v="45"/>
    <n v="58"/>
    <n v="1350"/>
    <x v="14"/>
    <x v="0"/>
    <n v="0"/>
    <n v="1"/>
    <n v="0"/>
    <n v="0.85"/>
  </r>
  <r>
    <s v="APT-00395"/>
    <x v="191"/>
    <x v="6"/>
    <x v="1"/>
    <x v="2"/>
    <x v="2"/>
    <s v="Ernakulam"/>
    <x v="8"/>
    <s v="PT-1278"/>
    <s v="Geriatric Rehab"/>
    <x v="5"/>
    <x v="2"/>
    <s v="Orthopedic Doctor"/>
    <x v="0"/>
    <n v="45"/>
    <n v="45"/>
    <n v="50.1"/>
    <n v="1100"/>
    <x v="20"/>
    <x v="0"/>
    <n v="0"/>
    <n v="1"/>
    <n v="0"/>
    <n v="0.85"/>
  </r>
  <r>
    <s v="APT-00396"/>
    <x v="222"/>
    <x v="2"/>
    <x v="4"/>
    <x v="2"/>
    <x v="2"/>
    <s v="Ernakulam"/>
    <x v="3"/>
    <s v="PT-1362"/>
    <s v="Sports Injury"/>
    <x v="5"/>
    <x v="0"/>
    <s v="Online Search"/>
    <x v="1"/>
    <n v="90"/>
    <n v="0"/>
    <n v="105.3"/>
    <n v="2250"/>
    <x v="9"/>
    <x v="7"/>
    <n v="1"/>
    <n v="0"/>
    <n v="0"/>
    <n v="0.85"/>
  </r>
  <r>
    <s v="APT-00397"/>
    <x v="91"/>
    <x v="4"/>
    <x v="3"/>
    <x v="0"/>
    <x v="1"/>
    <s v="Thrissur"/>
    <x v="10"/>
    <s v="PT-1313"/>
    <s v="Chronic Pain"/>
    <x v="0"/>
    <x v="0"/>
    <s v="Corporate Wellness"/>
    <x v="3"/>
    <n v="45"/>
    <n v="0"/>
    <n v="53.9"/>
    <n v="1000"/>
    <x v="9"/>
    <x v="0"/>
    <n v="0"/>
    <n v="0"/>
    <n v="0"/>
    <n v="0.85"/>
  </r>
  <r>
    <s v="APT-00398"/>
    <x v="223"/>
    <x v="3"/>
    <x v="3"/>
    <x v="0"/>
    <x v="1"/>
    <s v="Thrissur"/>
    <x v="10"/>
    <s v="PT-1256"/>
    <s v="Follow-up"/>
    <x v="4"/>
    <x v="2"/>
    <s v="Online Search"/>
    <x v="1"/>
    <n v="75"/>
    <n v="0"/>
    <n v="85.8"/>
    <n v="1700"/>
    <x v="9"/>
    <x v="5"/>
    <n v="1"/>
    <n v="0"/>
    <n v="0"/>
    <n v="0.85"/>
  </r>
  <r>
    <s v="APT-00399"/>
    <x v="68"/>
    <x v="5"/>
    <x v="4"/>
    <x v="1"/>
    <x v="1"/>
    <s v="Thrissur"/>
    <x v="5"/>
    <s v="PT-1501"/>
    <s v="Post-op Rehab"/>
    <x v="4"/>
    <x v="3"/>
    <s v="Orthopedic Doctor"/>
    <x v="0"/>
    <n v="45"/>
    <n v="45"/>
    <n v="59.9"/>
    <n v="1050"/>
    <x v="2"/>
    <x v="0"/>
    <n v="0"/>
    <n v="1"/>
    <n v="0"/>
    <n v="0.85"/>
  </r>
  <r>
    <s v="APT-00400"/>
    <x v="82"/>
    <x v="2"/>
    <x v="0"/>
    <x v="0"/>
    <x v="0"/>
    <s v="Palakkad"/>
    <x v="13"/>
    <s v="PT-1104"/>
    <s v="Follow-up"/>
    <x v="0"/>
    <x v="0"/>
    <s v="Corporate Wellness"/>
    <x v="1"/>
    <n v="60"/>
    <n v="0"/>
    <n v="67.7"/>
    <n v="1250"/>
    <x v="9"/>
    <x v="9"/>
    <n v="1"/>
    <n v="0"/>
    <n v="0"/>
    <n v="0.85"/>
  </r>
  <r>
    <s v="APT-00401"/>
    <x v="144"/>
    <x v="11"/>
    <x v="1"/>
    <x v="1"/>
    <x v="2"/>
    <s v="Ernakulam"/>
    <x v="12"/>
    <s v="PT-1048"/>
    <s v="Chronic Pain"/>
    <x v="1"/>
    <x v="2"/>
    <s v="Corporate Wellness"/>
    <x v="1"/>
    <n v="45"/>
    <n v="0"/>
    <n v="57.6"/>
    <n v="1100"/>
    <x v="9"/>
    <x v="6"/>
    <n v="1"/>
    <n v="0"/>
    <n v="0"/>
    <n v="0.85"/>
  </r>
  <r>
    <s v="APT-00402"/>
    <x v="34"/>
    <x v="10"/>
    <x v="2"/>
    <x v="3"/>
    <x v="2"/>
    <s v="Ernakulam"/>
    <x v="8"/>
    <s v="PT-1059"/>
    <s v="Follow-up"/>
    <x v="3"/>
    <x v="0"/>
    <s v="Orthopedic Doctor"/>
    <x v="1"/>
    <n v="60"/>
    <n v="0"/>
    <n v="68.5"/>
    <n v="1500"/>
    <x v="9"/>
    <x v="12"/>
    <n v="1"/>
    <n v="0"/>
    <n v="0"/>
    <n v="0.85"/>
  </r>
  <r>
    <s v="APT-00403"/>
    <x v="18"/>
    <x v="4"/>
    <x v="3"/>
    <x v="0"/>
    <x v="1"/>
    <s v="Thrissur"/>
    <x v="5"/>
    <s v="PT-1634"/>
    <s v="Geriatric Rehab"/>
    <x v="4"/>
    <x v="2"/>
    <s v="Neurologist"/>
    <x v="0"/>
    <n v="60"/>
    <n v="60"/>
    <n v="78.3"/>
    <n v="1350"/>
    <x v="14"/>
    <x v="0"/>
    <n v="0"/>
    <n v="1"/>
    <n v="0"/>
    <n v="0.85"/>
  </r>
  <r>
    <s v="APT-00404"/>
    <x v="12"/>
    <x v="8"/>
    <x v="1"/>
    <x v="2"/>
    <x v="0"/>
    <s v="Palakkad"/>
    <x v="6"/>
    <s v="PT-1386"/>
    <s v="New Patient"/>
    <x v="4"/>
    <x v="0"/>
    <s v="Neurologist"/>
    <x v="1"/>
    <n v="90"/>
    <n v="0"/>
    <n v="116.9"/>
    <n v="2250"/>
    <x v="9"/>
    <x v="7"/>
    <n v="1"/>
    <n v="0"/>
    <n v="0"/>
    <n v="0.85"/>
  </r>
  <r>
    <s v="APT-00405"/>
    <x v="137"/>
    <x v="7"/>
    <x v="5"/>
    <x v="1"/>
    <x v="1"/>
    <s v="Thrissur"/>
    <x v="5"/>
    <s v="PT-1674"/>
    <s v="New Patient"/>
    <x v="0"/>
    <x v="3"/>
    <s v="Orthopedic Doctor"/>
    <x v="2"/>
    <n v="60"/>
    <n v="0"/>
    <n v="66.099999999999994"/>
    <n v="1500"/>
    <x v="9"/>
    <x v="12"/>
    <n v="0"/>
    <n v="0"/>
    <n v="1"/>
    <n v="0.85"/>
  </r>
  <r>
    <s v="APT-00406"/>
    <x v="157"/>
    <x v="7"/>
    <x v="3"/>
    <x v="0"/>
    <x v="1"/>
    <s v="Thrissur"/>
    <x v="1"/>
    <s v="PT-1672"/>
    <s v="Post-op Rehab"/>
    <x v="1"/>
    <x v="0"/>
    <s v="Online Search"/>
    <x v="1"/>
    <n v="60"/>
    <n v="0"/>
    <n v="79.2"/>
    <n v="1550"/>
    <x v="9"/>
    <x v="14"/>
    <n v="1"/>
    <n v="0"/>
    <n v="0"/>
    <n v="0.85"/>
  </r>
  <r>
    <s v="APT-00407"/>
    <x v="69"/>
    <x v="4"/>
    <x v="0"/>
    <x v="0"/>
    <x v="1"/>
    <s v="Thrissur"/>
    <x v="5"/>
    <s v="PT-1115"/>
    <s v="Sports Injury"/>
    <x v="0"/>
    <x v="2"/>
    <s v="Online Search"/>
    <x v="0"/>
    <n v="45"/>
    <n v="45"/>
    <n v="54.2"/>
    <n v="1000"/>
    <x v="13"/>
    <x v="0"/>
    <n v="0"/>
    <n v="1"/>
    <n v="0"/>
    <n v="0.85"/>
  </r>
  <r>
    <s v="APT-00408"/>
    <x v="38"/>
    <x v="6"/>
    <x v="4"/>
    <x v="2"/>
    <x v="1"/>
    <s v="Thrissur"/>
    <x v="10"/>
    <s v="PT-1309"/>
    <s v="New Patient"/>
    <x v="0"/>
    <x v="1"/>
    <s v="Online Search"/>
    <x v="0"/>
    <n v="60"/>
    <n v="60"/>
    <n v="67.099999999999994"/>
    <n v="1400"/>
    <x v="21"/>
    <x v="0"/>
    <n v="0"/>
    <n v="1"/>
    <n v="0"/>
    <n v="0.85"/>
  </r>
  <r>
    <s v="APT-00409"/>
    <x v="207"/>
    <x v="2"/>
    <x v="5"/>
    <x v="3"/>
    <x v="0"/>
    <s v="Palakkad"/>
    <x v="11"/>
    <s v="PT-1390"/>
    <s v="Chronic Pain"/>
    <x v="4"/>
    <x v="2"/>
    <s v="Corporate Wellness"/>
    <x v="0"/>
    <n v="60"/>
    <n v="60"/>
    <n v="79.2"/>
    <n v="1250"/>
    <x v="5"/>
    <x v="0"/>
    <n v="0"/>
    <n v="1"/>
    <n v="0"/>
    <n v="0.85"/>
  </r>
  <r>
    <s v="APT-00410"/>
    <x v="130"/>
    <x v="3"/>
    <x v="2"/>
    <x v="0"/>
    <x v="1"/>
    <s v="Thrissur"/>
    <x v="10"/>
    <s v="PT-1386"/>
    <s v="Post-op Rehab"/>
    <x v="1"/>
    <x v="2"/>
    <s v="Corporate Wellness"/>
    <x v="0"/>
    <n v="90"/>
    <n v="90"/>
    <n v="116.6"/>
    <n v="2350"/>
    <x v="35"/>
    <x v="0"/>
    <n v="0"/>
    <n v="1"/>
    <n v="0"/>
    <n v="0.85"/>
  </r>
  <r>
    <s v="APT-00411"/>
    <x v="224"/>
    <x v="3"/>
    <x v="4"/>
    <x v="3"/>
    <x v="2"/>
    <s v="Ernakulam"/>
    <x v="14"/>
    <s v="PT-1349"/>
    <s v="New Patient"/>
    <x v="4"/>
    <x v="2"/>
    <s v="Orthopedic Doctor"/>
    <x v="0"/>
    <n v="60"/>
    <n v="60"/>
    <n v="80"/>
    <n v="1800"/>
    <x v="25"/>
    <x v="0"/>
    <n v="0"/>
    <n v="1"/>
    <n v="0"/>
    <n v="0.85"/>
  </r>
  <r>
    <s v="APT-00412"/>
    <x v="65"/>
    <x v="7"/>
    <x v="4"/>
    <x v="2"/>
    <x v="0"/>
    <s v="Palakkad"/>
    <x v="13"/>
    <s v="PT-1670"/>
    <s v="Follow-up"/>
    <x v="2"/>
    <x v="3"/>
    <s v="Self Referral"/>
    <x v="0"/>
    <n v="60"/>
    <n v="60"/>
    <n v="78.7"/>
    <n v="1150"/>
    <x v="15"/>
    <x v="0"/>
    <n v="0"/>
    <n v="1"/>
    <n v="0"/>
    <n v="0.85"/>
  </r>
  <r>
    <s v="APT-00413"/>
    <x v="109"/>
    <x v="0"/>
    <x v="1"/>
    <x v="2"/>
    <x v="0"/>
    <s v="Palakkad"/>
    <x v="9"/>
    <s v="PT-1497"/>
    <s v="New Patient"/>
    <x v="4"/>
    <x v="3"/>
    <s v="Orthopedic Doctor"/>
    <x v="1"/>
    <n v="45"/>
    <n v="0"/>
    <n v="49.5"/>
    <n v="1050"/>
    <x v="9"/>
    <x v="15"/>
    <n v="1"/>
    <n v="0"/>
    <n v="0"/>
    <n v="0.85"/>
  </r>
  <r>
    <s v="APT-00414"/>
    <x v="225"/>
    <x v="1"/>
    <x v="5"/>
    <x v="3"/>
    <x v="2"/>
    <s v="Ernakulam"/>
    <x v="3"/>
    <s v="PT-1342"/>
    <s v="Chronic Pain"/>
    <x v="2"/>
    <x v="2"/>
    <s v="Hospital Discharge"/>
    <x v="0"/>
    <n v="45"/>
    <n v="45"/>
    <n v="56.6"/>
    <n v="1100"/>
    <x v="20"/>
    <x v="0"/>
    <n v="0"/>
    <n v="1"/>
    <n v="0"/>
    <n v="0.85"/>
  </r>
  <r>
    <s v="APT-00415"/>
    <x v="60"/>
    <x v="9"/>
    <x v="1"/>
    <x v="0"/>
    <x v="2"/>
    <s v="Ernakulam"/>
    <x v="4"/>
    <s v="PT-1564"/>
    <s v="Follow-up"/>
    <x v="2"/>
    <x v="2"/>
    <s v="Hospital Discharge"/>
    <x v="0"/>
    <n v="45"/>
    <n v="45"/>
    <n v="50.2"/>
    <n v="1100"/>
    <x v="20"/>
    <x v="0"/>
    <n v="0"/>
    <n v="1"/>
    <n v="0"/>
    <n v="0.85"/>
  </r>
  <r>
    <s v="APT-00416"/>
    <x v="199"/>
    <x v="4"/>
    <x v="1"/>
    <x v="1"/>
    <x v="2"/>
    <s v="Ernakulam"/>
    <x v="8"/>
    <s v="PT-1089"/>
    <s v="New Patient"/>
    <x v="2"/>
    <x v="2"/>
    <s v="Self Referral"/>
    <x v="0"/>
    <n v="60"/>
    <n v="60"/>
    <n v="66.400000000000006"/>
    <n v="1800"/>
    <x v="25"/>
    <x v="0"/>
    <n v="0"/>
    <n v="1"/>
    <n v="0"/>
    <n v="0.85"/>
  </r>
  <r>
    <s v="APT-00417"/>
    <x v="119"/>
    <x v="1"/>
    <x v="4"/>
    <x v="1"/>
    <x v="1"/>
    <s v="Thrissur"/>
    <x v="5"/>
    <s v="PT-1085"/>
    <s v="Sports Injury"/>
    <x v="5"/>
    <x v="1"/>
    <s v="Orthopedic Doctor"/>
    <x v="0"/>
    <n v="60"/>
    <n v="60"/>
    <n v="75.2"/>
    <n v="1150"/>
    <x v="15"/>
    <x v="0"/>
    <n v="0"/>
    <n v="1"/>
    <n v="0"/>
    <n v="0.85"/>
  </r>
  <r>
    <s v="APT-00418"/>
    <x v="165"/>
    <x v="9"/>
    <x v="2"/>
    <x v="2"/>
    <x v="0"/>
    <s v="Palakkad"/>
    <x v="9"/>
    <s v="PT-1298"/>
    <s v="Follow-up"/>
    <x v="4"/>
    <x v="0"/>
    <s v="Self Referral"/>
    <x v="1"/>
    <n v="30"/>
    <n v="0"/>
    <n v="33.1"/>
    <n v="600"/>
    <x v="9"/>
    <x v="18"/>
    <n v="1"/>
    <n v="0"/>
    <n v="0"/>
    <n v="0.85"/>
  </r>
  <r>
    <s v="APT-00419"/>
    <x v="152"/>
    <x v="11"/>
    <x v="4"/>
    <x v="2"/>
    <x v="1"/>
    <s v="Thrissur"/>
    <x v="1"/>
    <s v="PT-1483"/>
    <s v="Geriatric Rehab"/>
    <x v="0"/>
    <x v="3"/>
    <s v="Hospital Discharge"/>
    <x v="0"/>
    <n v="60"/>
    <n v="60"/>
    <n v="66.2"/>
    <n v="1250"/>
    <x v="5"/>
    <x v="0"/>
    <n v="0"/>
    <n v="1"/>
    <n v="0"/>
    <n v="0.85"/>
  </r>
  <r>
    <s v="APT-00420"/>
    <x v="49"/>
    <x v="9"/>
    <x v="1"/>
    <x v="0"/>
    <x v="2"/>
    <s v="Ernakulam"/>
    <x v="8"/>
    <s v="PT-1010"/>
    <s v="Follow-up"/>
    <x v="2"/>
    <x v="2"/>
    <s v="Self Referral"/>
    <x v="1"/>
    <n v="90"/>
    <n v="0"/>
    <n v="113.1"/>
    <n v="2250"/>
    <x v="9"/>
    <x v="7"/>
    <n v="1"/>
    <n v="0"/>
    <n v="0"/>
    <n v="0.85"/>
  </r>
  <r>
    <s v="APT-00421"/>
    <x v="226"/>
    <x v="1"/>
    <x v="2"/>
    <x v="0"/>
    <x v="1"/>
    <s v="Thrissur"/>
    <x v="7"/>
    <s v="PT-1473"/>
    <s v="Post-op Rehab"/>
    <x v="2"/>
    <x v="2"/>
    <s v="Self Referral"/>
    <x v="0"/>
    <n v="45"/>
    <n v="45"/>
    <n v="59.7"/>
    <n v="1150"/>
    <x v="15"/>
    <x v="0"/>
    <n v="0"/>
    <n v="1"/>
    <n v="0"/>
    <n v="0.85"/>
  </r>
  <r>
    <s v="APT-00422"/>
    <x v="129"/>
    <x v="10"/>
    <x v="3"/>
    <x v="1"/>
    <x v="1"/>
    <s v="Thrissur"/>
    <x v="10"/>
    <s v="PT-1280"/>
    <s v="Follow-up"/>
    <x v="1"/>
    <x v="0"/>
    <s v="Corporate Wellness"/>
    <x v="2"/>
    <n v="90"/>
    <n v="0"/>
    <n v="111.5"/>
    <n v="2000"/>
    <x v="9"/>
    <x v="21"/>
    <n v="0"/>
    <n v="0"/>
    <n v="1"/>
    <n v="0.85"/>
  </r>
  <r>
    <s v="APT-00423"/>
    <x v="78"/>
    <x v="0"/>
    <x v="1"/>
    <x v="2"/>
    <x v="2"/>
    <s v="Ernakulam"/>
    <x v="4"/>
    <s v="PT-1490"/>
    <s v="Follow-up"/>
    <x v="1"/>
    <x v="0"/>
    <s v="Orthopedic Doctor"/>
    <x v="0"/>
    <n v="60"/>
    <n v="60"/>
    <n v="70.7"/>
    <n v="1500"/>
    <x v="3"/>
    <x v="0"/>
    <n v="0"/>
    <n v="1"/>
    <n v="0"/>
    <n v="0.85"/>
  </r>
  <r>
    <s v="APT-00424"/>
    <x v="214"/>
    <x v="5"/>
    <x v="5"/>
    <x v="1"/>
    <x v="2"/>
    <s v="Ernakulam"/>
    <x v="12"/>
    <s v="PT-1409"/>
    <s v="Geriatric Rehab"/>
    <x v="3"/>
    <x v="0"/>
    <s v="Self Referral"/>
    <x v="0"/>
    <n v="60"/>
    <n v="60"/>
    <n v="80.599999999999994"/>
    <n v="1500"/>
    <x v="3"/>
    <x v="0"/>
    <n v="0"/>
    <n v="1"/>
    <n v="0"/>
    <n v="0.85"/>
  </r>
  <r>
    <s v="APT-00425"/>
    <x v="82"/>
    <x v="2"/>
    <x v="0"/>
    <x v="1"/>
    <x v="2"/>
    <s v="Ernakulam"/>
    <x v="4"/>
    <s v="PT-1491"/>
    <s v="Sports Injury"/>
    <x v="1"/>
    <x v="3"/>
    <s v="Self Referral"/>
    <x v="0"/>
    <n v="75"/>
    <n v="75"/>
    <n v="85.7"/>
    <n v="1700"/>
    <x v="6"/>
    <x v="0"/>
    <n v="0"/>
    <n v="1"/>
    <n v="0"/>
    <n v="0.85"/>
  </r>
  <r>
    <s v="APT-00426"/>
    <x v="227"/>
    <x v="1"/>
    <x v="5"/>
    <x v="2"/>
    <x v="2"/>
    <s v="Ernakulam"/>
    <x v="8"/>
    <s v="PT-1113"/>
    <s v="Follow-up"/>
    <x v="1"/>
    <x v="2"/>
    <s v="Hospital Discharge"/>
    <x v="0"/>
    <n v="45"/>
    <n v="45"/>
    <n v="57.6"/>
    <n v="1100"/>
    <x v="20"/>
    <x v="0"/>
    <n v="0"/>
    <n v="1"/>
    <n v="0"/>
    <n v="0.85"/>
  </r>
  <r>
    <s v="APT-00427"/>
    <x v="163"/>
    <x v="8"/>
    <x v="0"/>
    <x v="2"/>
    <x v="2"/>
    <s v="Ernakulam"/>
    <x v="4"/>
    <s v="PT-1632"/>
    <s v="Follow-up"/>
    <x v="1"/>
    <x v="0"/>
    <s v="Corporate Wellness"/>
    <x v="0"/>
    <n v="30"/>
    <n v="30"/>
    <n v="38.5"/>
    <n v="750"/>
    <x v="27"/>
    <x v="0"/>
    <n v="0"/>
    <n v="1"/>
    <n v="0"/>
    <n v="0.85"/>
  </r>
  <r>
    <s v="APT-00428"/>
    <x v="228"/>
    <x v="1"/>
    <x v="2"/>
    <x v="3"/>
    <x v="2"/>
    <s v="Ernakulam"/>
    <x v="14"/>
    <s v="PT-1279"/>
    <s v="Follow-up"/>
    <x v="5"/>
    <x v="0"/>
    <s v="Hospital Discharge"/>
    <x v="0"/>
    <n v="75"/>
    <n v="75"/>
    <n v="99.8"/>
    <n v="1900"/>
    <x v="0"/>
    <x v="0"/>
    <n v="0"/>
    <n v="1"/>
    <n v="0"/>
    <n v="0.85"/>
  </r>
  <r>
    <s v="APT-00429"/>
    <x v="229"/>
    <x v="8"/>
    <x v="2"/>
    <x v="0"/>
    <x v="1"/>
    <s v="Thrissur"/>
    <x v="1"/>
    <s v="PT-1630"/>
    <s v="Follow-up"/>
    <x v="0"/>
    <x v="0"/>
    <s v="Self Referral"/>
    <x v="3"/>
    <n v="75"/>
    <n v="0"/>
    <n v="98.5"/>
    <n v="1700"/>
    <x v="9"/>
    <x v="0"/>
    <n v="0"/>
    <n v="0"/>
    <n v="0"/>
    <n v="0.85"/>
  </r>
  <r>
    <s v="APT-00430"/>
    <x v="112"/>
    <x v="9"/>
    <x v="1"/>
    <x v="0"/>
    <x v="2"/>
    <s v="Ernakulam"/>
    <x v="14"/>
    <s v="PT-1649"/>
    <s v="Chronic Pain"/>
    <x v="1"/>
    <x v="0"/>
    <s v="Corporate Wellness"/>
    <x v="0"/>
    <n v="75"/>
    <n v="75"/>
    <n v="82"/>
    <n v="1900"/>
    <x v="0"/>
    <x v="0"/>
    <n v="0"/>
    <n v="1"/>
    <n v="0"/>
    <n v="0.85"/>
  </r>
  <r>
    <s v="APT-00431"/>
    <x v="199"/>
    <x v="4"/>
    <x v="1"/>
    <x v="0"/>
    <x v="0"/>
    <s v="Palakkad"/>
    <x v="11"/>
    <s v="PT-1037"/>
    <s v="New Patient"/>
    <x v="2"/>
    <x v="3"/>
    <s v="Orthopedic Doctor"/>
    <x v="0"/>
    <n v="60"/>
    <n v="60"/>
    <n v="67.599999999999994"/>
    <n v="1400"/>
    <x v="21"/>
    <x v="0"/>
    <n v="0"/>
    <n v="1"/>
    <n v="0"/>
    <n v="0.85"/>
  </r>
  <r>
    <s v="APT-00432"/>
    <x v="97"/>
    <x v="0"/>
    <x v="0"/>
    <x v="2"/>
    <x v="0"/>
    <s v="Palakkad"/>
    <x v="0"/>
    <s v="PT-1451"/>
    <s v="Sports Injury"/>
    <x v="3"/>
    <x v="0"/>
    <s v="Neurologist"/>
    <x v="0"/>
    <n v="60"/>
    <n v="60"/>
    <n v="73.2"/>
    <n v="1250"/>
    <x v="5"/>
    <x v="0"/>
    <n v="0"/>
    <n v="1"/>
    <n v="0"/>
    <n v="0.85"/>
  </r>
  <r>
    <s v="APT-00433"/>
    <x v="14"/>
    <x v="1"/>
    <x v="4"/>
    <x v="3"/>
    <x v="1"/>
    <s v="Thrissur"/>
    <x v="5"/>
    <s v="PT-1548"/>
    <s v="New Patient"/>
    <x v="0"/>
    <x v="3"/>
    <s v="Self Referral"/>
    <x v="0"/>
    <n v="60"/>
    <n v="60"/>
    <n v="72.8"/>
    <n v="1500"/>
    <x v="3"/>
    <x v="0"/>
    <n v="0"/>
    <n v="1"/>
    <n v="0"/>
    <n v="0.85"/>
  </r>
  <r>
    <s v="APT-00434"/>
    <x v="112"/>
    <x v="9"/>
    <x v="1"/>
    <x v="1"/>
    <x v="1"/>
    <s v="Thrissur"/>
    <x v="10"/>
    <s v="PT-1301"/>
    <s v="Chronic Pain"/>
    <x v="1"/>
    <x v="2"/>
    <s v="Orthopedic Doctor"/>
    <x v="0"/>
    <n v="60"/>
    <n v="60"/>
    <n v="72.099999999999994"/>
    <n v="1350"/>
    <x v="14"/>
    <x v="0"/>
    <n v="0"/>
    <n v="1"/>
    <n v="0"/>
    <n v="0.85"/>
  </r>
  <r>
    <s v="APT-00435"/>
    <x v="230"/>
    <x v="6"/>
    <x v="1"/>
    <x v="3"/>
    <x v="0"/>
    <s v="Palakkad"/>
    <x v="9"/>
    <s v="PT-1147"/>
    <s v="Follow-up"/>
    <x v="0"/>
    <x v="2"/>
    <s v="Neurologist"/>
    <x v="0"/>
    <n v="60"/>
    <n v="60"/>
    <n v="71.5"/>
    <n v="1250"/>
    <x v="5"/>
    <x v="0"/>
    <n v="0"/>
    <n v="1"/>
    <n v="0"/>
    <n v="0.85"/>
  </r>
  <r>
    <s v="APT-00436"/>
    <x v="188"/>
    <x v="5"/>
    <x v="2"/>
    <x v="3"/>
    <x v="1"/>
    <s v="Thrissur"/>
    <x v="1"/>
    <s v="PT-1523"/>
    <s v="Chronic Pain"/>
    <x v="3"/>
    <x v="0"/>
    <s v="Online Search"/>
    <x v="0"/>
    <n v="60"/>
    <n v="60"/>
    <n v="70.5"/>
    <n v="1350"/>
    <x v="14"/>
    <x v="0"/>
    <n v="0"/>
    <n v="1"/>
    <n v="0"/>
    <n v="0.85"/>
  </r>
  <r>
    <s v="APT-00437"/>
    <x v="231"/>
    <x v="4"/>
    <x v="5"/>
    <x v="1"/>
    <x v="0"/>
    <s v="Palakkad"/>
    <x v="13"/>
    <s v="PT-1182"/>
    <s v="New Patient"/>
    <x v="3"/>
    <x v="1"/>
    <s v="Neurologist"/>
    <x v="0"/>
    <n v="60"/>
    <n v="60"/>
    <n v="71.5"/>
    <n v="1300"/>
    <x v="22"/>
    <x v="0"/>
    <n v="0"/>
    <n v="1"/>
    <n v="0"/>
    <n v="0.85"/>
  </r>
  <r>
    <s v="APT-00438"/>
    <x v="232"/>
    <x v="11"/>
    <x v="4"/>
    <x v="2"/>
    <x v="0"/>
    <s v="Palakkad"/>
    <x v="6"/>
    <s v="PT-1417"/>
    <s v="Follow-up"/>
    <x v="3"/>
    <x v="0"/>
    <s v="Hospital Discharge"/>
    <x v="0"/>
    <n v="90"/>
    <n v="90"/>
    <n v="105.2"/>
    <n v="1900"/>
    <x v="0"/>
    <x v="0"/>
    <n v="0"/>
    <n v="1"/>
    <n v="0"/>
    <n v="0.85"/>
  </r>
  <r>
    <s v="APT-00439"/>
    <x v="233"/>
    <x v="3"/>
    <x v="3"/>
    <x v="3"/>
    <x v="2"/>
    <s v="Ernakulam"/>
    <x v="8"/>
    <s v="PT-1468"/>
    <s v="Chronic Pain"/>
    <x v="1"/>
    <x v="2"/>
    <s v="Corporate Wellness"/>
    <x v="2"/>
    <n v="60"/>
    <n v="0"/>
    <n v="67.900000000000006"/>
    <n v="1500"/>
    <x v="9"/>
    <x v="12"/>
    <n v="0"/>
    <n v="0"/>
    <n v="1"/>
    <n v="0.85"/>
  </r>
  <r>
    <s v="APT-00440"/>
    <x v="58"/>
    <x v="11"/>
    <x v="2"/>
    <x v="3"/>
    <x v="2"/>
    <s v="Ernakulam"/>
    <x v="14"/>
    <s v="PT-1553"/>
    <s v="Follow-up"/>
    <x v="3"/>
    <x v="2"/>
    <s v="Orthopedic Doctor"/>
    <x v="0"/>
    <n v="30"/>
    <n v="30"/>
    <n v="37.5"/>
    <n v="750"/>
    <x v="27"/>
    <x v="0"/>
    <n v="0"/>
    <n v="1"/>
    <n v="0"/>
    <n v="0.85"/>
  </r>
  <r>
    <s v="APT-00441"/>
    <x v="181"/>
    <x v="7"/>
    <x v="3"/>
    <x v="0"/>
    <x v="2"/>
    <s v="Ernakulam"/>
    <x v="4"/>
    <s v="PT-1585"/>
    <s v="Chronic Pain"/>
    <x v="4"/>
    <x v="3"/>
    <s v="Self Referral"/>
    <x v="1"/>
    <n v="45"/>
    <n v="0"/>
    <n v="56.5"/>
    <n v="1050"/>
    <x v="9"/>
    <x v="15"/>
    <n v="1"/>
    <n v="0"/>
    <n v="0"/>
    <n v="0.85"/>
  </r>
  <r>
    <s v="APT-00442"/>
    <x v="168"/>
    <x v="7"/>
    <x v="1"/>
    <x v="3"/>
    <x v="1"/>
    <s v="Thrissur"/>
    <x v="1"/>
    <s v="PT-1287"/>
    <s v="Follow-up"/>
    <x v="0"/>
    <x v="0"/>
    <s v="Self Referral"/>
    <x v="0"/>
    <n v="75"/>
    <n v="75"/>
    <n v="89.7"/>
    <n v="1700"/>
    <x v="6"/>
    <x v="0"/>
    <n v="0"/>
    <n v="1"/>
    <n v="0"/>
    <n v="0.85"/>
  </r>
  <r>
    <s v="APT-00443"/>
    <x v="84"/>
    <x v="6"/>
    <x v="0"/>
    <x v="3"/>
    <x v="0"/>
    <s v="Palakkad"/>
    <x v="13"/>
    <s v="PT-1513"/>
    <s v="Post-op Rehab"/>
    <x v="0"/>
    <x v="0"/>
    <s v="Online Search"/>
    <x v="0"/>
    <n v="45"/>
    <n v="45"/>
    <n v="57"/>
    <n v="1100"/>
    <x v="20"/>
    <x v="0"/>
    <n v="0"/>
    <n v="1"/>
    <n v="0"/>
    <n v="0.85"/>
  </r>
  <r>
    <s v="APT-00444"/>
    <x v="191"/>
    <x v="6"/>
    <x v="1"/>
    <x v="2"/>
    <x v="1"/>
    <s v="Thrissur"/>
    <x v="2"/>
    <s v="PT-1072"/>
    <s v="Sports Injury"/>
    <x v="4"/>
    <x v="2"/>
    <s v="Self Referral"/>
    <x v="1"/>
    <n v="45"/>
    <n v="0"/>
    <n v="55.1"/>
    <n v="1000"/>
    <x v="9"/>
    <x v="16"/>
    <n v="1"/>
    <n v="0"/>
    <n v="0"/>
    <n v="0.85"/>
  </r>
  <r>
    <s v="APT-00445"/>
    <x v="234"/>
    <x v="1"/>
    <x v="3"/>
    <x v="1"/>
    <x v="2"/>
    <s v="Ernakulam"/>
    <x v="3"/>
    <s v="PT-1068"/>
    <s v="Post-op Rehab"/>
    <x v="0"/>
    <x v="2"/>
    <s v="Orthopedic Doctor"/>
    <x v="0"/>
    <n v="90"/>
    <n v="90"/>
    <n v="121"/>
    <n v="2600"/>
    <x v="4"/>
    <x v="0"/>
    <n v="0"/>
    <n v="1"/>
    <n v="0"/>
    <n v="0.85"/>
  </r>
  <r>
    <s v="APT-00446"/>
    <x v="212"/>
    <x v="11"/>
    <x v="5"/>
    <x v="3"/>
    <x v="2"/>
    <s v="Ernakulam"/>
    <x v="14"/>
    <s v="PT-1196"/>
    <s v="Follow-up"/>
    <x v="5"/>
    <x v="0"/>
    <s v="Neurologist"/>
    <x v="0"/>
    <n v="60"/>
    <n v="60"/>
    <n v="70.099999999999994"/>
    <n v="1500"/>
    <x v="3"/>
    <x v="0"/>
    <n v="0"/>
    <n v="1"/>
    <n v="0"/>
    <n v="0.85"/>
  </r>
  <r>
    <s v="APT-00447"/>
    <x v="170"/>
    <x v="6"/>
    <x v="1"/>
    <x v="0"/>
    <x v="2"/>
    <s v="Ernakulam"/>
    <x v="12"/>
    <s v="PT-1242"/>
    <s v="Chronic Pain"/>
    <x v="2"/>
    <x v="0"/>
    <s v="Neurologist"/>
    <x v="0"/>
    <n v="45"/>
    <n v="45"/>
    <n v="57.9"/>
    <n v="1100"/>
    <x v="20"/>
    <x v="0"/>
    <n v="0"/>
    <n v="1"/>
    <n v="0"/>
    <n v="0.85"/>
  </r>
  <r>
    <s v="APT-00448"/>
    <x v="78"/>
    <x v="0"/>
    <x v="1"/>
    <x v="3"/>
    <x v="2"/>
    <s v="Ernakulam"/>
    <x v="3"/>
    <s v="PT-1435"/>
    <s v="New Patient"/>
    <x v="4"/>
    <x v="3"/>
    <s v="Orthopedic Doctor"/>
    <x v="1"/>
    <n v="75"/>
    <n v="0"/>
    <n v="96.3"/>
    <n v="2050"/>
    <x v="9"/>
    <x v="28"/>
    <n v="1"/>
    <n v="0"/>
    <n v="0"/>
    <n v="0.85"/>
  </r>
  <r>
    <s v="APT-00449"/>
    <x v="235"/>
    <x v="0"/>
    <x v="5"/>
    <x v="3"/>
    <x v="2"/>
    <s v="Ernakulam"/>
    <x v="3"/>
    <s v="PT-1619"/>
    <s v="Chronic Pain"/>
    <x v="5"/>
    <x v="3"/>
    <s v="Hospital Discharge"/>
    <x v="2"/>
    <n v="45"/>
    <n v="0"/>
    <n v="50.3"/>
    <n v="1050"/>
    <x v="9"/>
    <x v="15"/>
    <n v="0"/>
    <n v="0"/>
    <n v="1"/>
    <n v="0.85"/>
  </r>
  <r>
    <s v="APT-00450"/>
    <x v="236"/>
    <x v="0"/>
    <x v="2"/>
    <x v="0"/>
    <x v="2"/>
    <s v="Ernakulam"/>
    <x v="12"/>
    <s v="PT-1306"/>
    <s v="Post-op Rehab"/>
    <x v="5"/>
    <x v="0"/>
    <s v="Online Search"/>
    <x v="0"/>
    <n v="45"/>
    <n v="45"/>
    <n v="56.2"/>
    <n v="1300"/>
    <x v="22"/>
    <x v="0"/>
    <n v="0"/>
    <n v="1"/>
    <n v="0"/>
    <n v="0.85"/>
  </r>
  <r>
    <s v="APT-00451"/>
    <x v="49"/>
    <x v="9"/>
    <x v="1"/>
    <x v="2"/>
    <x v="1"/>
    <s v="Thrissur"/>
    <x v="1"/>
    <s v="PT-1638"/>
    <s v="Post-op Rehab"/>
    <x v="3"/>
    <x v="0"/>
    <s v="Hospital Discharge"/>
    <x v="0"/>
    <n v="60"/>
    <n v="60"/>
    <n v="67.5"/>
    <n v="1550"/>
    <x v="1"/>
    <x v="0"/>
    <n v="0"/>
    <n v="1"/>
    <n v="0"/>
    <n v="0.85"/>
  </r>
  <r>
    <s v="APT-00452"/>
    <x v="223"/>
    <x v="3"/>
    <x v="3"/>
    <x v="3"/>
    <x v="0"/>
    <s v="Palakkad"/>
    <x v="11"/>
    <s v="PT-1417"/>
    <s v="New Patient"/>
    <x v="2"/>
    <x v="2"/>
    <s v="Neurologist"/>
    <x v="0"/>
    <n v="75"/>
    <n v="75"/>
    <n v="99.3"/>
    <n v="1900"/>
    <x v="0"/>
    <x v="0"/>
    <n v="0"/>
    <n v="1"/>
    <n v="0"/>
    <n v="0.85"/>
  </r>
  <r>
    <s v="APT-00453"/>
    <x v="44"/>
    <x v="4"/>
    <x v="1"/>
    <x v="0"/>
    <x v="1"/>
    <s v="Thrissur"/>
    <x v="10"/>
    <s v="PT-1324"/>
    <s v="Follow-up"/>
    <x v="0"/>
    <x v="2"/>
    <s v="Neurologist"/>
    <x v="1"/>
    <n v="60"/>
    <n v="0"/>
    <n v="79"/>
    <n v="1350"/>
    <x v="9"/>
    <x v="2"/>
    <n v="1"/>
    <n v="0"/>
    <n v="0"/>
    <n v="0.85"/>
  </r>
  <r>
    <s v="APT-00454"/>
    <x v="193"/>
    <x v="3"/>
    <x v="5"/>
    <x v="0"/>
    <x v="2"/>
    <s v="Ernakulam"/>
    <x v="4"/>
    <s v="PT-1105"/>
    <s v="Sports Injury"/>
    <x v="1"/>
    <x v="2"/>
    <s v="Neurologist"/>
    <x v="0"/>
    <n v="45"/>
    <n v="45"/>
    <n v="51.9"/>
    <n v="1100"/>
    <x v="20"/>
    <x v="0"/>
    <n v="0"/>
    <n v="1"/>
    <n v="0"/>
    <n v="0.85"/>
  </r>
  <r>
    <s v="APT-00455"/>
    <x v="83"/>
    <x v="1"/>
    <x v="5"/>
    <x v="1"/>
    <x v="2"/>
    <s v="Ernakulam"/>
    <x v="14"/>
    <s v="PT-1496"/>
    <s v="Geriatric Rehab"/>
    <x v="0"/>
    <x v="3"/>
    <s v="Hospital Discharge"/>
    <x v="0"/>
    <n v="30"/>
    <n v="30"/>
    <n v="39.9"/>
    <n v="700"/>
    <x v="19"/>
    <x v="0"/>
    <n v="0"/>
    <n v="1"/>
    <n v="0"/>
    <n v="0.85"/>
  </r>
  <r>
    <s v="APT-00456"/>
    <x v="30"/>
    <x v="9"/>
    <x v="3"/>
    <x v="3"/>
    <x v="2"/>
    <s v="Ernakulam"/>
    <x v="3"/>
    <s v="PT-1448"/>
    <s v="New Patient"/>
    <x v="0"/>
    <x v="0"/>
    <s v="Corporate Wellness"/>
    <x v="1"/>
    <n v="45"/>
    <n v="0"/>
    <n v="52"/>
    <n v="1350"/>
    <x v="9"/>
    <x v="2"/>
    <n v="1"/>
    <n v="0"/>
    <n v="0"/>
    <n v="0.85"/>
  </r>
  <r>
    <s v="APT-00457"/>
    <x v="96"/>
    <x v="2"/>
    <x v="0"/>
    <x v="1"/>
    <x v="1"/>
    <s v="Thrissur"/>
    <x v="5"/>
    <s v="PT-1306"/>
    <s v="Post-op Rehab"/>
    <x v="5"/>
    <x v="3"/>
    <s v="Online Search"/>
    <x v="2"/>
    <n v="60"/>
    <n v="0"/>
    <n v="66"/>
    <n v="1450"/>
    <x v="9"/>
    <x v="22"/>
    <n v="0"/>
    <n v="0"/>
    <n v="1"/>
    <n v="0.85"/>
  </r>
  <r>
    <s v="APT-00458"/>
    <x v="55"/>
    <x v="0"/>
    <x v="5"/>
    <x v="0"/>
    <x v="2"/>
    <s v="Ernakulam"/>
    <x v="14"/>
    <s v="PT-1045"/>
    <s v="New Patient"/>
    <x v="5"/>
    <x v="2"/>
    <s v="Online Search"/>
    <x v="0"/>
    <n v="45"/>
    <n v="45"/>
    <n v="54.2"/>
    <n v="1350"/>
    <x v="14"/>
    <x v="0"/>
    <n v="0"/>
    <n v="1"/>
    <n v="0"/>
    <n v="0.85"/>
  </r>
  <r>
    <s v="APT-00459"/>
    <x v="237"/>
    <x v="0"/>
    <x v="6"/>
    <x v="2"/>
    <x v="1"/>
    <s v="Thrissur"/>
    <x v="2"/>
    <s v="PT-1651"/>
    <s v="New Patient"/>
    <x v="4"/>
    <x v="0"/>
    <s v="Neurologist"/>
    <x v="0"/>
    <n v="60"/>
    <n v="60"/>
    <n v="76.2"/>
    <n v="1600"/>
    <x v="11"/>
    <x v="0"/>
    <n v="0"/>
    <n v="1"/>
    <n v="0"/>
    <n v="0.85"/>
  </r>
  <r>
    <s v="APT-00460"/>
    <x v="27"/>
    <x v="9"/>
    <x v="4"/>
    <x v="3"/>
    <x v="2"/>
    <s v="Ernakulam"/>
    <x v="3"/>
    <s v="PT-1139"/>
    <s v="Geriatric Rehab"/>
    <x v="2"/>
    <x v="0"/>
    <s v="Orthopedic Doctor"/>
    <x v="0"/>
    <n v="75"/>
    <n v="75"/>
    <n v="94.6"/>
    <n v="1900"/>
    <x v="0"/>
    <x v="0"/>
    <n v="0"/>
    <n v="1"/>
    <n v="0"/>
    <n v="0.85"/>
  </r>
  <r>
    <s v="APT-00461"/>
    <x v="238"/>
    <x v="2"/>
    <x v="2"/>
    <x v="1"/>
    <x v="2"/>
    <s v="Ernakulam"/>
    <x v="12"/>
    <s v="PT-1329"/>
    <s v="Follow-up"/>
    <x v="4"/>
    <x v="3"/>
    <s v="Self Referral"/>
    <x v="0"/>
    <n v="60"/>
    <n v="60"/>
    <n v="70.2"/>
    <n v="1400"/>
    <x v="21"/>
    <x v="0"/>
    <n v="0"/>
    <n v="1"/>
    <n v="0"/>
    <n v="0.85"/>
  </r>
  <r>
    <s v="APT-00462"/>
    <x v="53"/>
    <x v="10"/>
    <x v="4"/>
    <x v="1"/>
    <x v="1"/>
    <s v="Thrissur"/>
    <x v="1"/>
    <s v="PT-1659"/>
    <s v="Chronic Pain"/>
    <x v="4"/>
    <x v="2"/>
    <s v="Neurologist"/>
    <x v="0"/>
    <n v="45"/>
    <n v="45"/>
    <n v="58.7"/>
    <n v="1000"/>
    <x v="13"/>
    <x v="0"/>
    <n v="0"/>
    <n v="1"/>
    <n v="0"/>
    <n v="0.85"/>
  </r>
  <r>
    <s v="APT-00463"/>
    <x v="239"/>
    <x v="8"/>
    <x v="5"/>
    <x v="2"/>
    <x v="2"/>
    <s v="Ernakulam"/>
    <x v="14"/>
    <s v="PT-1419"/>
    <s v="Follow-up"/>
    <x v="1"/>
    <x v="0"/>
    <s v="Self Referral"/>
    <x v="0"/>
    <n v="60"/>
    <n v="60"/>
    <n v="67"/>
    <n v="1500"/>
    <x v="3"/>
    <x v="0"/>
    <n v="0"/>
    <n v="1"/>
    <n v="0"/>
    <n v="0.85"/>
  </r>
  <r>
    <s v="APT-00464"/>
    <x v="240"/>
    <x v="2"/>
    <x v="0"/>
    <x v="2"/>
    <x v="2"/>
    <s v="Ernakulam"/>
    <x v="14"/>
    <s v="PT-1508"/>
    <s v="Follow-up"/>
    <x v="3"/>
    <x v="0"/>
    <s v="Orthopedic Doctor"/>
    <x v="0"/>
    <n v="60"/>
    <n v="60"/>
    <n v="70.7"/>
    <n v="1500"/>
    <x v="3"/>
    <x v="0"/>
    <n v="0"/>
    <n v="1"/>
    <n v="0"/>
    <n v="0.85"/>
  </r>
  <r>
    <s v="APT-00465"/>
    <x v="121"/>
    <x v="7"/>
    <x v="2"/>
    <x v="2"/>
    <x v="2"/>
    <s v="Ernakulam"/>
    <x v="8"/>
    <s v="PT-1325"/>
    <s v="Follow-up"/>
    <x v="3"/>
    <x v="0"/>
    <s v="Orthopedic Doctor"/>
    <x v="0"/>
    <n v="45"/>
    <n v="45"/>
    <n v="52.3"/>
    <n v="1100"/>
    <x v="20"/>
    <x v="0"/>
    <n v="0"/>
    <n v="1"/>
    <n v="0"/>
    <n v="0.85"/>
  </r>
  <r>
    <s v="APT-00466"/>
    <x v="175"/>
    <x v="3"/>
    <x v="3"/>
    <x v="1"/>
    <x v="0"/>
    <s v="Palakkad"/>
    <x v="0"/>
    <s v="PT-1511"/>
    <s v="Follow-up"/>
    <x v="1"/>
    <x v="0"/>
    <s v="Corporate Wellness"/>
    <x v="0"/>
    <n v="75"/>
    <n v="75"/>
    <n v="87.6"/>
    <n v="1550"/>
    <x v="1"/>
    <x v="0"/>
    <n v="0"/>
    <n v="1"/>
    <n v="0"/>
    <n v="0.85"/>
  </r>
  <r>
    <s v="APT-00467"/>
    <x v="180"/>
    <x v="2"/>
    <x v="4"/>
    <x v="2"/>
    <x v="0"/>
    <s v="Palakkad"/>
    <x v="0"/>
    <s v="PT-1526"/>
    <s v="New Patient"/>
    <x v="1"/>
    <x v="2"/>
    <s v="Corporate Wellness"/>
    <x v="0"/>
    <n v="60"/>
    <n v="60"/>
    <n v="66.8"/>
    <n v="1500"/>
    <x v="3"/>
    <x v="0"/>
    <n v="0"/>
    <n v="1"/>
    <n v="0"/>
    <n v="0.85"/>
  </r>
  <r>
    <s v="APT-00468"/>
    <x v="112"/>
    <x v="9"/>
    <x v="1"/>
    <x v="1"/>
    <x v="1"/>
    <s v="Thrissur"/>
    <x v="2"/>
    <s v="PT-1597"/>
    <s v="Post-op Rehab"/>
    <x v="3"/>
    <x v="1"/>
    <s v="Hospital Discharge"/>
    <x v="0"/>
    <n v="75"/>
    <n v="75"/>
    <n v="90.5"/>
    <n v="1650"/>
    <x v="32"/>
    <x v="0"/>
    <n v="0"/>
    <n v="1"/>
    <n v="0"/>
    <n v="0.85"/>
  </r>
  <r>
    <s v="APT-00469"/>
    <x v="241"/>
    <x v="8"/>
    <x v="5"/>
    <x v="2"/>
    <x v="0"/>
    <s v="Palakkad"/>
    <x v="13"/>
    <s v="PT-1337"/>
    <s v="New Patient"/>
    <x v="2"/>
    <x v="1"/>
    <s v="Orthopedic Doctor"/>
    <x v="1"/>
    <n v="30"/>
    <n v="0"/>
    <n v="37.6"/>
    <n v="650"/>
    <x v="9"/>
    <x v="20"/>
    <n v="1"/>
    <n v="0"/>
    <n v="0"/>
    <n v="0.85"/>
  </r>
  <r>
    <s v="APT-00470"/>
    <x v="242"/>
    <x v="2"/>
    <x v="3"/>
    <x v="1"/>
    <x v="0"/>
    <s v="Palakkad"/>
    <x v="11"/>
    <s v="PT-1018"/>
    <s v="Post-op Rehab"/>
    <x v="1"/>
    <x v="2"/>
    <s v="Corporate Wellness"/>
    <x v="0"/>
    <n v="90"/>
    <n v="90"/>
    <n v="115"/>
    <n v="2150"/>
    <x v="30"/>
    <x v="0"/>
    <n v="0"/>
    <n v="1"/>
    <n v="0"/>
    <n v="0.85"/>
  </r>
  <r>
    <s v="APT-00471"/>
    <x v="243"/>
    <x v="9"/>
    <x v="5"/>
    <x v="3"/>
    <x v="1"/>
    <s v="Thrissur"/>
    <x v="7"/>
    <s v="PT-1296"/>
    <s v="Sports Injury"/>
    <x v="0"/>
    <x v="0"/>
    <s v="Corporate Wellness"/>
    <x v="1"/>
    <n v="60"/>
    <n v="0"/>
    <n v="77.5"/>
    <n v="1350"/>
    <x v="9"/>
    <x v="2"/>
    <n v="1"/>
    <n v="0"/>
    <n v="0"/>
    <n v="0.85"/>
  </r>
  <r>
    <s v="APT-00472"/>
    <x v="196"/>
    <x v="10"/>
    <x v="0"/>
    <x v="0"/>
    <x v="1"/>
    <s v="Thrissur"/>
    <x v="7"/>
    <s v="PT-1326"/>
    <s v="Sports Injury"/>
    <x v="0"/>
    <x v="2"/>
    <s v="Hospital Discharge"/>
    <x v="0"/>
    <n v="30"/>
    <n v="30"/>
    <n v="39.200000000000003"/>
    <n v="700"/>
    <x v="19"/>
    <x v="0"/>
    <n v="0"/>
    <n v="1"/>
    <n v="0"/>
    <n v="0.85"/>
  </r>
  <r>
    <s v="APT-00473"/>
    <x v="141"/>
    <x v="2"/>
    <x v="4"/>
    <x v="3"/>
    <x v="1"/>
    <s v="Thrissur"/>
    <x v="7"/>
    <s v="PT-1459"/>
    <s v="Geriatric Rehab"/>
    <x v="4"/>
    <x v="3"/>
    <s v="Hospital Discharge"/>
    <x v="0"/>
    <n v="60"/>
    <n v="60"/>
    <n v="76.900000000000006"/>
    <n v="1250"/>
    <x v="5"/>
    <x v="0"/>
    <n v="0"/>
    <n v="1"/>
    <n v="0"/>
    <n v="0.85"/>
  </r>
  <r>
    <s v="APT-00474"/>
    <x v="66"/>
    <x v="7"/>
    <x v="1"/>
    <x v="0"/>
    <x v="0"/>
    <s v="Palakkad"/>
    <x v="6"/>
    <s v="PT-1597"/>
    <s v="Chronic Pain"/>
    <x v="4"/>
    <x v="2"/>
    <s v="Neurologist"/>
    <x v="1"/>
    <n v="45"/>
    <n v="0"/>
    <n v="54.5"/>
    <n v="950"/>
    <x v="9"/>
    <x v="19"/>
    <n v="1"/>
    <n v="0"/>
    <n v="0"/>
    <n v="0.85"/>
  </r>
  <r>
    <s v="APT-00475"/>
    <x v="136"/>
    <x v="6"/>
    <x v="0"/>
    <x v="1"/>
    <x v="0"/>
    <s v="Palakkad"/>
    <x v="9"/>
    <s v="PT-1631"/>
    <s v="Follow-up"/>
    <x v="5"/>
    <x v="0"/>
    <s v="Neurologist"/>
    <x v="1"/>
    <n v="45"/>
    <n v="0"/>
    <n v="58.1"/>
    <n v="950"/>
    <x v="9"/>
    <x v="19"/>
    <n v="1"/>
    <n v="0"/>
    <n v="0"/>
    <n v="0.85"/>
  </r>
  <r>
    <s v="APT-00476"/>
    <x v="148"/>
    <x v="4"/>
    <x v="0"/>
    <x v="3"/>
    <x v="0"/>
    <s v="Palakkad"/>
    <x v="6"/>
    <s v="PT-1080"/>
    <s v="Follow-up"/>
    <x v="0"/>
    <x v="0"/>
    <s v="Orthopedic Doctor"/>
    <x v="0"/>
    <n v="60"/>
    <n v="60"/>
    <n v="67.7"/>
    <n v="1250"/>
    <x v="5"/>
    <x v="0"/>
    <n v="0"/>
    <n v="1"/>
    <n v="0"/>
    <n v="0.85"/>
  </r>
  <r>
    <s v="APT-00477"/>
    <x v="197"/>
    <x v="3"/>
    <x v="1"/>
    <x v="3"/>
    <x v="1"/>
    <s v="Thrissur"/>
    <x v="7"/>
    <s v="PT-1585"/>
    <s v="Sports Injury"/>
    <x v="5"/>
    <x v="1"/>
    <s v="Self Referral"/>
    <x v="1"/>
    <n v="30"/>
    <n v="0"/>
    <n v="39"/>
    <n v="550"/>
    <x v="9"/>
    <x v="29"/>
    <n v="1"/>
    <n v="0"/>
    <n v="0"/>
    <n v="0.85"/>
  </r>
  <r>
    <s v="APT-00478"/>
    <x v="50"/>
    <x v="5"/>
    <x v="3"/>
    <x v="1"/>
    <x v="0"/>
    <s v="Palakkad"/>
    <x v="9"/>
    <s v="PT-1275"/>
    <s v="Sports Injury"/>
    <x v="0"/>
    <x v="2"/>
    <s v="Hospital Discharge"/>
    <x v="0"/>
    <n v="90"/>
    <n v="90"/>
    <n v="106.7"/>
    <n v="1900"/>
    <x v="0"/>
    <x v="0"/>
    <n v="0"/>
    <n v="1"/>
    <n v="0"/>
    <n v="0.85"/>
  </r>
  <r>
    <s v="APT-00479"/>
    <x v="154"/>
    <x v="10"/>
    <x v="5"/>
    <x v="3"/>
    <x v="2"/>
    <s v="Ernakulam"/>
    <x v="4"/>
    <s v="PT-1609"/>
    <s v="Sports Injury"/>
    <x v="3"/>
    <x v="0"/>
    <s v="Corporate Wellness"/>
    <x v="0"/>
    <n v="60"/>
    <n v="60"/>
    <n v="68"/>
    <n v="1500"/>
    <x v="3"/>
    <x v="0"/>
    <n v="0"/>
    <n v="1"/>
    <n v="0"/>
    <n v="0.85"/>
  </r>
  <r>
    <s v="APT-00480"/>
    <x v="244"/>
    <x v="9"/>
    <x v="0"/>
    <x v="1"/>
    <x v="1"/>
    <s v="Thrissur"/>
    <x v="5"/>
    <s v="PT-1625"/>
    <s v="Chronic Pain"/>
    <x v="4"/>
    <x v="0"/>
    <s v="Orthopedic Doctor"/>
    <x v="0"/>
    <n v="60"/>
    <n v="60"/>
    <n v="65.7"/>
    <n v="1350"/>
    <x v="14"/>
    <x v="0"/>
    <n v="0"/>
    <n v="1"/>
    <n v="0"/>
    <n v="0.85"/>
  </r>
  <r>
    <s v="APT-00481"/>
    <x v="35"/>
    <x v="3"/>
    <x v="1"/>
    <x v="0"/>
    <x v="0"/>
    <s v="Palakkad"/>
    <x v="9"/>
    <s v="PT-1391"/>
    <s v="New Patient"/>
    <x v="0"/>
    <x v="0"/>
    <s v="Corporate Wellness"/>
    <x v="0"/>
    <n v="60"/>
    <n v="60"/>
    <n v="72.400000000000006"/>
    <n v="1500"/>
    <x v="3"/>
    <x v="0"/>
    <n v="0"/>
    <n v="1"/>
    <n v="0"/>
    <n v="0.85"/>
  </r>
  <r>
    <s v="APT-00482"/>
    <x v="139"/>
    <x v="10"/>
    <x v="1"/>
    <x v="2"/>
    <x v="2"/>
    <s v="Ernakulam"/>
    <x v="12"/>
    <s v="PT-1419"/>
    <s v="New Patient"/>
    <x v="0"/>
    <x v="0"/>
    <s v="Neurologist"/>
    <x v="0"/>
    <n v="45"/>
    <n v="45"/>
    <n v="59.7"/>
    <n v="1350"/>
    <x v="14"/>
    <x v="0"/>
    <n v="0"/>
    <n v="1"/>
    <n v="0"/>
    <n v="0.85"/>
  </r>
  <r>
    <s v="APT-00483"/>
    <x v="245"/>
    <x v="1"/>
    <x v="1"/>
    <x v="3"/>
    <x v="2"/>
    <s v="Ernakulam"/>
    <x v="8"/>
    <s v="PT-1188"/>
    <s v="Post-op Rehab"/>
    <x v="2"/>
    <x v="0"/>
    <s v="Self Referral"/>
    <x v="0"/>
    <n v="60"/>
    <n v="60"/>
    <n v="75.8"/>
    <n v="1700"/>
    <x v="6"/>
    <x v="0"/>
    <n v="0"/>
    <n v="1"/>
    <n v="0"/>
    <n v="0.85"/>
  </r>
  <r>
    <s v="APT-00484"/>
    <x v="14"/>
    <x v="1"/>
    <x v="4"/>
    <x v="2"/>
    <x v="0"/>
    <s v="Palakkad"/>
    <x v="6"/>
    <s v="PT-1179"/>
    <s v="Post-op Rehab"/>
    <x v="2"/>
    <x v="0"/>
    <s v="Hospital Discharge"/>
    <x v="3"/>
    <n v="45"/>
    <n v="0"/>
    <n v="54"/>
    <n v="1100"/>
    <x v="9"/>
    <x v="0"/>
    <n v="0"/>
    <n v="0"/>
    <n v="0"/>
    <n v="0.85"/>
  </r>
  <r>
    <s v="APT-00485"/>
    <x v="246"/>
    <x v="9"/>
    <x v="6"/>
    <x v="2"/>
    <x v="0"/>
    <s v="Palakkad"/>
    <x v="11"/>
    <s v="PT-1464"/>
    <s v="Follow-up"/>
    <x v="3"/>
    <x v="1"/>
    <s v="Neurologist"/>
    <x v="0"/>
    <n v="60"/>
    <n v="60"/>
    <n v="75.599999999999994"/>
    <n v="1050"/>
    <x v="2"/>
    <x v="0"/>
    <n v="0"/>
    <n v="1"/>
    <n v="0"/>
    <n v="0.85"/>
  </r>
  <r>
    <s v="APT-00486"/>
    <x v="142"/>
    <x v="11"/>
    <x v="3"/>
    <x v="2"/>
    <x v="0"/>
    <s v="Palakkad"/>
    <x v="0"/>
    <s v="PT-1223"/>
    <s v="New Patient"/>
    <x v="3"/>
    <x v="3"/>
    <s v="Corporate Wellness"/>
    <x v="0"/>
    <n v="60"/>
    <n v="60"/>
    <n v="77.900000000000006"/>
    <n v="1400"/>
    <x v="21"/>
    <x v="0"/>
    <n v="0"/>
    <n v="1"/>
    <n v="0"/>
    <n v="0.85"/>
  </r>
  <r>
    <s v="APT-00487"/>
    <x v="161"/>
    <x v="2"/>
    <x v="0"/>
    <x v="2"/>
    <x v="0"/>
    <s v="Palakkad"/>
    <x v="9"/>
    <s v="PT-1627"/>
    <s v="Sports Injury"/>
    <x v="0"/>
    <x v="3"/>
    <s v="Hospital Discharge"/>
    <x v="0"/>
    <n v="60"/>
    <n v="60"/>
    <n v="71.8"/>
    <n v="1150"/>
    <x v="15"/>
    <x v="0"/>
    <n v="0"/>
    <n v="1"/>
    <n v="0"/>
    <n v="0.85"/>
  </r>
  <r>
    <s v="APT-00488"/>
    <x v="247"/>
    <x v="0"/>
    <x v="4"/>
    <x v="1"/>
    <x v="1"/>
    <s v="Thrissur"/>
    <x v="7"/>
    <s v="PT-1626"/>
    <s v="Follow-up"/>
    <x v="5"/>
    <x v="3"/>
    <s v="Hospital Discharge"/>
    <x v="0"/>
    <n v="60"/>
    <n v="60"/>
    <n v="68.5"/>
    <n v="1250"/>
    <x v="5"/>
    <x v="0"/>
    <n v="0"/>
    <n v="1"/>
    <n v="0"/>
    <n v="0.85"/>
  </r>
  <r>
    <s v="APT-00489"/>
    <x v="224"/>
    <x v="3"/>
    <x v="4"/>
    <x v="2"/>
    <x v="0"/>
    <s v="Palakkad"/>
    <x v="11"/>
    <s v="PT-1073"/>
    <s v="Follow-up"/>
    <x v="5"/>
    <x v="0"/>
    <s v="Hospital Discharge"/>
    <x v="0"/>
    <n v="90"/>
    <n v="90"/>
    <n v="110.4"/>
    <n v="1900"/>
    <x v="0"/>
    <x v="0"/>
    <n v="0"/>
    <n v="1"/>
    <n v="0"/>
    <n v="0.85"/>
  </r>
  <r>
    <s v="APT-00490"/>
    <x v="242"/>
    <x v="2"/>
    <x v="3"/>
    <x v="3"/>
    <x v="2"/>
    <s v="Ernakulam"/>
    <x v="4"/>
    <s v="PT-1417"/>
    <s v="Follow-up"/>
    <x v="1"/>
    <x v="0"/>
    <s v="Corporate Wellness"/>
    <x v="0"/>
    <n v="45"/>
    <n v="45"/>
    <n v="52.9"/>
    <n v="1100"/>
    <x v="20"/>
    <x v="0"/>
    <n v="0"/>
    <n v="1"/>
    <n v="0"/>
    <n v="0.85"/>
  </r>
  <r>
    <s v="APT-00491"/>
    <x v="105"/>
    <x v="7"/>
    <x v="2"/>
    <x v="3"/>
    <x v="2"/>
    <s v="Ernakulam"/>
    <x v="3"/>
    <s v="PT-1601"/>
    <s v="Chronic Pain"/>
    <x v="1"/>
    <x v="0"/>
    <s v="Corporate Wellness"/>
    <x v="0"/>
    <n v="45"/>
    <n v="45"/>
    <n v="51.1"/>
    <n v="1100"/>
    <x v="20"/>
    <x v="0"/>
    <n v="0"/>
    <n v="1"/>
    <n v="0"/>
    <n v="0.85"/>
  </r>
  <r>
    <s v="APT-00492"/>
    <x v="172"/>
    <x v="7"/>
    <x v="1"/>
    <x v="2"/>
    <x v="2"/>
    <s v="Ernakulam"/>
    <x v="14"/>
    <s v="PT-1240"/>
    <s v="Post-op Rehab"/>
    <x v="1"/>
    <x v="2"/>
    <s v="Orthopedic Doctor"/>
    <x v="3"/>
    <n v="75"/>
    <n v="0"/>
    <n v="93.2"/>
    <n v="2150"/>
    <x v="9"/>
    <x v="0"/>
    <n v="0"/>
    <n v="0"/>
    <n v="0"/>
    <n v="0.85"/>
  </r>
  <r>
    <s v="APT-00493"/>
    <x v="76"/>
    <x v="2"/>
    <x v="0"/>
    <x v="0"/>
    <x v="2"/>
    <s v="Ernakulam"/>
    <x v="8"/>
    <s v="PT-1104"/>
    <s v="Geriatric Rehab"/>
    <x v="4"/>
    <x v="0"/>
    <s v="Corporate Wellness"/>
    <x v="1"/>
    <n v="60"/>
    <n v="0"/>
    <n v="66.900000000000006"/>
    <n v="1500"/>
    <x v="9"/>
    <x v="12"/>
    <n v="1"/>
    <n v="0"/>
    <n v="0"/>
    <n v="0.85"/>
  </r>
  <r>
    <s v="APT-00494"/>
    <x v="242"/>
    <x v="2"/>
    <x v="3"/>
    <x v="0"/>
    <x v="2"/>
    <s v="Ernakulam"/>
    <x v="3"/>
    <s v="PT-1459"/>
    <s v="Follow-up"/>
    <x v="2"/>
    <x v="0"/>
    <s v="Self Referral"/>
    <x v="0"/>
    <n v="60"/>
    <n v="60"/>
    <n v="69.5"/>
    <n v="1500"/>
    <x v="3"/>
    <x v="0"/>
    <n v="0"/>
    <n v="1"/>
    <n v="0"/>
    <n v="0.85"/>
  </r>
  <r>
    <s v="APT-00495"/>
    <x v="248"/>
    <x v="7"/>
    <x v="0"/>
    <x v="0"/>
    <x v="2"/>
    <s v="Ernakulam"/>
    <x v="14"/>
    <s v="PT-1554"/>
    <s v="Follow-up"/>
    <x v="0"/>
    <x v="2"/>
    <s v="Self Referral"/>
    <x v="0"/>
    <n v="45"/>
    <n v="45"/>
    <n v="57.6"/>
    <n v="1100"/>
    <x v="20"/>
    <x v="0"/>
    <n v="0"/>
    <n v="1"/>
    <n v="0"/>
    <n v="0.85"/>
  </r>
  <r>
    <s v="APT-00496"/>
    <x v="23"/>
    <x v="5"/>
    <x v="1"/>
    <x v="3"/>
    <x v="1"/>
    <s v="Thrissur"/>
    <x v="1"/>
    <s v="PT-1444"/>
    <s v="Post-op Rehab"/>
    <x v="2"/>
    <x v="2"/>
    <s v="Corporate Wellness"/>
    <x v="0"/>
    <n v="30"/>
    <n v="30"/>
    <n v="37.1"/>
    <n v="800"/>
    <x v="18"/>
    <x v="0"/>
    <n v="0"/>
    <n v="1"/>
    <n v="0"/>
    <n v="0.85"/>
  </r>
  <r>
    <s v="APT-00497"/>
    <x v="118"/>
    <x v="0"/>
    <x v="4"/>
    <x v="2"/>
    <x v="2"/>
    <s v="Ernakulam"/>
    <x v="8"/>
    <s v="PT-1360"/>
    <s v="Post-op Rehab"/>
    <x v="3"/>
    <x v="2"/>
    <s v="Corporate Wellness"/>
    <x v="0"/>
    <n v="75"/>
    <n v="75"/>
    <n v="98.9"/>
    <n v="2150"/>
    <x v="30"/>
    <x v="0"/>
    <n v="0"/>
    <n v="1"/>
    <n v="0"/>
    <n v="0.85"/>
  </r>
  <r>
    <s v="APT-00498"/>
    <x v="41"/>
    <x v="11"/>
    <x v="1"/>
    <x v="3"/>
    <x v="2"/>
    <s v="Ernakulam"/>
    <x v="14"/>
    <s v="PT-1609"/>
    <s v="Follow-up"/>
    <x v="0"/>
    <x v="2"/>
    <s v="Neurologist"/>
    <x v="0"/>
    <n v="45"/>
    <n v="45"/>
    <n v="56.9"/>
    <n v="1100"/>
    <x v="20"/>
    <x v="0"/>
    <n v="0"/>
    <n v="1"/>
    <n v="0"/>
    <n v="0.85"/>
  </r>
  <r>
    <s v="APT-00499"/>
    <x v="192"/>
    <x v="0"/>
    <x v="1"/>
    <x v="2"/>
    <x v="1"/>
    <s v="Thrissur"/>
    <x v="7"/>
    <s v="PT-1122"/>
    <s v="Geriatric Rehab"/>
    <x v="1"/>
    <x v="0"/>
    <s v="Neurologist"/>
    <x v="1"/>
    <n v="60"/>
    <n v="0"/>
    <n v="78.099999999999994"/>
    <n v="1350"/>
    <x v="9"/>
    <x v="2"/>
    <n v="1"/>
    <n v="0"/>
    <n v="0"/>
    <n v="0.85"/>
  </r>
  <r>
    <s v="APT-00500"/>
    <x v="194"/>
    <x v="8"/>
    <x v="4"/>
    <x v="1"/>
    <x v="0"/>
    <s v="Palakkad"/>
    <x v="6"/>
    <s v="PT-1120"/>
    <s v="Sports Injury"/>
    <x v="2"/>
    <x v="3"/>
    <s v="Neurologist"/>
    <x v="0"/>
    <n v="60"/>
    <n v="60"/>
    <n v="73.5"/>
    <n v="1150"/>
    <x v="15"/>
    <x v="0"/>
    <n v="0"/>
    <n v="1"/>
    <n v="0"/>
    <n v="0.85"/>
  </r>
  <r>
    <s v="APT-00501"/>
    <x v="115"/>
    <x v="7"/>
    <x v="0"/>
    <x v="2"/>
    <x v="2"/>
    <s v="Ernakulam"/>
    <x v="3"/>
    <s v="PT-1384"/>
    <s v="Post-op Rehab"/>
    <x v="3"/>
    <x v="3"/>
    <s v="Online Search"/>
    <x v="2"/>
    <n v="30"/>
    <n v="0"/>
    <n v="34.700000000000003"/>
    <n v="800"/>
    <x v="9"/>
    <x v="30"/>
    <n v="0"/>
    <n v="0"/>
    <n v="1"/>
    <n v="0.85"/>
  </r>
  <r>
    <s v="APT-00502"/>
    <x v="150"/>
    <x v="6"/>
    <x v="1"/>
    <x v="3"/>
    <x v="2"/>
    <s v="Ernakulam"/>
    <x v="4"/>
    <s v="PT-1428"/>
    <s v="Post-op Rehab"/>
    <x v="4"/>
    <x v="0"/>
    <s v="Online Search"/>
    <x v="0"/>
    <n v="75"/>
    <n v="75"/>
    <n v="82.6"/>
    <n v="2150"/>
    <x v="30"/>
    <x v="0"/>
    <n v="0"/>
    <n v="1"/>
    <n v="0"/>
    <n v="0.85"/>
  </r>
  <r>
    <s v="APT-00503"/>
    <x v="29"/>
    <x v="5"/>
    <x v="5"/>
    <x v="0"/>
    <x v="1"/>
    <s v="Thrissur"/>
    <x v="10"/>
    <s v="PT-1440"/>
    <s v="Post-op Rehab"/>
    <x v="5"/>
    <x v="2"/>
    <s v="Self Referral"/>
    <x v="0"/>
    <n v="60"/>
    <n v="60"/>
    <n v="78.900000000000006"/>
    <n v="1550"/>
    <x v="1"/>
    <x v="0"/>
    <n v="0"/>
    <n v="1"/>
    <n v="0"/>
    <n v="0.85"/>
  </r>
  <r>
    <s v="APT-00504"/>
    <x v="204"/>
    <x v="3"/>
    <x v="2"/>
    <x v="3"/>
    <x v="0"/>
    <s v="Palakkad"/>
    <x v="13"/>
    <s v="PT-1420"/>
    <s v="Follow-up"/>
    <x v="1"/>
    <x v="1"/>
    <s v="Neurologist"/>
    <x v="3"/>
    <n v="90"/>
    <n v="0"/>
    <n v="109.4"/>
    <n v="1600"/>
    <x v="9"/>
    <x v="0"/>
    <n v="0"/>
    <n v="0"/>
    <n v="0"/>
    <n v="0.85"/>
  </r>
  <r>
    <s v="APT-00505"/>
    <x v="36"/>
    <x v="2"/>
    <x v="1"/>
    <x v="1"/>
    <x v="0"/>
    <s v="Palakkad"/>
    <x v="9"/>
    <s v="PT-1635"/>
    <s v="Follow-up"/>
    <x v="4"/>
    <x v="2"/>
    <s v="Neurologist"/>
    <x v="0"/>
    <n v="45"/>
    <n v="45"/>
    <n v="59.5"/>
    <n v="950"/>
    <x v="7"/>
    <x v="0"/>
    <n v="0"/>
    <n v="1"/>
    <n v="0"/>
    <n v="0.85"/>
  </r>
  <r>
    <s v="APT-00506"/>
    <x v="166"/>
    <x v="10"/>
    <x v="1"/>
    <x v="1"/>
    <x v="0"/>
    <s v="Palakkad"/>
    <x v="0"/>
    <s v="PT-1067"/>
    <s v="New Patient"/>
    <x v="4"/>
    <x v="2"/>
    <s v="Hospital Discharge"/>
    <x v="1"/>
    <n v="60"/>
    <n v="0"/>
    <n v="79.099999999999994"/>
    <n v="1500"/>
    <x v="9"/>
    <x v="12"/>
    <n v="1"/>
    <n v="0"/>
    <n v="0"/>
    <n v="0.85"/>
  </r>
  <r>
    <s v="APT-00507"/>
    <x v="193"/>
    <x v="3"/>
    <x v="5"/>
    <x v="0"/>
    <x v="1"/>
    <s v="Thrissur"/>
    <x v="2"/>
    <s v="PT-1350"/>
    <s v="New Patient"/>
    <x v="0"/>
    <x v="0"/>
    <s v="Neurologist"/>
    <x v="2"/>
    <n v="60"/>
    <n v="0"/>
    <n v="77.7"/>
    <n v="1600"/>
    <x v="9"/>
    <x v="10"/>
    <n v="0"/>
    <n v="0"/>
    <n v="1"/>
    <n v="0.85"/>
  </r>
  <r>
    <s v="APT-00508"/>
    <x v="187"/>
    <x v="3"/>
    <x v="0"/>
    <x v="2"/>
    <x v="1"/>
    <s v="Thrissur"/>
    <x v="5"/>
    <s v="PT-1682"/>
    <s v="Chronic Pain"/>
    <x v="3"/>
    <x v="2"/>
    <s v="Neurologist"/>
    <x v="0"/>
    <n v="30"/>
    <n v="30"/>
    <n v="39.5"/>
    <n v="700"/>
    <x v="19"/>
    <x v="0"/>
    <n v="0"/>
    <n v="1"/>
    <n v="0"/>
    <n v="0.85"/>
  </r>
  <r>
    <s v="APT-00509"/>
    <x v="128"/>
    <x v="9"/>
    <x v="3"/>
    <x v="0"/>
    <x v="0"/>
    <s v="Palakkad"/>
    <x v="13"/>
    <s v="PT-1490"/>
    <s v="Follow-up"/>
    <x v="4"/>
    <x v="0"/>
    <s v="Online Search"/>
    <x v="2"/>
    <n v="75"/>
    <n v="0"/>
    <n v="94.4"/>
    <n v="1550"/>
    <x v="9"/>
    <x v="14"/>
    <n v="0"/>
    <n v="0"/>
    <n v="1"/>
    <n v="0.85"/>
  </r>
  <r>
    <s v="APT-00510"/>
    <x v="9"/>
    <x v="1"/>
    <x v="5"/>
    <x v="1"/>
    <x v="2"/>
    <s v="Ernakulam"/>
    <x v="4"/>
    <s v="PT-1131"/>
    <s v="Follow-up"/>
    <x v="0"/>
    <x v="0"/>
    <s v="Online Search"/>
    <x v="3"/>
    <n v="60"/>
    <n v="0"/>
    <n v="69.400000000000006"/>
    <n v="1500"/>
    <x v="9"/>
    <x v="0"/>
    <n v="0"/>
    <n v="0"/>
    <n v="0"/>
    <n v="0.85"/>
  </r>
  <r>
    <s v="APT-00511"/>
    <x v="17"/>
    <x v="0"/>
    <x v="1"/>
    <x v="1"/>
    <x v="0"/>
    <s v="Palakkad"/>
    <x v="0"/>
    <s v="PT-1212"/>
    <s v="Follow-up"/>
    <x v="1"/>
    <x v="0"/>
    <s v="Orthopedic Doctor"/>
    <x v="0"/>
    <n v="60"/>
    <n v="60"/>
    <n v="71.900000000000006"/>
    <n v="1250"/>
    <x v="5"/>
    <x v="0"/>
    <n v="0"/>
    <n v="1"/>
    <n v="0"/>
    <n v="0.85"/>
  </r>
  <r>
    <s v="APT-00512"/>
    <x v="30"/>
    <x v="9"/>
    <x v="3"/>
    <x v="1"/>
    <x v="1"/>
    <s v="Thrissur"/>
    <x v="7"/>
    <s v="PT-1062"/>
    <s v="Geriatric Rehab"/>
    <x v="3"/>
    <x v="0"/>
    <s v="Online Search"/>
    <x v="0"/>
    <n v="45"/>
    <n v="45"/>
    <n v="60"/>
    <n v="1000"/>
    <x v="13"/>
    <x v="0"/>
    <n v="0"/>
    <n v="1"/>
    <n v="0"/>
    <n v="0.85"/>
  </r>
  <r>
    <s v="APT-00513"/>
    <x v="73"/>
    <x v="10"/>
    <x v="0"/>
    <x v="0"/>
    <x v="1"/>
    <s v="Thrissur"/>
    <x v="10"/>
    <s v="PT-1533"/>
    <s v="Follow-up"/>
    <x v="4"/>
    <x v="2"/>
    <s v="Neurologist"/>
    <x v="2"/>
    <n v="45"/>
    <n v="0"/>
    <n v="60.6"/>
    <n v="1000"/>
    <x v="9"/>
    <x v="16"/>
    <n v="0"/>
    <n v="0"/>
    <n v="1"/>
    <n v="0.85"/>
  </r>
  <r>
    <s v="APT-00514"/>
    <x v="170"/>
    <x v="6"/>
    <x v="1"/>
    <x v="2"/>
    <x v="2"/>
    <s v="Ernakulam"/>
    <x v="12"/>
    <s v="PT-1571"/>
    <s v="Follow-up"/>
    <x v="4"/>
    <x v="0"/>
    <s v="Orthopedic Doctor"/>
    <x v="0"/>
    <n v="90"/>
    <n v="90"/>
    <n v="99.5"/>
    <n v="2250"/>
    <x v="12"/>
    <x v="0"/>
    <n v="0"/>
    <n v="1"/>
    <n v="0"/>
    <n v="0.85"/>
  </r>
  <r>
    <s v="APT-00515"/>
    <x v="211"/>
    <x v="4"/>
    <x v="2"/>
    <x v="2"/>
    <x v="1"/>
    <s v="Thrissur"/>
    <x v="7"/>
    <s v="PT-1356"/>
    <s v="Follow-up"/>
    <x v="0"/>
    <x v="0"/>
    <s v="Hospital Discharge"/>
    <x v="0"/>
    <n v="75"/>
    <n v="75"/>
    <n v="90.8"/>
    <n v="1700"/>
    <x v="6"/>
    <x v="0"/>
    <n v="0"/>
    <n v="1"/>
    <n v="0"/>
    <n v="0.85"/>
  </r>
  <r>
    <s v="APT-00516"/>
    <x v="56"/>
    <x v="6"/>
    <x v="4"/>
    <x v="3"/>
    <x v="0"/>
    <s v="Palakkad"/>
    <x v="6"/>
    <s v="PT-1601"/>
    <s v="Post-op Rehab"/>
    <x v="5"/>
    <x v="0"/>
    <s v="Self Referral"/>
    <x v="0"/>
    <n v="30"/>
    <n v="30"/>
    <n v="37.9"/>
    <n v="700"/>
    <x v="19"/>
    <x v="0"/>
    <n v="0"/>
    <n v="1"/>
    <n v="0"/>
    <n v="0.85"/>
  </r>
  <r>
    <s v="APT-00517"/>
    <x v="168"/>
    <x v="7"/>
    <x v="1"/>
    <x v="3"/>
    <x v="2"/>
    <s v="Ernakulam"/>
    <x v="12"/>
    <s v="PT-1367"/>
    <s v="Follow-up"/>
    <x v="1"/>
    <x v="2"/>
    <s v="Neurologist"/>
    <x v="0"/>
    <n v="60"/>
    <n v="60"/>
    <n v="81"/>
    <n v="1500"/>
    <x v="3"/>
    <x v="0"/>
    <n v="0"/>
    <n v="1"/>
    <n v="0"/>
    <n v="0.85"/>
  </r>
  <r>
    <s v="APT-00518"/>
    <x v="86"/>
    <x v="2"/>
    <x v="4"/>
    <x v="1"/>
    <x v="0"/>
    <s v="Palakkad"/>
    <x v="6"/>
    <s v="PT-1320"/>
    <s v="New Patient"/>
    <x v="3"/>
    <x v="2"/>
    <s v="Neurologist"/>
    <x v="1"/>
    <n v="60"/>
    <n v="0"/>
    <n v="74"/>
    <n v="1500"/>
    <x v="9"/>
    <x v="12"/>
    <n v="1"/>
    <n v="0"/>
    <n v="0"/>
    <n v="0.85"/>
  </r>
  <r>
    <s v="APT-00519"/>
    <x v="190"/>
    <x v="5"/>
    <x v="1"/>
    <x v="3"/>
    <x v="2"/>
    <s v="Ernakulam"/>
    <x v="8"/>
    <s v="PT-1457"/>
    <s v="New Patient"/>
    <x v="4"/>
    <x v="0"/>
    <s v="Online Search"/>
    <x v="0"/>
    <n v="30"/>
    <n v="30"/>
    <n v="34.1"/>
    <n v="900"/>
    <x v="17"/>
    <x v="0"/>
    <n v="0"/>
    <n v="1"/>
    <n v="0"/>
    <n v="0.85"/>
  </r>
  <r>
    <s v="APT-00520"/>
    <x v="81"/>
    <x v="4"/>
    <x v="1"/>
    <x v="1"/>
    <x v="1"/>
    <s v="Thrissur"/>
    <x v="10"/>
    <s v="PT-1657"/>
    <s v="Follow-up"/>
    <x v="0"/>
    <x v="2"/>
    <s v="Self Referral"/>
    <x v="0"/>
    <n v="30"/>
    <n v="30"/>
    <n v="33.9"/>
    <n v="700"/>
    <x v="19"/>
    <x v="0"/>
    <n v="0"/>
    <n v="1"/>
    <n v="0"/>
    <n v="0.85"/>
  </r>
  <r>
    <s v="APT-00521"/>
    <x v="249"/>
    <x v="7"/>
    <x v="5"/>
    <x v="1"/>
    <x v="1"/>
    <s v="Thrissur"/>
    <x v="5"/>
    <s v="PT-1549"/>
    <s v="Post-op Rehab"/>
    <x v="5"/>
    <x v="2"/>
    <s v="Hospital Discharge"/>
    <x v="0"/>
    <n v="60"/>
    <n v="60"/>
    <n v="70.5"/>
    <n v="1550"/>
    <x v="1"/>
    <x v="0"/>
    <n v="0"/>
    <n v="1"/>
    <n v="0"/>
    <n v="0.85"/>
  </r>
  <r>
    <s v="APT-00522"/>
    <x v="229"/>
    <x v="8"/>
    <x v="2"/>
    <x v="1"/>
    <x v="0"/>
    <s v="Palakkad"/>
    <x v="9"/>
    <s v="PT-1190"/>
    <s v="New Patient"/>
    <x v="5"/>
    <x v="0"/>
    <s v="Neurologist"/>
    <x v="1"/>
    <n v="90"/>
    <n v="0"/>
    <n v="114.4"/>
    <n v="2250"/>
    <x v="9"/>
    <x v="7"/>
    <n v="1"/>
    <n v="0"/>
    <n v="0"/>
    <n v="0.85"/>
  </r>
  <r>
    <s v="APT-00523"/>
    <x v="94"/>
    <x v="2"/>
    <x v="3"/>
    <x v="2"/>
    <x v="1"/>
    <s v="Thrissur"/>
    <x v="5"/>
    <s v="PT-1035"/>
    <s v="Follow-up"/>
    <x v="1"/>
    <x v="2"/>
    <s v="Corporate Wellness"/>
    <x v="0"/>
    <n v="45"/>
    <n v="45"/>
    <n v="57.6"/>
    <n v="1000"/>
    <x v="13"/>
    <x v="0"/>
    <n v="0"/>
    <n v="1"/>
    <n v="0"/>
    <n v="0.85"/>
  </r>
  <r>
    <s v="APT-00524"/>
    <x v="161"/>
    <x v="2"/>
    <x v="0"/>
    <x v="3"/>
    <x v="2"/>
    <s v="Ernakulam"/>
    <x v="8"/>
    <s v="PT-1134"/>
    <s v="Post-op Rehab"/>
    <x v="1"/>
    <x v="1"/>
    <s v="Orthopedic Doctor"/>
    <x v="0"/>
    <n v="30"/>
    <n v="30"/>
    <n v="36"/>
    <n v="750"/>
    <x v="27"/>
    <x v="0"/>
    <n v="0"/>
    <n v="1"/>
    <n v="0"/>
    <n v="0.85"/>
  </r>
  <r>
    <s v="APT-00525"/>
    <x v="250"/>
    <x v="4"/>
    <x v="1"/>
    <x v="3"/>
    <x v="0"/>
    <s v="Palakkad"/>
    <x v="9"/>
    <s v="PT-1311"/>
    <s v="Follow-up"/>
    <x v="0"/>
    <x v="0"/>
    <s v="Hospital Discharge"/>
    <x v="0"/>
    <n v="60"/>
    <n v="60"/>
    <n v="70.5"/>
    <n v="1250"/>
    <x v="5"/>
    <x v="0"/>
    <n v="0"/>
    <n v="1"/>
    <n v="0"/>
    <n v="0.85"/>
  </r>
  <r>
    <s v="APT-00526"/>
    <x v="199"/>
    <x v="4"/>
    <x v="1"/>
    <x v="3"/>
    <x v="2"/>
    <s v="Ernakulam"/>
    <x v="14"/>
    <s v="PT-1415"/>
    <s v="Sports Injury"/>
    <x v="5"/>
    <x v="0"/>
    <s v="Orthopedic Doctor"/>
    <x v="0"/>
    <n v="90"/>
    <n v="90"/>
    <n v="113.1"/>
    <n v="2250"/>
    <x v="12"/>
    <x v="0"/>
    <n v="0"/>
    <n v="1"/>
    <n v="0"/>
    <n v="0.85"/>
  </r>
  <r>
    <s v="APT-00527"/>
    <x v="212"/>
    <x v="11"/>
    <x v="5"/>
    <x v="2"/>
    <x v="2"/>
    <s v="Ernakulam"/>
    <x v="12"/>
    <s v="PT-1619"/>
    <s v="Post-op Rehab"/>
    <x v="3"/>
    <x v="1"/>
    <s v="Self Referral"/>
    <x v="0"/>
    <n v="45"/>
    <n v="45"/>
    <n v="54.6"/>
    <n v="1100"/>
    <x v="20"/>
    <x v="0"/>
    <n v="0"/>
    <n v="1"/>
    <n v="0"/>
    <n v="0.85"/>
  </r>
  <r>
    <s v="APT-00528"/>
    <x v="251"/>
    <x v="7"/>
    <x v="4"/>
    <x v="3"/>
    <x v="1"/>
    <s v="Thrissur"/>
    <x v="5"/>
    <s v="PT-1281"/>
    <s v="New Patient"/>
    <x v="1"/>
    <x v="0"/>
    <s v="Online Search"/>
    <x v="1"/>
    <n v="30"/>
    <n v="0"/>
    <n v="38"/>
    <n v="800"/>
    <x v="9"/>
    <x v="30"/>
    <n v="1"/>
    <n v="0"/>
    <n v="0"/>
    <n v="0.85"/>
  </r>
  <r>
    <s v="APT-00529"/>
    <x v="206"/>
    <x v="4"/>
    <x v="2"/>
    <x v="1"/>
    <x v="0"/>
    <s v="Palakkad"/>
    <x v="11"/>
    <s v="PT-1054"/>
    <s v="Sports Injury"/>
    <x v="2"/>
    <x v="0"/>
    <s v="Self Referral"/>
    <x v="0"/>
    <n v="45"/>
    <n v="45"/>
    <n v="57.4"/>
    <n v="950"/>
    <x v="7"/>
    <x v="0"/>
    <n v="0"/>
    <n v="1"/>
    <n v="0"/>
    <n v="0.85"/>
  </r>
  <r>
    <s v="APT-00530"/>
    <x v="245"/>
    <x v="1"/>
    <x v="1"/>
    <x v="3"/>
    <x v="1"/>
    <s v="Thrissur"/>
    <x v="1"/>
    <s v="PT-1432"/>
    <s v="Follow-up"/>
    <x v="4"/>
    <x v="0"/>
    <s v="Online Search"/>
    <x v="0"/>
    <n v="30"/>
    <n v="30"/>
    <n v="39.4"/>
    <n v="700"/>
    <x v="19"/>
    <x v="0"/>
    <n v="0"/>
    <n v="1"/>
    <n v="0"/>
    <n v="0.85"/>
  </r>
  <r>
    <s v="APT-00531"/>
    <x v="44"/>
    <x v="4"/>
    <x v="1"/>
    <x v="3"/>
    <x v="2"/>
    <s v="Ernakulam"/>
    <x v="3"/>
    <s v="PT-1114"/>
    <s v="Geriatric Rehab"/>
    <x v="1"/>
    <x v="2"/>
    <s v="Neurologist"/>
    <x v="0"/>
    <n v="45"/>
    <n v="45"/>
    <n v="57.9"/>
    <n v="1100"/>
    <x v="20"/>
    <x v="0"/>
    <n v="0"/>
    <n v="1"/>
    <n v="0"/>
    <n v="0.85"/>
  </r>
  <r>
    <s v="APT-00532"/>
    <x v="60"/>
    <x v="9"/>
    <x v="1"/>
    <x v="1"/>
    <x v="1"/>
    <s v="Thrissur"/>
    <x v="2"/>
    <s v="PT-1519"/>
    <s v="New Patient"/>
    <x v="1"/>
    <x v="0"/>
    <s v="Online Search"/>
    <x v="0"/>
    <n v="90"/>
    <n v="90"/>
    <n v="114"/>
    <n v="2450"/>
    <x v="28"/>
    <x v="0"/>
    <n v="0"/>
    <n v="1"/>
    <n v="0"/>
    <n v="0.85"/>
  </r>
  <r>
    <s v="APT-00533"/>
    <x v="21"/>
    <x v="10"/>
    <x v="1"/>
    <x v="3"/>
    <x v="1"/>
    <s v="Thrissur"/>
    <x v="10"/>
    <s v="PT-1697"/>
    <s v="Post-op Rehab"/>
    <x v="2"/>
    <x v="0"/>
    <s v="Neurologist"/>
    <x v="0"/>
    <n v="60"/>
    <n v="60"/>
    <n v="78.7"/>
    <n v="1550"/>
    <x v="1"/>
    <x v="0"/>
    <n v="0"/>
    <n v="1"/>
    <n v="0"/>
    <n v="0.85"/>
  </r>
  <r>
    <s v="APT-00534"/>
    <x v="91"/>
    <x v="4"/>
    <x v="3"/>
    <x v="0"/>
    <x v="0"/>
    <s v="Palakkad"/>
    <x v="11"/>
    <s v="PT-1267"/>
    <s v="Sports Injury"/>
    <x v="5"/>
    <x v="0"/>
    <s v="Neurologist"/>
    <x v="0"/>
    <n v="45"/>
    <n v="45"/>
    <n v="58.6"/>
    <n v="950"/>
    <x v="7"/>
    <x v="0"/>
    <n v="0"/>
    <n v="1"/>
    <n v="0"/>
    <n v="0.85"/>
  </r>
  <r>
    <s v="APT-00535"/>
    <x v="134"/>
    <x v="2"/>
    <x v="1"/>
    <x v="3"/>
    <x v="2"/>
    <s v="Ernakulam"/>
    <x v="12"/>
    <s v="PT-1285"/>
    <s v="New Patient"/>
    <x v="2"/>
    <x v="0"/>
    <s v="Orthopedic Doctor"/>
    <x v="0"/>
    <n v="60"/>
    <n v="60"/>
    <n v="67.7"/>
    <n v="1800"/>
    <x v="25"/>
    <x v="0"/>
    <n v="0"/>
    <n v="1"/>
    <n v="0"/>
    <n v="0.85"/>
  </r>
  <r>
    <s v="APT-00536"/>
    <x v="11"/>
    <x v="7"/>
    <x v="0"/>
    <x v="1"/>
    <x v="0"/>
    <s v="Palakkad"/>
    <x v="9"/>
    <s v="PT-1615"/>
    <s v="Chronic Pain"/>
    <x v="5"/>
    <x v="3"/>
    <s v="Corporate Wellness"/>
    <x v="3"/>
    <n v="60"/>
    <n v="0"/>
    <n v="73.099999999999994"/>
    <n v="1150"/>
    <x v="9"/>
    <x v="0"/>
    <n v="0"/>
    <n v="0"/>
    <n v="0"/>
    <n v="0.85"/>
  </r>
  <r>
    <s v="APT-00537"/>
    <x v="124"/>
    <x v="0"/>
    <x v="5"/>
    <x v="1"/>
    <x v="0"/>
    <s v="Palakkad"/>
    <x v="13"/>
    <s v="PT-1585"/>
    <s v="Follow-up"/>
    <x v="5"/>
    <x v="3"/>
    <s v="Self Referral"/>
    <x v="0"/>
    <n v="60"/>
    <n v="60"/>
    <n v="71.3"/>
    <n v="1150"/>
    <x v="15"/>
    <x v="0"/>
    <n v="0"/>
    <n v="1"/>
    <n v="0"/>
    <n v="0.85"/>
  </r>
  <r>
    <s v="APT-00538"/>
    <x v="21"/>
    <x v="10"/>
    <x v="1"/>
    <x v="2"/>
    <x v="1"/>
    <s v="Thrissur"/>
    <x v="2"/>
    <s v="PT-1592"/>
    <s v="Follow-up"/>
    <x v="1"/>
    <x v="2"/>
    <s v="Neurologist"/>
    <x v="0"/>
    <n v="45"/>
    <n v="45"/>
    <n v="55.7"/>
    <n v="1000"/>
    <x v="13"/>
    <x v="0"/>
    <n v="0"/>
    <n v="1"/>
    <n v="0"/>
    <n v="0.85"/>
  </r>
  <r>
    <s v="APT-00539"/>
    <x v="41"/>
    <x v="11"/>
    <x v="1"/>
    <x v="1"/>
    <x v="0"/>
    <s v="Palakkad"/>
    <x v="6"/>
    <s v="PT-1679"/>
    <s v="New Patient"/>
    <x v="3"/>
    <x v="0"/>
    <s v="Online Search"/>
    <x v="0"/>
    <n v="60"/>
    <n v="60"/>
    <n v="69"/>
    <n v="1500"/>
    <x v="3"/>
    <x v="0"/>
    <n v="0"/>
    <n v="1"/>
    <n v="0"/>
    <n v="0.85"/>
  </r>
  <r>
    <s v="APT-00540"/>
    <x v="48"/>
    <x v="1"/>
    <x v="3"/>
    <x v="2"/>
    <x v="1"/>
    <s v="Thrissur"/>
    <x v="1"/>
    <s v="PT-1368"/>
    <s v="Chronic Pain"/>
    <x v="4"/>
    <x v="0"/>
    <s v="Self Referral"/>
    <x v="1"/>
    <n v="75"/>
    <n v="0"/>
    <n v="90.1"/>
    <n v="1700"/>
    <x v="9"/>
    <x v="5"/>
    <n v="1"/>
    <n v="0"/>
    <n v="0"/>
    <n v="0.85"/>
  </r>
  <r>
    <s v="APT-00541"/>
    <x v="80"/>
    <x v="11"/>
    <x v="5"/>
    <x v="2"/>
    <x v="0"/>
    <s v="Palakkad"/>
    <x v="13"/>
    <s v="PT-1080"/>
    <s v="Post-op Rehab"/>
    <x v="1"/>
    <x v="1"/>
    <s v="Hospital Discharge"/>
    <x v="0"/>
    <n v="90"/>
    <n v="90"/>
    <n v="120"/>
    <n v="1850"/>
    <x v="24"/>
    <x v="0"/>
    <n v="0"/>
    <n v="1"/>
    <n v="0"/>
    <n v="0.85"/>
  </r>
  <r>
    <s v="APT-00542"/>
    <x v="252"/>
    <x v="6"/>
    <x v="5"/>
    <x v="0"/>
    <x v="2"/>
    <s v="Ernakulam"/>
    <x v="14"/>
    <s v="PT-1680"/>
    <s v="Follow-up"/>
    <x v="3"/>
    <x v="1"/>
    <s v="Hospital Discharge"/>
    <x v="0"/>
    <n v="60"/>
    <n v="60"/>
    <n v="68.099999999999994"/>
    <n v="1300"/>
    <x v="22"/>
    <x v="0"/>
    <n v="0"/>
    <n v="1"/>
    <n v="0"/>
    <n v="0.85"/>
  </r>
  <r>
    <s v="APT-00543"/>
    <x v="193"/>
    <x v="3"/>
    <x v="5"/>
    <x v="2"/>
    <x v="0"/>
    <s v="Palakkad"/>
    <x v="11"/>
    <s v="PT-1423"/>
    <s v="Follow-up"/>
    <x v="4"/>
    <x v="0"/>
    <s v="Online Search"/>
    <x v="0"/>
    <n v="60"/>
    <n v="60"/>
    <n v="78.3"/>
    <n v="1250"/>
    <x v="5"/>
    <x v="0"/>
    <n v="0"/>
    <n v="1"/>
    <n v="0"/>
    <n v="0.85"/>
  </r>
  <r>
    <s v="APT-00544"/>
    <x v="205"/>
    <x v="10"/>
    <x v="5"/>
    <x v="0"/>
    <x v="0"/>
    <s v="Palakkad"/>
    <x v="9"/>
    <s v="PT-1463"/>
    <s v="Follow-up"/>
    <x v="3"/>
    <x v="0"/>
    <s v="Self Referral"/>
    <x v="0"/>
    <n v="60"/>
    <n v="60"/>
    <n v="73.2"/>
    <n v="1250"/>
    <x v="5"/>
    <x v="0"/>
    <n v="0"/>
    <n v="1"/>
    <n v="0"/>
    <n v="0.85"/>
  </r>
  <r>
    <s v="APT-00545"/>
    <x v="253"/>
    <x v="5"/>
    <x v="2"/>
    <x v="1"/>
    <x v="2"/>
    <s v="Ernakulam"/>
    <x v="4"/>
    <s v="PT-1656"/>
    <s v="Follow-up"/>
    <x v="4"/>
    <x v="2"/>
    <s v="Corporate Wellness"/>
    <x v="1"/>
    <n v="45"/>
    <n v="0"/>
    <n v="54.2"/>
    <n v="1100"/>
    <x v="9"/>
    <x v="6"/>
    <n v="1"/>
    <n v="0"/>
    <n v="0"/>
    <n v="0.85"/>
  </r>
  <r>
    <s v="APT-00546"/>
    <x v="130"/>
    <x v="3"/>
    <x v="2"/>
    <x v="1"/>
    <x v="0"/>
    <s v="Palakkad"/>
    <x v="6"/>
    <s v="PT-1134"/>
    <s v="Sports Injury"/>
    <x v="3"/>
    <x v="1"/>
    <s v="Neurologist"/>
    <x v="0"/>
    <n v="75"/>
    <n v="75"/>
    <n v="85.4"/>
    <n v="1350"/>
    <x v="14"/>
    <x v="0"/>
    <n v="0"/>
    <n v="1"/>
    <n v="0"/>
    <n v="0.85"/>
  </r>
  <r>
    <s v="APT-00547"/>
    <x v="152"/>
    <x v="11"/>
    <x v="4"/>
    <x v="0"/>
    <x v="2"/>
    <s v="Ernakulam"/>
    <x v="3"/>
    <s v="PT-1679"/>
    <s v="Follow-up"/>
    <x v="0"/>
    <x v="3"/>
    <s v="Orthopedic Doctor"/>
    <x v="0"/>
    <n v="60"/>
    <n v="60"/>
    <n v="69.8"/>
    <n v="1400"/>
    <x v="21"/>
    <x v="0"/>
    <n v="0"/>
    <n v="1"/>
    <n v="0"/>
    <n v="0.85"/>
  </r>
  <r>
    <s v="APT-00548"/>
    <x v="126"/>
    <x v="11"/>
    <x v="0"/>
    <x v="3"/>
    <x v="1"/>
    <s v="Thrissur"/>
    <x v="2"/>
    <s v="PT-1535"/>
    <s v="New Patient"/>
    <x v="3"/>
    <x v="0"/>
    <s v="Self Referral"/>
    <x v="3"/>
    <n v="75"/>
    <n v="0"/>
    <n v="90.1"/>
    <n v="2000"/>
    <x v="9"/>
    <x v="0"/>
    <n v="0"/>
    <n v="0"/>
    <n v="0"/>
    <n v="0.85"/>
  </r>
  <r>
    <s v="APT-00549"/>
    <x v="10"/>
    <x v="6"/>
    <x v="2"/>
    <x v="0"/>
    <x v="2"/>
    <s v="Ernakulam"/>
    <x v="8"/>
    <s v="PT-1088"/>
    <s v="Chronic Pain"/>
    <x v="4"/>
    <x v="0"/>
    <s v="Orthopedic Doctor"/>
    <x v="0"/>
    <n v="60"/>
    <n v="60"/>
    <n v="78.599999999999994"/>
    <n v="1500"/>
    <x v="3"/>
    <x v="0"/>
    <n v="0"/>
    <n v="1"/>
    <n v="0"/>
    <n v="0.85"/>
  </r>
  <r>
    <s v="APT-00550"/>
    <x v="233"/>
    <x v="3"/>
    <x v="3"/>
    <x v="2"/>
    <x v="0"/>
    <s v="Palakkad"/>
    <x v="0"/>
    <s v="PT-1418"/>
    <s v="Follow-up"/>
    <x v="1"/>
    <x v="1"/>
    <s v="Self Referral"/>
    <x v="1"/>
    <n v="45"/>
    <n v="0"/>
    <n v="50.2"/>
    <n v="800"/>
    <x v="9"/>
    <x v="30"/>
    <n v="1"/>
    <n v="0"/>
    <n v="0"/>
    <n v="0.85"/>
  </r>
  <r>
    <s v="APT-00551"/>
    <x v="175"/>
    <x v="3"/>
    <x v="3"/>
    <x v="2"/>
    <x v="1"/>
    <s v="Thrissur"/>
    <x v="2"/>
    <s v="PT-1476"/>
    <s v="Post-op Rehab"/>
    <x v="0"/>
    <x v="0"/>
    <s v="Online Search"/>
    <x v="1"/>
    <n v="60"/>
    <n v="0"/>
    <n v="80.099999999999994"/>
    <n v="1550"/>
    <x v="9"/>
    <x v="14"/>
    <n v="1"/>
    <n v="0"/>
    <n v="0"/>
    <n v="0.85"/>
  </r>
  <r>
    <s v="APT-00552"/>
    <x v="175"/>
    <x v="3"/>
    <x v="3"/>
    <x v="1"/>
    <x v="1"/>
    <s v="Thrissur"/>
    <x v="5"/>
    <s v="PT-1557"/>
    <s v="Sports Injury"/>
    <x v="1"/>
    <x v="0"/>
    <s v="Online Search"/>
    <x v="1"/>
    <n v="60"/>
    <n v="0"/>
    <n v="79.900000000000006"/>
    <n v="1350"/>
    <x v="9"/>
    <x v="2"/>
    <n v="1"/>
    <n v="0"/>
    <n v="0"/>
    <n v="0.85"/>
  </r>
  <r>
    <s v="APT-00553"/>
    <x v="1"/>
    <x v="1"/>
    <x v="1"/>
    <x v="0"/>
    <x v="2"/>
    <s v="Ernakulam"/>
    <x v="4"/>
    <s v="PT-1675"/>
    <s v="Geriatric Rehab"/>
    <x v="3"/>
    <x v="0"/>
    <s v="Orthopedic Doctor"/>
    <x v="0"/>
    <n v="75"/>
    <n v="75"/>
    <n v="96.4"/>
    <n v="1900"/>
    <x v="0"/>
    <x v="0"/>
    <n v="0"/>
    <n v="1"/>
    <n v="0"/>
    <n v="0.85"/>
  </r>
  <r>
    <s v="APT-00554"/>
    <x v="245"/>
    <x v="1"/>
    <x v="1"/>
    <x v="3"/>
    <x v="1"/>
    <s v="Thrissur"/>
    <x v="1"/>
    <s v="PT-1362"/>
    <s v="Follow-up"/>
    <x v="2"/>
    <x v="0"/>
    <s v="Self Referral"/>
    <x v="0"/>
    <n v="60"/>
    <n v="60"/>
    <n v="69.8"/>
    <n v="1350"/>
    <x v="14"/>
    <x v="0"/>
    <n v="0"/>
    <n v="1"/>
    <n v="0"/>
    <n v="0.85"/>
  </r>
  <r>
    <s v="APT-00555"/>
    <x v="254"/>
    <x v="11"/>
    <x v="5"/>
    <x v="0"/>
    <x v="2"/>
    <s v="Ernakulam"/>
    <x v="4"/>
    <s v="PT-1612"/>
    <s v="New Patient"/>
    <x v="2"/>
    <x v="1"/>
    <s v="Self Referral"/>
    <x v="0"/>
    <n v="60"/>
    <n v="60"/>
    <n v="71.900000000000006"/>
    <n v="1550"/>
    <x v="1"/>
    <x v="0"/>
    <n v="0"/>
    <n v="1"/>
    <n v="0"/>
    <n v="0.85"/>
  </r>
  <r>
    <s v="APT-00556"/>
    <x v="190"/>
    <x v="5"/>
    <x v="1"/>
    <x v="3"/>
    <x v="0"/>
    <s v="Palakkad"/>
    <x v="0"/>
    <s v="PT-1152"/>
    <s v="New Patient"/>
    <x v="1"/>
    <x v="0"/>
    <s v="Hospital Discharge"/>
    <x v="1"/>
    <n v="60"/>
    <n v="0"/>
    <n v="74.2"/>
    <n v="1500"/>
    <x v="9"/>
    <x v="12"/>
    <n v="1"/>
    <n v="0"/>
    <n v="0"/>
    <n v="0.85"/>
  </r>
  <r>
    <s v="APT-00557"/>
    <x v="93"/>
    <x v="8"/>
    <x v="0"/>
    <x v="0"/>
    <x v="1"/>
    <s v="Thrissur"/>
    <x v="7"/>
    <s v="PT-1474"/>
    <s v="New Patient"/>
    <x v="2"/>
    <x v="3"/>
    <s v="Online Search"/>
    <x v="0"/>
    <n v="60"/>
    <n v="60"/>
    <n v="73.8"/>
    <n v="1500"/>
    <x v="3"/>
    <x v="0"/>
    <n v="0"/>
    <n v="1"/>
    <n v="0"/>
    <n v="0.85"/>
  </r>
  <r>
    <s v="APT-00558"/>
    <x v="73"/>
    <x v="10"/>
    <x v="0"/>
    <x v="3"/>
    <x v="0"/>
    <s v="Palakkad"/>
    <x v="0"/>
    <s v="PT-1251"/>
    <s v="Geriatric Rehab"/>
    <x v="4"/>
    <x v="0"/>
    <s v="Orthopedic Doctor"/>
    <x v="1"/>
    <n v="75"/>
    <n v="0"/>
    <n v="96"/>
    <n v="1550"/>
    <x v="9"/>
    <x v="14"/>
    <n v="1"/>
    <n v="0"/>
    <n v="0"/>
    <n v="0.85"/>
  </r>
  <r>
    <s v="APT-00559"/>
    <x v="74"/>
    <x v="10"/>
    <x v="3"/>
    <x v="3"/>
    <x v="1"/>
    <s v="Thrissur"/>
    <x v="5"/>
    <s v="PT-1060"/>
    <s v="Follow-up"/>
    <x v="2"/>
    <x v="3"/>
    <s v="Online Search"/>
    <x v="0"/>
    <n v="45"/>
    <n v="45"/>
    <n v="55.7"/>
    <n v="950"/>
    <x v="7"/>
    <x v="0"/>
    <n v="0"/>
    <n v="1"/>
    <n v="0"/>
    <n v="0.85"/>
  </r>
  <r>
    <s v="APT-00560"/>
    <x v="69"/>
    <x v="4"/>
    <x v="0"/>
    <x v="0"/>
    <x v="0"/>
    <s v="Palakkad"/>
    <x v="11"/>
    <s v="PT-1535"/>
    <s v="Follow-up"/>
    <x v="2"/>
    <x v="0"/>
    <s v="Neurologist"/>
    <x v="0"/>
    <n v="45"/>
    <n v="45"/>
    <n v="54"/>
    <n v="950"/>
    <x v="7"/>
    <x v="0"/>
    <n v="0"/>
    <n v="1"/>
    <n v="0"/>
    <n v="0.85"/>
  </r>
  <r>
    <s v="APT-00561"/>
    <x v="186"/>
    <x v="3"/>
    <x v="1"/>
    <x v="3"/>
    <x v="0"/>
    <s v="Palakkad"/>
    <x v="6"/>
    <s v="PT-1255"/>
    <s v="New Patient"/>
    <x v="0"/>
    <x v="2"/>
    <s v="Hospital Discharge"/>
    <x v="0"/>
    <n v="90"/>
    <n v="90"/>
    <n v="115.4"/>
    <n v="2250"/>
    <x v="12"/>
    <x v="0"/>
    <n v="0"/>
    <n v="1"/>
    <n v="0"/>
    <n v="0.85"/>
  </r>
  <r>
    <s v="APT-00562"/>
    <x v="114"/>
    <x v="3"/>
    <x v="5"/>
    <x v="1"/>
    <x v="2"/>
    <s v="Ernakulam"/>
    <x v="12"/>
    <s v="PT-1567"/>
    <s v="Follow-up"/>
    <x v="1"/>
    <x v="0"/>
    <s v="Hospital Discharge"/>
    <x v="0"/>
    <n v="30"/>
    <n v="30"/>
    <n v="37.4"/>
    <n v="750"/>
    <x v="27"/>
    <x v="0"/>
    <n v="0"/>
    <n v="1"/>
    <n v="0"/>
    <n v="0.85"/>
  </r>
  <r>
    <s v="APT-00563"/>
    <x v="255"/>
    <x v="11"/>
    <x v="0"/>
    <x v="3"/>
    <x v="2"/>
    <s v="Ernakulam"/>
    <x v="12"/>
    <s v="PT-1366"/>
    <s v="Post-op Rehab"/>
    <x v="2"/>
    <x v="0"/>
    <s v="Orthopedic Doctor"/>
    <x v="0"/>
    <n v="75"/>
    <n v="75"/>
    <n v="94.6"/>
    <n v="2150"/>
    <x v="30"/>
    <x v="0"/>
    <n v="0"/>
    <n v="1"/>
    <n v="0"/>
    <n v="0.85"/>
  </r>
  <r>
    <s v="APT-00564"/>
    <x v="234"/>
    <x v="1"/>
    <x v="3"/>
    <x v="3"/>
    <x v="2"/>
    <s v="Ernakulam"/>
    <x v="12"/>
    <s v="PT-1554"/>
    <s v="Chronic Pain"/>
    <x v="2"/>
    <x v="1"/>
    <s v="Corporate Wellness"/>
    <x v="0"/>
    <n v="45"/>
    <n v="45"/>
    <n v="57.6"/>
    <n v="950"/>
    <x v="7"/>
    <x v="0"/>
    <n v="0"/>
    <n v="1"/>
    <n v="0"/>
    <n v="0.85"/>
  </r>
  <r>
    <s v="APT-00565"/>
    <x v="199"/>
    <x v="4"/>
    <x v="1"/>
    <x v="0"/>
    <x v="1"/>
    <s v="Thrissur"/>
    <x v="7"/>
    <s v="PT-1273"/>
    <s v="Sports Injury"/>
    <x v="2"/>
    <x v="3"/>
    <s v="Neurologist"/>
    <x v="0"/>
    <n v="60"/>
    <n v="60"/>
    <n v="78.5"/>
    <n v="1250"/>
    <x v="5"/>
    <x v="0"/>
    <n v="0"/>
    <n v="1"/>
    <n v="0"/>
    <n v="0.85"/>
  </r>
  <r>
    <s v="APT-00566"/>
    <x v="256"/>
    <x v="0"/>
    <x v="3"/>
    <x v="1"/>
    <x v="0"/>
    <s v="Palakkad"/>
    <x v="11"/>
    <s v="PT-1515"/>
    <s v="Sports Injury"/>
    <x v="4"/>
    <x v="0"/>
    <s v="Neurologist"/>
    <x v="0"/>
    <n v="45"/>
    <n v="45"/>
    <n v="56.1"/>
    <n v="950"/>
    <x v="7"/>
    <x v="0"/>
    <n v="0"/>
    <n v="1"/>
    <n v="0"/>
    <n v="0.85"/>
  </r>
  <r>
    <s v="APT-00567"/>
    <x v="257"/>
    <x v="4"/>
    <x v="4"/>
    <x v="3"/>
    <x v="0"/>
    <s v="Palakkad"/>
    <x v="13"/>
    <s v="PT-1478"/>
    <s v="Chronic Pain"/>
    <x v="0"/>
    <x v="2"/>
    <s v="Neurologist"/>
    <x v="0"/>
    <n v="45"/>
    <n v="45"/>
    <n v="51.9"/>
    <n v="950"/>
    <x v="7"/>
    <x v="0"/>
    <n v="0"/>
    <n v="1"/>
    <n v="0"/>
    <n v="0.85"/>
  </r>
  <r>
    <s v="APT-00568"/>
    <x v="245"/>
    <x v="1"/>
    <x v="1"/>
    <x v="1"/>
    <x v="2"/>
    <s v="Ernakulam"/>
    <x v="8"/>
    <s v="PT-1305"/>
    <s v="New Patient"/>
    <x v="5"/>
    <x v="2"/>
    <s v="Corporate Wellness"/>
    <x v="0"/>
    <n v="45"/>
    <n v="45"/>
    <n v="55.9"/>
    <n v="1350"/>
    <x v="14"/>
    <x v="0"/>
    <n v="0"/>
    <n v="1"/>
    <n v="0"/>
    <n v="0.85"/>
  </r>
  <r>
    <s v="APT-00569"/>
    <x v="258"/>
    <x v="11"/>
    <x v="3"/>
    <x v="0"/>
    <x v="1"/>
    <s v="Thrissur"/>
    <x v="5"/>
    <s v="PT-1098"/>
    <s v="Geriatric Rehab"/>
    <x v="0"/>
    <x v="0"/>
    <s v="Hospital Discharge"/>
    <x v="0"/>
    <n v="45"/>
    <n v="45"/>
    <n v="54"/>
    <n v="1000"/>
    <x v="13"/>
    <x v="0"/>
    <n v="0"/>
    <n v="1"/>
    <n v="0"/>
    <n v="0.85"/>
  </r>
  <r>
    <s v="APT-00570"/>
    <x v="249"/>
    <x v="7"/>
    <x v="5"/>
    <x v="2"/>
    <x v="0"/>
    <s v="Palakkad"/>
    <x v="0"/>
    <s v="PT-1146"/>
    <s v="Sports Injury"/>
    <x v="4"/>
    <x v="3"/>
    <s v="Neurologist"/>
    <x v="0"/>
    <n v="60"/>
    <n v="60"/>
    <n v="67.8"/>
    <n v="1150"/>
    <x v="15"/>
    <x v="0"/>
    <n v="0"/>
    <n v="1"/>
    <n v="0"/>
    <n v="0.85"/>
  </r>
  <r>
    <s v="APT-00571"/>
    <x v="259"/>
    <x v="0"/>
    <x v="2"/>
    <x v="2"/>
    <x v="0"/>
    <s v="Palakkad"/>
    <x v="11"/>
    <s v="PT-1690"/>
    <s v="New Patient"/>
    <x v="1"/>
    <x v="2"/>
    <s v="Orthopedic Doctor"/>
    <x v="0"/>
    <n v="30"/>
    <n v="30"/>
    <n v="33.5"/>
    <n v="750"/>
    <x v="27"/>
    <x v="0"/>
    <n v="0"/>
    <n v="1"/>
    <n v="0"/>
    <n v="0.85"/>
  </r>
  <r>
    <s v="APT-00572"/>
    <x v="253"/>
    <x v="5"/>
    <x v="2"/>
    <x v="2"/>
    <x v="2"/>
    <s v="Ernakulam"/>
    <x v="14"/>
    <s v="PT-1555"/>
    <s v="Sports Injury"/>
    <x v="1"/>
    <x v="0"/>
    <s v="Neurologist"/>
    <x v="0"/>
    <n v="30"/>
    <n v="30"/>
    <n v="39.299999999999997"/>
    <n v="750"/>
    <x v="27"/>
    <x v="0"/>
    <n v="0"/>
    <n v="1"/>
    <n v="0"/>
    <n v="0.85"/>
  </r>
  <r>
    <s v="APT-00573"/>
    <x v="16"/>
    <x v="7"/>
    <x v="3"/>
    <x v="2"/>
    <x v="2"/>
    <s v="Ernakulam"/>
    <x v="12"/>
    <s v="PT-1049"/>
    <s v="Sports Injury"/>
    <x v="5"/>
    <x v="0"/>
    <s v="Neurologist"/>
    <x v="0"/>
    <n v="30"/>
    <n v="30"/>
    <n v="37.6"/>
    <n v="750"/>
    <x v="27"/>
    <x v="0"/>
    <n v="0"/>
    <n v="1"/>
    <n v="0"/>
    <n v="0.85"/>
  </r>
  <r>
    <s v="APT-00574"/>
    <x v="68"/>
    <x v="5"/>
    <x v="4"/>
    <x v="3"/>
    <x v="2"/>
    <s v="Ernakulam"/>
    <x v="8"/>
    <s v="PT-1297"/>
    <s v="Follow-up"/>
    <x v="4"/>
    <x v="0"/>
    <s v="Orthopedic Doctor"/>
    <x v="0"/>
    <n v="60"/>
    <n v="60"/>
    <n v="69.900000000000006"/>
    <n v="1500"/>
    <x v="3"/>
    <x v="0"/>
    <n v="0"/>
    <n v="1"/>
    <n v="0"/>
    <n v="0.85"/>
  </r>
  <r>
    <s v="APT-00575"/>
    <x v="260"/>
    <x v="11"/>
    <x v="4"/>
    <x v="0"/>
    <x v="1"/>
    <s v="Thrissur"/>
    <x v="1"/>
    <s v="PT-1141"/>
    <s v="Geriatric Rehab"/>
    <x v="4"/>
    <x v="2"/>
    <s v="Orthopedic Doctor"/>
    <x v="0"/>
    <n v="45"/>
    <n v="45"/>
    <n v="53.1"/>
    <n v="1000"/>
    <x v="13"/>
    <x v="0"/>
    <n v="0"/>
    <n v="1"/>
    <n v="0"/>
    <n v="0.85"/>
  </r>
  <r>
    <s v="APT-00576"/>
    <x v="231"/>
    <x v="4"/>
    <x v="5"/>
    <x v="0"/>
    <x v="0"/>
    <s v="Palakkad"/>
    <x v="0"/>
    <s v="PT-1035"/>
    <s v="Chronic Pain"/>
    <x v="0"/>
    <x v="2"/>
    <s v="Self Referral"/>
    <x v="1"/>
    <n v="45"/>
    <n v="0"/>
    <n v="51"/>
    <n v="950"/>
    <x v="9"/>
    <x v="19"/>
    <n v="1"/>
    <n v="0"/>
    <n v="0"/>
    <n v="0.85"/>
  </r>
  <r>
    <s v="APT-00577"/>
    <x v="243"/>
    <x v="9"/>
    <x v="5"/>
    <x v="0"/>
    <x v="0"/>
    <s v="Palakkad"/>
    <x v="13"/>
    <s v="PT-1505"/>
    <s v="Post-op Rehab"/>
    <x v="2"/>
    <x v="0"/>
    <s v="Online Search"/>
    <x v="1"/>
    <n v="75"/>
    <n v="0"/>
    <n v="82.2"/>
    <n v="1800"/>
    <x v="9"/>
    <x v="13"/>
    <n v="1"/>
    <n v="0"/>
    <n v="0"/>
    <n v="0.85"/>
  </r>
  <r>
    <s v="APT-00578"/>
    <x v="179"/>
    <x v="3"/>
    <x v="4"/>
    <x v="0"/>
    <x v="0"/>
    <s v="Palakkad"/>
    <x v="6"/>
    <s v="PT-1218"/>
    <s v="Follow-up"/>
    <x v="5"/>
    <x v="1"/>
    <s v="Online Search"/>
    <x v="0"/>
    <n v="45"/>
    <n v="45"/>
    <n v="54.3"/>
    <n v="800"/>
    <x v="18"/>
    <x v="0"/>
    <n v="0"/>
    <n v="1"/>
    <n v="0"/>
    <n v="0.85"/>
  </r>
  <r>
    <s v="APT-00579"/>
    <x v="22"/>
    <x v="11"/>
    <x v="1"/>
    <x v="2"/>
    <x v="1"/>
    <s v="Thrissur"/>
    <x v="1"/>
    <s v="PT-1433"/>
    <s v="Post-op Rehab"/>
    <x v="0"/>
    <x v="3"/>
    <s v="Self Referral"/>
    <x v="0"/>
    <n v="45"/>
    <n v="45"/>
    <n v="57.1"/>
    <n v="1050"/>
    <x v="2"/>
    <x v="0"/>
    <n v="0"/>
    <n v="1"/>
    <n v="0"/>
    <n v="0.85"/>
  </r>
  <r>
    <s v="APT-00580"/>
    <x v="261"/>
    <x v="0"/>
    <x v="6"/>
    <x v="3"/>
    <x v="2"/>
    <s v="Ernakulam"/>
    <x v="3"/>
    <s v="PT-1420"/>
    <s v="Follow-up"/>
    <x v="2"/>
    <x v="1"/>
    <s v="Orthopedic Doctor"/>
    <x v="0"/>
    <n v="90"/>
    <n v="90"/>
    <n v="116.5"/>
    <n v="1900"/>
    <x v="0"/>
    <x v="0"/>
    <n v="0"/>
    <n v="1"/>
    <n v="0"/>
    <n v="0.85"/>
  </r>
  <r>
    <s v="APT-00581"/>
    <x v="70"/>
    <x v="3"/>
    <x v="5"/>
    <x v="2"/>
    <x v="0"/>
    <s v="Palakkad"/>
    <x v="11"/>
    <s v="PT-1550"/>
    <s v="Geriatric Rehab"/>
    <x v="2"/>
    <x v="0"/>
    <s v="Orthopedic Doctor"/>
    <x v="2"/>
    <n v="60"/>
    <n v="0"/>
    <n v="78.900000000000006"/>
    <n v="1250"/>
    <x v="9"/>
    <x v="9"/>
    <n v="0"/>
    <n v="0"/>
    <n v="1"/>
    <n v="0.85"/>
  </r>
  <r>
    <s v="APT-00582"/>
    <x v="163"/>
    <x v="8"/>
    <x v="0"/>
    <x v="0"/>
    <x v="0"/>
    <s v="Palakkad"/>
    <x v="6"/>
    <s v="PT-1253"/>
    <s v="Follow-up"/>
    <x v="0"/>
    <x v="0"/>
    <s v="Hospital Discharge"/>
    <x v="0"/>
    <n v="45"/>
    <n v="45"/>
    <n v="59.3"/>
    <n v="950"/>
    <x v="7"/>
    <x v="0"/>
    <n v="0"/>
    <n v="1"/>
    <n v="0"/>
    <n v="0.85"/>
  </r>
  <r>
    <s v="APT-00583"/>
    <x v="262"/>
    <x v="9"/>
    <x v="1"/>
    <x v="1"/>
    <x v="1"/>
    <s v="Thrissur"/>
    <x v="10"/>
    <s v="PT-1281"/>
    <s v="Follow-up"/>
    <x v="0"/>
    <x v="2"/>
    <s v="Corporate Wellness"/>
    <x v="0"/>
    <n v="75"/>
    <n v="75"/>
    <n v="87.1"/>
    <n v="1700"/>
    <x v="6"/>
    <x v="0"/>
    <n v="0"/>
    <n v="1"/>
    <n v="0"/>
    <n v="0.85"/>
  </r>
  <r>
    <s v="APT-00584"/>
    <x v="223"/>
    <x v="3"/>
    <x v="3"/>
    <x v="0"/>
    <x v="2"/>
    <s v="Ernakulam"/>
    <x v="14"/>
    <s v="PT-1300"/>
    <s v="Geriatric Rehab"/>
    <x v="1"/>
    <x v="2"/>
    <s v="Online Search"/>
    <x v="0"/>
    <n v="30"/>
    <n v="30"/>
    <n v="33.1"/>
    <n v="750"/>
    <x v="27"/>
    <x v="0"/>
    <n v="0"/>
    <n v="1"/>
    <n v="0"/>
    <n v="0.85"/>
  </r>
  <r>
    <s v="APT-00585"/>
    <x v="107"/>
    <x v="1"/>
    <x v="4"/>
    <x v="2"/>
    <x v="2"/>
    <s v="Ernakulam"/>
    <x v="3"/>
    <s v="PT-1368"/>
    <s v="Chronic Pain"/>
    <x v="3"/>
    <x v="0"/>
    <s v="Neurologist"/>
    <x v="2"/>
    <n v="60"/>
    <n v="0"/>
    <n v="79.7"/>
    <n v="1500"/>
    <x v="9"/>
    <x v="12"/>
    <n v="0"/>
    <n v="0"/>
    <n v="1"/>
    <n v="0.85"/>
  </r>
  <r>
    <s v="APT-00586"/>
    <x v="263"/>
    <x v="8"/>
    <x v="4"/>
    <x v="0"/>
    <x v="2"/>
    <s v="Ernakulam"/>
    <x v="3"/>
    <s v="PT-1193"/>
    <s v="Chronic Pain"/>
    <x v="0"/>
    <x v="1"/>
    <s v="Corporate Wellness"/>
    <x v="0"/>
    <n v="75"/>
    <n v="75"/>
    <n v="95.8"/>
    <n v="1600"/>
    <x v="11"/>
    <x v="0"/>
    <n v="0"/>
    <n v="1"/>
    <n v="0"/>
    <n v="0.85"/>
  </r>
  <r>
    <s v="APT-00587"/>
    <x v="71"/>
    <x v="2"/>
    <x v="1"/>
    <x v="3"/>
    <x v="0"/>
    <s v="Palakkad"/>
    <x v="6"/>
    <s v="PT-1374"/>
    <s v="Follow-up"/>
    <x v="0"/>
    <x v="2"/>
    <s v="Corporate Wellness"/>
    <x v="1"/>
    <n v="30"/>
    <n v="0"/>
    <n v="36.9"/>
    <n v="600"/>
    <x v="9"/>
    <x v="18"/>
    <n v="1"/>
    <n v="0"/>
    <n v="0"/>
    <n v="0.85"/>
  </r>
  <r>
    <s v="APT-00588"/>
    <x v="168"/>
    <x v="7"/>
    <x v="1"/>
    <x v="1"/>
    <x v="2"/>
    <s v="Ernakulam"/>
    <x v="12"/>
    <s v="PT-1542"/>
    <s v="Post-op Rehab"/>
    <x v="4"/>
    <x v="2"/>
    <s v="Orthopedic Doctor"/>
    <x v="0"/>
    <n v="60"/>
    <n v="60"/>
    <n v="69.2"/>
    <n v="1700"/>
    <x v="6"/>
    <x v="0"/>
    <n v="0"/>
    <n v="1"/>
    <n v="0"/>
    <n v="0.85"/>
  </r>
  <r>
    <s v="APT-00589"/>
    <x v="189"/>
    <x v="8"/>
    <x v="0"/>
    <x v="1"/>
    <x v="2"/>
    <s v="Ernakulam"/>
    <x v="12"/>
    <s v="PT-1311"/>
    <s v="Follow-up"/>
    <x v="1"/>
    <x v="0"/>
    <s v="Corporate Wellness"/>
    <x v="0"/>
    <n v="60"/>
    <n v="60"/>
    <n v="65.599999999999994"/>
    <n v="1500"/>
    <x v="3"/>
    <x v="0"/>
    <n v="0"/>
    <n v="1"/>
    <n v="0"/>
    <n v="0.85"/>
  </r>
  <r>
    <s v="APT-00590"/>
    <x v="264"/>
    <x v="8"/>
    <x v="5"/>
    <x v="0"/>
    <x v="2"/>
    <s v="Ernakulam"/>
    <x v="12"/>
    <s v="PT-1573"/>
    <s v="New Patient"/>
    <x v="1"/>
    <x v="0"/>
    <s v="Orthopedic Doctor"/>
    <x v="0"/>
    <n v="60"/>
    <n v="60"/>
    <n v="69.8"/>
    <n v="1800"/>
    <x v="25"/>
    <x v="0"/>
    <n v="0"/>
    <n v="1"/>
    <n v="0"/>
    <n v="0.85"/>
  </r>
  <r>
    <s v="APT-00591"/>
    <x v="205"/>
    <x v="10"/>
    <x v="5"/>
    <x v="2"/>
    <x v="1"/>
    <s v="Thrissur"/>
    <x v="10"/>
    <s v="PT-1162"/>
    <s v="Geriatric Rehab"/>
    <x v="3"/>
    <x v="0"/>
    <s v="Online Search"/>
    <x v="0"/>
    <n v="60"/>
    <n v="60"/>
    <n v="75.3"/>
    <n v="1350"/>
    <x v="14"/>
    <x v="0"/>
    <n v="0"/>
    <n v="1"/>
    <n v="0"/>
    <n v="0.85"/>
  </r>
  <r>
    <s v="APT-00592"/>
    <x v="159"/>
    <x v="5"/>
    <x v="1"/>
    <x v="0"/>
    <x v="1"/>
    <s v="Thrissur"/>
    <x v="5"/>
    <s v="PT-1281"/>
    <s v="Follow-up"/>
    <x v="3"/>
    <x v="0"/>
    <s v="Corporate Wellness"/>
    <x v="0"/>
    <n v="75"/>
    <n v="75"/>
    <n v="91.1"/>
    <n v="1700"/>
    <x v="6"/>
    <x v="0"/>
    <n v="0"/>
    <n v="1"/>
    <n v="0"/>
    <n v="0.85"/>
  </r>
  <r>
    <s v="APT-00593"/>
    <x v="174"/>
    <x v="6"/>
    <x v="3"/>
    <x v="2"/>
    <x v="2"/>
    <s v="Ernakulam"/>
    <x v="8"/>
    <s v="PT-1155"/>
    <s v="Chronic Pain"/>
    <x v="4"/>
    <x v="2"/>
    <s v="Orthopedic Doctor"/>
    <x v="0"/>
    <n v="60"/>
    <n v="60"/>
    <n v="78.8"/>
    <n v="1500"/>
    <x v="3"/>
    <x v="0"/>
    <n v="0"/>
    <n v="1"/>
    <n v="0"/>
    <n v="0.85"/>
  </r>
  <r>
    <s v="APT-00594"/>
    <x v="235"/>
    <x v="0"/>
    <x v="5"/>
    <x v="2"/>
    <x v="1"/>
    <s v="Thrissur"/>
    <x v="5"/>
    <s v="PT-1067"/>
    <s v="Follow-up"/>
    <x v="5"/>
    <x v="1"/>
    <s v="Self Referral"/>
    <x v="0"/>
    <n v="90"/>
    <n v="90"/>
    <n v="98.1"/>
    <n v="1700"/>
    <x v="6"/>
    <x v="0"/>
    <n v="0"/>
    <n v="1"/>
    <n v="0"/>
    <n v="0.85"/>
  </r>
  <r>
    <s v="APT-00595"/>
    <x v="138"/>
    <x v="8"/>
    <x v="1"/>
    <x v="1"/>
    <x v="2"/>
    <s v="Ernakulam"/>
    <x v="4"/>
    <s v="PT-1593"/>
    <s v="Chronic Pain"/>
    <x v="3"/>
    <x v="2"/>
    <s v="Online Search"/>
    <x v="0"/>
    <n v="60"/>
    <n v="60"/>
    <n v="68.599999999999994"/>
    <n v="1500"/>
    <x v="3"/>
    <x v="0"/>
    <n v="0"/>
    <n v="1"/>
    <n v="0"/>
    <n v="0.85"/>
  </r>
  <r>
    <s v="APT-00596"/>
    <x v="131"/>
    <x v="11"/>
    <x v="2"/>
    <x v="0"/>
    <x v="2"/>
    <s v="Ernakulam"/>
    <x v="3"/>
    <s v="PT-1462"/>
    <s v="Follow-up"/>
    <x v="1"/>
    <x v="0"/>
    <s v="Online Search"/>
    <x v="1"/>
    <n v="30"/>
    <n v="0"/>
    <n v="33.299999999999997"/>
    <n v="750"/>
    <x v="9"/>
    <x v="31"/>
    <n v="1"/>
    <n v="0"/>
    <n v="0"/>
    <n v="0.85"/>
  </r>
  <r>
    <s v="APT-00597"/>
    <x v="14"/>
    <x v="1"/>
    <x v="4"/>
    <x v="2"/>
    <x v="0"/>
    <s v="Palakkad"/>
    <x v="6"/>
    <s v="PT-1686"/>
    <s v="New Patient"/>
    <x v="3"/>
    <x v="3"/>
    <s v="Hospital Discharge"/>
    <x v="0"/>
    <n v="60"/>
    <n v="60"/>
    <n v="68.2"/>
    <n v="1400"/>
    <x v="21"/>
    <x v="0"/>
    <n v="0"/>
    <n v="1"/>
    <n v="0"/>
    <n v="0.85"/>
  </r>
  <r>
    <s v="APT-00598"/>
    <x v="130"/>
    <x v="3"/>
    <x v="2"/>
    <x v="2"/>
    <x v="1"/>
    <s v="Thrissur"/>
    <x v="7"/>
    <s v="PT-1055"/>
    <s v="Geriatric Rehab"/>
    <x v="0"/>
    <x v="2"/>
    <s v="Online Search"/>
    <x v="0"/>
    <n v="60"/>
    <n v="60"/>
    <n v="68.599999999999994"/>
    <n v="1350"/>
    <x v="14"/>
    <x v="0"/>
    <n v="0"/>
    <n v="1"/>
    <n v="0"/>
    <n v="0.85"/>
  </r>
  <r>
    <s v="APT-00599"/>
    <x v="260"/>
    <x v="11"/>
    <x v="4"/>
    <x v="0"/>
    <x v="2"/>
    <s v="Ernakulam"/>
    <x v="3"/>
    <s v="PT-1535"/>
    <s v="Follow-up"/>
    <x v="0"/>
    <x v="0"/>
    <s v="Neurologist"/>
    <x v="3"/>
    <n v="45"/>
    <n v="0"/>
    <n v="53.7"/>
    <n v="1100"/>
    <x v="9"/>
    <x v="0"/>
    <n v="0"/>
    <n v="0"/>
    <n v="0"/>
    <n v="0.85"/>
  </r>
  <r>
    <s v="APT-00600"/>
    <x v="22"/>
    <x v="11"/>
    <x v="1"/>
    <x v="0"/>
    <x v="0"/>
    <s v="Palakkad"/>
    <x v="9"/>
    <s v="PT-1324"/>
    <s v="Follow-up"/>
    <x v="4"/>
    <x v="0"/>
    <s v="Online Search"/>
    <x v="1"/>
    <n v="90"/>
    <n v="0"/>
    <n v="100.4"/>
    <n v="1900"/>
    <x v="9"/>
    <x v="4"/>
    <n v="1"/>
    <n v="0"/>
    <n v="0"/>
    <n v="0.85"/>
  </r>
  <r>
    <s v="APT-00601"/>
    <x v="66"/>
    <x v="7"/>
    <x v="1"/>
    <x v="1"/>
    <x v="1"/>
    <s v="Thrissur"/>
    <x v="5"/>
    <s v="PT-1243"/>
    <s v="Geriatric Rehab"/>
    <x v="0"/>
    <x v="0"/>
    <s v="Orthopedic Doctor"/>
    <x v="1"/>
    <n v="60"/>
    <n v="0"/>
    <n v="69.7"/>
    <n v="1350"/>
    <x v="9"/>
    <x v="2"/>
    <n v="1"/>
    <n v="0"/>
    <n v="0"/>
    <n v="0.85"/>
  </r>
  <r>
    <s v="APT-00602"/>
    <x v="265"/>
    <x v="10"/>
    <x v="6"/>
    <x v="3"/>
    <x v="1"/>
    <s v="Thrissur"/>
    <x v="5"/>
    <s v="PT-1550"/>
    <s v="Follow-up"/>
    <x v="1"/>
    <x v="0"/>
    <s v="Corporate Wellness"/>
    <x v="0"/>
    <n v="60"/>
    <n v="60"/>
    <n v="80.099999999999994"/>
    <n v="1350"/>
    <x v="14"/>
    <x v="0"/>
    <n v="0"/>
    <n v="1"/>
    <n v="0"/>
    <n v="0.85"/>
  </r>
  <r>
    <s v="APT-00603"/>
    <x v="166"/>
    <x v="10"/>
    <x v="1"/>
    <x v="0"/>
    <x v="1"/>
    <s v="Thrissur"/>
    <x v="2"/>
    <s v="PT-1676"/>
    <s v="Post-op Rehab"/>
    <x v="4"/>
    <x v="3"/>
    <s v="Online Search"/>
    <x v="0"/>
    <n v="45"/>
    <n v="45"/>
    <n v="52.7"/>
    <n v="1050"/>
    <x v="2"/>
    <x v="0"/>
    <n v="0"/>
    <n v="1"/>
    <n v="0"/>
    <n v="0.85"/>
  </r>
  <r>
    <s v="APT-00604"/>
    <x v="56"/>
    <x v="6"/>
    <x v="4"/>
    <x v="2"/>
    <x v="0"/>
    <s v="Palakkad"/>
    <x v="6"/>
    <s v="PT-1096"/>
    <s v="Post-op Rehab"/>
    <x v="0"/>
    <x v="0"/>
    <s v="Orthopedic Doctor"/>
    <x v="0"/>
    <n v="60"/>
    <n v="60"/>
    <n v="70.3"/>
    <n v="1450"/>
    <x v="10"/>
    <x v="0"/>
    <n v="0"/>
    <n v="1"/>
    <n v="0"/>
    <n v="0.85"/>
  </r>
  <r>
    <s v="APT-00605"/>
    <x v="131"/>
    <x v="11"/>
    <x v="2"/>
    <x v="2"/>
    <x v="1"/>
    <s v="Thrissur"/>
    <x v="5"/>
    <s v="PT-1577"/>
    <s v="Chronic Pain"/>
    <x v="4"/>
    <x v="0"/>
    <s v="Orthopedic Doctor"/>
    <x v="0"/>
    <n v="45"/>
    <n v="45"/>
    <n v="50.8"/>
    <n v="1000"/>
    <x v="13"/>
    <x v="0"/>
    <n v="0"/>
    <n v="1"/>
    <n v="0"/>
    <n v="0.85"/>
  </r>
  <r>
    <s v="APT-00606"/>
    <x v="68"/>
    <x v="5"/>
    <x v="4"/>
    <x v="1"/>
    <x v="1"/>
    <s v="Thrissur"/>
    <x v="10"/>
    <s v="PT-1480"/>
    <s v="Sports Injury"/>
    <x v="3"/>
    <x v="3"/>
    <s v="Hospital Discharge"/>
    <x v="0"/>
    <n v="90"/>
    <n v="90"/>
    <n v="100.5"/>
    <n v="1850"/>
    <x v="24"/>
    <x v="0"/>
    <n v="0"/>
    <n v="1"/>
    <n v="0"/>
    <n v="0.85"/>
  </r>
  <r>
    <s v="APT-00607"/>
    <x v="247"/>
    <x v="0"/>
    <x v="4"/>
    <x v="3"/>
    <x v="0"/>
    <s v="Palakkad"/>
    <x v="0"/>
    <s v="PT-1194"/>
    <s v="Follow-up"/>
    <x v="2"/>
    <x v="1"/>
    <s v="Hospital Discharge"/>
    <x v="0"/>
    <n v="60"/>
    <n v="60"/>
    <n v="80.400000000000006"/>
    <n v="1050"/>
    <x v="2"/>
    <x v="0"/>
    <n v="0"/>
    <n v="1"/>
    <n v="0"/>
    <n v="0.85"/>
  </r>
  <r>
    <s v="APT-00608"/>
    <x v="66"/>
    <x v="7"/>
    <x v="1"/>
    <x v="3"/>
    <x v="1"/>
    <s v="Thrissur"/>
    <x v="1"/>
    <s v="PT-1663"/>
    <s v="New Patient"/>
    <x v="4"/>
    <x v="0"/>
    <s v="Online Search"/>
    <x v="1"/>
    <n v="60"/>
    <n v="0"/>
    <n v="74.7"/>
    <n v="1600"/>
    <x v="9"/>
    <x v="10"/>
    <n v="1"/>
    <n v="0"/>
    <n v="0"/>
    <n v="0.85"/>
  </r>
  <r>
    <s v="APT-00609"/>
    <x v="266"/>
    <x v="10"/>
    <x v="2"/>
    <x v="3"/>
    <x v="0"/>
    <s v="Palakkad"/>
    <x v="6"/>
    <s v="PT-1279"/>
    <s v="Post-op Rehab"/>
    <x v="3"/>
    <x v="0"/>
    <s v="Orthopedic Doctor"/>
    <x v="0"/>
    <n v="30"/>
    <n v="30"/>
    <n v="40.4"/>
    <n v="700"/>
    <x v="19"/>
    <x v="0"/>
    <n v="0"/>
    <n v="1"/>
    <n v="0"/>
    <n v="0.85"/>
  </r>
  <r>
    <s v="APT-00610"/>
    <x v="78"/>
    <x v="0"/>
    <x v="1"/>
    <x v="1"/>
    <x v="2"/>
    <s v="Ernakulam"/>
    <x v="14"/>
    <s v="PT-1640"/>
    <s v="Follow-up"/>
    <x v="0"/>
    <x v="0"/>
    <s v="Hospital Discharge"/>
    <x v="0"/>
    <n v="60"/>
    <n v="60"/>
    <n v="65.7"/>
    <n v="1500"/>
    <x v="3"/>
    <x v="0"/>
    <n v="0"/>
    <n v="1"/>
    <n v="0"/>
    <n v="0.85"/>
  </r>
  <r>
    <s v="APT-00611"/>
    <x v="41"/>
    <x v="11"/>
    <x v="1"/>
    <x v="2"/>
    <x v="1"/>
    <s v="Thrissur"/>
    <x v="7"/>
    <s v="PT-1199"/>
    <s v="Post-op Rehab"/>
    <x v="1"/>
    <x v="3"/>
    <s v="Corporate Wellness"/>
    <x v="0"/>
    <n v="60"/>
    <n v="60"/>
    <n v="74"/>
    <n v="1450"/>
    <x v="10"/>
    <x v="0"/>
    <n v="0"/>
    <n v="1"/>
    <n v="0"/>
    <n v="0.85"/>
  </r>
  <r>
    <s v="APT-00612"/>
    <x v="182"/>
    <x v="5"/>
    <x v="3"/>
    <x v="2"/>
    <x v="2"/>
    <s v="Ernakulam"/>
    <x v="4"/>
    <s v="PT-1427"/>
    <s v="Post-op Rehab"/>
    <x v="5"/>
    <x v="0"/>
    <s v="Hospital Discharge"/>
    <x v="0"/>
    <n v="45"/>
    <n v="45"/>
    <n v="58.6"/>
    <n v="1300"/>
    <x v="22"/>
    <x v="0"/>
    <n v="0"/>
    <n v="1"/>
    <n v="0"/>
    <n v="0.85"/>
  </r>
  <r>
    <s v="APT-00613"/>
    <x v="126"/>
    <x v="11"/>
    <x v="0"/>
    <x v="1"/>
    <x v="1"/>
    <s v="Thrissur"/>
    <x v="7"/>
    <s v="PT-1132"/>
    <s v="New Patient"/>
    <x v="2"/>
    <x v="0"/>
    <s v="Self Referral"/>
    <x v="1"/>
    <n v="45"/>
    <n v="0"/>
    <n v="59.8"/>
    <n v="1200"/>
    <x v="9"/>
    <x v="27"/>
    <n v="1"/>
    <n v="0"/>
    <n v="0"/>
    <n v="0.85"/>
  </r>
  <r>
    <s v="APT-00614"/>
    <x v="74"/>
    <x v="10"/>
    <x v="3"/>
    <x v="0"/>
    <x v="2"/>
    <s v="Ernakulam"/>
    <x v="12"/>
    <s v="PT-1448"/>
    <s v="Geriatric Rehab"/>
    <x v="0"/>
    <x v="0"/>
    <s v="Corporate Wellness"/>
    <x v="0"/>
    <n v="45"/>
    <n v="45"/>
    <n v="59.7"/>
    <n v="1100"/>
    <x v="20"/>
    <x v="0"/>
    <n v="0"/>
    <n v="1"/>
    <n v="0"/>
    <n v="0.85"/>
  </r>
  <r>
    <s v="APT-00615"/>
    <x v="267"/>
    <x v="7"/>
    <x v="2"/>
    <x v="0"/>
    <x v="1"/>
    <s v="Thrissur"/>
    <x v="5"/>
    <s v="PT-1302"/>
    <s v="Follow-up"/>
    <x v="4"/>
    <x v="2"/>
    <s v="Corporate Wellness"/>
    <x v="3"/>
    <n v="60"/>
    <n v="0"/>
    <n v="67.5"/>
    <n v="1350"/>
    <x v="9"/>
    <x v="0"/>
    <n v="0"/>
    <n v="0"/>
    <n v="0"/>
    <n v="0.85"/>
  </r>
  <r>
    <s v="APT-00616"/>
    <x v="106"/>
    <x v="3"/>
    <x v="4"/>
    <x v="2"/>
    <x v="1"/>
    <s v="Thrissur"/>
    <x v="10"/>
    <s v="PT-1444"/>
    <s v="Chronic Pain"/>
    <x v="0"/>
    <x v="0"/>
    <s v="Orthopedic Doctor"/>
    <x v="0"/>
    <n v="45"/>
    <n v="45"/>
    <n v="58.9"/>
    <n v="1000"/>
    <x v="13"/>
    <x v="0"/>
    <n v="0"/>
    <n v="1"/>
    <n v="0"/>
    <n v="0.85"/>
  </r>
  <r>
    <s v="APT-00617"/>
    <x v="203"/>
    <x v="11"/>
    <x v="2"/>
    <x v="0"/>
    <x v="0"/>
    <s v="Palakkad"/>
    <x v="11"/>
    <s v="PT-1269"/>
    <s v="Sports Injury"/>
    <x v="3"/>
    <x v="0"/>
    <s v="Hospital Discharge"/>
    <x v="0"/>
    <n v="45"/>
    <n v="45"/>
    <n v="52.9"/>
    <n v="950"/>
    <x v="7"/>
    <x v="0"/>
    <n v="0"/>
    <n v="1"/>
    <n v="0"/>
    <n v="0.85"/>
  </r>
  <r>
    <s v="APT-00618"/>
    <x v="183"/>
    <x v="10"/>
    <x v="1"/>
    <x v="0"/>
    <x v="2"/>
    <s v="Ernakulam"/>
    <x v="3"/>
    <s v="PT-1503"/>
    <s v="New Patient"/>
    <x v="0"/>
    <x v="0"/>
    <s v="Online Search"/>
    <x v="0"/>
    <n v="30"/>
    <n v="30"/>
    <n v="35.5"/>
    <n v="900"/>
    <x v="17"/>
    <x v="0"/>
    <n v="0"/>
    <n v="1"/>
    <n v="0"/>
    <n v="0.85"/>
  </r>
  <r>
    <s v="APT-00619"/>
    <x v="268"/>
    <x v="2"/>
    <x v="1"/>
    <x v="3"/>
    <x v="0"/>
    <s v="Palakkad"/>
    <x v="13"/>
    <s v="PT-1431"/>
    <s v="Follow-up"/>
    <x v="0"/>
    <x v="0"/>
    <s v="Neurologist"/>
    <x v="1"/>
    <n v="90"/>
    <n v="0"/>
    <n v="103.8"/>
    <n v="1900"/>
    <x v="9"/>
    <x v="4"/>
    <n v="1"/>
    <n v="0"/>
    <n v="0"/>
    <n v="0.85"/>
  </r>
  <r>
    <s v="APT-00620"/>
    <x v="207"/>
    <x v="2"/>
    <x v="5"/>
    <x v="0"/>
    <x v="1"/>
    <s v="Thrissur"/>
    <x v="1"/>
    <s v="PT-1058"/>
    <s v="Follow-up"/>
    <x v="1"/>
    <x v="2"/>
    <s v="Corporate Wellness"/>
    <x v="0"/>
    <n v="30"/>
    <n v="30"/>
    <n v="38.799999999999997"/>
    <n v="700"/>
    <x v="19"/>
    <x v="0"/>
    <n v="0"/>
    <n v="1"/>
    <n v="0"/>
    <n v="0.85"/>
  </r>
  <r>
    <s v="APT-00621"/>
    <x v="41"/>
    <x v="11"/>
    <x v="1"/>
    <x v="3"/>
    <x v="1"/>
    <s v="Thrissur"/>
    <x v="5"/>
    <s v="PT-1129"/>
    <s v="Follow-up"/>
    <x v="1"/>
    <x v="3"/>
    <s v="Neurologist"/>
    <x v="0"/>
    <n v="45"/>
    <n v="45"/>
    <n v="53.1"/>
    <n v="950"/>
    <x v="7"/>
    <x v="0"/>
    <n v="0"/>
    <n v="1"/>
    <n v="0"/>
    <n v="0.85"/>
  </r>
  <r>
    <s v="APT-00622"/>
    <x v="250"/>
    <x v="4"/>
    <x v="1"/>
    <x v="1"/>
    <x v="0"/>
    <s v="Palakkad"/>
    <x v="13"/>
    <s v="PT-1066"/>
    <s v="New Patient"/>
    <x v="2"/>
    <x v="2"/>
    <s v="Online Search"/>
    <x v="0"/>
    <n v="60"/>
    <n v="60"/>
    <n v="66.900000000000006"/>
    <n v="1500"/>
    <x v="3"/>
    <x v="0"/>
    <n v="0"/>
    <n v="1"/>
    <n v="0"/>
    <n v="0.85"/>
  </r>
  <r>
    <s v="APT-00623"/>
    <x v="0"/>
    <x v="0"/>
    <x v="0"/>
    <x v="1"/>
    <x v="2"/>
    <s v="Ernakulam"/>
    <x v="8"/>
    <s v="PT-1012"/>
    <s v="Follow-up"/>
    <x v="5"/>
    <x v="0"/>
    <s v="Online Search"/>
    <x v="0"/>
    <n v="60"/>
    <n v="60"/>
    <n v="66.599999999999994"/>
    <n v="1500"/>
    <x v="3"/>
    <x v="0"/>
    <n v="0"/>
    <n v="1"/>
    <n v="0"/>
    <n v="0.85"/>
  </r>
  <r>
    <s v="APT-00624"/>
    <x v="151"/>
    <x v="10"/>
    <x v="5"/>
    <x v="2"/>
    <x v="1"/>
    <s v="Thrissur"/>
    <x v="2"/>
    <s v="PT-1415"/>
    <s v="Follow-up"/>
    <x v="3"/>
    <x v="0"/>
    <s v="Corporate Wellness"/>
    <x v="0"/>
    <n v="60"/>
    <n v="60"/>
    <n v="67.400000000000006"/>
    <n v="1350"/>
    <x v="14"/>
    <x v="0"/>
    <n v="0"/>
    <n v="1"/>
    <n v="0"/>
    <n v="0.85"/>
  </r>
  <r>
    <s v="APT-00625"/>
    <x v="176"/>
    <x v="10"/>
    <x v="0"/>
    <x v="0"/>
    <x v="1"/>
    <s v="Thrissur"/>
    <x v="2"/>
    <s v="PT-1416"/>
    <s v="Chronic Pain"/>
    <x v="0"/>
    <x v="0"/>
    <s v="Neurologist"/>
    <x v="1"/>
    <n v="45"/>
    <n v="0"/>
    <n v="59.9"/>
    <n v="1000"/>
    <x v="9"/>
    <x v="16"/>
    <n v="1"/>
    <n v="0"/>
    <n v="0"/>
    <n v="0.85"/>
  </r>
  <r>
    <s v="APT-00626"/>
    <x v="38"/>
    <x v="6"/>
    <x v="4"/>
    <x v="3"/>
    <x v="0"/>
    <s v="Palakkad"/>
    <x v="0"/>
    <s v="PT-1351"/>
    <s v="Chronic Pain"/>
    <x v="4"/>
    <x v="2"/>
    <s v="Self Referral"/>
    <x v="2"/>
    <n v="30"/>
    <n v="0"/>
    <n v="34.4"/>
    <n v="600"/>
    <x v="9"/>
    <x v="18"/>
    <n v="0"/>
    <n v="0"/>
    <n v="1"/>
    <n v="0.85"/>
  </r>
  <r>
    <s v="APT-00627"/>
    <x v="256"/>
    <x v="0"/>
    <x v="3"/>
    <x v="1"/>
    <x v="1"/>
    <s v="Thrissur"/>
    <x v="10"/>
    <s v="PT-1149"/>
    <s v="Post-op Rehab"/>
    <x v="0"/>
    <x v="2"/>
    <s v="Neurologist"/>
    <x v="0"/>
    <n v="60"/>
    <n v="60"/>
    <n v="78.8"/>
    <n v="1550"/>
    <x v="1"/>
    <x v="0"/>
    <n v="0"/>
    <n v="1"/>
    <n v="0"/>
    <n v="0.85"/>
  </r>
  <r>
    <s v="APT-00628"/>
    <x v="48"/>
    <x v="1"/>
    <x v="3"/>
    <x v="1"/>
    <x v="0"/>
    <s v="Palakkad"/>
    <x v="13"/>
    <s v="PT-1163"/>
    <s v="Chronic Pain"/>
    <x v="4"/>
    <x v="2"/>
    <s v="Online Search"/>
    <x v="0"/>
    <n v="60"/>
    <n v="60"/>
    <n v="78.599999999999994"/>
    <n v="1250"/>
    <x v="5"/>
    <x v="0"/>
    <n v="0"/>
    <n v="1"/>
    <n v="0"/>
    <n v="0.85"/>
  </r>
  <r>
    <s v="APT-00629"/>
    <x v="269"/>
    <x v="8"/>
    <x v="2"/>
    <x v="3"/>
    <x v="1"/>
    <s v="Thrissur"/>
    <x v="5"/>
    <s v="PT-1419"/>
    <s v="Follow-up"/>
    <x v="0"/>
    <x v="0"/>
    <s v="Orthopedic Doctor"/>
    <x v="0"/>
    <n v="30"/>
    <n v="30"/>
    <n v="38.1"/>
    <n v="700"/>
    <x v="19"/>
    <x v="0"/>
    <n v="0"/>
    <n v="1"/>
    <n v="0"/>
    <n v="0.85"/>
  </r>
  <r>
    <s v="APT-00630"/>
    <x v="169"/>
    <x v="3"/>
    <x v="0"/>
    <x v="3"/>
    <x v="0"/>
    <s v="Palakkad"/>
    <x v="11"/>
    <s v="PT-1518"/>
    <s v="Post-op Rehab"/>
    <x v="0"/>
    <x v="2"/>
    <s v="Neurologist"/>
    <x v="0"/>
    <n v="60"/>
    <n v="60"/>
    <n v="68.400000000000006"/>
    <n v="1450"/>
    <x v="10"/>
    <x v="0"/>
    <n v="0"/>
    <n v="1"/>
    <n v="0"/>
    <n v="0.85"/>
  </r>
  <r>
    <s v="APT-00631"/>
    <x v="138"/>
    <x v="8"/>
    <x v="1"/>
    <x v="1"/>
    <x v="0"/>
    <s v="Palakkad"/>
    <x v="6"/>
    <s v="PT-1144"/>
    <s v="Post-op Rehab"/>
    <x v="2"/>
    <x v="0"/>
    <s v="Orthopedic Doctor"/>
    <x v="0"/>
    <n v="45"/>
    <n v="45"/>
    <n v="54.5"/>
    <n v="1100"/>
    <x v="20"/>
    <x v="0"/>
    <n v="0"/>
    <n v="1"/>
    <n v="0"/>
    <n v="0.85"/>
  </r>
  <r>
    <s v="APT-00632"/>
    <x v="270"/>
    <x v="5"/>
    <x v="1"/>
    <x v="2"/>
    <x v="2"/>
    <s v="Ernakulam"/>
    <x v="12"/>
    <s v="PT-1191"/>
    <s v="Follow-up"/>
    <x v="0"/>
    <x v="0"/>
    <s v="Hospital Discharge"/>
    <x v="0"/>
    <n v="45"/>
    <n v="45"/>
    <n v="50.5"/>
    <n v="1100"/>
    <x v="20"/>
    <x v="0"/>
    <n v="0"/>
    <n v="1"/>
    <n v="0"/>
    <n v="0.85"/>
  </r>
  <r>
    <s v="APT-00633"/>
    <x v="200"/>
    <x v="1"/>
    <x v="0"/>
    <x v="2"/>
    <x v="2"/>
    <s v="Ernakulam"/>
    <x v="8"/>
    <s v="PT-1303"/>
    <s v="Follow-up"/>
    <x v="3"/>
    <x v="2"/>
    <s v="Hospital Discharge"/>
    <x v="0"/>
    <n v="30"/>
    <n v="30"/>
    <n v="40"/>
    <n v="750"/>
    <x v="27"/>
    <x v="0"/>
    <n v="0"/>
    <n v="1"/>
    <n v="0"/>
    <n v="0.85"/>
  </r>
  <r>
    <s v="APT-00634"/>
    <x v="163"/>
    <x v="8"/>
    <x v="0"/>
    <x v="2"/>
    <x v="2"/>
    <s v="Ernakulam"/>
    <x v="12"/>
    <s v="PT-1094"/>
    <s v="Follow-up"/>
    <x v="2"/>
    <x v="2"/>
    <s v="Self Referral"/>
    <x v="0"/>
    <n v="60"/>
    <n v="60"/>
    <n v="73.3"/>
    <n v="1500"/>
    <x v="3"/>
    <x v="0"/>
    <n v="0"/>
    <n v="1"/>
    <n v="0"/>
    <n v="0.85"/>
  </r>
  <r>
    <s v="APT-00635"/>
    <x v="180"/>
    <x v="2"/>
    <x v="4"/>
    <x v="2"/>
    <x v="1"/>
    <s v="Thrissur"/>
    <x v="5"/>
    <s v="PT-1562"/>
    <s v="Chronic Pain"/>
    <x v="2"/>
    <x v="2"/>
    <s v="Corporate Wellness"/>
    <x v="0"/>
    <n v="45"/>
    <n v="45"/>
    <n v="50"/>
    <n v="1000"/>
    <x v="13"/>
    <x v="0"/>
    <n v="0"/>
    <n v="1"/>
    <n v="0"/>
    <n v="0.85"/>
  </r>
  <r>
    <s v="APT-00636"/>
    <x v="170"/>
    <x v="6"/>
    <x v="1"/>
    <x v="2"/>
    <x v="2"/>
    <s v="Ernakulam"/>
    <x v="8"/>
    <s v="PT-1392"/>
    <s v="Sports Injury"/>
    <x v="2"/>
    <x v="1"/>
    <s v="Orthopedic Doctor"/>
    <x v="0"/>
    <n v="45"/>
    <n v="45"/>
    <n v="51.8"/>
    <n v="950"/>
    <x v="7"/>
    <x v="0"/>
    <n v="0"/>
    <n v="1"/>
    <n v="0"/>
    <n v="0.85"/>
  </r>
  <r>
    <s v="APT-00637"/>
    <x v="264"/>
    <x v="8"/>
    <x v="5"/>
    <x v="0"/>
    <x v="0"/>
    <s v="Palakkad"/>
    <x v="0"/>
    <s v="PT-1397"/>
    <s v="Sports Injury"/>
    <x v="3"/>
    <x v="2"/>
    <s v="Hospital Discharge"/>
    <x v="0"/>
    <n v="90"/>
    <n v="90"/>
    <n v="104.5"/>
    <n v="1900"/>
    <x v="0"/>
    <x v="0"/>
    <n v="0"/>
    <n v="1"/>
    <n v="0"/>
    <n v="0.85"/>
  </r>
  <r>
    <s v="APT-00638"/>
    <x v="271"/>
    <x v="9"/>
    <x v="2"/>
    <x v="1"/>
    <x v="1"/>
    <s v="Thrissur"/>
    <x v="1"/>
    <s v="PT-1280"/>
    <s v="New Patient"/>
    <x v="2"/>
    <x v="2"/>
    <s v="Online Search"/>
    <x v="0"/>
    <n v="45"/>
    <n v="45"/>
    <n v="54.5"/>
    <n v="1200"/>
    <x v="26"/>
    <x v="0"/>
    <n v="0"/>
    <n v="1"/>
    <n v="0"/>
    <n v="0.85"/>
  </r>
  <r>
    <s v="APT-00639"/>
    <x v="198"/>
    <x v="0"/>
    <x v="4"/>
    <x v="1"/>
    <x v="0"/>
    <s v="Palakkad"/>
    <x v="13"/>
    <s v="PT-1010"/>
    <s v="Follow-up"/>
    <x v="5"/>
    <x v="2"/>
    <s v="Hospital Discharge"/>
    <x v="0"/>
    <n v="45"/>
    <n v="45"/>
    <n v="53.2"/>
    <n v="950"/>
    <x v="7"/>
    <x v="0"/>
    <n v="0"/>
    <n v="1"/>
    <n v="0"/>
    <n v="0.85"/>
  </r>
  <r>
    <s v="APT-00640"/>
    <x v="266"/>
    <x v="10"/>
    <x v="2"/>
    <x v="1"/>
    <x v="1"/>
    <s v="Thrissur"/>
    <x v="10"/>
    <s v="PT-1488"/>
    <s v="Chronic Pain"/>
    <x v="5"/>
    <x v="1"/>
    <s v="Neurologist"/>
    <x v="0"/>
    <n v="60"/>
    <n v="60"/>
    <n v="77.7"/>
    <n v="1150"/>
    <x v="15"/>
    <x v="0"/>
    <n v="0"/>
    <n v="1"/>
    <n v="0"/>
    <n v="0.85"/>
  </r>
  <r>
    <s v="APT-00641"/>
    <x v="272"/>
    <x v="9"/>
    <x v="5"/>
    <x v="2"/>
    <x v="2"/>
    <s v="Ernakulam"/>
    <x v="8"/>
    <s v="PT-1017"/>
    <s v="Sports Injury"/>
    <x v="4"/>
    <x v="0"/>
    <s v="Self Referral"/>
    <x v="2"/>
    <n v="45"/>
    <n v="0"/>
    <n v="53.3"/>
    <n v="1100"/>
    <x v="9"/>
    <x v="6"/>
    <n v="0"/>
    <n v="0"/>
    <n v="1"/>
    <n v="0.85"/>
  </r>
  <r>
    <s v="APT-00642"/>
    <x v="74"/>
    <x v="10"/>
    <x v="3"/>
    <x v="0"/>
    <x v="1"/>
    <s v="Thrissur"/>
    <x v="7"/>
    <s v="PT-1177"/>
    <s v="Follow-up"/>
    <x v="0"/>
    <x v="0"/>
    <s v="Hospital Discharge"/>
    <x v="0"/>
    <n v="75"/>
    <n v="75"/>
    <n v="98.7"/>
    <n v="1700"/>
    <x v="6"/>
    <x v="0"/>
    <n v="0"/>
    <n v="1"/>
    <n v="0"/>
    <n v="0.85"/>
  </r>
  <r>
    <s v="APT-00643"/>
    <x v="259"/>
    <x v="0"/>
    <x v="2"/>
    <x v="2"/>
    <x v="2"/>
    <s v="Ernakulam"/>
    <x v="8"/>
    <s v="PT-1066"/>
    <s v="New Patient"/>
    <x v="4"/>
    <x v="0"/>
    <s v="Online Search"/>
    <x v="3"/>
    <n v="45"/>
    <n v="0"/>
    <n v="58"/>
    <n v="1350"/>
    <x v="9"/>
    <x v="0"/>
    <n v="0"/>
    <n v="0"/>
    <n v="0"/>
    <n v="0.85"/>
  </r>
  <r>
    <s v="APT-00644"/>
    <x v="273"/>
    <x v="10"/>
    <x v="4"/>
    <x v="3"/>
    <x v="2"/>
    <s v="Ernakulam"/>
    <x v="4"/>
    <s v="PT-1148"/>
    <s v="New Patient"/>
    <x v="4"/>
    <x v="2"/>
    <s v="Neurologist"/>
    <x v="0"/>
    <n v="60"/>
    <n v="60"/>
    <n v="72.2"/>
    <n v="1800"/>
    <x v="25"/>
    <x v="0"/>
    <n v="0"/>
    <n v="1"/>
    <n v="0"/>
    <n v="0.85"/>
  </r>
  <r>
    <s v="APT-00645"/>
    <x v="274"/>
    <x v="9"/>
    <x v="0"/>
    <x v="0"/>
    <x v="1"/>
    <s v="Thrissur"/>
    <x v="7"/>
    <s v="PT-1122"/>
    <s v="Geriatric Rehab"/>
    <x v="1"/>
    <x v="3"/>
    <s v="Online Search"/>
    <x v="0"/>
    <n v="45"/>
    <n v="45"/>
    <n v="54.8"/>
    <n v="950"/>
    <x v="7"/>
    <x v="0"/>
    <n v="0"/>
    <n v="1"/>
    <n v="0"/>
    <n v="0.85"/>
  </r>
  <r>
    <s v="APT-00646"/>
    <x v="134"/>
    <x v="2"/>
    <x v="1"/>
    <x v="2"/>
    <x v="2"/>
    <s v="Ernakulam"/>
    <x v="3"/>
    <s v="PT-1093"/>
    <s v="Geriatric Rehab"/>
    <x v="0"/>
    <x v="1"/>
    <s v="Self Referral"/>
    <x v="0"/>
    <n v="60"/>
    <n v="60"/>
    <n v="70"/>
    <n v="1300"/>
    <x v="22"/>
    <x v="0"/>
    <n v="0"/>
    <n v="1"/>
    <n v="0"/>
    <n v="0.85"/>
  </r>
  <r>
    <s v="APT-00647"/>
    <x v="62"/>
    <x v="4"/>
    <x v="3"/>
    <x v="0"/>
    <x v="1"/>
    <s v="Thrissur"/>
    <x v="5"/>
    <s v="PT-1501"/>
    <s v="Follow-up"/>
    <x v="5"/>
    <x v="0"/>
    <s v="Orthopedic Doctor"/>
    <x v="0"/>
    <n v="60"/>
    <n v="60"/>
    <n v="73.900000000000006"/>
    <n v="1350"/>
    <x v="14"/>
    <x v="0"/>
    <n v="0"/>
    <n v="1"/>
    <n v="0"/>
    <n v="0.85"/>
  </r>
  <r>
    <s v="APT-00648"/>
    <x v="199"/>
    <x v="4"/>
    <x v="1"/>
    <x v="2"/>
    <x v="0"/>
    <s v="Palakkad"/>
    <x v="9"/>
    <s v="PT-1283"/>
    <s v="Geriatric Rehab"/>
    <x v="1"/>
    <x v="2"/>
    <s v="Neurologist"/>
    <x v="1"/>
    <n v="60"/>
    <n v="0"/>
    <n v="77.2"/>
    <n v="1250"/>
    <x v="9"/>
    <x v="9"/>
    <n v="1"/>
    <n v="0"/>
    <n v="0"/>
    <n v="0.85"/>
  </r>
  <r>
    <s v="APT-00649"/>
    <x v="170"/>
    <x v="6"/>
    <x v="1"/>
    <x v="1"/>
    <x v="2"/>
    <s v="Ernakulam"/>
    <x v="8"/>
    <s v="PT-1662"/>
    <s v="New Patient"/>
    <x v="5"/>
    <x v="0"/>
    <s v="Online Search"/>
    <x v="0"/>
    <n v="30"/>
    <n v="30"/>
    <n v="35.1"/>
    <n v="900"/>
    <x v="17"/>
    <x v="0"/>
    <n v="0"/>
    <n v="1"/>
    <n v="0"/>
    <n v="0.85"/>
  </r>
  <r>
    <s v="APT-00650"/>
    <x v="263"/>
    <x v="8"/>
    <x v="4"/>
    <x v="2"/>
    <x v="1"/>
    <s v="Thrissur"/>
    <x v="10"/>
    <s v="PT-1367"/>
    <s v="Sports Injury"/>
    <x v="5"/>
    <x v="0"/>
    <s v="Orthopedic Doctor"/>
    <x v="2"/>
    <n v="30"/>
    <n v="0"/>
    <n v="37.700000000000003"/>
    <n v="700"/>
    <x v="9"/>
    <x v="3"/>
    <n v="0"/>
    <n v="0"/>
    <n v="1"/>
    <n v="0.85"/>
  </r>
  <r>
    <s v="APT-00651"/>
    <x v="268"/>
    <x v="2"/>
    <x v="1"/>
    <x v="0"/>
    <x v="0"/>
    <s v="Palakkad"/>
    <x v="0"/>
    <s v="PT-1365"/>
    <s v="Sports Injury"/>
    <x v="5"/>
    <x v="2"/>
    <s v="Online Search"/>
    <x v="1"/>
    <n v="45"/>
    <n v="0"/>
    <n v="51"/>
    <n v="950"/>
    <x v="9"/>
    <x v="19"/>
    <n v="1"/>
    <n v="0"/>
    <n v="0"/>
    <n v="0.85"/>
  </r>
  <r>
    <s v="APT-00652"/>
    <x v="275"/>
    <x v="6"/>
    <x v="4"/>
    <x v="1"/>
    <x v="2"/>
    <s v="Ernakulam"/>
    <x v="3"/>
    <s v="PT-1376"/>
    <s v="Post-op Rehab"/>
    <x v="5"/>
    <x v="2"/>
    <s v="Corporate Wellness"/>
    <x v="0"/>
    <n v="45"/>
    <n v="45"/>
    <n v="53.7"/>
    <n v="1300"/>
    <x v="22"/>
    <x v="0"/>
    <n v="0"/>
    <n v="1"/>
    <n v="0"/>
    <n v="0.85"/>
  </r>
  <r>
    <s v="APT-00653"/>
    <x v="53"/>
    <x v="10"/>
    <x v="4"/>
    <x v="1"/>
    <x v="2"/>
    <s v="Ernakulam"/>
    <x v="12"/>
    <s v="PT-1564"/>
    <s v="Post-op Rehab"/>
    <x v="1"/>
    <x v="0"/>
    <s v="Orthopedic Doctor"/>
    <x v="0"/>
    <n v="30"/>
    <n v="30"/>
    <n v="37.299999999999997"/>
    <n v="850"/>
    <x v="23"/>
    <x v="0"/>
    <n v="0"/>
    <n v="1"/>
    <n v="0"/>
    <n v="0.85"/>
  </r>
  <r>
    <s v="APT-00654"/>
    <x v="147"/>
    <x v="8"/>
    <x v="3"/>
    <x v="0"/>
    <x v="1"/>
    <s v="Thrissur"/>
    <x v="1"/>
    <s v="PT-1076"/>
    <s v="Follow-up"/>
    <x v="1"/>
    <x v="0"/>
    <s v="Neurologist"/>
    <x v="0"/>
    <n v="45"/>
    <n v="45"/>
    <n v="55.3"/>
    <n v="1000"/>
    <x v="13"/>
    <x v="0"/>
    <n v="0"/>
    <n v="1"/>
    <n v="0"/>
    <n v="0.85"/>
  </r>
  <r>
    <s v="APT-00655"/>
    <x v="268"/>
    <x v="2"/>
    <x v="1"/>
    <x v="3"/>
    <x v="1"/>
    <s v="Thrissur"/>
    <x v="2"/>
    <s v="PT-1396"/>
    <s v="Chronic Pain"/>
    <x v="5"/>
    <x v="2"/>
    <s v="Orthopedic Doctor"/>
    <x v="0"/>
    <n v="60"/>
    <n v="60"/>
    <n v="79.3"/>
    <n v="1350"/>
    <x v="14"/>
    <x v="0"/>
    <n v="0"/>
    <n v="1"/>
    <n v="0"/>
    <n v="0.85"/>
  </r>
  <r>
    <s v="APT-00656"/>
    <x v="168"/>
    <x v="7"/>
    <x v="1"/>
    <x v="1"/>
    <x v="0"/>
    <s v="Palakkad"/>
    <x v="6"/>
    <s v="PT-1241"/>
    <s v="Chronic Pain"/>
    <x v="5"/>
    <x v="0"/>
    <s v="Self Referral"/>
    <x v="1"/>
    <n v="45"/>
    <n v="0"/>
    <n v="49.6"/>
    <n v="950"/>
    <x v="9"/>
    <x v="19"/>
    <n v="1"/>
    <n v="0"/>
    <n v="0"/>
    <n v="0.85"/>
  </r>
  <r>
    <s v="APT-00657"/>
    <x v="13"/>
    <x v="4"/>
    <x v="0"/>
    <x v="2"/>
    <x v="1"/>
    <s v="Thrissur"/>
    <x v="2"/>
    <s v="PT-1440"/>
    <s v="New Patient"/>
    <x v="4"/>
    <x v="0"/>
    <s v="Orthopedic Doctor"/>
    <x v="0"/>
    <n v="60"/>
    <n v="60"/>
    <n v="70.2"/>
    <n v="1600"/>
    <x v="11"/>
    <x v="0"/>
    <n v="0"/>
    <n v="1"/>
    <n v="0"/>
    <n v="0.85"/>
  </r>
  <r>
    <s v="APT-00658"/>
    <x v="159"/>
    <x v="5"/>
    <x v="1"/>
    <x v="2"/>
    <x v="2"/>
    <s v="Ernakulam"/>
    <x v="12"/>
    <s v="PT-1697"/>
    <s v="Follow-up"/>
    <x v="4"/>
    <x v="0"/>
    <s v="Orthopedic Doctor"/>
    <x v="1"/>
    <n v="45"/>
    <n v="0"/>
    <n v="51.5"/>
    <n v="1100"/>
    <x v="9"/>
    <x v="6"/>
    <n v="1"/>
    <n v="0"/>
    <n v="0"/>
    <n v="0.85"/>
  </r>
  <r>
    <s v="APT-00659"/>
    <x v="153"/>
    <x v="0"/>
    <x v="1"/>
    <x v="1"/>
    <x v="1"/>
    <s v="Thrissur"/>
    <x v="2"/>
    <s v="PT-1324"/>
    <s v="New Patient"/>
    <x v="2"/>
    <x v="3"/>
    <s v="Self Referral"/>
    <x v="0"/>
    <n v="60"/>
    <n v="60"/>
    <n v="67.599999999999994"/>
    <n v="1500"/>
    <x v="3"/>
    <x v="0"/>
    <n v="0"/>
    <n v="1"/>
    <n v="0"/>
    <n v="0.85"/>
  </r>
  <r>
    <s v="APT-00660"/>
    <x v="111"/>
    <x v="8"/>
    <x v="1"/>
    <x v="2"/>
    <x v="1"/>
    <s v="Thrissur"/>
    <x v="7"/>
    <s v="PT-1079"/>
    <s v="Post-op Rehab"/>
    <x v="2"/>
    <x v="2"/>
    <s v="Neurologist"/>
    <x v="0"/>
    <n v="60"/>
    <n v="60"/>
    <n v="77"/>
    <n v="1550"/>
    <x v="1"/>
    <x v="0"/>
    <n v="0"/>
    <n v="1"/>
    <n v="0"/>
    <n v="0.85"/>
  </r>
  <r>
    <s v="APT-00661"/>
    <x v="276"/>
    <x v="5"/>
    <x v="0"/>
    <x v="3"/>
    <x v="1"/>
    <s v="Thrissur"/>
    <x v="5"/>
    <s v="PT-1177"/>
    <s v="Post-op Rehab"/>
    <x v="0"/>
    <x v="0"/>
    <s v="Neurologist"/>
    <x v="1"/>
    <n v="90"/>
    <n v="0"/>
    <n v="100.1"/>
    <n v="2350"/>
    <x v="9"/>
    <x v="32"/>
    <n v="1"/>
    <n v="0"/>
    <n v="0"/>
    <n v="0.85"/>
  </r>
  <r>
    <s v="APT-00662"/>
    <x v="179"/>
    <x v="3"/>
    <x v="4"/>
    <x v="0"/>
    <x v="0"/>
    <s v="Palakkad"/>
    <x v="0"/>
    <s v="PT-1073"/>
    <s v="Post-op Rehab"/>
    <x v="1"/>
    <x v="3"/>
    <s v="Corporate Wellness"/>
    <x v="0"/>
    <n v="60"/>
    <n v="60"/>
    <n v="71.8"/>
    <n v="1300"/>
    <x v="22"/>
    <x v="0"/>
    <n v="0"/>
    <n v="1"/>
    <n v="0"/>
    <n v="0.85"/>
  </r>
  <r>
    <s v="APT-00663"/>
    <x v="22"/>
    <x v="11"/>
    <x v="1"/>
    <x v="1"/>
    <x v="2"/>
    <s v="Ernakulam"/>
    <x v="3"/>
    <s v="PT-1101"/>
    <s v="New Patient"/>
    <x v="1"/>
    <x v="0"/>
    <s v="Corporate Wellness"/>
    <x v="0"/>
    <n v="60"/>
    <n v="60"/>
    <n v="72.3"/>
    <n v="1800"/>
    <x v="25"/>
    <x v="0"/>
    <n v="0"/>
    <n v="1"/>
    <n v="0"/>
    <n v="0.85"/>
  </r>
  <r>
    <s v="APT-00664"/>
    <x v="205"/>
    <x v="10"/>
    <x v="5"/>
    <x v="2"/>
    <x v="2"/>
    <s v="Ernakulam"/>
    <x v="12"/>
    <s v="PT-1173"/>
    <s v="Geriatric Rehab"/>
    <x v="4"/>
    <x v="2"/>
    <s v="Online Search"/>
    <x v="1"/>
    <n v="60"/>
    <n v="0"/>
    <n v="69.2"/>
    <n v="1500"/>
    <x v="9"/>
    <x v="12"/>
    <n v="1"/>
    <n v="0"/>
    <n v="0"/>
    <n v="0.85"/>
  </r>
  <r>
    <s v="APT-00665"/>
    <x v="49"/>
    <x v="9"/>
    <x v="1"/>
    <x v="0"/>
    <x v="0"/>
    <s v="Palakkad"/>
    <x v="0"/>
    <s v="PT-1662"/>
    <s v="Geriatric Rehab"/>
    <x v="3"/>
    <x v="0"/>
    <s v="Hospital Discharge"/>
    <x v="0"/>
    <n v="45"/>
    <n v="45"/>
    <n v="58.6"/>
    <n v="950"/>
    <x v="7"/>
    <x v="0"/>
    <n v="0"/>
    <n v="1"/>
    <n v="0"/>
    <n v="0.85"/>
  </r>
  <r>
    <s v="APT-00666"/>
    <x v="277"/>
    <x v="9"/>
    <x v="2"/>
    <x v="2"/>
    <x v="2"/>
    <s v="Ernakulam"/>
    <x v="4"/>
    <s v="PT-1282"/>
    <s v="Chronic Pain"/>
    <x v="1"/>
    <x v="2"/>
    <s v="Self Referral"/>
    <x v="2"/>
    <n v="45"/>
    <n v="0"/>
    <n v="58.9"/>
    <n v="1100"/>
    <x v="9"/>
    <x v="6"/>
    <n v="0"/>
    <n v="0"/>
    <n v="1"/>
    <n v="0.85"/>
  </r>
  <r>
    <s v="APT-00667"/>
    <x v="278"/>
    <x v="4"/>
    <x v="5"/>
    <x v="1"/>
    <x v="0"/>
    <s v="Palakkad"/>
    <x v="11"/>
    <s v="PT-1042"/>
    <s v="Geriatric Rehab"/>
    <x v="4"/>
    <x v="2"/>
    <s v="Hospital Discharge"/>
    <x v="1"/>
    <n v="60"/>
    <n v="0"/>
    <n v="76.8"/>
    <n v="1250"/>
    <x v="9"/>
    <x v="9"/>
    <n v="1"/>
    <n v="0"/>
    <n v="0"/>
    <n v="0.85"/>
  </r>
  <r>
    <s v="APT-00668"/>
    <x v="260"/>
    <x v="11"/>
    <x v="4"/>
    <x v="1"/>
    <x v="2"/>
    <s v="Ernakulam"/>
    <x v="4"/>
    <s v="PT-1357"/>
    <s v="Chronic Pain"/>
    <x v="2"/>
    <x v="2"/>
    <s v="Self Referral"/>
    <x v="0"/>
    <n v="60"/>
    <n v="60"/>
    <n v="76.3"/>
    <n v="1500"/>
    <x v="3"/>
    <x v="0"/>
    <n v="0"/>
    <n v="1"/>
    <n v="0"/>
    <n v="0.85"/>
  </r>
  <r>
    <s v="APT-00669"/>
    <x v="279"/>
    <x v="6"/>
    <x v="3"/>
    <x v="2"/>
    <x v="0"/>
    <s v="Palakkad"/>
    <x v="0"/>
    <s v="PT-1365"/>
    <s v="Follow-up"/>
    <x v="5"/>
    <x v="2"/>
    <s v="Hospital Discharge"/>
    <x v="0"/>
    <n v="60"/>
    <n v="60"/>
    <n v="79.2"/>
    <n v="1250"/>
    <x v="5"/>
    <x v="0"/>
    <n v="0"/>
    <n v="1"/>
    <n v="0"/>
    <n v="0.85"/>
  </r>
  <r>
    <s v="APT-00670"/>
    <x v="277"/>
    <x v="9"/>
    <x v="2"/>
    <x v="0"/>
    <x v="0"/>
    <s v="Palakkad"/>
    <x v="13"/>
    <s v="PT-1255"/>
    <s v="Post-op Rehab"/>
    <x v="4"/>
    <x v="0"/>
    <s v="Online Search"/>
    <x v="0"/>
    <n v="75"/>
    <n v="75"/>
    <n v="98.9"/>
    <n v="1800"/>
    <x v="25"/>
    <x v="0"/>
    <n v="0"/>
    <n v="1"/>
    <n v="0"/>
    <n v="0.85"/>
  </r>
  <r>
    <s v="APT-00671"/>
    <x v="211"/>
    <x v="4"/>
    <x v="2"/>
    <x v="3"/>
    <x v="1"/>
    <s v="Thrissur"/>
    <x v="1"/>
    <s v="PT-1380"/>
    <s v="Chronic Pain"/>
    <x v="1"/>
    <x v="0"/>
    <s v="Online Search"/>
    <x v="0"/>
    <n v="45"/>
    <n v="45"/>
    <n v="56.9"/>
    <n v="1000"/>
    <x v="13"/>
    <x v="0"/>
    <n v="0"/>
    <n v="1"/>
    <n v="0"/>
    <n v="0.85"/>
  </r>
  <r>
    <s v="APT-00672"/>
    <x v="268"/>
    <x v="2"/>
    <x v="1"/>
    <x v="0"/>
    <x v="1"/>
    <s v="Thrissur"/>
    <x v="7"/>
    <s v="PT-1477"/>
    <s v="Follow-up"/>
    <x v="5"/>
    <x v="0"/>
    <s v="Hospital Discharge"/>
    <x v="0"/>
    <n v="75"/>
    <n v="75"/>
    <n v="99.3"/>
    <n v="1700"/>
    <x v="6"/>
    <x v="0"/>
    <n v="0"/>
    <n v="1"/>
    <n v="0"/>
    <n v="0.85"/>
  </r>
  <r>
    <s v="APT-00673"/>
    <x v="274"/>
    <x v="9"/>
    <x v="0"/>
    <x v="0"/>
    <x v="2"/>
    <s v="Ernakulam"/>
    <x v="4"/>
    <s v="PT-1043"/>
    <s v="Post-op Rehab"/>
    <x v="2"/>
    <x v="0"/>
    <s v="Online Search"/>
    <x v="3"/>
    <n v="60"/>
    <n v="0"/>
    <n v="70.099999999999994"/>
    <n v="1700"/>
    <x v="9"/>
    <x v="0"/>
    <n v="0"/>
    <n v="0"/>
    <n v="0"/>
    <n v="0.85"/>
  </r>
  <r>
    <s v="APT-00674"/>
    <x v="259"/>
    <x v="0"/>
    <x v="2"/>
    <x v="1"/>
    <x v="0"/>
    <s v="Palakkad"/>
    <x v="6"/>
    <s v="PT-1658"/>
    <s v="Chronic Pain"/>
    <x v="1"/>
    <x v="0"/>
    <s v="Hospital Discharge"/>
    <x v="0"/>
    <n v="75"/>
    <n v="75"/>
    <n v="94.5"/>
    <n v="1550"/>
    <x v="1"/>
    <x v="0"/>
    <n v="0"/>
    <n v="1"/>
    <n v="0"/>
    <n v="0.85"/>
  </r>
  <r>
    <s v="APT-00675"/>
    <x v="264"/>
    <x v="8"/>
    <x v="5"/>
    <x v="1"/>
    <x v="1"/>
    <s v="Thrissur"/>
    <x v="1"/>
    <s v="PT-1423"/>
    <s v="New Patient"/>
    <x v="3"/>
    <x v="0"/>
    <s v="Online Search"/>
    <x v="0"/>
    <n v="45"/>
    <n v="45"/>
    <n v="56.5"/>
    <n v="1200"/>
    <x v="26"/>
    <x v="0"/>
    <n v="0"/>
    <n v="1"/>
    <n v="0"/>
    <n v="0.85"/>
  </r>
  <r>
    <s v="APT-00676"/>
    <x v="108"/>
    <x v="11"/>
    <x v="3"/>
    <x v="0"/>
    <x v="2"/>
    <s v="Ernakulam"/>
    <x v="12"/>
    <s v="PT-1492"/>
    <s v="Post-op Rehab"/>
    <x v="4"/>
    <x v="0"/>
    <s v="Corporate Wellness"/>
    <x v="0"/>
    <n v="60"/>
    <n v="60"/>
    <n v="71.7"/>
    <n v="1700"/>
    <x v="6"/>
    <x v="0"/>
    <n v="0"/>
    <n v="1"/>
    <n v="0"/>
    <n v="0.85"/>
  </r>
  <r>
    <s v="APT-00677"/>
    <x v="187"/>
    <x v="3"/>
    <x v="0"/>
    <x v="2"/>
    <x v="1"/>
    <s v="Thrissur"/>
    <x v="7"/>
    <s v="PT-1606"/>
    <s v="New Patient"/>
    <x v="4"/>
    <x v="0"/>
    <s v="Self Referral"/>
    <x v="0"/>
    <n v="30"/>
    <n v="30"/>
    <n v="38.9"/>
    <n v="800"/>
    <x v="18"/>
    <x v="0"/>
    <n v="0"/>
    <n v="1"/>
    <n v="0"/>
    <n v="0.85"/>
  </r>
  <r>
    <s v="APT-00678"/>
    <x v="59"/>
    <x v="5"/>
    <x v="0"/>
    <x v="2"/>
    <x v="1"/>
    <s v="Thrissur"/>
    <x v="2"/>
    <s v="PT-1155"/>
    <s v="New Patient"/>
    <x v="4"/>
    <x v="0"/>
    <s v="Corporate Wellness"/>
    <x v="0"/>
    <n v="75"/>
    <n v="75"/>
    <n v="93.8"/>
    <n v="2000"/>
    <x v="33"/>
    <x v="0"/>
    <n v="0"/>
    <n v="1"/>
    <n v="0"/>
    <n v="0.85"/>
  </r>
  <r>
    <s v="APT-00679"/>
    <x v="21"/>
    <x v="10"/>
    <x v="1"/>
    <x v="2"/>
    <x v="2"/>
    <s v="Ernakulam"/>
    <x v="12"/>
    <s v="PT-1471"/>
    <s v="Chronic Pain"/>
    <x v="3"/>
    <x v="0"/>
    <s v="Online Search"/>
    <x v="2"/>
    <n v="75"/>
    <n v="0"/>
    <n v="87.5"/>
    <n v="1900"/>
    <x v="9"/>
    <x v="4"/>
    <n v="0"/>
    <n v="0"/>
    <n v="1"/>
    <n v="0.85"/>
  </r>
  <r>
    <s v="APT-00680"/>
    <x v="280"/>
    <x v="7"/>
    <x v="4"/>
    <x v="1"/>
    <x v="0"/>
    <s v="Palakkad"/>
    <x v="11"/>
    <s v="PT-1659"/>
    <s v="Follow-up"/>
    <x v="3"/>
    <x v="2"/>
    <s v="Corporate Wellness"/>
    <x v="0"/>
    <n v="30"/>
    <n v="30"/>
    <n v="37.299999999999997"/>
    <n v="600"/>
    <x v="16"/>
    <x v="0"/>
    <n v="0"/>
    <n v="1"/>
    <n v="0"/>
    <n v="0.85"/>
  </r>
  <r>
    <s v="APT-00681"/>
    <x v="0"/>
    <x v="0"/>
    <x v="0"/>
    <x v="1"/>
    <x v="2"/>
    <s v="Ernakulam"/>
    <x v="8"/>
    <s v="PT-1510"/>
    <s v="Follow-up"/>
    <x v="4"/>
    <x v="1"/>
    <s v="Online Search"/>
    <x v="0"/>
    <n v="45"/>
    <n v="45"/>
    <n v="57.6"/>
    <n v="950"/>
    <x v="7"/>
    <x v="0"/>
    <n v="0"/>
    <n v="1"/>
    <n v="0"/>
    <n v="0.85"/>
  </r>
  <r>
    <s v="APT-00682"/>
    <x v="147"/>
    <x v="8"/>
    <x v="3"/>
    <x v="2"/>
    <x v="2"/>
    <s v="Ernakulam"/>
    <x v="14"/>
    <s v="PT-1014"/>
    <s v="Follow-up"/>
    <x v="4"/>
    <x v="2"/>
    <s v="Corporate Wellness"/>
    <x v="0"/>
    <n v="30"/>
    <n v="30"/>
    <n v="40.4"/>
    <n v="750"/>
    <x v="27"/>
    <x v="0"/>
    <n v="0"/>
    <n v="1"/>
    <n v="0"/>
    <n v="0.85"/>
  </r>
  <r>
    <s v="APT-00683"/>
    <x v="102"/>
    <x v="1"/>
    <x v="1"/>
    <x v="0"/>
    <x v="2"/>
    <s v="Ernakulam"/>
    <x v="4"/>
    <s v="PT-1053"/>
    <s v="Post-op Rehab"/>
    <x v="0"/>
    <x v="0"/>
    <s v="Neurologist"/>
    <x v="1"/>
    <n v="45"/>
    <n v="0"/>
    <n v="60.1"/>
    <n v="1300"/>
    <x v="9"/>
    <x v="1"/>
    <n v="1"/>
    <n v="0"/>
    <n v="0"/>
    <n v="0.85"/>
  </r>
  <r>
    <s v="APT-00684"/>
    <x v="138"/>
    <x v="8"/>
    <x v="1"/>
    <x v="2"/>
    <x v="1"/>
    <s v="Thrissur"/>
    <x v="7"/>
    <s v="PT-1548"/>
    <s v="Follow-up"/>
    <x v="5"/>
    <x v="0"/>
    <s v="Corporate Wellness"/>
    <x v="0"/>
    <n v="30"/>
    <n v="30"/>
    <n v="33.9"/>
    <n v="700"/>
    <x v="19"/>
    <x v="0"/>
    <n v="0"/>
    <n v="1"/>
    <n v="0"/>
    <n v="0.85"/>
  </r>
  <r>
    <s v="APT-00685"/>
    <x v="18"/>
    <x v="4"/>
    <x v="3"/>
    <x v="0"/>
    <x v="1"/>
    <s v="Thrissur"/>
    <x v="10"/>
    <s v="PT-1680"/>
    <s v="Follow-up"/>
    <x v="2"/>
    <x v="1"/>
    <s v="Online Search"/>
    <x v="0"/>
    <n v="60"/>
    <n v="60"/>
    <n v="70.2"/>
    <n v="1150"/>
    <x v="15"/>
    <x v="0"/>
    <n v="0"/>
    <n v="1"/>
    <n v="0"/>
    <n v="0.85"/>
  </r>
  <r>
    <s v="APT-00686"/>
    <x v="167"/>
    <x v="4"/>
    <x v="2"/>
    <x v="1"/>
    <x v="0"/>
    <s v="Palakkad"/>
    <x v="9"/>
    <s v="PT-1377"/>
    <s v="Sports Injury"/>
    <x v="4"/>
    <x v="0"/>
    <s v="Orthopedic Doctor"/>
    <x v="3"/>
    <n v="30"/>
    <n v="0"/>
    <n v="34.700000000000003"/>
    <n v="600"/>
    <x v="9"/>
    <x v="0"/>
    <n v="0"/>
    <n v="0"/>
    <n v="0"/>
    <n v="0.85"/>
  </r>
  <r>
    <s v="APT-00687"/>
    <x v="57"/>
    <x v="3"/>
    <x v="5"/>
    <x v="0"/>
    <x v="2"/>
    <s v="Ernakulam"/>
    <x v="12"/>
    <s v="PT-1572"/>
    <s v="Geriatric Rehab"/>
    <x v="3"/>
    <x v="0"/>
    <s v="Self Referral"/>
    <x v="1"/>
    <n v="90"/>
    <n v="0"/>
    <n v="106.3"/>
    <n v="2250"/>
    <x v="9"/>
    <x v="7"/>
    <n v="1"/>
    <n v="0"/>
    <n v="0"/>
    <n v="0.85"/>
  </r>
  <r>
    <s v="APT-00688"/>
    <x v="31"/>
    <x v="11"/>
    <x v="4"/>
    <x v="0"/>
    <x v="1"/>
    <s v="Thrissur"/>
    <x v="10"/>
    <s v="PT-1500"/>
    <s v="Sports Injury"/>
    <x v="3"/>
    <x v="2"/>
    <s v="Self Referral"/>
    <x v="0"/>
    <n v="60"/>
    <n v="60"/>
    <n v="80"/>
    <n v="1350"/>
    <x v="14"/>
    <x v="0"/>
    <n v="0"/>
    <n v="1"/>
    <n v="0"/>
    <n v="0.85"/>
  </r>
  <r>
    <s v="APT-00689"/>
    <x v="186"/>
    <x v="3"/>
    <x v="1"/>
    <x v="2"/>
    <x v="0"/>
    <s v="Palakkad"/>
    <x v="11"/>
    <s v="PT-1024"/>
    <s v="New Patient"/>
    <x v="5"/>
    <x v="0"/>
    <s v="Neurologist"/>
    <x v="0"/>
    <n v="60"/>
    <n v="60"/>
    <n v="77.2"/>
    <n v="1500"/>
    <x v="3"/>
    <x v="0"/>
    <n v="0"/>
    <n v="1"/>
    <n v="0"/>
    <n v="0.85"/>
  </r>
  <r>
    <s v="APT-00690"/>
    <x v="242"/>
    <x v="2"/>
    <x v="3"/>
    <x v="0"/>
    <x v="0"/>
    <s v="Palakkad"/>
    <x v="9"/>
    <s v="PT-1070"/>
    <s v="Follow-up"/>
    <x v="5"/>
    <x v="0"/>
    <s v="Corporate Wellness"/>
    <x v="1"/>
    <n v="90"/>
    <n v="0"/>
    <n v="117.9"/>
    <n v="1900"/>
    <x v="9"/>
    <x v="4"/>
    <n v="1"/>
    <n v="0"/>
    <n v="0"/>
    <n v="0.85"/>
  </r>
  <r>
    <s v="APT-00691"/>
    <x v="178"/>
    <x v="7"/>
    <x v="2"/>
    <x v="3"/>
    <x v="0"/>
    <s v="Palakkad"/>
    <x v="6"/>
    <s v="PT-1175"/>
    <s v="Chronic Pain"/>
    <x v="3"/>
    <x v="1"/>
    <s v="Neurologist"/>
    <x v="2"/>
    <n v="30"/>
    <n v="0"/>
    <n v="37.9"/>
    <n v="550"/>
    <x v="9"/>
    <x v="29"/>
    <n v="0"/>
    <n v="0"/>
    <n v="1"/>
    <n v="0.85"/>
  </r>
  <r>
    <s v="APT-00692"/>
    <x v="63"/>
    <x v="11"/>
    <x v="0"/>
    <x v="1"/>
    <x v="2"/>
    <s v="Ernakulam"/>
    <x v="8"/>
    <s v="PT-1457"/>
    <s v="Follow-up"/>
    <x v="0"/>
    <x v="3"/>
    <s v="Hospital Discharge"/>
    <x v="0"/>
    <n v="75"/>
    <n v="75"/>
    <n v="97.5"/>
    <n v="1700"/>
    <x v="6"/>
    <x v="0"/>
    <n v="0"/>
    <n v="1"/>
    <n v="0"/>
    <n v="0.85"/>
  </r>
  <r>
    <s v="APT-00693"/>
    <x v="281"/>
    <x v="11"/>
    <x v="5"/>
    <x v="2"/>
    <x v="1"/>
    <s v="Thrissur"/>
    <x v="10"/>
    <s v="PT-1501"/>
    <s v="Follow-up"/>
    <x v="3"/>
    <x v="2"/>
    <s v="Hospital Discharge"/>
    <x v="1"/>
    <n v="60"/>
    <n v="0"/>
    <n v="80.900000000000006"/>
    <n v="1350"/>
    <x v="9"/>
    <x v="2"/>
    <n v="1"/>
    <n v="0"/>
    <n v="0"/>
    <n v="0.85"/>
  </r>
  <r>
    <s v="APT-00694"/>
    <x v="142"/>
    <x v="11"/>
    <x v="3"/>
    <x v="0"/>
    <x v="0"/>
    <s v="Palakkad"/>
    <x v="11"/>
    <s v="PT-1062"/>
    <s v="Sports Injury"/>
    <x v="1"/>
    <x v="0"/>
    <s v="Corporate Wellness"/>
    <x v="0"/>
    <n v="45"/>
    <n v="45"/>
    <n v="53.5"/>
    <n v="950"/>
    <x v="7"/>
    <x v="0"/>
    <n v="0"/>
    <n v="1"/>
    <n v="0"/>
    <n v="0.85"/>
  </r>
  <r>
    <s v="APT-00695"/>
    <x v="80"/>
    <x v="11"/>
    <x v="5"/>
    <x v="0"/>
    <x v="2"/>
    <s v="Ernakulam"/>
    <x v="8"/>
    <s v="PT-1372"/>
    <s v="Follow-up"/>
    <x v="0"/>
    <x v="2"/>
    <s v="Corporate Wellness"/>
    <x v="0"/>
    <n v="60"/>
    <n v="60"/>
    <n v="67.900000000000006"/>
    <n v="1500"/>
    <x v="3"/>
    <x v="0"/>
    <n v="0"/>
    <n v="1"/>
    <n v="0"/>
    <n v="0.85"/>
  </r>
  <r>
    <s v="APT-00696"/>
    <x v="101"/>
    <x v="9"/>
    <x v="4"/>
    <x v="3"/>
    <x v="2"/>
    <s v="Ernakulam"/>
    <x v="8"/>
    <s v="PT-1606"/>
    <s v="Follow-up"/>
    <x v="3"/>
    <x v="2"/>
    <s v="Hospital Discharge"/>
    <x v="0"/>
    <n v="45"/>
    <n v="45"/>
    <n v="53.8"/>
    <n v="1100"/>
    <x v="20"/>
    <x v="0"/>
    <n v="0"/>
    <n v="1"/>
    <n v="0"/>
    <n v="0.85"/>
  </r>
  <r>
    <s v="APT-00697"/>
    <x v="228"/>
    <x v="1"/>
    <x v="2"/>
    <x v="2"/>
    <x v="0"/>
    <s v="Palakkad"/>
    <x v="11"/>
    <s v="PT-1379"/>
    <s v="Sports Injury"/>
    <x v="0"/>
    <x v="1"/>
    <s v="Self Referral"/>
    <x v="0"/>
    <n v="30"/>
    <n v="30"/>
    <n v="32.6"/>
    <n v="550"/>
    <x v="29"/>
    <x v="0"/>
    <n v="0"/>
    <n v="1"/>
    <n v="0"/>
    <n v="0.85"/>
  </r>
  <r>
    <s v="APT-00698"/>
    <x v="282"/>
    <x v="1"/>
    <x v="6"/>
    <x v="2"/>
    <x v="1"/>
    <s v="Thrissur"/>
    <x v="10"/>
    <s v="PT-1554"/>
    <s v="Post-op Rehab"/>
    <x v="1"/>
    <x v="2"/>
    <s v="Self Referral"/>
    <x v="0"/>
    <n v="45"/>
    <n v="45"/>
    <n v="53.4"/>
    <n v="1150"/>
    <x v="15"/>
    <x v="0"/>
    <n v="0"/>
    <n v="1"/>
    <n v="0"/>
    <n v="0.85"/>
  </r>
  <r>
    <s v="APT-00699"/>
    <x v="40"/>
    <x v="5"/>
    <x v="4"/>
    <x v="3"/>
    <x v="2"/>
    <s v="Ernakulam"/>
    <x v="12"/>
    <s v="PT-1425"/>
    <s v="Follow-up"/>
    <x v="2"/>
    <x v="0"/>
    <s v="Corporate Wellness"/>
    <x v="1"/>
    <n v="60"/>
    <n v="0"/>
    <n v="68.2"/>
    <n v="1500"/>
    <x v="9"/>
    <x v="12"/>
    <n v="1"/>
    <n v="0"/>
    <n v="0"/>
    <n v="0.85"/>
  </r>
  <r>
    <s v="APT-00700"/>
    <x v="148"/>
    <x v="4"/>
    <x v="0"/>
    <x v="0"/>
    <x v="0"/>
    <s v="Palakkad"/>
    <x v="11"/>
    <s v="PT-1090"/>
    <s v="Geriatric Rehab"/>
    <x v="3"/>
    <x v="0"/>
    <s v="Neurologist"/>
    <x v="0"/>
    <n v="60"/>
    <n v="60"/>
    <n v="81"/>
    <n v="1250"/>
    <x v="5"/>
    <x v="0"/>
    <n v="0"/>
    <n v="1"/>
    <n v="0"/>
    <n v="0.85"/>
  </r>
  <r>
    <s v="APT-00701"/>
    <x v="193"/>
    <x v="3"/>
    <x v="5"/>
    <x v="3"/>
    <x v="0"/>
    <s v="Palakkad"/>
    <x v="11"/>
    <s v="PT-1162"/>
    <s v="Post-op Rehab"/>
    <x v="3"/>
    <x v="2"/>
    <s v="Online Search"/>
    <x v="0"/>
    <n v="60"/>
    <n v="60"/>
    <n v="76.8"/>
    <n v="1450"/>
    <x v="10"/>
    <x v="0"/>
    <n v="0"/>
    <n v="1"/>
    <n v="0"/>
    <n v="0.85"/>
  </r>
  <r>
    <s v="APT-00702"/>
    <x v="128"/>
    <x v="9"/>
    <x v="3"/>
    <x v="2"/>
    <x v="1"/>
    <s v="Thrissur"/>
    <x v="10"/>
    <s v="PT-1645"/>
    <s v="Follow-up"/>
    <x v="5"/>
    <x v="2"/>
    <s v="Online Search"/>
    <x v="2"/>
    <n v="45"/>
    <n v="0"/>
    <n v="56.7"/>
    <n v="1000"/>
    <x v="9"/>
    <x v="16"/>
    <n v="0"/>
    <n v="0"/>
    <n v="1"/>
    <n v="0.85"/>
  </r>
  <r>
    <s v="APT-00703"/>
    <x v="283"/>
    <x v="6"/>
    <x v="3"/>
    <x v="1"/>
    <x v="0"/>
    <s v="Palakkad"/>
    <x v="6"/>
    <s v="PT-1501"/>
    <s v="Post-op Rehab"/>
    <x v="2"/>
    <x v="3"/>
    <s v="Orthopedic Doctor"/>
    <x v="0"/>
    <n v="30"/>
    <n v="30"/>
    <n v="39.4"/>
    <n v="650"/>
    <x v="36"/>
    <x v="0"/>
    <n v="0"/>
    <n v="1"/>
    <n v="0"/>
    <n v="0.85"/>
  </r>
  <r>
    <s v="APT-00704"/>
    <x v="63"/>
    <x v="11"/>
    <x v="0"/>
    <x v="0"/>
    <x v="1"/>
    <s v="Thrissur"/>
    <x v="10"/>
    <s v="PT-1600"/>
    <s v="Post-op Rehab"/>
    <x v="0"/>
    <x v="1"/>
    <s v="Self Referral"/>
    <x v="0"/>
    <n v="45"/>
    <n v="45"/>
    <n v="50.9"/>
    <n v="1000"/>
    <x v="13"/>
    <x v="0"/>
    <n v="0"/>
    <n v="1"/>
    <n v="0"/>
    <n v="0.85"/>
  </r>
  <r>
    <s v="APT-00705"/>
    <x v="17"/>
    <x v="0"/>
    <x v="1"/>
    <x v="2"/>
    <x v="2"/>
    <s v="Ernakulam"/>
    <x v="3"/>
    <s v="PT-1427"/>
    <s v="Chronic Pain"/>
    <x v="2"/>
    <x v="0"/>
    <s v="Corporate Wellness"/>
    <x v="0"/>
    <n v="75"/>
    <n v="75"/>
    <n v="83.8"/>
    <n v="1900"/>
    <x v="0"/>
    <x v="0"/>
    <n v="0"/>
    <n v="1"/>
    <n v="0"/>
    <n v="0.85"/>
  </r>
  <r>
    <s v="APT-00706"/>
    <x v="0"/>
    <x v="0"/>
    <x v="0"/>
    <x v="3"/>
    <x v="2"/>
    <s v="Ernakulam"/>
    <x v="14"/>
    <s v="PT-1015"/>
    <s v="Follow-up"/>
    <x v="2"/>
    <x v="0"/>
    <s v="Orthopedic Doctor"/>
    <x v="1"/>
    <n v="30"/>
    <n v="0"/>
    <n v="32.6"/>
    <n v="750"/>
    <x v="9"/>
    <x v="31"/>
    <n v="1"/>
    <n v="0"/>
    <n v="0"/>
    <n v="0.85"/>
  </r>
  <r>
    <s v="APT-00707"/>
    <x v="259"/>
    <x v="0"/>
    <x v="2"/>
    <x v="3"/>
    <x v="1"/>
    <s v="Thrissur"/>
    <x v="2"/>
    <s v="PT-1577"/>
    <s v="Geriatric Rehab"/>
    <x v="0"/>
    <x v="2"/>
    <s v="Corporate Wellness"/>
    <x v="0"/>
    <n v="45"/>
    <n v="45"/>
    <n v="51.4"/>
    <n v="1000"/>
    <x v="13"/>
    <x v="0"/>
    <n v="0"/>
    <n v="1"/>
    <n v="0"/>
    <n v="0.85"/>
  </r>
  <r>
    <s v="APT-00708"/>
    <x v="148"/>
    <x v="4"/>
    <x v="0"/>
    <x v="1"/>
    <x v="2"/>
    <s v="Ernakulam"/>
    <x v="12"/>
    <s v="PT-1617"/>
    <s v="Post-op Rehab"/>
    <x v="3"/>
    <x v="2"/>
    <s v="Neurologist"/>
    <x v="0"/>
    <n v="90"/>
    <n v="90"/>
    <n v="114.8"/>
    <n v="2600"/>
    <x v="4"/>
    <x v="0"/>
    <n v="0"/>
    <n v="1"/>
    <n v="0"/>
    <n v="0.85"/>
  </r>
  <r>
    <s v="APT-00709"/>
    <x v="80"/>
    <x v="11"/>
    <x v="5"/>
    <x v="2"/>
    <x v="0"/>
    <s v="Palakkad"/>
    <x v="13"/>
    <s v="PT-1273"/>
    <s v="Geriatric Rehab"/>
    <x v="1"/>
    <x v="2"/>
    <s v="Self Referral"/>
    <x v="0"/>
    <n v="60"/>
    <n v="60"/>
    <n v="72.599999999999994"/>
    <n v="1250"/>
    <x v="5"/>
    <x v="0"/>
    <n v="0"/>
    <n v="1"/>
    <n v="0"/>
    <n v="0.85"/>
  </r>
  <r>
    <s v="APT-00710"/>
    <x v="222"/>
    <x v="2"/>
    <x v="4"/>
    <x v="1"/>
    <x v="2"/>
    <s v="Ernakulam"/>
    <x v="8"/>
    <s v="PT-1251"/>
    <s v="Post-op Rehab"/>
    <x v="3"/>
    <x v="2"/>
    <s v="Hospital Discharge"/>
    <x v="0"/>
    <n v="30"/>
    <n v="30"/>
    <n v="38.4"/>
    <n v="850"/>
    <x v="23"/>
    <x v="0"/>
    <n v="0"/>
    <n v="1"/>
    <n v="0"/>
    <n v="0.85"/>
  </r>
  <r>
    <s v="APT-00711"/>
    <x v="279"/>
    <x v="6"/>
    <x v="3"/>
    <x v="1"/>
    <x v="0"/>
    <s v="Palakkad"/>
    <x v="11"/>
    <s v="PT-1510"/>
    <s v="Post-op Rehab"/>
    <x v="4"/>
    <x v="3"/>
    <s v="Self Referral"/>
    <x v="0"/>
    <n v="30"/>
    <n v="30"/>
    <n v="33.1"/>
    <n v="650"/>
    <x v="36"/>
    <x v="0"/>
    <n v="0"/>
    <n v="1"/>
    <n v="0"/>
    <n v="0.85"/>
  </r>
  <r>
    <s v="APT-00712"/>
    <x v="216"/>
    <x v="3"/>
    <x v="0"/>
    <x v="3"/>
    <x v="2"/>
    <s v="Ernakulam"/>
    <x v="14"/>
    <s v="PT-1312"/>
    <s v="Sports Injury"/>
    <x v="5"/>
    <x v="2"/>
    <s v="Corporate Wellness"/>
    <x v="0"/>
    <n v="60"/>
    <n v="60"/>
    <n v="75.400000000000006"/>
    <n v="1500"/>
    <x v="3"/>
    <x v="0"/>
    <n v="0"/>
    <n v="1"/>
    <n v="0"/>
    <n v="0.85"/>
  </r>
  <r>
    <s v="APT-00713"/>
    <x v="76"/>
    <x v="2"/>
    <x v="0"/>
    <x v="2"/>
    <x v="2"/>
    <s v="Ernakulam"/>
    <x v="3"/>
    <s v="PT-1159"/>
    <s v="New Patient"/>
    <x v="3"/>
    <x v="2"/>
    <s v="Corporate Wellness"/>
    <x v="0"/>
    <n v="30"/>
    <n v="30"/>
    <n v="39.200000000000003"/>
    <n v="900"/>
    <x v="17"/>
    <x v="0"/>
    <n v="0"/>
    <n v="1"/>
    <n v="0"/>
    <n v="0.85"/>
  </r>
  <r>
    <s v="APT-00714"/>
    <x v="204"/>
    <x v="3"/>
    <x v="2"/>
    <x v="2"/>
    <x v="0"/>
    <s v="Palakkad"/>
    <x v="11"/>
    <s v="PT-1133"/>
    <s v="New Patient"/>
    <x v="1"/>
    <x v="2"/>
    <s v="Hospital Discharge"/>
    <x v="0"/>
    <n v="60"/>
    <n v="60"/>
    <n v="76.2"/>
    <n v="1500"/>
    <x v="3"/>
    <x v="0"/>
    <n v="0"/>
    <n v="1"/>
    <n v="0"/>
    <n v="0.85"/>
  </r>
  <r>
    <s v="APT-00715"/>
    <x v="199"/>
    <x v="4"/>
    <x v="1"/>
    <x v="2"/>
    <x v="2"/>
    <s v="Ernakulam"/>
    <x v="4"/>
    <s v="PT-1464"/>
    <s v="New Patient"/>
    <x v="5"/>
    <x v="0"/>
    <s v="Self Referral"/>
    <x v="1"/>
    <n v="60"/>
    <n v="0"/>
    <n v="69.400000000000006"/>
    <n v="1800"/>
    <x v="9"/>
    <x v="13"/>
    <n v="1"/>
    <n v="0"/>
    <n v="0"/>
    <n v="0.85"/>
  </r>
  <r>
    <s v="APT-00716"/>
    <x v="228"/>
    <x v="1"/>
    <x v="2"/>
    <x v="0"/>
    <x v="1"/>
    <s v="Thrissur"/>
    <x v="10"/>
    <s v="PT-1391"/>
    <s v="Geriatric Rehab"/>
    <x v="0"/>
    <x v="1"/>
    <s v="Hospital Discharge"/>
    <x v="0"/>
    <n v="60"/>
    <n v="60"/>
    <n v="78.8"/>
    <n v="1150"/>
    <x v="15"/>
    <x v="0"/>
    <n v="0"/>
    <n v="1"/>
    <n v="0"/>
    <n v="0.85"/>
  </r>
  <r>
    <s v="APT-00717"/>
    <x v="52"/>
    <x v="9"/>
    <x v="2"/>
    <x v="2"/>
    <x v="2"/>
    <s v="Ernakulam"/>
    <x v="8"/>
    <s v="PT-1422"/>
    <s v="Follow-up"/>
    <x v="1"/>
    <x v="2"/>
    <s v="Orthopedic Doctor"/>
    <x v="0"/>
    <n v="45"/>
    <n v="45"/>
    <n v="51.2"/>
    <n v="1100"/>
    <x v="20"/>
    <x v="0"/>
    <n v="0"/>
    <n v="1"/>
    <n v="0"/>
    <n v="0.85"/>
  </r>
  <r>
    <s v="APT-00718"/>
    <x v="183"/>
    <x v="10"/>
    <x v="1"/>
    <x v="0"/>
    <x v="1"/>
    <s v="Thrissur"/>
    <x v="7"/>
    <s v="PT-1347"/>
    <s v="Post-op Rehab"/>
    <x v="2"/>
    <x v="0"/>
    <s v="Online Search"/>
    <x v="0"/>
    <n v="60"/>
    <n v="60"/>
    <n v="70"/>
    <n v="1550"/>
    <x v="1"/>
    <x v="0"/>
    <n v="0"/>
    <n v="1"/>
    <n v="0"/>
    <n v="0.85"/>
  </r>
  <r>
    <s v="APT-00719"/>
    <x v="284"/>
    <x v="7"/>
    <x v="5"/>
    <x v="3"/>
    <x v="0"/>
    <s v="Palakkad"/>
    <x v="9"/>
    <s v="PT-1262"/>
    <s v="New Patient"/>
    <x v="4"/>
    <x v="0"/>
    <s v="Online Search"/>
    <x v="0"/>
    <n v="45"/>
    <n v="45"/>
    <n v="51.2"/>
    <n v="1100"/>
    <x v="20"/>
    <x v="0"/>
    <n v="0"/>
    <n v="1"/>
    <n v="0"/>
    <n v="0.85"/>
  </r>
  <r>
    <s v="APT-00720"/>
    <x v="285"/>
    <x v="6"/>
    <x v="2"/>
    <x v="1"/>
    <x v="1"/>
    <s v="Thrissur"/>
    <x v="1"/>
    <s v="PT-1238"/>
    <s v="Sports Injury"/>
    <x v="1"/>
    <x v="0"/>
    <s v="Neurologist"/>
    <x v="0"/>
    <n v="30"/>
    <n v="30"/>
    <n v="35.5"/>
    <n v="700"/>
    <x v="19"/>
    <x v="0"/>
    <n v="0"/>
    <n v="1"/>
    <n v="0"/>
    <n v="0.85"/>
  </r>
  <r>
    <s v="APT-00721"/>
    <x v="184"/>
    <x v="11"/>
    <x v="3"/>
    <x v="2"/>
    <x v="2"/>
    <s v="Ernakulam"/>
    <x v="14"/>
    <s v="PT-1472"/>
    <s v="Chronic Pain"/>
    <x v="0"/>
    <x v="0"/>
    <s v="Online Search"/>
    <x v="0"/>
    <n v="75"/>
    <n v="75"/>
    <n v="83.5"/>
    <n v="1900"/>
    <x v="0"/>
    <x v="0"/>
    <n v="0"/>
    <n v="1"/>
    <n v="0"/>
    <n v="0.85"/>
  </r>
  <r>
    <s v="APT-00722"/>
    <x v="206"/>
    <x v="4"/>
    <x v="2"/>
    <x v="1"/>
    <x v="0"/>
    <s v="Palakkad"/>
    <x v="9"/>
    <s v="PT-1310"/>
    <s v="Follow-up"/>
    <x v="5"/>
    <x v="0"/>
    <s v="Corporate Wellness"/>
    <x v="0"/>
    <n v="45"/>
    <n v="45"/>
    <n v="55.6"/>
    <n v="950"/>
    <x v="7"/>
    <x v="0"/>
    <n v="0"/>
    <n v="1"/>
    <n v="0"/>
    <n v="0.85"/>
  </r>
  <r>
    <s v="APT-00723"/>
    <x v="169"/>
    <x v="3"/>
    <x v="0"/>
    <x v="3"/>
    <x v="0"/>
    <s v="Palakkad"/>
    <x v="9"/>
    <s v="PT-1274"/>
    <s v="Sports Injury"/>
    <x v="2"/>
    <x v="0"/>
    <s v="Hospital Discharge"/>
    <x v="0"/>
    <n v="60"/>
    <n v="60"/>
    <n v="66.599999999999994"/>
    <n v="1250"/>
    <x v="5"/>
    <x v="0"/>
    <n v="0"/>
    <n v="1"/>
    <n v="0"/>
    <n v="0.85"/>
  </r>
  <r>
    <s v="APT-00724"/>
    <x v="109"/>
    <x v="0"/>
    <x v="1"/>
    <x v="1"/>
    <x v="2"/>
    <s v="Ernakulam"/>
    <x v="14"/>
    <s v="PT-1291"/>
    <s v="Post-op Rehab"/>
    <x v="0"/>
    <x v="0"/>
    <s v="Corporate Wellness"/>
    <x v="0"/>
    <n v="45"/>
    <n v="45"/>
    <n v="50.2"/>
    <n v="1300"/>
    <x v="22"/>
    <x v="0"/>
    <n v="0"/>
    <n v="1"/>
    <n v="0"/>
    <n v="0.85"/>
  </r>
  <r>
    <s v="APT-00725"/>
    <x v="144"/>
    <x v="11"/>
    <x v="1"/>
    <x v="1"/>
    <x v="1"/>
    <s v="Thrissur"/>
    <x v="7"/>
    <s v="PT-1416"/>
    <s v="Sports Injury"/>
    <x v="1"/>
    <x v="0"/>
    <s v="Corporate Wellness"/>
    <x v="0"/>
    <n v="30"/>
    <n v="30"/>
    <n v="36.200000000000003"/>
    <n v="700"/>
    <x v="19"/>
    <x v="0"/>
    <n v="0"/>
    <n v="1"/>
    <n v="0"/>
    <n v="0.85"/>
  </r>
  <r>
    <s v="APT-00726"/>
    <x v="209"/>
    <x v="4"/>
    <x v="4"/>
    <x v="0"/>
    <x v="0"/>
    <s v="Palakkad"/>
    <x v="9"/>
    <s v="PT-1205"/>
    <s v="Follow-up"/>
    <x v="3"/>
    <x v="3"/>
    <s v="Online Search"/>
    <x v="0"/>
    <n v="45"/>
    <n v="45"/>
    <n v="60.3"/>
    <n v="850"/>
    <x v="23"/>
    <x v="0"/>
    <n v="0"/>
    <n v="1"/>
    <n v="0"/>
    <n v="0.85"/>
  </r>
  <r>
    <s v="APT-00727"/>
    <x v="230"/>
    <x v="6"/>
    <x v="1"/>
    <x v="2"/>
    <x v="1"/>
    <s v="Thrissur"/>
    <x v="7"/>
    <s v="PT-1203"/>
    <s v="Sports Injury"/>
    <x v="2"/>
    <x v="0"/>
    <s v="Hospital Discharge"/>
    <x v="1"/>
    <n v="60"/>
    <n v="0"/>
    <n v="76.5"/>
    <n v="1350"/>
    <x v="9"/>
    <x v="2"/>
    <n v="1"/>
    <n v="0"/>
    <n v="0"/>
    <n v="0.85"/>
  </r>
  <r>
    <s v="APT-00728"/>
    <x v="145"/>
    <x v="1"/>
    <x v="1"/>
    <x v="3"/>
    <x v="1"/>
    <s v="Thrissur"/>
    <x v="10"/>
    <s v="PT-1124"/>
    <s v="Geriatric Rehab"/>
    <x v="5"/>
    <x v="0"/>
    <s v="Corporate Wellness"/>
    <x v="0"/>
    <n v="45"/>
    <n v="45"/>
    <n v="59.6"/>
    <n v="1000"/>
    <x v="13"/>
    <x v="0"/>
    <n v="0"/>
    <n v="1"/>
    <n v="0"/>
    <n v="0.85"/>
  </r>
  <r>
    <s v="APT-00729"/>
    <x v="250"/>
    <x v="4"/>
    <x v="1"/>
    <x v="2"/>
    <x v="1"/>
    <s v="Thrissur"/>
    <x v="2"/>
    <s v="PT-1197"/>
    <s v="Sports Injury"/>
    <x v="5"/>
    <x v="2"/>
    <s v="Online Search"/>
    <x v="0"/>
    <n v="45"/>
    <n v="45"/>
    <n v="55.3"/>
    <n v="1000"/>
    <x v="13"/>
    <x v="0"/>
    <n v="0"/>
    <n v="1"/>
    <n v="0"/>
    <n v="0.85"/>
  </r>
  <r>
    <s v="APT-00730"/>
    <x v="146"/>
    <x v="8"/>
    <x v="1"/>
    <x v="0"/>
    <x v="2"/>
    <s v="Ernakulam"/>
    <x v="14"/>
    <s v="PT-1208"/>
    <s v="New Patient"/>
    <x v="3"/>
    <x v="0"/>
    <s v="Corporate Wellness"/>
    <x v="0"/>
    <n v="60"/>
    <n v="60"/>
    <n v="72"/>
    <n v="1800"/>
    <x v="25"/>
    <x v="0"/>
    <n v="0"/>
    <n v="1"/>
    <n v="0"/>
    <n v="0.85"/>
  </r>
  <r>
    <s v="APT-00731"/>
    <x v="208"/>
    <x v="3"/>
    <x v="1"/>
    <x v="0"/>
    <x v="0"/>
    <s v="Palakkad"/>
    <x v="11"/>
    <s v="PT-1484"/>
    <s v="New Patient"/>
    <x v="4"/>
    <x v="0"/>
    <s v="Orthopedic Doctor"/>
    <x v="0"/>
    <n v="90"/>
    <n v="90"/>
    <n v="114.5"/>
    <n v="2250"/>
    <x v="12"/>
    <x v="0"/>
    <n v="0"/>
    <n v="1"/>
    <n v="0"/>
    <n v="0.85"/>
  </r>
  <r>
    <s v="APT-00732"/>
    <x v="250"/>
    <x v="4"/>
    <x v="1"/>
    <x v="0"/>
    <x v="2"/>
    <s v="Ernakulam"/>
    <x v="12"/>
    <s v="PT-1565"/>
    <s v="Post-op Rehab"/>
    <x v="2"/>
    <x v="0"/>
    <s v="Online Search"/>
    <x v="1"/>
    <n v="60"/>
    <n v="0"/>
    <n v="70.7"/>
    <n v="1700"/>
    <x v="9"/>
    <x v="5"/>
    <n v="1"/>
    <n v="0"/>
    <n v="0"/>
    <n v="0.85"/>
  </r>
  <r>
    <s v="APT-00733"/>
    <x v="245"/>
    <x v="1"/>
    <x v="1"/>
    <x v="0"/>
    <x v="0"/>
    <s v="Palakkad"/>
    <x v="11"/>
    <s v="PT-1070"/>
    <s v="Geriatric Rehab"/>
    <x v="3"/>
    <x v="1"/>
    <s v="Neurologist"/>
    <x v="3"/>
    <n v="60"/>
    <n v="0"/>
    <n v="75.599999999999994"/>
    <n v="1050"/>
    <x v="9"/>
    <x v="0"/>
    <n v="0"/>
    <n v="0"/>
    <n v="0"/>
    <n v="0.85"/>
  </r>
  <r>
    <s v="APT-00734"/>
    <x v="161"/>
    <x v="2"/>
    <x v="0"/>
    <x v="3"/>
    <x v="2"/>
    <s v="Ernakulam"/>
    <x v="8"/>
    <s v="PT-1554"/>
    <s v="Follow-up"/>
    <x v="4"/>
    <x v="2"/>
    <s v="Neurologist"/>
    <x v="0"/>
    <n v="60"/>
    <n v="60"/>
    <n v="68"/>
    <n v="1500"/>
    <x v="3"/>
    <x v="0"/>
    <n v="0"/>
    <n v="1"/>
    <n v="0"/>
    <n v="0.85"/>
  </r>
  <r>
    <s v="APT-00735"/>
    <x v="268"/>
    <x v="2"/>
    <x v="1"/>
    <x v="1"/>
    <x v="2"/>
    <s v="Ernakulam"/>
    <x v="14"/>
    <s v="PT-1196"/>
    <s v="Follow-up"/>
    <x v="0"/>
    <x v="2"/>
    <s v="Orthopedic Doctor"/>
    <x v="0"/>
    <n v="45"/>
    <n v="45"/>
    <n v="57.4"/>
    <n v="1100"/>
    <x v="20"/>
    <x v="0"/>
    <n v="0"/>
    <n v="1"/>
    <n v="0"/>
    <n v="0.85"/>
  </r>
  <r>
    <s v="APT-00736"/>
    <x v="286"/>
    <x v="9"/>
    <x v="0"/>
    <x v="1"/>
    <x v="2"/>
    <s v="Ernakulam"/>
    <x v="14"/>
    <s v="PT-1292"/>
    <s v="Follow-up"/>
    <x v="5"/>
    <x v="0"/>
    <s v="Online Search"/>
    <x v="0"/>
    <n v="60"/>
    <n v="60"/>
    <n v="77.599999999999994"/>
    <n v="1500"/>
    <x v="3"/>
    <x v="0"/>
    <n v="0"/>
    <n v="1"/>
    <n v="0"/>
    <n v="0.85"/>
  </r>
  <r>
    <s v="APT-00737"/>
    <x v="79"/>
    <x v="2"/>
    <x v="1"/>
    <x v="3"/>
    <x v="2"/>
    <s v="Ernakulam"/>
    <x v="14"/>
    <s v="PT-1518"/>
    <s v="Post-op Rehab"/>
    <x v="0"/>
    <x v="0"/>
    <s v="Corporate Wellness"/>
    <x v="1"/>
    <n v="60"/>
    <n v="0"/>
    <n v="77.8"/>
    <n v="1700"/>
    <x v="9"/>
    <x v="5"/>
    <n v="1"/>
    <n v="0"/>
    <n v="0"/>
    <n v="0.85"/>
  </r>
  <r>
    <s v="APT-00738"/>
    <x v="274"/>
    <x v="9"/>
    <x v="0"/>
    <x v="0"/>
    <x v="2"/>
    <s v="Ernakulam"/>
    <x v="14"/>
    <s v="PT-1082"/>
    <s v="Post-op Rehab"/>
    <x v="0"/>
    <x v="0"/>
    <s v="Neurologist"/>
    <x v="0"/>
    <n v="30"/>
    <n v="30"/>
    <n v="39.200000000000003"/>
    <n v="850"/>
    <x v="23"/>
    <x v="0"/>
    <n v="0"/>
    <n v="1"/>
    <n v="0"/>
    <n v="0.85"/>
  </r>
  <r>
    <s v="APT-00739"/>
    <x v="287"/>
    <x v="9"/>
    <x v="0"/>
    <x v="3"/>
    <x v="2"/>
    <s v="Ernakulam"/>
    <x v="3"/>
    <s v="PT-1699"/>
    <s v="Follow-up"/>
    <x v="2"/>
    <x v="0"/>
    <s v="Self Referral"/>
    <x v="0"/>
    <n v="45"/>
    <n v="45"/>
    <n v="56.6"/>
    <n v="1100"/>
    <x v="20"/>
    <x v="0"/>
    <n v="0"/>
    <n v="1"/>
    <n v="0"/>
    <n v="0.85"/>
  </r>
  <r>
    <s v="APT-00740"/>
    <x v="134"/>
    <x v="2"/>
    <x v="1"/>
    <x v="3"/>
    <x v="0"/>
    <s v="Palakkad"/>
    <x v="6"/>
    <s v="PT-1219"/>
    <s v="Follow-up"/>
    <x v="2"/>
    <x v="0"/>
    <s v="Orthopedic Doctor"/>
    <x v="0"/>
    <n v="75"/>
    <n v="75"/>
    <n v="100.8"/>
    <n v="1550"/>
    <x v="1"/>
    <x v="0"/>
    <n v="0"/>
    <n v="1"/>
    <n v="0"/>
    <n v="0.85"/>
  </r>
  <r>
    <s v="APT-00741"/>
    <x v="288"/>
    <x v="10"/>
    <x v="3"/>
    <x v="2"/>
    <x v="2"/>
    <s v="Ernakulam"/>
    <x v="12"/>
    <s v="PT-1679"/>
    <s v="Sports Injury"/>
    <x v="0"/>
    <x v="0"/>
    <s v="Self Referral"/>
    <x v="0"/>
    <n v="45"/>
    <n v="45"/>
    <n v="53.9"/>
    <n v="1100"/>
    <x v="20"/>
    <x v="0"/>
    <n v="0"/>
    <n v="1"/>
    <n v="0"/>
    <n v="0.85"/>
  </r>
  <r>
    <s v="APT-00742"/>
    <x v="239"/>
    <x v="8"/>
    <x v="5"/>
    <x v="2"/>
    <x v="2"/>
    <s v="Ernakulam"/>
    <x v="8"/>
    <s v="PT-1130"/>
    <s v="Chronic Pain"/>
    <x v="3"/>
    <x v="0"/>
    <s v="Corporate Wellness"/>
    <x v="1"/>
    <n v="30"/>
    <n v="0"/>
    <n v="38.5"/>
    <n v="750"/>
    <x v="9"/>
    <x v="31"/>
    <n v="1"/>
    <n v="0"/>
    <n v="0"/>
    <n v="0.85"/>
  </r>
  <r>
    <s v="APT-00743"/>
    <x v="124"/>
    <x v="0"/>
    <x v="5"/>
    <x v="0"/>
    <x v="2"/>
    <s v="Ernakulam"/>
    <x v="3"/>
    <s v="PT-1469"/>
    <s v="Follow-up"/>
    <x v="1"/>
    <x v="0"/>
    <s v="Corporate Wellness"/>
    <x v="0"/>
    <n v="30"/>
    <n v="30"/>
    <n v="40.200000000000003"/>
    <n v="750"/>
    <x v="27"/>
    <x v="0"/>
    <n v="0"/>
    <n v="1"/>
    <n v="0"/>
    <n v="0.85"/>
  </r>
  <r>
    <s v="APT-00744"/>
    <x v="159"/>
    <x v="5"/>
    <x v="1"/>
    <x v="0"/>
    <x v="2"/>
    <s v="Ernakulam"/>
    <x v="8"/>
    <s v="PT-1311"/>
    <s v="Chronic Pain"/>
    <x v="5"/>
    <x v="2"/>
    <s v="Orthopedic Doctor"/>
    <x v="0"/>
    <n v="60"/>
    <n v="60"/>
    <n v="75.5"/>
    <n v="1500"/>
    <x v="3"/>
    <x v="0"/>
    <n v="0"/>
    <n v="1"/>
    <n v="0"/>
    <n v="0.85"/>
  </r>
  <r>
    <s v="APT-00745"/>
    <x v="111"/>
    <x v="8"/>
    <x v="1"/>
    <x v="0"/>
    <x v="0"/>
    <s v="Palakkad"/>
    <x v="11"/>
    <s v="PT-1043"/>
    <s v="Follow-up"/>
    <x v="2"/>
    <x v="2"/>
    <s v="Hospital Discharge"/>
    <x v="0"/>
    <n v="45"/>
    <n v="45"/>
    <n v="49.7"/>
    <n v="950"/>
    <x v="7"/>
    <x v="0"/>
    <n v="0"/>
    <n v="1"/>
    <n v="0"/>
    <n v="0.85"/>
  </r>
  <r>
    <s v="APT-00746"/>
    <x v="264"/>
    <x v="8"/>
    <x v="5"/>
    <x v="2"/>
    <x v="2"/>
    <s v="Ernakulam"/>
    <x v="12"/>
    <s v="PT-1318"/>
    <s v="Follow-up"/>
    <x v="3"/>
    <x v="2"/>
    <s v="Hospital Discharge"/>
    <x v="0"/>
    <n v="60"/>
    <n v="60"/>
    <n v="68"/>
    <n v="1500"/>
    <x v="3"/>
    <x v="0"/>
    <n v="0"/>
    <n v="1"/>
    <n v="0"/>
    <n v="0.85"/>
  </r>
  <r>
    <s v="APT-00747"/>
    <x v="134"/>
    <x v="2"/>
    <x v="1"/>
    <x v="0"/>
    <x v="1"/>
    <s v="Thrissur"/>
    <x v="7"/>
    <s v="PT-1433"/>
    <s v="New Patient"/>
    <x v="4"/>
    <x v="2"/>
    <s v="Orthopedic Doctor"/>
    <x v="0"/>
    <n v="60"/>
    <n v="60"/>
    <n v="73.599999999999994"/>
    <n v="1600"/>
    <x v="11"/>
    <x v="0"/>
    <n v="0"/>
    <n v="1"/>
    <n v="0"/>
    <n v="0.85"/>
  </r>
  <r>
    <s v="APT-00748"/>
    <x v="289"/>
    <x v="1"/>
    <x v="6"/>
    <x v="2"/>
    <x v="0"/>
    <s v="Palakkad"/>
    <x v="6"/>
    <s v="PT-1358"/>
    <s v="Post-op Rehab"/>
    <x v="1"/>
    <x v="0"/>
    <s v="Neurologist"/>
    <x v="0"/>
    <n v="45"/>
    <n v="45"/>
    <n v="49.6"/>
    <n v="1100"/>
    <x v="20"/>
    <x v="0"/>
    <n v="0"/>
    <n v="1"/>
    <n v="0"/>
    <n v="0.85"/>
  </r>
  <r>
    <s v="APT-00749"/>
    <x v="93"/>
    <x v="8"/>
    <x v="0"/>
    <x v="3"/>
    <x v="1"/>
    <s v="Thrissur"/>
    <x v="2"/>
    <s v="PT-1080"/>
    <s v="Follow-up"/>
    <x v="1"/>
    <x v="3"/>
    <s v="Orthopedic Doctor"/>
    <x v="0"/>
    <n v="60"/>
    <n v="60"/>
    <n v="66.400000000000006"/>
    <n v="1250"/>
    <x v="5"/>
    <x v="0"/>
    <n v="0"/>
    <n v="1"/>
    <n v="0"/>
    <n v="0.85"/>
  </r>
  <r>
    <s v="APT-00750"/>
    <x v="126"/>
    <x v="11"/>
    <x v="0"/>
    <x v="0"/>
    <x v="0"/>
    <s v="Palakkad"/>
    <x v="11"/>
    <s v="PT-1429"/>
    <s v="Follow-up"/>
    <x v="4"/>
    <x v="2"/>
    <s v="Corporate Wellness"/>
    <x v="0"/>
    <n v="45"/>
    <n v="45"/>
    <n v="58.8"/>
    <n v="950"/>
    <x v="7"/>
    <x v="0"/>
    <n v="0"/>
    <n v="1"/>
    <n v="0"/>
    <n v="0.85"/>
  </r>
  <r>
    <s v="APT-00751"/>
    <x v="52"/>
    <x v="9"/>
    <x v="2"/>
    <x v="3"/>
    <x v="0"/>
    <s v="Palakkad"/>
    <x v="0"/>
    <s v="PT-1503"/>
    <s v="Follow-up"/>
    <x v="3"/>
    <x v="3"/>
    <s v="Online Search"/>
    <x v="0"/>
    <n v="45"/>
    <n v="45"/>
    <n v="52.8"/>
    <n v="850"/>
    <x v="23"/>
    <x v="0"/>
    <n v="0"/>
    <n v="1"/>
    <n v="0"/>
    <n v="0.85"/>
  </r>
  <r>
    <s v="APT-00752"/>
    <x v="94"/>
    <x v="2"/>
    <x v="3"/>
    <x v="0"/>
    <x v="2"/>
    <s v="Ernakulam"/>
    <x v="4"/>
    <s v="PT-1197"/>
    <s v="Follow-up"/>
    <x v="2"/>
    <x v="1"/>
    <s v="Hospital Discharge"/>
    <x v="0"/>
    <n v="60"/>
    <n v="60"/>
    <n v="73.8"/>
    <n v="1300"/>
    <x v="22"/>
    <x v="0"/>
    <n v="0"/>
    <n v="1"/>
    <n v="0"/>
    <n v="0.85"/>
  </r>
  <r>
    <s v="APT-00753"/>
    <x v="290"/>
    <x v="8"/>
    <x v="3"/>
    <x v="2"/>
    <x v="1"/>
    <s v="Thrissur"/>
    <x v="1"/>
    <s v="PT-1207"/>
    <s v="Follow-up"/>
    <x v="5"/>
    <x v="0"/>
    <s v="Self Referral"/>
    <x v="0"/>
    <n v="60"/>
    <n v="60"/>
    <n v="70.2"/>
    <n v="1350"/>
    <x v="14"/>
    <x v="0"/>
    <n v="0"/>
    <n v="1"/>
    <n v="0"/>
    <n v="0.85"/>
  </r>
  <r>
    <s v="APT-00754"/>
    <x v="134"/>
    <x v="2"/>
    <x v="1"/>
    <x v="3"/>
    <x v="1"/>
    <s v="Thrissur"/>
    <x v="5"/>
    <s v="PT-1635"/>
    <s v="Chronic Pain"/>
    <x v="4"/>
    <x v="2"/>
    <s v="Self Referral"/>
    <x v="0"/>
    <n v="45"/>
    <n v="45"/>
    <n v="51"/>
    <n v="1000"/>
    <x v="13"/>
    <x v="0"/>
    <n v="0"/>
    <n v="1"/>
    <n v="0"/>
    <n v="0.85"/>
  </r>
  <r>
    <s v="APT-00755"/>
    <x v="163"/>
    <x v="8"/>
    <x v="0"/>
    <x v="3"/>
    <x v="1"/>
    <s v="Thrissur"/>
    <x v="10"/>
    <s v="PT-1549"/>
    <s v="Chronic Pain"/>
    <x v="5"/>
    <x v="0"/>
    <s v="Neurologist"/>
    <x v="0"/>
    <n v="30"/>
    <n v="30"/>
    <n v="32.700000000000003"/>
    <n v="700"/>
    <x v="19"/>
    <x v="0"/>
    <n v="0"/>
    <n v="1"/>
    <n v="0"/>
    <n v="0.85"/>
  </r>
  <r>
    <s v="APT-00756"/>
    <x v="47"/>
    <x v="0"/>
    <x v="0"/>
    <x v="3"/>
    <x v="2"/>
    <s v="Ernakulam"/>
    <x v="8"/>
    <s v="PT-1635"/>
    <s v="Geriatric Rehab"/>
    <x v="3"/>
    <x v="2"/>
    <s v="Neurologist"/>
    <x v="0"/>
    <n v="30"/>
    <n v="30"/>
    <n v="38.799999999999997"/>
    <n v="750"/>
    <x v="27"/>
    <x v="0"/>
    <n v="0"/>
    <n v="1"/>
    <n v="0"/>
    <n v="0.85"/>
  </r>
  <r>
    <s v="APT-00757"/>
    <x v="27"/>
    <x v="9"/>
    <x v="4"/>
    <x v="0"/>
    <x v="2"/>
    <s v="Ernakulam"/>
    <x v="14"/>
    <s v="PT-1036"/>
    <s v="New Patient"/>
    <x v="1"/>
    <x v="3"/>
    <s v="Corporate Wellness"/>
    <x v="1"/>
    <n v="45"/>
    <n v="0"/>
    <n v="58.7"/>
    <n v="1250"/>
    <x v="9"/>
    <x v="9"/>
    <n v="1"/>
    <n v="0"/>
    <n v="0"/>
    <n v="0.85"/>
  </r>
  <r>
    <s v="APT-00758"/>
    <x v="132"/>
    <x v="8"/>
    <x v="3"/>
    <x v="2"/>
    <x v="1"/>
    <s v="Thrissur"/>
    <x v="7"/>
    <s v="PT-1520"/>
    <s v="Post-op Rehab"/>
    <x v="3"/>
    <x v="0"/>
    <s v="Hospital Discharge"/>
    <x v="0"/>
    <n v="90"/>
    <n v="90"/>
    <n v="119.9"/>
    <n v="2350"/>
    <x v="35"/>
    <x v="0"/>
    <n v="0"/>
    <n v="1"/>
    <n v="0"/>
    <n v="0.85"/>
  </r>
  <r>
    <s v="APT-00759"/>
    <x v="121"/>
    <x v="7"/>
    <x v="2"/>
    <x v="1"/>
    <x v="1"/>
    <s v="Thrissur"/>
    <x v="2"/>
    <s v="PT-1079"/>
    <s v="Chronic Pain"/>
    <x v="3"/>
    <x v="3"/>
    <s v="Online Search"/>
    <x v="0"/>
    <n v="60"/>
    <n v="60"/>
    <n v="80.5"/>
    <n v="1250"/>
    <x v="5"/>
    <x v="0"/>
    <n v="0"/>
    <n v="1"/>
    <n v="0"/>
    <n v="0.85"/>
  </r>
  <r>
    <s v="APT-00760"/>
    <x v="42"/>
    <x v="7"/>
    <x v="1"/>
    <x v="1"/>
    <x v="1"/>
    <s v="Thrissur"/>
    <x v="10"/>
    <s v="PT-1261"/>
    <s v="Post-op Rehab"/>
    <x v="0"/>
    <x v="2"/>
    <s v="Self Referral"/>
    <x v="0"/>
    <n v="45"/>
    <n v="45"/>
    <n v="53.1"/>
    <n v="1150"/>
    <x v="15"/>
    <x v="0"/>
    <n v="0"/>
    <n v="1"/>
    <n v="0"/>
    <n v="0.85"/>
  </r>
  <r>
    <s v="APT-00761"/>
    <x v="230"/>
    <x v="6"/>
    <x v="1"/>
    <x v="3"/>
    <x v="0"/>
    <s v="Palakkad"/>
    <x v="13"/>
    <s v="PT-1257"/>
    <s v="Post-op Rehab"/>
    <x v="2"/>
    <x v="0"/>
    <s v="Online Search"/>
    <x v="0"/>
    <n v="75"/>
    <n v="75"/>
    <n v="86"/>
    <n v="1800"/>
    <x v="25"/>
    <x v="0"/>
    <n v="0"/>
    <n v="1"/>
    <n v="0"/>
    <n v="0.85"/>
  </r>
  <r>
    <s v="APT-00762"/>
    <x v="212"/>
    <x v="11"/>
    <x v="5"/>
    <x v="2"/>
    <x v="1"/>
    <s v="Thrissur"/>
    <x v="5"/>
    <s v="PT-1493"/>
    <s v="Follow-up"/>
    <x v="5"/>
    <x v="0"/>
    <s v="Neurologist"/>
    <x v="0"/>
    <n v="45"/>
    <n v="45"/>
    <n v="56.6"/>
    <n v="1000"/>
    <x v="13"/>
    <x v="0"/>
    <n v="0"/>
    <n v="1"/>
    <n v="0"/>
    <n v="0.85"/>
  </r>
  <r>
    <s v="APT-00763"/>
    <x v="255"/>
    <x v="11"/>
    <x v="0"/>
    <x v="1"/>
    <x v="0"/>
    <s v="Palakkad"/>
    <x v="0"/>
    <s v="PT-1036"/>
    <s v="Post-op Rehab"/>
    <x v="4"/>
    <x v="0"/>
    <s v="Online Search"/>
    <x v="0"/>
    <n v="60"/>
    <n v="60"/>
    <n v="75.8"/>
    <n v="1450"/>
    <x v="10"/>
    <x v="0"/>
    <n v="0"/>
    <n v="1"/>
    <n v="0"/>
    <n v="0.85"/>
  </r>
  <r>
    <s v="APT-00764"/>
    <x v="173"/>
    <x v="9"/>
    <x v="3"/>
    <x v="1"/>
    <x v="0"/>
    <s v="Palakkad"/>
    <x v="9"/>
    <s v="PT-1413"/>
    <s v="Follow-up"/>
    <x v="0"/>
    <x v="0"/>
    <s v="Corporate Wellness"/>
    <x v="1"/>
    <n v="45"/>
    <n v="0"/>
    <n v="56.7"/>
    <n v="950"/>
    <x v="9"/>
    <x v="19"/>
    <n v="1"/>
    <n v="0"/>
    <n v="0"/>
    <n v="0.85"/>
  </r>
  <r>
    <s v="APT-00765"/>
    <x v="104"/>
    <x v="2"/>
    <x v="3"/>
    <x v="0"/>
    <x v="2"/>
    <s v="Ernakulam"/>
    <x v="3"/>
    <s v="PT-1052"/>
    <s v="Follow-up"/>
    <x v="3"/>
    <x v="1"/>
    <s v="Orthopedic Doctor"/>
    <x v="0"/>
    <n v="60"/>
    <n v="60"/>
    <n v="71.2"/>
    <n v="1300"/>
    <x v="22"/>
    <x v="0"/>
    <n v="0"/>
    <n v="1"/>
    <n v="0"/>
    <n v="0.85"/>
  </r>
  <r>
    <s v="APT-00766"/>
    <x v="144"/>
    <x v="11"/>
    <x v="1"/>
    <x v="3"/>
    <x v="0"/>
    <s v="Palakkad"/>
    <x v="11"/>
    <s v="PT-1248"/>
    <s v="Post-op Rehab"/>
    <x v="5"/>
    <x v="2"/>
    <s v="Neurologist"/>
    <x v="1"/>
    <n v="45"/>
    <n v="0"/>
    <n v="53.3"/>
    <n v="1100"/>
    <x v="9"/>
    <x v="6"/>
    <n v="1"/>
    <n v="0"/>
    <n v="0"/>
    <n v="0.85"/>
  </r>
  <r>
    <s v="APT-00767"/>
    <x v="190"/>
    <x v="5"/>
    <x v="1"/>
    <x v="1"/>
    <x v="0"/>
    <s v="Palakkad"/>
    <x v="0"/>
    <s v="PT-1318"/>
    <s v="New Patient"/>
    <x v="4"/>
    <x v="2"/>
    <s v="Neurologist"/>
    <x v="0"/>
    <n v="75"/>
    <n v="75"/>
    <n v="99.3"/>
    <n v="1900"/>
    <x v="0"/>
    <x v="0"/>
    <n v="0"/>
    <n v="1"/>
    <n v="0"/>
    <n v="0.85"/>
  </r>
  <r>
    <s v="APT-00768"/>
    <x v="280"/>
    <x v="7"/>
    <x v="4"/>
    <x v="3"/>
    <x v="2"/>
    <s v="Ernakulam"/>
    <x v="4"/>
    <s v="PT-1043"/>
    <s v="Follow-up"/>
    <x v="4"/>
    <x v="2"/>
    <s v="Orthopedic Doctor"/>
    <x v="0"/>
    <n v="90"/>
    <n v="90"/>
    <n v="113.2"/>
    <n v="2250"/>
    <x v="12"/>
    <x v="0"/>
    <n v="0"/>
    <n v="1"/>
    <n v="0"/>
    <n v="0.85"/>
  </r>
  <r>
    <s v="APT-00769"/>
    <x v="1"/>
    <x v="1"/>
    <x v="1"/>
    <x v="3"/>
    <x v="1"/>
    <s v="Thrissur"/>
    <x v="10"/>
    <s v="PT-1624"/>
    <s v="Follow-up"/>
    <x v="0"/>
    <x v="0"/>
    <s v="Self Referral"/>
    <x v="0"/>
    <n v="60"/>
    <n v="60"/>
    <n v="68.3"/>
    <n v="1350"/>
    <x v="14"/>
    <x v="0"/>
    <n v="0"/>
    <n v="1"/>
    <n v="0"/>
    <n v="0.85"/>
  </r>
  <r>
    <s v="APT-00770"/>
    <x v="291"/>
    <x v="2"/>
    <x v="2"/>
    <x v="3"/>
    <x v="1"/>
    <s v="Thrissur"/>
    <x v="7"/>
    <s v="PT-1502"/>
    <s v="Follow-up"/>
    <x v="0"/>
    <x v="2"/>
    <s v="Online Search"/>
    <x v="3"/>
    <n v="90"/>
    <n v="0"/>
    <n v="109.4"/>
    <n v="2000"/>
    <x v="9"/>
    <x v="0"/>
    <n v="0"/>
    <n v="0"/>
    <n v="0"/>
    <n v="0.85"/>
  </r>
  <r>
    <s v="APT-00771"/>
    <x v="292"/>
    <x v="4"/>
    <x v="1"/>
    <x v="2"/>
    <x v="1"/>
    <s v="Thrissur"/>
    <x v="7"/>
    <s v="PT-1582"/>
    <s v="New Patient"/>
    <x v="1"/>
    <x v="2"/>
    <s v="Hospital Discharge"/>
    <x v="0"/>
    <n v="45"/>
    <n v="45"/>
    <n v="58"/>
    <n v="1200"/>
    <x v="26"/>
    <x v="0"/>
    <n v="0"/>
    <n v="1"/>
    <n v="0"/>
    <n v="0.85"/>
  </r>
  <r>
    <s v="APT-00772"/>
    <x v="150"/>
    <x v="6"/>
    <x v="1"/>
    <x v="1"/>
    <x v="1"/>
    <s v="Thrissur"/>
    <x v="2"/>
    <s v="PT-1438"/>
    <s v="Follow-up"/>
    <x v="3"/>
    <x v="0"/>
    <s v="Online Search"/>
    <x v="0"/>
    <n v="30"/>
    <n v="30"/>
    <n v="39"/>
    <n v="700"/>
    <x v="19"/>
    <x v="0"/>
    <n v="0"/>
    <n v="1"/>
    <n v="0"/>
    <n v="0.85"/>
  </r>
  <r>
    <s v="APT-00773"/>
    <x v="9"/>
    <x v="1"/>
    <x v="5"/>
    <x v="1"/>
    <x v="1"/>
    <s v="Thrissur"/>
    <x v="10"/>
    <s v="PT-1050"/>
    <s v="Post-op Rehab"/>
    <x v="0"/>
    <x v="2"/>
    <s v="Orthopedic Doctor"/>
    <x v="1"/>
    <n v="60"/>
    <n v="0"/>
    <n v="73"/>
    <n v="1550"/>
    <x v="9"/>
    <x v="14"/>
    <n v="1"/>
    <n v="0"/>
    <n v="0"/>
    <n v="0.85"/>
  </r>
  <r>
    <s v="APT-00774"/>
    <x v="162"/>
    <x v="0"/>
    <x v="3"/>
    <x v="1"/>
    <x v="2"/>
    <s v="Ernakulam"/>
    <x v="12"/>
    <s v="PT-1634"/>
    <s v="Follow-up"/>
    <x v="2"/>
    <x v="0"/>
    <s v="Hospital Discharge"/>
    <x v="0"/>
    <n v="45"/>
    <n v="45"/>
    <n v="57"/>
    <n v="1100"/>
    <x v="20"/>
    <x v="0"/>
    <n v="0"/>
    <n v="1"/>
    <n v="0"/>
    <n v="0.85"/>
  </r>
  <r>
    <s v="APT-00775"/>
    <x v="185"/>
    <x v="1"/>
    <x v="0"/>
    <x v="2"/>
    <x v="1"/>
    <s v="Thrissur"/>
    <x v="1"/>
    <s v="PT-1142"/>
    <s v="New Patient"/>
    <x v="1"/>
    <x v="2"/>
    <s v="Online Search"/>
    <x v="0"/>
    <n v="60"/>
    <n v="60"/>
    <n v="72.5"/>
    <n v="1600"/>
    <x v="11"/>
    <x v="0"/>
    <n v="0"/>
    <n v="1"/>
    <n v="0"/>
    <n v="0.85"/>
  </r>
  <r>
    <s v="APT-00776"/>
    <x v="141"/>
    <x v="2"/>
    <x v="4"/>
    <x v="3"/>
    <x v="2"/>
    <s v="Ernakulam"/>
    <x v="8"/>
    <s v="PT-1423"/>
    <s v="Follow-up"/>
    <x v="0"/>
    <x v="0"/>
    <s v="Neurologist"/>
    <x v="0"/>
    <n v="30"/>
    <n v="30"/>
    <n v="38.1"/>
    <n v="750"/>
    <x v="27"/>
    <x v="0"/>
    <n v="0"/>
    <n v="1"/>
    <n v="0"/>
    <n v="0.85"/>
  </r>
  <r>
    <s v="APT-00777"/>
    <x v="129"/>
    <x v="10"/>
    <x v="3"/>
    <x v="3"/>
    <x v="2"/>
    <s v="Ernakulam"/>
    <x v="8"/>
    <s v="PT-1292"/>
    <s v="Sports Injury"/>
    <x v="2"/>
    <x v="2"/>
    <s v="Neurologist"/>
    <x v="0"/>
    <n v="60"/>
    <n v="60"/>
    <n v="74.3"/>
    <n v="1500"/>
    <x v="3"/>
    <x v="0"/>
    <n v="0"/>
    <n v="1"/>
    <n v="0"/>
    <n v="0.85"/>
  </r>
  <r>
    <s v="APT-00778"/>
    <x v="284"/>
    <x v="7"/>
    <x v="5"/>
    <x v="3"/>
    <x v="1"/>
    <s v="Thrissur"/>
    <x v="10"/>
    <s v="PT-1054"/>
    <s v="Chronic Pain"/>
    <x v="5"/>
    <x v="0"/>
    <s v="Neurologist"/>
    <x v="0"/>
    <n v="60"/>
    <n v="60"/>
    <n v="75.5"/>
    <n v="1350"/>
    <x v="14"/>
    <x v="0"/>
    <n v="0"/>
    <n v="1"/>
    <n v="0"/>
    <n v="0.85"/>
  </r>
  <r>
    <s v="APT-00779"/>
    <x v="208"/>
    <x v="3"/>
    <x v="1"/>
    <x v="3"/>
    <x v="0"/>
    <s v="Palakkad"/>
    <x v="11"/>
    <s v="PT-1356"/>
    <s v="Post-op Rehab"/>
    <x v="2"/>
    <x v="1"/>
    <s v="Neurologist"/>
    <x v="0"/>
    <n v="45"/>
    <n v="45"/>
    <n v="60.7"/>
    <n v="900"/>
    <x v="17"/>
    <x v="0"/>
    <n v="0"/>
    <n v="1"/>
    <n v="0"/>
    <n v="0.85"/>
  </r>
  <r>
    <s v="APT-00780"/>
    <x v="106"/>
    <x v="3"/>
    <x v="4"/>
    <x v="3"/>
    <x v="0"/>
    <s v="Palakkad"/>
    <x v="11"/>
    <s v="PT-1438"/>
    <s v="Chronic Pain"/>
    <x v="1"/>
    <x v="2"/>
    <s v="Self Referral"/>
    <x v="0"/>
    <n v="45"/>
    <n v="45"/>
    <n v="49.6"/>
    <n v="950"/>
    <x v="7"/>
    <x v="0"/>
    <n v="0"/>
    <n v="1"/>
    <n v="0"/>
    <n v="0.85"/>
  </r>
  <r>
    <s v="APT-00781"/>
    <x v="81"/>
    <x v="4"/>
    <x v="1"/>
    <x v="3"/>
    <x v="2"/>
    <s v="Ernakulam"/>
    <x v="3"/>
    <s v="PT-1258"/>
    <s v="Chronic Pain"/>
    <x v="2"/>
    <x v="0"/>
    <s v="Self Referral"/>
    <x v="2"/>
    <n v="45"/>
    <n v="0"/>
    <n v="49.5"/>
    <n v="1100"/>
    <x v="9"/>
    <x v="6"/>
    <n v="0"/>
    <n v="0"/>
    <n v="1"/>
    <n v="0.85"/>
  </r>
  <r>
    <s v="APT-00782"/>
    <x v="105"/>
    <x v="7"/>
    <x v="2"/>
    <x v="3"/>
    <x v="0"/>
    <s v="Palakkad"/>
    <x v="0"/>
    <s v="PT-1372"/>
    <s v="Geriatric Rehab"/>
    <x v="0"/>
    <x v="2"/>
    <s v="Orthopedic Doctor"/>
    <x v="0"/>
    <n v="60"/>
    <n v="60"/>
    <n v="74.099999999999994"/>
    <n v="1250"/>
    <x v="5"/>
    <x v="0"/>
    <n v="0"/>
    <n v="1"/>
    <n v="0"/>
    <n v="0.85"/>
  </r>
  <r>
    <s v="APT-00783"/>
    <x v="146"/>
    <x v="8"/>
    <x v="1"/>
    <x v="2"/>
    <x v="2"/>
    <s v="Ernakulam"/>
    <x v="8"/>
    <s v="PT-1523"/>
    <s v="New Patient"/>
    <x v="4"/>
    <x v="0"/>
    <s v="Neurologist"/>
    <x v="0"/>
    <n v="60"/>
    <n v="60"/>
    <n v="77.3"/>
    <n v="1800"/>
    <x v="25"/>
    <x v="0"/>
    <n v="0"/>
    <n v="1"/>
    <n v="0"/>
    <n v="0.85"/>
  </r>
  <r>
    <s v="APT-00784"/>
    <x v="264"/>
    <x v="8"/>
    <x v="5"/>
    <x v="3"/>
    <x v="2"/>
    <s v="Ernakulam"/>
    <x v="8"/>
    <s v="PT-1099"/>
    <s v="Sports Injury"/>
    <x v="1"/>
    <x v="0"/>
    <s v="Corporate Wellness"/>
    <x v="0"/>
    <n v="75"/>
    <n v="75"/>
    <n v="92.3"/>
    <n v="1900"/>
    <x v="0"/>
    <x v="0"/>
    <n v="0"/>
    <n v="1"/>
    <n v="0"/>
    <n v="0.85"/>
  </r>
  <r>
    <s v="APT-00785"/>
    <x v="107"/>
    <x v="1"/>
    <x v="4"/>
    <x v="2"/>
    <x v="1"/>
    <s v="Thrissur"/>
    <x v="10"/>
    <s v="PT-1321"/>
    <s v="Geriatric Rehab"/>
    <x v="1"/>
    <x v="0"/>
    <s v="Neurologist"/>
    <x v="0"/>
    <n v="60"/>
    <n v="60"/>
    <n v="78.099999999999994"/>
    <n v="1350"/>
    <x v="14"/>
    <x v="0"/>
    <n v="0"/>
    <n v="1"/>
    <n v="0"/>
    <n v="0.85"/>
  </r>
  <r>
    <s v="APT-00786"/>
    <x v="275"/>
    <x v="6"/>
    <x v="4"/>
    <x v="3"/>
    <x v="1"/>
    <s v="Thrissur"/>
    <x v="7"/>
    <s v="PT-1697"/>
    <s v="Chronic Pain"/>
    <x v="5"/>
    <x v="0"/>
    <s v="Orthopedic Doctor"/>
    <x v="0"/>
    <n v="45"/>
    <n v="45"/>
    <n v="60"/>
    <n v="1000"/>
    <x v="13"/>
    <x v="0"/>
    <n v="0"/>
    <n v="1"/>
    <n v="0"/>
    <n v="0.85"/>
  </r>
  <r>
    <s v="APT-00787"/>
    <x v="13"/>
    <x v="4"/>
    <x v="0"/>
    <x v="3"/>
    <x v="0"/>
    <s v="Palakkad"/>
    <x v="13"/>
    <s v="PT-1227"/>
    <s v="Sports Injury"/>
    <x v="1"/>
    <x v="2"/>
    <s v="Orthopedic Doctor"/>
    <x v="0"/>
    <n v="60"/>
    <n v="60"/>
    <n v="80.5"/>
    <n v="1250"/>
    <x v="5"/>
    <x v="0"/>
    <n v="0"/>
    <n v="1"/>
    <n v="0"/>
    <n v="0.85"/>
  </r>
  <r>
    <s v="APT-00788"/>
    <x v="44"/>
    <x v="4"/>
    <x v="1"/>
    <x v="1"/>
    <x v="1"/>
    <s v="Thrissur"/>
    <x v="10"/>
    <s v="PT-1476"/>
    <s v="Sports Injury"/>
    <x v="2"/>
    <x v="0"/>
    <s v="Hospital Discharge"/>
    <x v="0"/>
    <n v="60"/>
    <n v="60"/>
    <n v="70.400000000000006"/>
    <n v="1350"/>
    <x v="14"/>
    <x v="0"/>
    <n v="0"/>
    <n v="1"/>
    <n v="0"/>
    <n v="0.85"/>
  </r>
  <r>
    <s v="APT-00789"/>
    <x v="270"/>
    <x v="5"/>
    <x v="1"/>
    <x v="0"/>
    <x v="0"/>
    <s v="Palakkad"/>
    <x v="0"/>
    <s v="PT-1179"/>
    <s v="New Patient"/>
    <x v="3"/>
    <x v="0"/>
    <s v="Online Search"/>
    <x v="0"/>
    <n v="60"/>
    <n v="60"/>
    <n v="71.2"/>
    <n v="1500"/>
    <x v="3"/>
    <x v="0"/>
    <n v="0"/>
    <n v="1"/>
    <n v="0"/>
    <n v="0.85"/>
  </r>
  <r>
    <s v="APT-00790"/>
    <x v="268"/>
    <x v="2"/>
    <x v="1"/>
    <x v="3"/>
    <x v="0"/>
    <s v="Palakkad"/>
    <x v="9"/>
    <s v="PT-1551"/>
    <s v="Follow-up"/>
    <x v="0"/>
    <x v="0"/>
    <s v="Corporate Wellness"/>
    <x v="0"/>
    <n v="45"/>
    <n v="45"/>
    <n v="50.8"/>
    <n v="950"/>
    <x v="7"/>
    <x v="0"/>
    <n v="0"/>
    <n v="1"/>
    <n v="0"/>
    <n v="0.85"/>
  </r>
  <r>
    <s v="APT-00791"/>
    <x v="47"/>
    <x v="0"/>
    <x v="0"/>
    <x v="2"/>
    <x v="2"/>
    <s v="Ernakulam"/>
    <x v="12"/>
    <s v="PT-1508"/>
    <s v="Chronic Pain"/>
    <x v="4"/>
    <x v="1"/>
    <s v="Self Referral"/>
    <x v="0"/>
    <n v="60"/>
    <n v="60"/>
    <n v="69.400000000000006"/>
    <n v="1300"/>
    <x v="22"/>
    <x v="0"/>
    <n v="0"/>
    <n v="1"/>
    <n v="0"/>
    <n v="0.85"/>
  </r>
  <r>
    <s v="APT-00792"/>
    <x v="217"/>
    <x v="5"/>
    <x v="3"/>
    <x v="1"/>
    <x v="2"/>
    <s v="Ernakulam"/>
    <x v="4"/>
    <s v="PT-1108"/>
    <s v="Follow-up"/>
    <x v="4"/>
    <x v="1"/>
    <s v="Online Search"/>
    <x v="0"/>
    <n v="60"/>
    <n v="60"/>
    <n v="71.400000000000006"/>
    <n v="1300"/>
    <x v="22"/>
    <x v="0"/>
    <n v="0"/>
    <n v="1"/>
    <n v="0"/>
    <n v="0.85"/>
  </r>
  <r>
    <s v="APT-00793"/>
    <x v="49"/>
    <x v="9"/>
    <x v="1"/>
    <x v="0"/>
    <x v="1"/>
    <s v="Thrissur"/>
    <x v="2"/>
    <s v="PT-1110"/>
    <s v="Chronic Pain"/>
    <x v="0"/>
    <x v="0"/>
    <s v="Neurologist"/>
    <x v="0"/>
    <n v="60"/>
    <n v="60"/>
    <n v="67"/>
    <n v="1350"/>
    <x v="14"/>
    <x v="0"/>
    <n v="0"/>
    <n v="1"/>
    <n v="0"/>
    <n v="0.85"/>
  </r>
  <r>
    <s v="APT-00794"/>
    <x v="98"/>
    <x v="3"/>
    <x v="0"/>
    <x v="1"/>
    <x v="1"/>
    <s v="Thrissur"/>
    <x v="10"/>
    <s v="PT-1491"/>
    <s v="New Patient"/>
    <x v="0"/>
    <x v="3"/>
    <s v="Neurologist"/>
    <x v="0"/>
    <n v="60"/>
    <n v="60"/>
    <n v="70.400000000000006"/>
    <n v="1500"/>
    <x v="3"/>
    <x v="0"/>
    <n v="0"/>
    <n v="1"/>
    <n v="0"/>
    <n v="0.85"/>
  </r>
  <r>
    <s v="APT-00795"/>
    <x v="204"/>
    <x v="3"/>
    <x v="2"/>
    <x v="3"/>
    <x v="0"/>
    <s v="Palakkad"/>
    <x v="13"/>
    <s v="PT-1224"/>
    <s v="New Patient"/>
    <x v="1"/>
    <x v="0"/>
    <s v="Self Referral"/>
    <x v="1"/>
    <n v="75"/>
    <n v="0"/>
    <n v="89.6"/>
    <n v="1900"/>
    <x v="9"/>
    <x v="4"/>
    <n v="1"/>
    <n v="0"/>
    <n v="0"/>
    <n v="0.85"/>
  </r>
  <r>
    <s v="APT-00796"/>
    <x v="231"/>
    <x v="4"/>
    <x v="5"/>
    <x v="2"/>
    <x v="2"/>
    <s v="Ernakulam"/>
    <x v="4"/>
    <s v="PT-1086"/>
    <s v="New Patient"/>
    <x v="1"/>
    <x v="0"/>
    <s v="Orthopedic Doctor"/>
    <x v="1"/>
    <n v="60"/>
    <n v="0"/>
    <n v="76.599999999999994"/>
    <n v="1800"/>
    <x v="9"/>
    <x v="13"/>
    <n v="1"/>
    <n v="0"/>
    <n v="0"/>
    <n v="0.85"/>
  </r>
  <r>
    <s v="APT-00797"/>
    <x v="36"/>
    <x v="2"/>
    <x v="1"/>
    <x v="3"/>
    <x v="0"/>
    <s v="Palakkad"/>
    <x v="11"/>
    <s v="PT-1391"/>
    <s v="Geriatric Rehab"/>
    <x v="4"/>
    <x v="0"/>
    <s v="Self Referral"/>
    <x v="2"/>
    <n v="60"/>
    <n v="0"/>
    <n v="79.7"/>
    <n v="1250"/>
    <x v="9"/>
    <x v="9"/>
    <n v="0"/>
    <n v="0"/>
    <n v="1"/>
    <n v="0.85"/>
  </r>
  <r>
    <s v="APT-00798"/>
    <x v="19"/>
    <x v="4"/>
    <x v="0"/>
    <x v="2"/>
    <x v="1"/>
    <s v="Thrissur"/>
    <x v="2"/>
    <s v="PT-1034"/>
    <s v="Follow-up"/>
    <x v="5"/>
    <x v="0"/>
    <s v="Neurologist"/>
    <x v="2"/>
    <n v="45"/>
    <n v="0"/>
    <n v="53.8"/>
    <n v="1000"/>
    <x v="9"/>
    <x v="16"/>
    <n v="0"/>
    <n v="0"/>
    <n v="1"/>
    <n v="0.85"/>
  </r>
  <r>
    <s v="APT-00799"/>
    <x v="179"/>
    <x v="3"/>
    <x v="4"/>
    <x v="0"/>
    <x v="1"/>
    <s v="Thrissur"/>
    <x v="7"/>
    <s v="PT-1272"/>
    <s v="Geriatric Rehab"/>
    <x v="1"/>
    <x v="1"/>
    <s v="Online Search"/>
    <x v="0"/>
    <n v="45"/>
    <n v="45"/>
    <n v="52.6"/>
    <n v="850"/>
    <x v="23"/>
    <x v="0"/>
    <n v="0"/>
    <n v="1"/>
    <n v="0"/>
    <n v="0.85"/>
  </r>
  <r>
    <s v="APT-00800"/>
    <x v="293"/>
    <x v="11"/>
    <x v="3"/>
    <x v="0"/>
    <x v="0"/>
    <s v="Palakkad"/>
    <x v="11"/>
    <s v="PT-1427"/>
    <s v="Geriatric Rehab"/>
    <x v="0"/>
    <x v="0"/>
    <s v="Online Search"/>
    <x v="0"/>
    <n v="90"/>
    <n v="90"/>
    <n v="112.9"/>
    <n v="1900"/>
    <x v="0"/>
    <x v="0"/>
    <n v="0"/>
    <n v="1"/>
    <n v="0"/>
    <n v="0.85"/>
  </r>
  <r>
    <s v="APT-00801"/>
    <x v="55"/>
    <x v="0"/>
    <x v="5"/>
    <x v="3"/>
    <x v="0"/>
    <s v="Palakkad"/>
    <x v="11"/>
    <s v="PT-1591"/>
    <s v="Geriatric Rehab"/>
    <x v="5"/>
    <x v="0"/>
    <s v="Self Referral"/>
    <x v="0"/>
    <n v="30"/>
    <n v="30"/>
    <n v="38"/>
    <n v="600"/>
    <x v="16"/>
    <x v="0"/>
    <n v="0"/>
    <n v="1"/>
    <n v="0"/>
    <n v="0.85"/>
  </r>
  <r>
    <s v="APT-00802"/>
    <x v="5"/>
    <x v="0"/>
    <x v="2"/>
    <x v="3"/>
    <x v="0"/>
    <s v="Palakkad"/>
    <x v="13"/>
    <s v="PT-1349"/>
    <s v="Follow-up"/>
    <x v="1"/>
    <x v="0"/>
    <s v="Orthopedic Doctor"/>
    <x v="1"/>
    <n v="60"/>
    <n v="0"/>
    <n v="73.099999999999994"/>
    <n v="1250"/>
    <x v="9"/>
    <x v="9"/>
    <n v="1"/>
    <n v="0"/>
    <n v="0"/>
    <n v="0.85"/>
  </r>
  <r>
    <s v="APT-00803"/>
    <x v="43"/>
    <x v="2"/>
    <x v="5"/>
    <x v="0"/>
    <x v="0"/>
    <s v="Palakkad"/>
    <x v="9"/>
    <s v="PT-1054"/>
    <s v="New Patient"/>
    <x v="1"/>
    <x v="1"/>
    <s v="Corporate Wellness"/>
    <x v="0"/>
    <n v="90"/>
    <n v="90"/>
    <n v="111.7"/>
    <n v="1900"/>
    <x v="0"/>
    <x v="0"/>
    <n v="0"/>
    <n v="1"/>
    <n v="0"/>
    <n v="0.85"/>
  </r>
  <r>
    <s v="APT-00804"/>
    <x v="197"/>
    <x v="3"/>
    <x v="1"/>
    <x v="0"/>
    <x v="1"/>
    <s v="Thrissur"/>
    <x v="7"/>
    <s v="PT-1553"/>
    <s v="Follow-up"/>
    <x v="2"/>
    <x v="0"/>
    <s v="Online Search"/>
    <x v="0"/>
    <n v="60"/>
    <n v="60"/>
    <n v="72.3"/>
    <n v="1350"/>
    <x v="14"/>
    <x v="0"/>
    <n v="0"/>
    <n v="1"/>
    <n v="0"/>
    <n v="0.85"/>
  </r>
  <r>
    <s v="APT-00805"/>
    <x v="177"/>
    <x v="7"/>
    <x v="4"/>
    <x v="2"/>
    <x v="2"/>
    <s v="Ernakulam"/>
    <x v="8"/>
    <s v="PT-1071"/>
    <s v="Sports Injury"/>
    <x v="0"/>
    <x v="0"/>
    <s v="Neurologist"/>
    <x v="0"/>
    <n v="30"/>
    <n v="30"/>
    <n v="40.200000000000003"/>
    <n v="750"/>
    <x v="27"/>
    <x v="0"/>
    <n v="0"/>
    <n v="1"/>
    <n v="0"/>
    <n v="0.85"/>
  </r>
  <r>
    <s v="APT-00806"/>
    <x v="64"/>
    <x v="7"/>
    <x v="3"/>
    <x v="1"/>
    <x v="1"/>
    <s v="Thrissur"/>
    <x v="1"/>
    <s v="PT-1571"/>
    <s v="Sports Injury"/>
    <x v="2"/>
    <x v="0"/>
    <s v="Online Search"/>
    <x v="0"/>
    <n v="90"/>
    <n v="90"/>
    <n v="106.8"/>
    <n v="2000"/>
    <x v="33"/>
    <x v="0"/>
    <n v="0"/>
    <n v="1"/>
    <n v="0"/>
    <n v="0.85"/>
  </r>
  <r>
    <s v="APT-00807"/>
    <x v="175"/>
    <x v="3"/>
    <x v="3"/>
    <x v="2"/>
    <x v="0"/>
    <s v="Palakkad"/>
    <x v="13"/>
    <s v="PT-1246"/>
    <s v="Sports Injury"/>
    <x v="2"/>
    <x v="3"/>
    <s v="Hospital Discharge"/>
    <x v="0"/>
    <n v="60"/>
    <n v="60"/>
    <n v="74.8"/>
    <n v="1150"/>
    <x v="15"/>
    <x v="0"/>
    <n v="0"/>
    <n v="1"/>
    <n v="0"/>
    <n v="0.85"/>
  </r>
  <r>
    <s v="APT-00808"/>
    <x v="157"/>
    <x v="7"/>
    <x v="3"/>
    <x v="1"/>
    <x v="1"/>
    <s v="Thrissur"/>
    <x v="2"/>
    <s v="PT-1534"/>
    <s v="Sports Injury"/>
    <x v="1"/>
    <x v="2"/>
    <s v="Online Search"/>
    <x v="0"/>
    <n v="60"/>
    <n v="60"/>
    <n v="68.099999999999994"/>
    <n v="1350"/>
    <x v="14"/>
    <x v="0"/>
    <n v="0"/>
    <n v="1"/>
    <n v="0"/>
    <n v="0.85"/>
  </r>
  <r>
    <s v="APT-00809"/>
    <x v="98"/>
    <x v="3"/>
    <x v="0"/>
    <x v="1"/>
    <x v="0"/>
    <s v="Palakkad"/>
    <x v="11"/>
    <s v="PT-1055"/>
    <s v="Follow-up"/>
    <x v="2"/>
    <x v="0"/>
    <s v="Online Search"/>
    <x v="1"/>
    <n v="60"/>
    <n v="0"/>
    <n v="78.8"/>
    <n v="1250"/>
    <x v="9"/>
    <x v="9"/>
    <n v="1"/>
    <n v="0"/>
    <n v="0"/>
    <n v="0.85"/>
  </r>
  <r>
    <s v="APT-00810"/>
    <x v="78"/>
    <x v="0"/>
    <x v="1"/>
    <x v="2"/>
    <x v="1"/>
    <s v="Thrissur"/>
    <x v="2"/>
    <s v="PT-1232"/>
    <s v="Follow-up"/>
    <x v="5"/>
    <x v="0"/>
    <s v="Orthopedic Doctor"/>
    <x v="1"/>
    <n v="60"/>
    <n v="0"/>
    <n v="72.400000000000006"/>
    <n v="1350"/>
    <x v="9"/>
    <x v="2"/>
    <n v="1"/>
    <n v="0"/>
    <n v="0"/>
    <n v="0.85"/>
  </r>
  <r>
    <s v="APT-00811"/>
    <x v="279"/>
    <x v="6"/>
    <x v="3"/>
    <x v="0"/>
    <x v="0"/>
    <s v="Palakkad"/>
    <x v="13"/>
    <s v="PT-1314"/>
    <s v="Geriatric Rehab"/>
    <x v="2"/>
    <x v="2"/>
    <s v="Hospital Discharge"/>
    <x v="1"/>
    <n v="45"/>
    <n v="0"/>
    <n v="52.8"/>
    <n v="950"/>
    <x v="9"/>
    <x v="19"/>
    <n v="1"/>
    <n v="0"/>
    <n v="0"/>
    <n v="0.85"/>
  </r>
  <r>
    <s v="APT-00812"/>
    <x v="280"/>
    <x v="7"/>
    <x v="4"/>
    <x v="3"/>
    <x v="2"/>
    <s v="Ernakulam"/>
    <x v="3"/>
    <s v="PT-1501"/>
    <s v="Sports Injury"/>
    <x v="4"/>
    <x v="1"/>
    <s v="Hospital Discharge"/>
    <x v="0"/>
    <n v="45"/>
    <n v="45"/>
    <n v="51.6"/>
    <n v="950"/>
    <x v="7"/>
    <x v="0"/>
    <n v="0"/>
    <n v="1"/>
    <n v="0"/>
    <n v="0.85"/>
  </r>
  <r>
    <s v="APT-00813"/>
    <x v="294"/>
    <x v="5"/>
    <x v="5"/>
    <x v="1"/>
    <x v="0"/>
    <s v="Palakkad"/>
    <x v="11"/>
    <s v="PT-1292"/>
    <s v="Follow-up"/>
    <x v="1"/>
    <x v="0"/>
    <s v="Self Referral"/>
    <x v="0"/>
    <n v="45"/>
    <n v="45"/>
    <n v="56"/>
    <n v="950"/>
    <x v="7"/>
    <x v="0"/>
    <n v="0"/>
    <n v="1"/>
    <n v="0"/>
    <n v="0.85"/>
  </r>
  <r>
    <s v="APT-00814"/>
    <x v="227"/>
    <x v="1"/>
    <x v="5"/>
    <x v="1"/>
    <x v="1"/>
    <s v="Thrissur"/>
    <x v="1"/>
    <s v="PT-1177"/>
    <s v="Follow-up"/>
    <x v="3"/>
    <x v="1"/>
    <s v="Corporate Wellness"/>
    <x v="0"/>
    <n v="60"/>
    <n v="60"/>
    <n v="66.3"/>
    <n v="1150"/>
    <x v="15"/>
    <x v="0"/>
    <n v="0"/>
    <n v="1"/>
    <n v="0"/>
    <n v="0.85"/>
  </r>
  <r>
    <s v="APT-00815"/>
    <x v="176"/>
    <x v="10"/>
    <x v="0"/>
    <x v="0"/>
    <x v="2"/>
    <s v="Ernakulam"/>
    <x v="8"/>
    <s v="PT-1028"/>
    <s v="Chronic Pain"/>
    <x v="1"/>
    <x v="0"/>
    <s v="Online Search"/>
    <x v="0"/>
    <n v="45"/>
    <n v="45"/>
    <n v="53.8"/>
    <n v="1100"/>
    <x v="20"/>
    <x v="0"/>
    <n v="0"/>
    <n v="1"/>
    <n v="0"/>
    <n v="0.85"/>
  </r>
  <r>
    <s v="APT-00816"/>
    <x v="217"/>
    <x v="5"/>
    <x v="3"/>
    <x v="2"/>
    <x v="1"/>
    <s v="Thrissur"/>
    <x v="7"/>
    <s v="PT-1122"/>
    <s v="New Patient"/>
    <x v="5"/>
    <x v="3"/>
    <s v="Self Referral"/>
    <x v="0"/>
    <n v="45"/>
    <n v="45"/>
    <n v="51.6"/>
    <n v="1100"/>
    <x v="20"/>
    <x v="0"/>
    <n v="0"/>
    <n v="1"/>
    <n v="0"/>
    <n v="0.85"/>
  </r>
  <r>
    <s v="APT-00817"/>
    <x v="295"/>
    <x v="0"/>
    <x v="6"/>
    <x v="1"/>
    <x v="2"/>
    <s v="Ernakulam"/>
    <x v="3"/>
    <s v="PT-1320"/>
    <s v="Follow-up"/>
    <x v="1"/>
    <x v="0"/>
    <s v="Online Search"/>
    <x v="0"/>
    <n v="60"/>
    <n v="60"/>
    <n v="77.099999999999994"/>
    <n v="1500"/>
    <x v="3"/>
    <x v="0"/>
    <n v="0"/>
    <n v="1"/>
    <n v="0"/>
    <n v="0.85"/>
  </r>
  <r>
    <s v="APT-00818"/>
    <x v="280"/>
    <x v="7"/>
    <x v="4"/>
    <x v="0"/>
    <x v="1"/>
    <s v="Thrissur"/>
    <x v="5"/>
    <s v="PT-1208"/>
    <s v="Follow-up"/>
    <x v="1"/>
    <x v="2"/>
    <s v="Neurologist"/>
    <x v="2"/>
    <n v="60"/>
    <n v="0"/>
    <n v="71.400000000000006"/>
    <n v="1350"/>
    <x v="9"/>
    <x v="2"/>
    <n v="0"/>
    <n v="0"/>
    <n v="1"/>
    <n v="0.85"/>
  </r>
  <r>
    <s v="APT-00819"/>
    <x v="7"/>
    <x v="3"/>
    <x v="1"/>
    <x v="2"/>
    <x v="1"/>
    <s v="Thrissur"/>
    <x v="5"/>
    <s v="PT-1438"/>
    <s v="Follow-up"/>
    <x v="4"/>
    <x v="2"/>
    <s v="Orthopedic Doctor"/>
    <x v="2"/>
    <n v="30"/>
    <n v="0"/>
    <n v="38.5"/>
    <n v="700"/>
    <x v="9"/>
    <x v="3"/>
    <n v="0"/>
    <n v="0"/>
    <n v="1"/>
    <n v="0.85"/>
  </r>
  <r>
    <s v="APT-00820"/>
    <x v="70"/>
    <x v="3"/>
    <x v="5"/>
    <x v="0"/>
    <x v="0"/>
    <s v="Palakkad"/>
    <x v="13"/>
    <s v="PT-1351"/>
    <s v="New Patient"/>
    <x v="3"/>
    <x v="0"/>
    <s v="Corporate Wellness"/>
    <x v="0"/>
    <n v="60"/>
    <n v="60"/>
    <n v="80.900000000000006"/>
    <n v="1500"/>
    <x v="3"/>
    <x v="0"/>
    <n v="0"/>
    <n v="1"/>
    <n v="0"/>
    <n v="0.85"/>
  </r>
  <r>
    <s v="APT-00821"/>
    <x v="31"/>
    <x v="11"/>
    <x v="4"/>
    <x v="2"/>
    <x v="2"/>
    <s v="Ernakulam"/>
    <x v="14"/>
    <s v="PT-1341"/>
    <s v="Chronic Pain"/>
    <x v="3"/>
    <x v="2"/>
    <s v="Self Referral"/>
    <x v="0"/>
    <n v="75"/>
    <n v="75"/>
    <n v="93.8"/>
    <n v="1900"/>
    <x v="0"/>
    <x v="0"/>
    <n v="0"/>
    <n v="1"/>
    <n v="0"/>
    <n v="0.85"/>
  </r>
  <r>
    <s v="APT-00822"/>
    <x v="212"/>
    <x v="11"/>
    <x v="5"/>
    <x v="2"/>
    <x v="0"/>
    <s v="Palakkad"/>
    <x v="11"/>
    <s v="PT-1405"/>
    <s v="Follow-up"/>
    <x v="2"/>
    <x v="3"/>
    <s v="Hospital Discharge"/>
    <x v="2"/>
    <n v="45"/>
    <n v="0"/>
    <n v="55.3"/>
    <n v="850"/>
    <x v="9"/>
    <x v="24"/>
    <n v="0"/>
    <n v="0"/>
    <n v="1"/>
    <n v="0.85"/>
  </r>
  <r>
    <s v="APT-00823"/>
    <x v="296"/>
    <x v="0"/>
    <x v="3"/>
    <x v="0"/>
    <x v="2"/>
    <s v="Ernakulam"/>
    <x v="12"/>
    <s v="PT-1602"/>
    <s v="Geriatric Rehab"/>
    <x v="0"/>
    <x v="0"/>
    <s v="Orthopedic Doctor"/>
    <x v="0"/>
    <n v="60"/>
    <n v="60"/>
    <n v="75"/>
    <n v="1500"/>
    <x v="3"/>
    <x v="0"/>
    <n v="0"/>
    <n v="1"/>
    <n v="0"/>
    <n v="0.85"/>
  </r>
  <r>
    <s v="APT-00824"/>
    <x v="256"/>
    <x v="0"/>
    <x v="3"/>
    <x v="0"/>
    <x v="1"/>
    <s v="Thrissur"/>
    <x v="10"/>
    <s v="PT-1220"/>
    <s v="Follow-up"/>
    <x v="0"/>
    <x v="1"/>
    <s v="Self Referral"/>
    <x v="0"/>
    <n v="45"/>
    <n v="45"/>
    <n v="50.1"/>
    <n v="850"/>
    <x v="23"/>
    <x v="0"/>
    <n v="0"/>
    <n v="1"/>
    <n v="0"/>
    <n v="0.85"/>
  </r>
  <r>
    <s v="APT-00825"/>
    <x v="297"/>
    <x v="2"/>
    <x v="3"/>
    <x v="3"/>
    <x v="2"/>
    <s v="Ernakulam"/>
    <x v="3"/>
    <s v="PT-1269"/>
    <s v="Follow-up"/>
    <x v="0"/>
    <x v="2"/>
    <s v="Corporate Wellness"/>
    <x v="0"/>
    <n v="60"/>
    <n v="60"/>
    <n v="70.7"/>
    <n v="1500"/>
    <x v="3"/>
    <x v="0"/>
    <n v="0"/>
    <n v="1"/>
    <n v="0"/>
    <n v="0.85"/>
  </r>
  <r>
    <s v="APT-00826"/>
    <x v="227"/>
    <x v="1"/>
    <x v="5"/>
    <x v="3"/>
    <x v="2"/>
    <s v="Ernakulam"/>
    <x v="3"/>
    <s v="PT-1465"/>
    <s v="Chronic Pain"/>
    <x v="3"/>
    <x v="2"/>
    <s v="Online Search"/>
    <x v="1"/>
    <n v="60"/>
    <n v="0"/>
    <n v="71.099999999999994"/>
    <n v="1500"/>
    <x v="9"/>
    <x v="12"/>
    <n v="1"/>
    <n v="0"/>
    <n v="0"/>
    <n v="0.85"/>
  </r>
  <r>
    <s v="APT-00827"/>
    <x v="229"/>
    <x v="8"/>
    <x v="2"/>
    <x v="1"/>
    <x v="0"/>
    <s v="Palakkad"/>
    <x v="6"/>
    <s v="PT-1185"/>
    <s v="Chronic Pain"/>
    <x v="0"/>
    <x v="2"/>
    <s v="Corporate Wellness"/>
    <x v="0"/>
    <n v="30"/>
    <n v="30"/>
    <n v="33.799999999999997"/>
    <n v="600"/>
    <x v="16"/>
    <x v="0"/>
    <n v="0"/>
    <n v="1"/>
    <n v="0"/>
    <n v="0.85"/>
  </r>
  <r>
    <s v="APT-00828"/>
    <x v="29"/>
    <x v="5"/>
    <x v="5"/>
    <x v="0"/>
    <x v="1"/>
    <s v="Thrissur"/>
    <x v="10"/>
    <s v="PT-1431"/>
    <s v="Follow-up"/>
    <x v="0"/>
    <x v="1"/>
    <s v="Neurologist"/>
    <x v="0"/>
    <n v="60"/>
    <n v="60"/>
    <n v="65.7"/>
    <n v="1150"/>
    <x v="15"/>
    <x v="0"/>
    <n v="0"/>
    <n v="1"/>
    <n v="0"/>
    <n v="0.85"/>
  </r>
  <r>
    <s v="APT-00829"/>
    <x v="245"/>
    <x v="1"/>
    <x v="1"/>
    <x v="0"/>
    <x v="1"/>
    <s v="Thrissur"/>
    <x v="2"/>
    <s v="PT-1606"/>
    <s v="Post-op Rehab"/>
    <x v="3"/>
    <x v="3"/>
    <s v="Neurologist"/>
    <x v="0"/>
    <n v="45"/>
    <n v="45"/>
    <n v="50"/>
    <n v="1050"/>
    <x v="2"/>
    <x v="0"/>
    <n v="0"/>
    <n v="1"/>
    <n v="0"/>
    <n v="0.85"/>
  </r>
  <r>
    <s v="APT-00830"/>
    <x v="113"/>
    <x v="2"/>
    <x v="2"/>
    <x v="2"/>
    <x v="1"/>
    <s v="Thrissur"/>
    <x v="1"/>
    <s v="PT-1021"/>
    <s v="New Patient"/>
    <x v="1"/>
    <x v="2"/>
    <s v="Corporate Wellness"/>
    <x v="0"/>
    <n v="60"/>
    <n v="60"/>
    <n v="77.599999999999994"/>
    <n v="1600"/>
    <x v="11"/>
    <x v="0"/>
    <n v="0"/>
    <n v="1"/>
    <n v="0"/>
    <n v="0.85"/>
  </r>
  <r>
    <s v="APT-00831"/>
    <x v="117"/>
    <x v="6"/>
    <x v="0"/>
    <x v="2"/>
    <x v="2"/>
    <s v="Ernakulam"/>
    <x v="3"/>
    <s v="PT-1498"/>
    <s v="Post-op Rehab"/>
    <x v="1"/>
    <x v="0"/>
    <s v="Orthopedic Doctor"/>
    <x v="0"/>
    <n v="45"/>
    <n v="45"/>
    <n v="58.4"/>
    <n v="1300"/>
    <x v="22"/>
    <x v="0"/>
    <n v="0"/>
    <n v="1"/>
    <n v="0"/>
    <n v="0.85"/>
  </r>
  <r>
    <s v="APT-00832"/>
    <x v="152"/>
    <x v="11"/>
    <x v="4"/>
    <x v="0"/>
    <x v="1"/>
    <s v="Thrissur"/>
    <x v="7"/>
    <s v="PT-1432"/>
    <s v="Follow-up"/>
    <x v="0"/>
    <x v="3"/>
    <s v="Online Search"/>
    <x v="0"/>
    <n v="60"/>
    <n v="60"/>
    <n v="80.400000000000006"/>
    <n v="1250"/>
    <x v="5"/>
    <x v="0"/>
    <n v="0"/>
    <n v="1"/>
    <n v="0"/>
    <n v="0.85"/>
  </r>
  <r>
    <s v="APT-00833"/>
    <x v="180"/>
    <x v="2"/>
    <x v="4"/>
    <x v="2"/>
    <x v="2"/>
    <s v="Ernakulam"/>
    <x v="12"/>
    <s v="PT-1508"/>
    <s v="Sports Injury"/>
    <x v="5"/>
    <x v="1"/>
    <s v="Orthopedic Doctor"/>
    <x v="0"/>
    <n v="45"/>
    <n v="45"/>
    <n v="50.2"/>
    <n v="950"/>
    <x v="7"/>
    <x v="0"/>
    <n v="0"/>
    <n v="1"/>
    <n v="0"/>
    <n v="0.85"/>
  </r>
  <r>
    <s v="APT-00834"/>
    <x v="298"/>
    <x v="2"/>
    <x v="5"/>
    <x v="3"/>
    <x v="2"/>
    <s v="Ernakulam"/>
    <x v="3"/>
    <s v="PT-1116"/>
    <s v="Geriatric Rehab"/>
    <x v="0"/>
    <x v="0"/>
    <s v="Corporate Wellness"/>
    <x v="1"/>
    <n v="60"/>
    <n v="0"/>
    <n v="66.900000000000006"/>
    <n v="1500"/>
    <x v="9"/>
    <x v="12"/>
    <n v="1"/>
    <n v="0"/>
    <n v="0"/>
    <n v="0.85"/>
  </r>
  <r>
    <s v="APT-00835"/>
    <x v="250"/>
    <x v="4"/>
    <x v="1"/>
    <x v="0"/>
    <x v="2"/>
    <s v="Ernakulam"/>
    <x v="12"/>
    <s v="PT-1314"/>
    <s v="Post-op Rehab"/>
    <x v="4"/>
    <x v="0"/>
    <s v="Corporate Wellness"/>
    <x v="0"/>
    <n v="60"/>
    <n v="60"/>
    <n v="69.7"/>
    <n v="1700"/>
    <x v="6"/>
    <x v="0"/>
    <n v="0"/>
    <n v="1"/>
    <n v="0"/>
    <n v="0.85"/>
  </r>
  <r>
    <s v="APT-00836"/>
    <x v="23"/>
    <x v="5"/>
    <x v="1"/>
    <x v="0"/>
    <x v="2"/>
    <s v="Ernakulam"/>
    <x v="3"/>
    <s v="PT-1553"/>
    <s v="Follow-up"/>
    <x v="5"/>
    <x v="2"/>
    <s v="Hospital Discharge"/>
    <x v="0"/>
    <n v="60"/>
    <n v="60"/>
    <n v="72.7"/>
    <n v="1500"/>
    <x v="3"/>
    <x v="0"/>
    <n v="0"/>
    <n v="1"/>
    <n v="0"/>
    <n v="0.85"/>
  </r>
  <r>
    <s v="APT-00837"/>
    <x v="298"/>
    <x v="2"/>
    <x v="5"/>
    <x v="1"/>
    <x v="0"/>
    <s v="Palakkad"/>
    <x v="0"/>
    <s v="PT-1526"/>
    <s v="Post-op Rehab"/>
    <x v="0"/>
    <x v="0"/>
    <s v="Neurologist"/>
    <x v="1"/>
    <n v="45"/>
    <n v="0"/>
    <n v="56.2"/>
    <n v="1100"/>
    <x v="9"/>
    <x v="6"/>
    <n v="1"/>
    <n v="0"/>
    <n v="0"/>
    <n v="0.85"/>
  </r>
  <r>
    <s v="APT-00838"/>
    <x v="175"/>
    <x v="3"/>
    <x v="3"/>
    <x v="1"/>
    <x v="0"/>
    <s v="Palakkad"/>
    <x v="13"/>
    <s v="PT-1335"/>
    <s v="Post-op Rehab"/>
    <x v="4"/>
    <x v="2"/>
    <s v="Self Referral"/>
    <x v="0"/>
    <n v="45"/>
    <n v="45"/>
    <n v="51.4"/>
    <n v="1100"/>
    <x v="20"/>
    <x v="0"/>
    <n v="0"/>
    <n v="1"/>
    <n v="0"/>
    <n v="0.85"/>
  </r>
  <r>
    <s v="APT-00839"/>
    <x v="299"/>
    <x v="7"/>
    <x v="3"/>
    <x v="2"/>
    <x v="2"/>
    <s v="Ernakulam"/>
    <x v="3"/>
    <s v="PT-1592"/>
    <s v="Follow-up"/>
    <x v="0"/>
    <x v="0"/>
    <s v="Hospital Discharge"/>
    <x v="0"/>
    <n v="30"/>
    <n v="30"/>
    <n v="38.5"/>
    <n v="750"/>
    <x v="27"/>
    <x v="0"/>
    <n v="0"/>
    <n v="1"/>
    <n v="0"/>
    <n v="0.85"/>
  </r>
  <r>
    <s v="APT-00840"/>
    <x v="161"/>
    <x v="2"/>
    <x v="0"/>
    <x v="3"/>
    <x v="2"/>
    <s v="Ernakulam"/>
    <x v="8"/>
    <s v="PT-1485"/>
    <s v="Sports Injury"/>
    <x v="2"/>
    <x v="2"/>
    <s v="Online Search"/>
    <x v="0"/>
    <n v="60"/>
    <n v="60"/>
    <n v="69.7"/>
    <n v="1500"/>
    <x v="3"/>
    <x v="0"/>
    <n v="0"/>
    <n v="1"/>
    <n v="0"/>
    <n v="0.85"/>
  </r>
  <r>
    <s v="APT-00841"/>
    <x v="118"/>
    <x v="0"/>
    <x v="4"/>
    <x v="1"/>
    <x v="2"/>
    <s v="Ernakulam"/>
    <x v="14"/>
    <s v="PT-1329"/>
    <s v="New Patient"/>
    <x v="1"/>
    <x v="2"/>
    <s v="Orthopedic Doctor"/>
    <x v="0"/>
    <n v="60"/>
    <n v="60"/>
    <n v="75.599999999999994"/>
    <n v="1800"/>
    <x v="25"/>
    <x v="0"/>
    <n v="0"/>
    <n v="1"/>
    <n v="0"/>
    <n v="0.85"/>
  </r>
  <r>
    <s v="APT-00842"/>
    <x v="158"/>
    <x v="4"/>
    <x v="4"/>
    <x v="1"/>
    <x v="1"/>
    <s v="Thrissur"/>
    <x v="5"/>
    <s v="PT-1582"/>
    <s v="Chronic Pain"/>
    <x v="2"/>
    <x v="2"/>
    <s v="Orthopedic Doctor"/>
    <x v="0"/>
    <n v="60"/>
    <n v="60"/>
    <n v="75.599999999999994"/>
    <n v="1350"/>
    <x v="14"/>
    <x v="0"/>
    <n v="0"/>
    <n v="1"/>
    <n v="0"/>
    <n v="0.85"/>
  </r>
  <r>
    <s v="APT-00843"/>
    <x v="243"/>
    <x v="9"/>
    <x v="5"/>
    <x v="0"/>
    <x v="1"/>
    <s v="Thrissur"/>
    <x v="7"/>
    <s v="PT-1186"/>
    <s v="Follow-up"/>
    <x v="0"/>
    <x v="0"/>
    <s v="Self Referral"/>
    <x v="2"/>
    <n v="45"/>
    <n v="0"/>
    <n v="50.2"/>
    <n v="1000"/>
    <x v="9"/>
    <x v="16"/>
    <n v="0"/>
    <n v="0"/>
    <n v="1"/>
    <n v="0.85"/>
  </r>
  <r>
    <s v="APT-00844"/>
    <x v="84"/>
    <x v="6"/>
    <x v="0"/>
    <x v="0"/>
    <x v="0"/>
    <s v="Palakkad"/>
    <x v="6"/>
    <s v="PT-1691"/>
    <s v="Follow-up"/>
    <x v="5"/>
    <x v="3"/>
    <s v="Hospital Discharge"/>
    <x v="0"/>
    <n v="60"/>
    <n v="60"/>
    <n v="65.5"/>
    <n v="1150"/>
    <x v="15"/>
    <x v="0"/>
    <n v="0"/>
    <n v="1"/>
    <n v="0"/>
    <n v="0.85"/>
  </r>
  <r>
    <s v="APT-00845"/>
    <x v="47"/>
    <x v="0"/>
    <x v="0"/>
    <x v="0"/>
    <x v="1"/>
    <s v="Thrissur"/>
    <x v="5"/>
    <s v="PT-1260"/>
    <s v="Chronic Pain"/>
    <x v="1"/>
    <x v="3"/>
    <s v="Neurologist"/>
    <x v="0"/>
    <n v="90"/>
    <n v="90"/>
    <n v="107"/>
    <n v="1850"/>
    <x v="24"/>
    <x v="0"/>
    <n v="0"/>
    <n v="1"/>
    <n v="0"/>
    <n v="0.85"/>
  </r>
  <r>
    <s v="APT-00846"/>
    <x v="150"/>
    <x v="6"/>
    <x v="1"/>
    <x v="2"/>
    <x v="1"/>
    <s v="Thrissur"/>
    <x v="2"/>
    <s v="PT-1206"/>
    <s v="Sports Injury"/>
    <x v="2"/>
    <x v="0"/>
    <s v="Neurologist"/>
    <x v="0"/>
    <n v="30"/>
    <n v="30"/>
    <n v="35"/>
    <n v="700"/>
    <x v="19"/>
    <x v="0"/>
    <n v="0"/>
    <n v="1"/>
    <n v="0"/>
    <n v="0.85"/>
  </r>
  <r>
    <s v="APT-00847"/>
    <x v="88"/>
    <x v="6"/>
    <x v="5"/>
    <x v="2"/>
    <x v="0"/>
    <s v="Palakkad"/>
    <x v="11"/>
    <s v="PT-1281"/>
    <s v="Follow-up"/>
    <x v="4"/>
    <x v="2"/>
    <s v="Hospital Discharge"/>
    <x v="0"/>
    <n v="60"/>
    <n v="60"/>
    <n v="79.900000000000006"/>
    <n v="1250"/>
    <x v="5"/>
    <x v="0"/>
    <n v="0"/>
    <n v="1"/>
    <n v="0"/>
    <n v="0.85"/>
  </r>
  <r>
    <s v="APT-00848"/>
    <x v="300"/>
    <x v="8"/>
    <x v="0"/>
    <x v="2"/>
    <x v="1"/>
    <s v="Thrissur"/>
    <x v="1"/>
    <s v="PT-1279"/>
    <s v="Post-op Rehab"/>
    <x v="0"/>
    <x v="2"/>
    <s v="Corporate Wellness"/>
    <x v="0"/>
    <n v="90"/>
    <n v="90"/>
    <n v="98.6"/>
    <n v="2350"/>
    <x v="35"/>
    <x v="0"/>
    <n v="0"/>
    <n v="1"/>
    <n v="0"/>
    <n v="0.85"/>
  </r>
  <r>
    <s v="APT-00849"/>
    <x v="143"/>
    <x v="0"/>
    <x v="5"/>
    <x v="0"/>
    <x v="1"/>
    <s v="Thrissur"/>
    <x v="1"/>
    <s v="PT-1542"/>
    <s v="Post-op Rehab"/>
    <x v="5"/>
    <x v="2"/>
    <s v="Online Search"/>
    <x v="2"/>
    <n v="30"/>
    <n v="0"/>
    <n v="34.200000000000003"/>
    <n v="800"/>
    <x v="9"/>
    <x v="30"/>
    <n v="0"/>
    <n v="0"/>
    <n v="1"/>
    <n v="0.85"/>
  </r>
  <r>
    <s v="APT-00850"/>
    <x v="66"/>
    <x v="7"/>
    <x v="1"/>
    <x v="1"/>
    <x v="1"/>
    <s v="Thrissur"/>
    <x v="7"/>
    <s v="PT-1335"/>
    <s v="Sports Injury"/>
    <x v="2"/>
    <x v="0"/>
    <s v="Online Search"/>
    <x v="0"/>
    <n v="60"/>
    <n v="60"/>
    <n v="68.7"/>
    <n v="1350"/>
    <x v="14"/>
    <x v="0"/>
    <n v="0"/>
    <n v="1"/>
    <n v="0"/>
    <n v="0.85"/>
  </r>
  <r>
    <s v="APT-00851"/>
    <x v="111"/>
    <x v="8"/>
    <x v="1"/>
    <x v="1"/>
    <x v="1"/>
    <s v="Thrissur"/>
    <x v="7"/>
    <s v="PT-1062"/>
    <s v="Follow-up"/>
    <x v="5"/>
    <x v="0"/>
    <s v="Online Search"/>
    <x v="0"/>
    <n v="60"/>
    <n v="60"/>
    <n v="68.7"/>
    <n v="1350"/>
    <x v="14"/>
    <x v="0"/>
    <n v="0"/>
    <n v="1"/>
    <n v="0"/>
    <n v="0.85"/>
  </r>
  <r>
    <s v="APT-00852"/>
    <x v="82"/>
    <x v="2"/>
    <x v="0"/>
    <x v="1"/>
    <x v="2"/>
    <s v="Ernakulam"/>
    <x v="14"/>
    <s v="PT-1203"/>
    <s v="Follow-up"/>
    <x v="4"/>
    <x v="0"/>
    <s v="Hospital Discharge"/>
    <x v="0"/>
    <n v="90"/>
    <n v="90"/>
    <n v="110.2"/>
    <n v="2250"/>
    <x v="12"/>
    <x v="0"/>
    <n v="0"/>
    <n v="1"/>
    <n v="0"/>
    <n v="0.85"/>
  </r>
  <r>
    <s v="APT-00853"/>
    <x v="238"/>
    <x v="2"/>
    <x v="2"/>
    <x v="0"/>
    <x v="1"/>
    <s v="Thrissur"/>
    <x v="7"/>
    <s v="PT-1653"/>
    <s v="Follow-up"/>
    <x v="5"/>
    <x v="0"/>
    <s v="Online Search"/>
    <x v="0"/>
    <n v="60"/>
    <n v="60"/>
    <n v="66.8"/>
    <n v="1350"/>
    <x v="14"/>
    <x v="0"/>
    <n v="0"/>
    <n v="1"/>
    <n v="0"/>
    <n v="0.85"/>
  </r>
  <r>
    <s v="APT-00854"/>
    <x v="199"/>
    <x v="4"/>
    <x v="1"/>
    <x v="0"/>
    <x v="2"/>
    <s v="Ernakulam"/>
    <x v="12"/>
    <s v="PT-1254"/>
    <s v="Geriatric Rehab"/>
    <x v="2"/>
    <x v="2"/>
    <s v="Online Search"/>
    <x v="0"/>
    <n v="60"/>
    <n v="60"/>
    <n v="70.900000000000006"/>
    <n v="1500"/>
    <x v="3"/>
    <x v="0"/>
    <n v="0"/>
    <n v="1"/>
    <n v="0"/>
    <n v="0.85"/>
  </r>
  <r>
    <s v="APT-00855"/>
    <x v="122"/>
    <x v="8"/>
    <x v="2"/>
    <x v="0"/>
    <x v="0"/>
    <s v="Palakkad"/>
    <x v="13"/>
    <s v="PT-1274"/>
    <s v="Post-op Rehab"/>
    <x v="1"/>
    <x v="0"/>
    <s v="Neurologist"/>
    <x v="1"/>
    <n v="45"/>
    <n v="0"/>
    <n v="51.1"/>
    <n v="1100"/>
    <x v="9"/>
    <x v="6"/>
    <n v="1"/>
    <n v="0"/>
    <n v="0"/>
    <n v="0.85"/>
  </r>
  <r>
    <s v="APT-00856"/>
    <x v="301"/>
    <x v="9"/>
    <x v="3"/>
    <x v="1"/>
    <x v="2"/>
    <s v="Ernakulam"/>
    <x v="14"/>
    <s v="PT-1487"/>
    <s v="New Patient"/>
    <x v="4"/>
    <x v="0"/>
    <s v="Hospital Discharge"/>
    <x v="0"/>
    <n v="45"/>
    <n v="45"/>
    <n v="55.2"/>
    <n v="1350"/>
    <x v="14"/>
    <x v="0"/>
    <n v="0"/>
    <n v="1"/>
    <n v="0"/>
    <n v="0.85"/>
  </r>
  <r>
    <s v="APT-00857"/>
    <x v="30"/>
    <x v="9"/>
    <x v="3"/>
    <x v="1"/>
    <x v="1"/>
    <s v="Thrissur"/>
    <x v="7"/>
    <s v="PT-1040"/>
    <s v="Chronic Pain"/>
    <x v="3"/>
    <x v="0"/>
    <s v="Orthopedic Doctor"/>
    <x v="1"/>
    <n v="60"/>
    <n v="0"/>
    <n v="73.599999999999994"/>
    <n v="1350"/>
    <x v="9"/>
    <x v="2"/>
    <n v="1"/>
    <n v="0"/>
    <n v="0"/>
    <n v="0.85"/>
  </r>
  <r>
    <s v="APT-00858"/>
    <x v="171"/>
    <x v="10"/>
    <x v="3"/>
    <x v="2"/>
    <x v="0"/>
    <s v="Palakkad"/>
    <x v="13"/>
    <s v="PT-1658"/>
    <s v="Follow-up"/>
    <x v="3"/>
    <x v="0"/>
    <s v="Corporate Wellness"/>
    <x v="0"/>
    <n v="60"/>
    <n v="60"/>
    <n v="66.8"/>
    <n v="1250"/>
    <x v="5"/>
    <x v="0"/>
    <n v="0"/>
    <n v="1"/>
    <n v="0"/>
    <n v="0.85"/>
  </r>
  <r>
    <s v="APT-00859"/>
    <x v="264"/>
    <x v="8"/>
    <x v="5"/>
    <x v="3"/>
    <x v="2"/>
    <s v="Ernakulam"/>
    <x v="8"/>
    <s v="PT-1563"/>
    <s v="Chronic Pain"/>
    <x v="0"/>
    <x v="0"/>
    <s v="Online Search"/>
    <x v="1"/>
    <n v="45"/>
    <n v="0"/>
    <n v="50.7"/>
    <n v="1100"/>
    <x v="9"/>
    <x v="6"/>
    <n v="1"/>
    <n v="0"/>
    <n v="0"/>
    <n v="0.85"/>
  </r>
  <r>
    <s v="APT-00860"/>
    <x v="20"/>
    <x v="6"/>
    <x v="2"/>
    <x v="2"/>
    <x v="2"/>
    <s v="Ernakulam"/>
    <x v="12"/>
    <s v="PT-1112"/>
    <s v="Chronic Pain"/>
    <x v="3"/>
    <x v="0"/>
    <s v="Corporate Wellness"/>
    <x v="0"/>
    <n v="60"/>
    <n v="60"/>
    <n v="71.400000000000006"/>
    <n v="1500"/>
    <x v="3"/>
    <x v="0"/>
    <n v="0"/>
    <n v="1"/>
    <n v="0"/>
    <n v="0.85"/>
  </r>
  <r>
    <s v="APT-00861"/>
    <x v="144"/>
    <x v="11"/>
    <x v="1"/>
    <x v="3"/>
    <x v="2"/>
    <s v="Ernakulam"/>
    <x v="14"/>
    <s v="PT-1265"/>
    <s v="Follow-up"/>
    <x v="4"/>
    <x v="0"/>
    <s v="Online Search"/>
    <x v="0"/>
    <n v="45"/>
    <n v="45"/>
    <n v="49.5"/>
    <n v="1100"/>
    <x v="20"/>
    <x v="0"/>
    <n v="0"/>
    <n v="1"/>
    <n v="0"/>
    <n v="0.85"/>
  </r>
  <r>
    <s v="APT-00862"/>
    <x v="101"/>
    <x v="9"/>
    <x v="4"/>
    <x v="1"/>
    <x v="2"/>
    <s v="Ernakulam"/>
    <x v="8"/>
    <s v="PT-1267"/>
    <s v="Sports Injury"/>
    <x v="1"/>
    <x v="0"/>
    <s v="Orthopedic Doctor"/>
    <x v="0"/>
    <n v="75"/>
    <n v="75"/>
    <n v="94.2"/>
    <n v="1900"/>
    <x v="0"/>
    <x v="0"/>
    <n v="0"/>
    <n v="1"/>
    <n v="0"/>
    <n v="0.85"/>
  </r>
  <r>
    <s v="APT-00863"/>
    <x v="73"/>
    <x v="10"/>
    <x v="0"/>
    <x v="1"/>
    <x v="0"/>
    <s v="Palakkad"/>
    <x v="11"/>
    <s v="PT-1627"/>
    <s v="Chronic Pain"/>
    <x v="2"/>
    <x v="3"/>
    <s v="Online Search"/>
    <x v="0"/>
    <n v="45"/>
    <n v="45"/>
    <n v="51.8"/>
    <n v="850"/>
    <x v="23"/>
    <x v="0"/>
    <n v="0"/>
    <n v="1"/>
    <n v="0"/>
    <n v="0.85"/>
  </r>
  <r>
    <s v="APT-00864"/>
    <x v="276"/>
    <x v="5"/>
    <x v="0"/>
    <x v="2"/>
    <x v="0"/>
    <s v="Palakkad"/>
    <x v="13"/>
    <s v="PT-1036"/>
    <s v="Post-op Rehab"/>
    <x v="4"/>
    <x v="1"/>
    <s v="Corporate Wellness"/>
    <x v="1"/>
    <n v="60"/>
    <n v="0"/>
    <n v="73.8"/>
    <n v="1200"/>
    <x v="9"/>
    <x v="27"/>
    <n v="1"/>
    <n v="0"/>
    <n v="0"/>
    <n v="0.85"/>
  </r>
  <r>
    <s v="APT-00865"/>
    <x v="291"/>
    <x v="2"/>
    <x v="2"/>
    <x v="1"/>
    <x v="2"/>
    <s v="Ernakulam"/>
    <x v="12"/>
    <s v="PT-1192"/>
    <s v="New Patient"/>
    <x v="2"/>
    <x v="0"/>
    <s v="Hospital Discharge"/>
    <x v="0"/>
    <n v="90"/>
    <n v="90"/>
    <n v="111.5"/>
    <n v="2700"/>
    <x v="34"/>
    <x v="0"/>
    <n v="0"/>
    <n v="1"/>
    <n v="0"/>
    <n v="0.85"/>
  </r>
  <r>
    <s v="APT-00866"/>
    <x v="238"/>
    <x v="2"/>
    <x v="2"/>
    <x v="0"/>
    <x v="2"/>
    <s v="Ernakulam"/>
    <x v="12"/>
    <s v="PT-1307"/>
    <s v="Chronic Pain"/>
    <x v="0"/>
    <x v="0"/>
    <s v="Neurologist"/>
    <x v="2"/>
    <n v="45"/>
    <n v="0"/>
    <n v="55.5"/>
    <n v="1100"/>
    <x v="9"/>
    <x v="6"/>
    <n v="0"/>
    <n v="0"/>
    <n v="1"/>
    <n v="0.85"/>
  </r>
  <r>
    <s v="APT-00867"/>
    <x v="302"/>
    <x v="9"/>
    <x v="5"/>
    <x v="2"/>
    <x v="0"/>
    <s v="Palakkad"/>
    <x v="9"/>
    <s v="PT-1107"/>
    <s v="Post-op Rehab"/>
    <x v="4"/>
    <x v="0"/>
    <s v="Online Search"/>
    <x v="1"/>
    <n v="60"/>
    <n v="0"/>
    <n v="66.099999999999994"/>
    <n v="1450"/>
    <x v="9"/>
    <x v="22"/>
    <n v="1"/>
    <n v="0"/>
    <n v="0"/>
    <n v="0.85"/>
  </r>
  <r>
    <s v="APT-00868"/>
    <x v="175"/>
    <x v="3"/>
    <x v="3"/>
    <x v="3"/>
    <x v="2"/>
    <s v="Ernakulam"/>
    <x v="14"/>
    <s v="PT-1482"/>
    <s v="New Patient"/>
    <x v="2"/>
    <x v="2"/>
    <s v="Self Referral"/>
    <x v="1"/>
    <n v="60"/>
    <n v="0"/>
    <n v="68"/>
    <n v="1800"/>
    <x v="9"/>
    <x v="13"/>
    <n v="1"/>
    <n v="0"/>
    <n v="0"/>
    <n v="0.85"/>
  </r>
  <r>
    <s v="APT-00869"/>
    <x v="240"/>
    <x v="2"/>
    <x v="0"/>
    <x v="3"/>
    <x v="2"/>
    <s v="Ernakulam"/>
    <x v="8"/>
    <s v="PT-1031"/>
    <s v="New Patient"/>
    <x v="4"/>
    <x v="2"/>
    <s v="Orthopedic Doctor"/>
    <x v="0"/>
    <n v="75"/>
    <n v="75"/>
    <n v="87.1"/>
    <n v="2250"/>
    <x v="12"/>
    <x v="0"/>
    <n v="0"/>
    <n v="1"/>
    <n v="0"/>
    <n v="0.85"/>
  </r>
  <r>
    <s v="APT-00870"/>
    <x v="230"/>
    <x v="6"/>
    <x v="1"/>
    <x v="0"/>
    <x v="1"/>
    <s v="Thrissur"/>
    <x v="1"/>
    <s v="PT-1340"/>
    <s v="Follow-up"/>
    <x v="4"/>
    <x v="0"/>
    <s v="Corporate Wellness"/>
    <x v="0"/>
    <n v="45"/>
    <n v="45"/>
    <n v="55.4"/>
    <n v="1000"/>
    <x v="13"/>
    <x v="0"/>
    <n v="0"/>
    <n v="1"/>
    <n v="0"/>
    <n v="0.85"/>
  </r>
  <r>
    <s v="APT-00871"/>
    <x v="166"/>
    <x v="10"/>
    <x v="1"/>
    <x v="3"/>
    <x v="1"/>
    <s v="Thrissur"/>
    <x v="1"/>
    <s v="PT-1255"/>
    <s v="New Patient"/>
    <x v="1"/>
    <x v="0"/>
    <s v="Neurologist"/>
    <x v="3"/>
    <n v="60"/>
    <n v="0"/>
    <n v="79.599999999999994"/>
    <n v="1600"/>
    <x v="9"/>
    <x v="0"/>
    <n v="0"/>
    <n v="0"/>
    <n v="0"/>
    <n v="0.85"/>
  </r>
  <r>
    <s v="APT-00872"/>
    <x v="64"/>
    <x v="7"/>
    <x v="3"/>
    <x v="3"/>
    <x v="1"/>
    <s v="Thrissur"/>
    <x v="10"/>
    <s v="PT-1596"/>
    <s v="Chronic Pain"/>
    <x v="5"/>
    <x v="3"/>
    <s v="Online Search"/>
    <x v="0"/>
    <n v="45"/>
    <n v="45"/>
    <n v="58.8"/>
    <n v="950"/>
    <x v="7"/>
    <x v="0"/>
    <n v="0"/>
    <n v="1"/>
    <n v="0"/>
    <n v="0.85"/>
  </r>
  <r>
    <s v="APT-00873"/>
    <x v="47"/>
    <x v="0"/>
    <x v="0"/>
    <x v="1"/>
    <x v="1"/>
    <s v="Thrissur"/>
    <x v="1"/>
    <s v="PT-1070"/>
    <s v="Chronic Pain"/>
    <x v="5"/>
    <x v="0"/>
    <s v="Self Referral"/>
    <x v="2"/>
    <n v="45"/>
    <n v="0"/>
    <n v="53.1"/>
    <n v="1000"/>
    <x v="9"/>
    <x v="16"/>
    <n v="0"/>
    <n v="0"/>
    <n v="1"/>
    <n v="0.85"/>
  </r>
  <r>
    <s v="APT-00874"/>
    <x v="1"/>
    <x v="1"/>
    <x v="1"/>
    <x v="3"/>
    <x v="1"/>
    <s v="Thrissur"/>
    <x v="7"/>
    <s v="PT-1509"/>
    <s v="Geriatric Rehab"/>
    <x v="4"/>
    <x v="0"/>
    <s v="Orthopedic Doctor"/>
    <x v="0"/>
    <n v="60"/>
    <n v="60"/>
    <n v="80.900000000000006"/>
    <n v="1350"/>
    <x v="14"/>
    <x v="0"/>
    <n v="0"/>
    <n v="1"/>
    <n v="0"/>
    <n v="0.85"/>
  </r>
  <r>
    <s v="APT-00875"/>
    <x v="71"/>
    <x v="2"/>
    <x v="1"/>
    <x v="1"/>
    <x v="0"/>
    <s v="Palakkad"/>
    <x v="6"/>
    <s v="PT-1394"/>
    <s v="New Patient"/>
    <x v="3"/>
    <x v="2"/>
    <s v="Hospital Discharge"/>
    <x v="0"/>
    <n v="45"/>
    <n v="45"/>
    <n v="50.3"/>
    <n v="1100"/>
    <x v="20"/>
    <x v="0"/>
    <n v="0"/>
    <n v="1"/>
    <n v="0"/>
    <n v="0.85"/>
  </r>
  <r>
    <s v="APT-00876"/>
    <x v="178"/>
    <x v="7"/>
    <x v="2"/>
    <x v="1"/>
    <x v="1"/>
    <s v="Thrissur"/>
    <x v="1"/>
    <s v="PT-1578"/>
    <s v="Post-op Rehab"/>
    <x v="1"/>
    <x v="2"/>
    <s v="Orthopedic Doctor"/>
    <x v="0"/>
    <n v="60"/>
    <n v="60"/>
    <n v="78.900000000000006"/>
    <n v="1550"/>
    <x v="1"/>
    <x v="0"/>
    <n v="0"/>
    <n v="1"/>
    <n v="0"/>
    <n v="0.85"/>
  </r>
  <r>
    <s v="APT-00877"/>
    <x v="52"/>
    <x v="9"/>
    <x v="2"/>
    <x v="3"/>
    <x v="1"/>
    <s v="Thrissur"/>
    <x v="7"/>
    <s v="PT-1295"/>
    <s v="Geriatric Rehab"/>
    <x v="5"/>
    <x v="2"/>
    <s v="Orthopedic Doctor"/>
    <x v="0"/>
    <n v="30"/>
    <n v="30"/>
    <n v="38.299999999999997"/>
    <n v="700"/>
    <x v="19"/>
    <x v="0"/>
    <n v="0"/>
    <n v="1"/>
    <n v="0"/>
    <n v="0.85"/>
  </r>
  <r>
    <s v="APT-00878"/>
    <x v="156"/>
    <x v="9"/>
    <x v="4"/>
    <x v="0"/>
    <x v="2"/>
    <s v="Ernakulam"/>
    <x v="8"/>
    <s v="PT-1214"/>
    <s v="Post-op Rehab"/>
    <x v="2"/>
    <x v="1"/>
    <s v="Corporate Wellness"/>
    <x v="0"/>
    <n v="60"/>
    <n v="60"/>
    <n v="80.5"/>
    <n v="1450"/>
    <x v="10"/>
    <x v="0"/>
    <n v="0"/>
    <n v="1"/>
    <n v="0"/>
    <n v="0.85"/>
  </r>
  <r>
    <s v="APT-00879"/>
    <x v="297"/>
    <x v="2"/>
    <x v="3"/>
    <x v="1"/>
    <x v="1"/>
    <s v="Thrissur"/>
    <x v="10"/>
    <s v="PT-1617"/>
    <s v="Chronic Pain"/>
    <x v="4"/>
    <x v="0"/>
    <s v="Hospital Discharge"/>
    <x v="0"/>
    <n v="45"/>
    <n v="45"/>
    <n v="53.3"/>
    <n v="1000"/>
    <x v="13"/>
    <x v="0"/>
    <n v="0"/>
    <n v="1"/>
    <n v="0"/>
    <n v="0.85"/>
  </r>
  <r>
    <s v="APT-00880"/>
    <x v="264"/>
    <x v="8"/>
    <x v="5"/>
    <x v="2"/>
    <x v="2"/>
    <s v="Ernakulam"/>
    <x v="12"/>
    <s v="PT-1107"/>
    <s v="Follow-up"/>
    <x v="0"/>
    <x v="2"/>
    <s v="Self Referral"/>
    <x v="0"/>
    <n v="45"/>
    <n v="45"/>
    <n v="58"/>
    <n v="1100"/>
    <x v="20"/>
    <x v="0"/>
    <n v="0"/>
    <n v="1"/>
    <n v="0"/>
    <n v="0.85"/>
  </r>
  <r>
    <s v="APT-00881"/>
    <x v="303"/>
    <x v="6"/>
    <x v="6"/>
    <x v="1"/>
    <x v="2"/>
    <s v="Ernakulam"/>
    <x v="4"/>
    <s v="PT-1563"/>
    <s v="Follow-up"/>
    <x v="2"/>
    <x v="3"/>
    <s v="Orthopedic Doctor"/>
    <x v="0"/>
    <n v="45"/>
    <n v="45"/>
    <n v="50.2"/>
    <n v="1050"/>
    <x v="2"/>
    <x v="0"/>
    <n v="0"/>
    <n v="1"/>
    <n v="0"/>
    <n v="0.85"/>
  </r>
  <r>
    <s v="APT-00882"/>
    <x v="236"/>
    <x v="0"/>
    <x v="2"/>
    <x v="3"/>
    <x v="1"/>
    <s v="Thrissur"/>
    <x v="7"/>
    <s v="PT-1258"/>
    <s v="Follow-up"/>
    <x v="3"/>
    <x v="0"/>
    <s v="Neurologist"/>
    <x v="0"/>
    <n v="45"/>
    <n v="45"/>
    <n v="49.7"/>
    <n v="1000"/>
    <x v="13"/>
    <x v="0"/>
    <n v="0"/>
    <n v="1"/>
    <n v="0"/>
    <n v="0.85"/>
  </r>
  <r>
    <s v="APT-00883"/>
    <x v="107"/>
    <x v="1"/>
    <x v="4"/>
    <x v="0"/>
    <x v="0"/>
    <s v="Palakkad"/>
    <x v="6"/>
    <s v="PT-1343"/>
    <s v="Follow-up"/>
    <x v="5"/>
    <x v="2"/>
    <s v="Online Search"/>
    <x v="0"/>
    <n v="30"/>
    <n v="30"/>
    <n v="35.700000000000003"/>
    <n v="600"/>
    <x v="16"/>
    <x v="0"/>
    <n v="0"/>
    <n v="1"/>
    <n v="0"/>
    <n v="0.85"/>
  </r>
  <r>
    <s v="APT-00884"/>
    <x v="4"/>
    <x v="4"/>
    <x v="2"/>
    <x v="1"/>
    <x v="1"/>
    <s v="Thrissur"/>
    <x v="7"/>
    <s v="PT-1681"/>
    <s v="Chronic Pain"/>
    <x v="3"/>
    <x v="0"/>
    <s v="Self Referral"/>
    <x v="0"/>
    <n v="60"/>
    <n v="60"/>
    <n v="74.3"/>
    <n v="1350"/>
    <x v="14"/>
    <x v="0"/>
    <n v="0"/>
    <n v="1"/>
    <n v="0"/>
    <n v="0.85"/>
  </r>
  <r>
    <s v="APT-00885"/>
    <x v="171"/>
    <x v="10"/>
    <x v="3"/>
    <x v="0"/>
    <x v="2"/>
    <s v="Ernakulam"/>
    <x v="4"/>
    <s v="PT-1455"/>
    <s v="Chronic Pain"/>
    <x v="5"/>
    <x v="0"/>
    <s v="Neurologist"/>
    <x v="1"/>
    <n v="60"/>
    <n v="0"/>
    <n v="72.8"/>
    <n v="1500"/>
    <x v="9"/>
    <x v="12"/>
    <n v="1"/>
    <n v="0"/>
    <n v="0"/>
    <n v="0.85"/>
  </r>
  <r>
    <s v="APT-00886"/>
    <x v="304"/>
    <x v="1"/>
    <x v="3"/>
    <x v="3"/>
    <x v="2"/>
    <s v="Ernakulam"/>
    <x v="3"/>
    <s v="PT-1468"/>
    <s v="Sports Injury"/>
    <x v="0"/>
    <x v="2"/>
    <s v="Orthopedic Doctor"/>
    <x v="3"/>
    <n v="45"/>
    <n v="0"/>
    <n v="57.5"/>
    <n v="1100"/>
    <x v="9"/>
    <x v="0"/>
    <n v="0"/>
    <n v="0"/>
    <n v="0"/>
    <n v="0.85"/>
  </r>
  <r>
    <s v="APT-00887"/>
    <x v="228"/>
    <x v="1"/>
    <x v="2"/>
    <x v="0"/>
    <x v="2"/>
    <s v="Ernakulam"/>
    <x v="3"/>
    <s v="PT-1444"/>
    <s v="New Patient"/>
    <x v="5"/>
    <x v="2"/>
    <s v="Neurologist"/>
    <x v="0"/>
    <n v="60"/>
    <n v="60"/>
    <n v="75.8"/>
    <n v="1800"/>
    <x v="25"/>
    <x v="0"/>
    <n v="0"/>
    <n v="1"/>
    <n v="0"/>
    <n v="0.85"/>
  </r>
  <r>
    <s v="APT-00888"/>
    <x v="35"/>
    <x v="3"/>
    <x v="1"/>
    <x v="0"/>
    <x v="1"/>
    <s v="Thrissur"/>
    <x v="1"/>
    <s v="PT-1385"/>
    <s v="Post-op Rehab"/>
    <x v="5"/>
    <x v="0"/>
    <s v="Online Search"/>
    <x v="0"/>
    <n v="30"/>
    <n v="30"/>
    <n v="38.9"/>
    <n v="800"/>
    <x v="18"/>
    <x v="0"/>
    <n v="0"/>
    <n v="1"/>
    <n v="0"/>
    <n v="0.85"/>
  </r>
  <r>
    <s v="APT-00889"/>
    <x v="30"/>
    <x v="9"/>
    <x v="3"/>
    <x v="1"/>
    <x v="1"/>
    <s v="Thrissur"/>
    <x v="2"/>
    <s v="PT-1123"/>
    <s v="New Patient"/>
    <x v="5"/>
    <x v="0"/>
    <s v="Orthopedic Doctor"/>
    <x v="1"/>
    <n v="90"/>
    <n v="0"/>
    <n v="116.6"/>
    <n v="2450"/>
    <x v="9"/>
    <x v="33"/>
    <n v="1"/>
    <n v="0"/>
    <n v="0"/>
    <n v="0.85"/>
  </r>
  <r>
    <s v="APT-00890"/>
    <x v="35"/>
    <x v="3"/>
    <x v="1"/>
    <x v="2"/>
    <x v="0"/>
    <s v="Palakkad"/>
    <x v="11"/>
    <s v="PT-1548"/>
    <s v="New Patient"/>
    <x v="4"/>
    <x v="0"/>
    <s v="Online Search"/>
    <x v="0"/>
    <n v="30"/>
    <n v="30"/>
    <n v="35.299999999999997"/>
    <n v="750"/>
    <x v="27"/>
    <x v="0"/>
    <n v="0"/>
    <n v="1"/>
    <n v="0"/>
    <n v="0.85"/>
  </r>
  <r>
    <s v="APT-00891"/>
    <x v="85"/>
    <x v="7"/>
    <x v="0"/>
    <x v="3"/>
    <x v="0"/>
    <s v="Palakkad"/>
    <x v="11"/>
    <s v="PT-1414"/>
    <s v="Sports Injury"/>
    <x v="5"/>
    <x v="2"/>
    <s v="Hospital Discharge"/>
    <x v="0"/>
    <n v="75"/>
    <n v="75"/>
    <n v="99.8"/>
    <n v="1550"/>
    <x v="1"/>
    <x v="0"/>
    <n v="0"/>
    <n v="1"/>
    <n v="0"/>
    <n v="0.85"/>
  </r>
  <r>
    <s v="APT-00892"/>
    <x v="206"/>
    <x v="4"/>
    <x v="2"/>
    <x v="2"/>
    <x v="2"/>
    <s v="Ernakulam"/>
    <x v="3"/>
    <s v="PT-1135"/>
    <s v="Follow-up"/>
    <x v="4"/>
    <x v="0"/>
    <s v="Neurologist"/>
    <x v="0"/>
    <n v="45"/>
    <n v="45"/>
    <n v="53.6"/>
    <n v="1100"/>
    <x v="20"/>
    <x v="0"/>
    <n v="0"/>
    <n v="1"/>
    <n v="0"/>
    <n v="0.85"/>
  </r>
  <r>
    <s v="APT-00893"/>
    <x v="3"/>
    <x v="3"/>
    <x v="3"/>
    <x v="3"/>
    <x v="1"/>
    <s v="Thrissur"/>
    <x v="2"/>
    <s v="PT-1156"/>
    <s v="New Patient"/>
    <x v="1"/>
    <x v="1"/>
    <s v="Corporate Wellness"/>
    <x v="0"/>
    <n v="75"/>
    <n v="75"/>
    <n v="99.1"/>
    <n v="1700"/>
    <x v="6"/>
    <x v="0"/>
    <n v="0"/>
    <n v="1"/>
    <n v="0"/>
    <n v="0.85"/>
  </r>
  <r>
    <s v="APT-00894"/>
    <x v="295"/>
    <x v="0"/>
    <x v="6"/>
    <x v="1"/>
    <x v="2"/>
    <s v="Ernakulam"/>
    <x v="3"/>
    <s v="PT-1269"/>
    <s v="Post-op Rehab"/>
    <x v="3"/>
    <x v="2"/>
    <s v="Hospital Discharge"/>
    <x v="0"/>
    <n v="45"/>
    <n v="45"/>
    <n v="59.2"/>
    <n v="1300"/>
    <x v="22"/>
    <x v="0"/>
    <n v="0"/>
    <n v="1"/>
    <n v="0"/>
    <n v="0.85"/>
  </r>
  <r>
    <s v="APT-00895"/>
    <x v="172"/>
    <x v="7"/>
    <x v="1"/>
    <x v="2"/>
    <x v="0"/>
    <s v="Palakkad"/>
    <x v="13"/>
    <s v="PT-1071"/>
    <s v="New Patient"/>
    <x v="2"/>
    <x v="3"/>
    <s v="Neurologist"/>
    <x v="0"/>
    <n v="30"/>
    <n v="30"/>
    <n v="36.700000000000003"/>
    <n v="700"/>
    <x v="19"/>
    <x v="0"/>
    <n v="0"/>
    <n v="1"/>
    <n v="0"/>
    <n v="0.85"/>
  </r>
  <r>
    <s v="APT-00896"/>
    <x v="8"/>
    <x v="0"/>
    <x v="4"/>
    <x v="3"/>
    <x v="2"/>
    <s v="Ernakulam"/>
    <x v="14"/>
    <s v="PT-1086"/>
    <s v="New Patient"/>
    <x v="0"/>
    <x v="2"/>
    <s v="Orthopedic Doctor"/>
    <x v="1"/>
    <n v="45"/>
    <n v="0"/>
    <n v="49.5"/>
    <n v="1350"/>
    <x v="9"/>
    <x v="2"/>
    <n v="1"/>
    <n v="0"/>
    <n v="0"/>
    <n v="0.85"/>
  </r>
  <r>
    <s v="APT-00897"/>
    <x v="25"/>
    <x v="11"/>
    <x v="0"/>
    <x v="3"/>
    <x v="2"/>
    <s v="Ernakulam"/>
    <x v="3"/>
    <s v="PT-1347"/>
    <s v="Chronic Pain"/>
    <x v="4"/>
    <x v="1"/>
    <s v="Orthopedic Doctor"/>
    <x v="0"/>
    <n v="90"/>
    <n v="90"/>
    <n v="117.3"/>
    <n v="1900"/>
    <x v="0"/>
    <x v="0"/>
    <n v="0"/>
    <n v="1"/>
    <n v="0"/>
    <n v="0.85"/>
  </r>
  <r>
    <s v="APT-00898"/>
    <x v="183"/>
    <x v="10"/>
    <x v="1"/>
    <x v="3"/>
    <x v="2"/>
    <s v="Ernakulam"/>
    <x v="12"/>
    <s v="PT-1184"/>
    <s v="Sports Injury"/>
    <x v="3"/>
    <x v="0"/>
    <s v="Orthopedic Doctor"/>
    <x v="0"/>
    <n v="60"/>
    <n v="60"/>
    <n v="67.900000000000006"/>
    <n v="1500"/>
    <x v="3"/>
    <x v="0"/>
    <n v="0"/>
    <n v="1"/>
    <n v="0"/>
    <n v="0.85"/>
  </r>
  <r>
    <s v="APT-00899"/>
    <x v="89"/>
    <x v="8"/>
    <x v="5"/>
    <x v="3"/>
    <x v="2"/>
    <s v="Ernakulam"/>
    <x v="12"/>
    <s v="PT-1479"/>
    <s v="Follow-up"/>
    <x v="5"/>
    <x v="1"/>
    <s v="Online Search"/>
    <x v="0"/>
    <n v="75"/>
    <n v="75"/>
    <n v="83.4"/>
    <n v="1600"/>
    <x v="11"/>
    <x v="0"/>
    <n v="0"/>
    <n v="1"/>
    <n v="0"/>
    <n v="0.85"/>
  </r>
  <r>
    <s v="APT-00900"/>
    <x v="109"/>
    <x v="0"/>
    <x v="1"/>
    <x v="3"/>
    <x v="2"/>
    <s v="Ernakulam"/>
    <x v="8"/>
    <s v="PT-1229"/>
    <s v="Post-op Rehab"/>
    <x v="5"/>
    <x v="3"/>
    <s v="Online Search"/>
    <x v="0"/>
    <n v="45"/>
    <n v="45"/>
    <n v="60.6"/>
    <n v="1200"/>
    <x v="26"/>
    <x v="0"/>
    <n v="0"/>
    <n v="1"/>
    <n v="0"/>
    <n v="0.85"/>
  </r>
  <r>
    <s v="APT-00901"/>
    <x v="7"/>
    <x v="3"/>
    <x v="1"/>
    <x v="1"/>
    <x v="0"/>
    <s v="Palakkad"/>
    <x v="0"/>
    <s v="PT-1671"/>
    <s v="Chronic Pain"/>
    <x v="0"/>
    <x v="0"/>
    <s v="Online Search"/>
    <x v="1"/>
    <n v="45"/>
    <n v="0"/>
    <n v="59.1"/>
    <n v="950"/>
    <x v="9"/>
    <x v="19"/>
    <n v="1"/>
    <n v="0"/>
    <n v="0"/>
    <n v="0.85"/>
  </r>
  <r>
    <s v="APT-00902"/>
    <x v="181"/>
    <x v="7"/>
    <x v="3"/>
    <x v="3"/>
    <x v="0"/>
    <s v="Palakkad"/>
    <x v="11"/>
    <s v="PT-1323"/>
    <s v="Sports Injury"/>
    <x v="1"/>
    <x v="2"/>
    <s v="Online Search"/>
    <x v="1"/>
    <n v="60"/>
    <n v="0"/>
    <n v="80.2"/>
    <n v="1250"/>
    <x v="9"/>
    <x v="9"/>
    <n v="1"/>
    <n v="0"/>
    <n v="0"/>
    <n v="0.85"/>
  </r>
  <r>
    <s v="APT-00903"/>
    <x v="156"/>
    <x v="9"/>
    <x v="4"/>
    <x v="0"/>
    <x v="2"/>
    <s v="Ernakulam"/>
    <x v="14"/>
    <s v="PT-1054"/>
    <s v="Follow-up"/>
    <x v="2"/>
    <x v="3"/>
    <s v="Hospital Discharge"/>
    <x v="0"/>
    <n v="60"/>
    <n v="60"/>
    <n v="78.2"/>
    <n v="1400"/>
    <x v="21"/>
    <x v="0"/>
    <n v="0"/>
    <n v="1"/>
    <n v="0"/>
    <n v="0.85"/>
  </r>
  <r>
    <s v="APT-00904"/>
    <x v="220"/>
    <x v="0"/>
    <x v="0"/>
    <x v="3"/>
    <x v="2"/>
    <s v="Ernakulam"/>
    <x v="8"/>
    <s v="PT-1303"/>
    <s v="Post-op Rehab"/>
    <x v="0"/>
    <x v="3"/>
    <s v="Online Search"/>
    <x v="0"/>
    <n v="60"/>
    <n v="60"/>
    <n v="70"/>
    <n v="1600"/>
    <x v="11"/>
    <x v="0"/>
    <n v="0"/>
    <n v="1"/>
    <n v="0"/>
    <n v="0.85"/>
  </r>
  <r>
    <s v="APT-00905"/>
    <x v="123"/>
    <x v="1"/>
    <x v="0"/>
    <x v="2"/>
    <x v="2"/>
    <s v="Ernakulam"/>
    <x v="4"/>
    <s v="PT-1541"/>
    <s v="Chronic Pain"/>
    <x v="2"/>
    <x v="3"/>
    <s v="Hospital Discharge"/>
    <x v="0"/>
    <n v="45"/>
    <n v="45"/>
    <n v="51.4"/>
    <n v="1050"/>
    <x v="2"/>
    <x v="0"/>
    <n v="0"/>
    <n v="1"/>
    <n v="0"/>
    <n v="0.85"/>
  </r>
  <r>
    <s v="APT-00906"/>
    <x v="57"/>
    <x v="3"/>
    <x v="5"/>
    <x v="2"/>
    <x v="0"/>
    <s v="Palakkad"/>
    <x v="11"/>
    <s v="PT-1133"/>
    <s v="Sports Injury"/>
    <x v="0"/>
    <x v="0"/>
    <s v="Neurologist"/>
    <x v="0"/>
    <n v="60"/>
    <n v="60"/>
    <n v="72.400000000000006"/>
    <n v="1250"/>
    <x v="5"/>
    <x v="0"/>
    <n v="0"/>
    <n v="1"/>
    <n v="0"/>
    <n v="0.85"/>
  </r>
  <r>
    <s v="APT-00907"/>
    <x v="262"/>
    <x v="9"/>
    <x v="1"/>
    <x v="1"/>
    <x v="0"/>
    <s v="Palakkad"/>
    <x v="11"/>
    <s v="PT-1123"/>
    <s v="Follow-up"/>
    <x v="0"/>
    <x v="0"/>
    <s v="Hospital Discharge"/>
    <x v="1"/>
    <n v="60"/>
    <n v="0"/>
    <n v="78.8"/>
    <n v="1250"/>
    <x v="9"/>
    <x v="9"/>
    <n v="1"/>
    <n v="0"/>
    <n v="0"/>
    <n v="0.85"/>
  </r>
  <r>
    <s v="APT-00908"/>
    <x v="242"/>
    <x v="2"/>
    <x v="3"/>
    <x v="1"/>
    <x v="2"/>
    <s v="Ernakulam"/>
    <x v="8"/>
    <s v="PT-1575"/>
    <s v="Post-op Rehab"/>
    <x v="3"/>
    <x v="2"/>
    <s v="Self Referral"/>
    <x v="0"/>
    <n v="90"/>
    <n v="90"/>
    <n v="100.1"/>
    <n v="2600"/>
    <x v="4"/>
    <x v="0"/>
    <n v="0"/>
    <n v="1"/>
    <n v="0"/>
    <n v="0.85"/>
  </r>
  <r>
    <s v="APT-00909"/>
    <x v="126"/>
    <x v="11"/>
    <x v="0"/>
    <x v="1"/>
    <x v="2"/>
    <s v="Ernakulam"/>
    <x v="3"/>
    <s v="PT-1124"/>
    <s v="Follow-up"/>
    <x v="3"/>
    <x v="0"/>
    <s v="Orthopedic Doctor"/>
    <x v="0"/>
    <n v="60"/>
    <n v="60"/>
    <n v="66.099999999999994"/>
    <n v="1500"/>
    <x v="3"/>
    <x v="0"/>
    <n v="0"/>
    <n v="1"/>
    <n v="0"/>
    <n v="0.85"/>
  </r>
  <r>
    <s v="APT-00910"/>
    <x v="130"/>
    <x v="3"/>
    <x v="2"/>
    <x v="1"/>
    <x v="2"/>
    <s v="Ernakulam"/>
    <x v="14"/>
    <s v="PT-1031"/>
    <s v="Follow-up"/>
    <x v="4"/>
    <x v="2"/>
    <s v="Orthopedic Doctor"/>
    <x v="0"/>
    <n v="60"/>
    <n v="60"/>
    <n v="80.900000000000006"/>
    <n v="1500"/>
    <x v="3"/>
    <x v="0"/>
    <n v="0"/>
    <n v="1"/>
    <n v="0"/>
    <n v="0.85"/>
  </r>
  <r>
    <s v="APT-00911"/>
    <x v="206"/>
    <x v="4"/>
    <x v="2"/>
    <x v="2"/>
    <x v="0"/>
    <s v="Palakkad"/>
    <x v="11"/>
    <s v="PT-1472"/>
    <s v="Post-op Rehab"/>
    <x v="2"/>
    <x v="2"/>
    <s v="Hospital Discharge"/>
    <x v="0"/>
    <n v="90"/>
    <n v="90"/>
    <n v="112.7"/>
    <n v="2150"/>
    <x v="30"/>
    <x v="0"/>
    <n v="0"/>
    <n v="1"/>
    <n v="0"/>
    <n v="0.85"/>
  </r>
  <r>
    <s v="APT-00912"/>
    <x v="157"/>
    <x v="7"/>
    <x v="3"/>
    <x v="1"/>
    <x v="0"/>
    <s v="Palakkad"/>
    <x v="13"/>
    <s v="PT-1273"/>
    <s v="Post-op Rehab"/>
    <x v="3"/>
    <x v="2"/>
    <s v="Self Referral"/>
    <x v="0"/>
    <n v="60"/>
    <n v="60"/>
    <n v="79.8"/>
    <n v="1450"/>
    <x v="10"/>
    <x v="0"/>
    <n v="0"/>
    <n v="1"/>
    <n v="0"/>
    <n v="0.85"/>
  </r>
  <r>
    <s v="APT-00913"/>
    <x v="276"/>
    <x v="5"/>
    <x v="0"/>
    <x v="0"/>
    <x v="1"/>
    <s v="Thrissur"/>
    <x v="2"/>
    <s v="PT-1267"/>
    <s v="Post-op Rehab"/>
    <x v="0"/>
    <x v="0"/>
    <s v="Neurologist"/>
    <x v="0"/>
    <n v="75"/>
    <n v="75"/>
    <n v="93.8"/>
    <n v="1950"/>
    <x v="8"/>
    <x v="0"/>
    <n v="0"/>
    <n v="1"/>
    <n v="0"/>
    <n v="0.85"/>
  </r>
  <r>
    <s v="APT-00914"/>
    <x v="264"/>
    <x v="8"/>
    <x v="5"/>
    <x v="1"/>
    <x v="0"/>
    <s v="Palakkad"/>
    <x v="0"/>
    <s v="PT-1438"/>
    <s v="Follow-up"/>
    <x v="0"/>
    <x v="0"/>
    <s v="Corporate Wellness"/>
    <x v="0"/>
    <n v="60"/>
    <n v="60"/>
    <n v="67.7"/>
    <n v="1250"/>
    <x v="5"/>
    <x v="0"/>
    <n v="0"/>
    <n v="1"/>
    <n v="0"/>
    <n v="0.85"/>
  </r>
  <r>
    <s v="APT-00915"/>
    <x v="270"/>
    <x v="5"/>
    <x v="1"/>
    <x v="1"/>
    <x v="0"/>
    <s v="Palakkad"/>
    <x v="0"/>
    <s v="PT-1441"/>
    <s v="Follow-up"/>
    <x v="4"/>
    <x v="2"/>
    <s v="Online Search"/>
    <x v="0"/>
    <n v="60"/>
    <n v="60"/>
    <n v="72.8"/>
    <n v="1250"/>
    <x v="5"/>
    <x v="0"/>
    <n v="0"/>
    <n v="1"/>
    <n v="0"/>
    <n v="0.85"/>
  </r>
  <r>
    <s v="APT-00916"/>
    <x v="305"/>
    <x v="4"/>
    <x v="5"/>
    <x v="0"/>
    <x v="0"/>
    <s v="Palakkad"/>
    <x v="6"/>
    <s v="PT-1533"/>
    <s v="Post-op Rehab"/>
    <x v="3"/>
    <x v="0"/>
    <s v="Self Referral"/>
    <x v="1"/>
    <n v="45"/>
    <n v="0"/>
    <n v="56.4"/>
    <n v="1100"/>
    <x v="9"/>
    <x v="6"/>
    <n v="1"/>
    <n v="0"/>
    <n v="0"/>
    <n v="0.85"/>
  </r>
  <r>
    <s v="APT-00917"/>
    <x v="238"/>
    <x v="2"/>
    <x v="2"/>
    <x v="3"/>
    <x v="1"/>
    <s v="Thrissur"/>
    <x v="1"/>
    <s v="PT-1125"/>
    <s v="Follow-up"/>
    <x v="5"/>
    <x v="3"/>
    <s v="Corporate Wellness"/>
    <x v="0"/>
    <n v="60"/>
    <n v="60"/>
    <n v="69.8"/>
    <n v="1250"/>
    <x v="5"/>
    <x v="0"/>
    <n v="0"/>
    <n v="1"/>
    <n v="0"/>
    <n v="0.85"/>
  </r>
  <r>
    <s v="APT-00918"/>
    <x v="206"/>
    <x v="4"/>
    <x v="2"/>
    <x v="2"/>
    <x v="0"/>
    <s v="Palakkad"/>
    <x v="11"/>
    <s v="PT-1084"/>
    <s v="Follow-up"/>
    <x v="2"/>
    <x v="0"/>
    <s v="Corporate Wellness"/>
    <x v="0"/>
    <n v="30"/>
    <n v="30"/>
    <n v="33.700000000000003"/>
    <n v="600"/>
    <x v="16"/>
    <x v="0"/>
    <n v="0"/>
    <n v="1"/>
    <n v="0"/>
    <n v="0.85"/>
  </r>
  <r>
    <s v="APT-00919"/>
    <x v="163"/>
    <x v="8"/>
    <x v="0"/>
    <x v="1"/>
    <x v="1"/>
    <s v="Thrissur"/>
    <x v="2"/>
    <s v="PT-1127"/>
    <s v="New Patient"/>
    <x v="0"/>
    <x v="1"/>
    <s v="Corporate Wellness"/>
    <x v="0"/>
    <n v="60"/>
    <n v="60"/>
    <n v="71.099999999999994"/>
    <n v="1400"/>
    <x v="21"/>
    <x v="0"/>
    <n v="0"/>
    <n v="1"/>
    <n v="0"/>
    <n v="0.85"/>
  </r>
  <r>
    <s v="APT-00920"/>
    <x v="239"/>
    <x v="8"/>
    <x v="5"/>
    <x v="0"/>
    <x v="2"/>
    <s v="Ernakulam"/>
    <x v="12"/>
    <s v="PT-1381"/>
    <s v="Follow-up"/>
    <x v="5"/>
    <x v="0"/>
    <s v="Neurologist"/>
    <x v="1"/>
    <n v="45"/>
    <n v="0"/>
    <n v="57.8"/>
    <n v="1100"/>
    <x v="9"/>
    <x v="6"/>
    <n v="1"/>
    <n v="0"/>
    <n v="0"/>
    <n v="0.85"/>
  </r>
  <r>
    <s v="APT-00921"/>
    <x v="97"/>
    <x v="0"/>
    <x v="0"/>
    <x v="2"/>
    <x v="2"/>
    <s v="Ernakulam"/>
    <x v="14"/>
    <s v="PT-1443"/>
    <s v="Post-op Rehab"/>
    <x v="1"/>
    <x v="2"/>
    <s v="Neurologist"/>
    <x v="0"/>
    <n v="60"/>
    <n v="60"/>
    <n v="78.5"/>
    <n v="1700"/>
    <x v="6"/>
    <x v="0"/>
    <n v="0"/>
    <n v="1"/>
    <n v="0"/>
    <n v="0.85"/>
  </r>
  <r>
    <s v="APT-00922"/>
    <x v="252"/>
    <x v="6"/>
    <x v="5"/>
    <x v="3"/>
    <x v="0"/>
    <s v="Palakkad"/>
    <x v="0"/>
    <s v="PT-1552"/>
    <s v="Follow-up"/>
    <x v="4"/>
    <x v="0"/>
    <s v="Orthopedic Doctor"/>
    <x v="0"/>
    <n v="60"/>
    <n v="60"/>
    <n v="65.5"/>
    <n v="1250"/>
    <x v="5"/>
    <x v="0"/>
    <n v="0"/>
    <n v="1"/>
    <n v="0"/>
    <n v="0.85"/>
  </r>
  <r>
    <s v="APT-00923"/>
    <x v="249"/>
    <x v="7"/>
    <x v="5"/>
    <x v="0"/>
    <x v="1"/>
    <s v="Thrissur"/>
    <x v="7"/>
    <s v="PT-1131"/>
    <s v="New Patient"/>
    <x v="5"/>
    <x v="0"/>
    <s v="Corporate Wellness"/>
    <x v="0"/>
    <n v="60"/>
    <n v="60"/>
    <n v="70.599999999999994"/>
    <n v="1600"/>
    <x v="11"/>
    <x v="0"/>
    <n v="0"/>
    <n v="1"/>
    <n v="0"/>
    <n v="0.85"/>
  </r>
  <r>
    <s v="APT-00924"/>
    <x v="124"/>
    <x v="0"/>
    <x v="5"/>
    <x v="3"/>
    <x v="0"/>
    <s v="Palakkad"/>
    <x v="6"/>
    <s v="PT-1376"/>
    <s v="Follow-up"/>
    <x v="5"/>
    <x v="2"/>
    <s v="Orthopedic Doctor"/>
    <x v="1"/>
    <n v="60"/>
    <n v="0"/>
    <n v="66.2"/>
    <n v="1250"/>
    <x v="9"/>
    <x v="9"/>
    <n v="1"/>
    <n v="0"/>
    <n v="0"/>
    <n v="0.85"/>
  </r>
  <r>
    <s v="APT-00925"/>
    <x v="72"/>
    <x v="10"/>
    <x v="2"/>
    <x v="3"/>
    <x v="2"/>
    <s v="Ernakulam"/>
    <x v="8"/>
    <s v="PT-1120"/>
    <s v="Geriatric Rehab"/>
    <x v="1"/>
    <x v="0"/>
    <s v="Hospital Discharge"/>
    <x v="0"/>
    <n v="30"/>
    <n v="30"/>
    <n v="34.9"/>
    <n v="750"/>
    <x v="27"/>
    <x v="0"/>
    <n v="0"/>
    <n v="1"/>
    <n v="0"/>
    <n v="0.85"/>
  </r>
  <r>
    <s v="APT-00926"/>
    <x v="36"/>
    <x v="2"/>
    <x v="1"/>
    <x v="2"/>
    <x v="2"/>
    <s v="Ernakulam"/>
    <x v="12"/>
    <s v="PT-1246"/>
    <s v="New Patient"/>
    <x v="4"/>
    <x v="2"/>
    <s v="Online Search"/>
    <x v="0"/>
    <n v="45"/>
    <n v="45"/>
    <n v="53.9"/>
    <n v="1350"/>
    <x v="14"/>
    <x v="0"/>
    <n v="0"/>
    <n v="1"/>
    <n v="0"/>
    <n v="0.85"/>
  </r>
  <r>
    <s v="APT-00927"/>
    <x v="305"/>
    <x v="4"/>
    <x v="5"/>
    <x v="0"/>
    <x v="1"/>
    <s v="Thrissur"/>
    <x v="10"/>
    <s v="PT-1693"/>
    <s v="Follow-up"/>
    <x v="4"/>
    <x v="2"/>
    <s v="Hospital Discharge"/>
    <x v="0"/>
    <n v="75"/>
    <n v="75"/>
    <n v="86.4"/>
    <n v="1700"/>
    <x v="6"/>
    <x v="0"/>
    <n v="0"/>
    <n v="1"/>
    <n v="0"/>
    <n v="0.85"/>
  </r>
  <r>
    <s v="APT-00928"/>
    <x v="61"/>
    <x v="10"/>
    <x v="5"/>
    <x v="0"/>
    <x v="2"/>
    <s v="Ernakulam"/>
    <x v="8"/>
    <s v="PT-1067"/>
    <s v="New Patient"/>
    <x v="0"/>
    <x v="2"/>
    <s v="Self Referral"/>
    <x v="1"/>
    <n v="45"/>
    <n v="0"/>
    <n v="60.7"/>
    <n v="1350"/>
    <x v="9"/>
    <x v="2"/>
    <n v="1"/>
    <n v="0"/>
    <n v="0"/>
    <n v="0.85"/>
  </r>
  <r>
    <s v="APT-00929"/>
    <x v="84"/>
    <x v="6"/>
    <x v="0"/>
    <x v="1"/>
    <x v="1"/>
    <s v="Thrissur"/>
    <x v="7"/>
    <s v="PT-1168"/>
    <s v="Follow-up"/>
    <x v="5"/>
    <x v="3"/>
    <s v="Self Referral"/>
    <x v="0"/>
    <n v="45"/>
    <n v="45"/>
    <n v="51.3"/>
    <n v="950"/>
    <x v="7"/>
    <x v="0"/>
    <n v="0"/>
    <n v="1"/>
    <n v="0"/>
    <n v="0.85"/>
  </r>
  <r>
    <s v="APT-00930"/>
    <x v="135"/>
    <x v="1"/>
    <x v="5"/>
    <x v="3"/>
    <x v="1"/>
    <s v="Thrissur"/>
    <x v="5"/>
    <s v="PT-1277"/>
    <s v="Follow-up"/>
    <x v="5"/>
    <x v="0"/>
    <s v="Orthopedic Doctor"/>
    <x v="0"/>
    <n v="90"/>
    <n v="90"/>
    <n v="111.8"/>
    <n v="2000"/>
    <x v="33"/>
    <x v="0"/>
    <n v="0"/>
    <n v="1"/>
    <n v="0"/>
    <n v="0.85"/>
  </r>
  <r>
    <s v="APT-00931"/>
    <x v="306"/>
    <x v="2"/>
    <x v="5"/>
    <x v="2"/>
    <x v="2"/>
    <s v="Ernakulam"/>
    <x v="12"/>
    <s v="PT-1329"/>
    <s v="Chronic Pain"/>
    <x v="3"/>
    <x v="0"/>
    <s v="Self Referral"/>
    <x v="0"/>
    <n v="45"/>
    <n v="45"/>
    <n v="49"/>
    <n v="1100"/>
    <x v="20"/>
    <x v="0"/>
    <n v="0"/>
    <n v="1"/>
    <n v="0"/>
    <n v="0.85"/>
  </r>
  <r>
    <s v="APT-00932"/>
    <x v="132"/>
    <x v="8"/>
    <x v="3"/>
    <x v="3"/>
    <x v="2"/>
    <s v="Ernakulam"/>
    <x v="14"/>
    <s v="PT-1533"/>
    <s v="New Patient"/>
    <x v="3"/>
    <x v="2"/>
    <s v="Online Search"/>
    <x v="0"/>
    <n v="60"/>
    <n v="60"/>
    <n v="76.099999999999994"/>
    <n v="1800"/>
    <x v="25"/>
    <x v="0"/>
    <n v="0"/>
    <n v="1"/>
    <n v="0"/>
    <n v="0.85"/>
  </r>
  <r>
    <s v="APT-00933"/>
    <x v="63"/>
    <x v="11"/>
    <x v="0"/>
    <x v="3"/>
    <x v="1"/>
    <s v="Thrissur"/>
    <x v="10"/>
    <s v="PT-1466"/>
    <s v="Sports Injury"/>
    <x v="3"/>
    <x v="0"/>
    <s v="Neurologist"/>
    <x v="0"/>
    <n v="45"/>
    <n v="45"/>
    <n v="50.4"/>
    <n v="1000"/>
    <x v="13"/>
    <x v="0"/>
    <n v="0"/>
    <n v="1"/>
    <n v="0"/>
    <n v="0.85"/>
  </r>
  <r>
    <s v="APT-00934"/>
    <x v="166"/>
    <x v="10"/>
    <x v="1"/>
    <x v="2"/>
    <x v="0"/>
    <s v="Palakkad"/>
    <x v="6"/>
    <s v="PT-1050"/>
    <s v="Follow-up"/>
    <x v="0"/>
    <x v="0"/>
    <s v="Orthopedic Doctor"/>
    <x v="1"/>
    <n v="45"/>
    <n v="0"/>
    <n v="58.8"/>
    <n v="950"/>
    <x v="9"/>
    <x v="19"/>
    <n v="1"/>
    <n v="0"/>
    <n v="0"/>
    <n v="0.85"/>
  </r>
  <r>
    <s v="APT-00935"/>
    <x v="149"/>
    <x v="10"/>
    <x v="5"/>
    <x v="0"/>
    <x v="0"/>
    <s v="Palakkad"/>
    <x v="9"/>
    <s v="PT-1458"/>
    <s v="Chronic Pain"/>
    <x v="5"/>
    <x v="0"/>
    <s v="Corporate Wellness"/>
    <x v="0"/>
    <n v="45"/>
    <n v="45"/>
    <n v="60.1"/>
    <n v="950"/>
    <x v="7"/>
    <x v="0"/>
    <n v="0"/>
    <n v="1"/>
    <n v="0"/>
    <n v="0.85"/>
  </r>
  <r>
    <s v="APT-00936"/>
    <x v="59"/>
    <x v="5"/>
    <x v="0"/>
    <x v="0"/>
    <x v="0"/>
    <s v="Palakkad"/>
    <x v="0"/>
    <s v="PT-1471"/>
    <s v="New Patient"/>
    <x v="3"/>
    <x v="2"/>
    <s v="Neurologist"/>
    <x v="2"/>
    <n v="60"/>
    <n v="0"/>
    <n v="65.400000000000006"/>
    <n v="1500"/>
    <x v="9"/>
    <x v="12"/>
    <n v="0"/>
    <n v="0"/>
    <n v="1"/>
    <n v="0.85"/>
  </r>
  <r>
    <s v="APT-00937"/>
    <x v="6"/>
    <x v="5"/>
    <x v="3"/>
    <x v="2"/>
    <x v="2"/>
    <s v="Ernakulam"/>
    <x v="3"/>
    <s v="PT-1513"/>
    <s v="Geriatric Rehab"/>
    <x v="1"/>
    <x v="0"/>
    <s v="Online Search"/>
    <x v="0"/>
    <n v="45"/>
    <n v="45"/>
    <n v="50"/>
    <n v="1100"/>
    <x v="20"/>
    <x v="0"/>
    <n v="0"/>
    <n v="1"/>
    <n v="0"/>
    <n v="0.85"/>
  </r>
  <r>
    <s v="APT-00938"/>
    <x v="40"/>
    <x v="5"/>
    <x v="4"/>
    <x v="0"/>
    <x v="2"/>
    <s v="Ernakulam"/>
    <x v="3"/>
    <s v="PT-1066"/>
    <s v="Follow-up"/>
    <x v="5"/>
    <x v="1"/>
    <s v="Corporate Wellness"/>
    <x v="2"/>
    <n v="30"/>
    <n v="0"/>
    <n v="34"/>
    <n v="650"/>
    <x v="9"/>
    <x v="20"/>
    <n v="0"/>
    <n v="0"/>
    <n v="1"/>
    <n v="0.85"/>
  </r>
  <r>
    <s v="APT-00939"/>
    <x v="233"/>
    <x v="3"/>
    <x v="3"/>
    <x v="0"/>
    <x v="2"/>
    <s v="Ernakulam"/>
    <x v="4"/>
    <s v="PT-1551"/>
    <s v="Sports Injury"/>
    <x v="4"/>
    <x v="0"/>
    <s v="Hospital Discharge"/>
    <x v="0"/>
    <n v="60"/>
    <n v="60"/>
    <n v="76.400000000000006"/>
    <n v="1500"/>
    <x v="3"/>
    <x v="0"/>
    <n v="0"/>
    <n v="1"/>
    <n v="0"/>
    <n v="0.85"/>
  </r>
  <r>
    <s v="APT-00940"/>
    <x v="250"/>
    <x v="4"/>
    <x v="1"/>
    <x v="2"/>
    <x v="1"/>
    <s v="Thrissur"/>
    <x v="10"/>
    <s v="PT-1519"/>
    <s v="Post-op Rehab"/>
    <x v="0"/>
    <x v="2"/>
    <s v="Self Referral"/>
    <x v="0"/>
    <n v="45"/>
    <n v="45"/>
    <n v="59.4"/>
    <n v="1150"/>
    <x v="15"/>
    <x v="0"/>
    <n v="0"/>
    <n v="1"/>
    <n v="0"/>
    <n v="0.85"/>
  </r>
  <r>
    <s v="APT-00941"/>
    <x v="99"/>
    <x v="8"/>
    <x v="2"/>
    <x v="0"/>
    <x v="1"/>
    <s v="Thrissur"/>
    <x v="1"/>
    <s v="PT-1132"/>
    <s v="Geriatric Rehab"/>
    <x v="5"/>
    <x v="3"/>
    <s v="Orthopedic Doctor"/>
    <x v="0"/>
    <n v="60"/>
    <n v="60"/>
    <n v="71.5"/>
    <n v="1250"/>
    <x v="5"/>
    <x v="0"/>
    <n v="0"/>
    <n v="1"/>
    <n v="0"/>
    <n v="0.85"/>
  </r>
  <r>
    <s v="APT-00942"/>
    <x v="206"/>
    <x v="4"/>
    <x v="2"/>
    <x v="3"/>
    <x v="2"/>
    <s v="Ernakulam"/>
    <x v="4"/>
    <s v="PT-1133"/>
    <s v="Chronic Pain"/>
    <x v="2"/>
    <x v="1"/>
    <s v="Neurologist"/>
    <x v="0"/>
    <n v="90"/>
    <n v="90"/>
    <n v="105"/>
    <n v="1900"/>
    <x v="0"/>
    <x v="0"/>
    <n v="0"/>
    <n v="1"/>
    <n v="0"/>
    <n v="0.85"/>
  </r>
  <r>
    <s v="APT-00943"/>
    <x v="2"/>
    <x v="2"/>
    <x v="2"/>
    <x v="1"/>
    <x v="1"/>
    <s v="Thrissur"/>
    <x v="10"/>
    <s v="PT-1188"/>
    <s v="Post-op Rehab"/>
    <x v="1"/>
    <x v="1"/>
    <s v="Hospital Discharge"/>
    <x v="1"/>
    <n v="30"/>
    <n v="0"/>
    <n v="35.700000000000003"/>
    <n v="650"/>
    <x v="9"/>
    <x v="20"/>
    <n v="1"/>
    <n v="0"/>
    <n v="0"/>
    <n v="0.85"/>
  </r>
  <r>
    <s v="APT-00944"/>
    <x v="113"/>
    <x v="2"/>
    <x v="2"/>
    <x v="1"/>
    <x v="1"/>
    <s v="Thrissur"/>
    <x v="2"/>
    <s v="PT-1231"/>
    <s v="Follow-up"/>
    <x v="3"/>
    <x v="0"/>
    <s v="Neurologist"/>
    <x v="1"/>
    <n v="90"/>
    <n v="0"/>
    <n v="116.3"/>
    <n v="2000"/>
    <x v="9"/>
    <x v="21"/>
    <n v="1"/>
    <n v="0"/>
    <n v="0"/>
    <n v="0.85"/>
  </r>
  <r>
    <s v="APT-00945"/>
    <x v="277"/>
    <x v="9"/>
    <x v="2"/>
    <x v="3"/>
    <x v="0"/>
    <s v="Palakkad"/>
    <x v="6"/>
    <s v="PT-1087"/>
    <s v="Follow-up"/>
    <x v="5"/>
    <x v="0"/>
    <s v="Hospital Discharge"/>
    <x v="0"/>
    <n v="45"/>
    <n v="45"/>
    <n v="49.6"/>
    <n v="950"/>
    <x v="7"/>
    <x v="0"/>
    <n v="0"/>
    <n v="1"/>
    <n v="0"/>
    <n v="0.85"/>
  </r>
  <r>
    <s v="APT-00946"/>
    <x v="122"/>
    <x v="8"/>
    <x v="2"/>
    <x v="0"/>
    <x v="2"/>
    <s v="Ernakulam"/>
    <x v="3"/>
    <s v="PT-1594"/>
    <s v="Chronic Pain"/>
    <x v="3"/>
    <x v="0"/>
    <s v="Corporate Wellness"/>
    <x v="0"/>
    <n v="60"/>
    <n v="60"/>
    <n v="66.8"/>
    <n v="1500"/>
    <x v="3"/>
    <x v="0"/>
    <n v="0"/>
    <n v="1"/>
    <n v="0"/>
    <n v="0.85"/>
  </r>
  <r>
    <s v="APT-00947"/>
    <x v="122"/>
    <x v="8"/>
    <x v="2"/>
    <x v="2"/>
    <x v="0"/>
    <s v="Palakkad"/>
    <x v="11"/>
    <s v="PT-1686"/>
    <s v="Post-op Rehab"/>
    <x v="0"/>
    <x v="0"/>
    <s v="Corporate Wellness"/>
    <x v="1"/>
    <n v="45"/>
    <n v="0"/>
    <n v="53.5"/>
    <n v="1100"/>
    <x v="9"/>
    <x v="6"/>
    <n v="1"/>
    <n v="0"/>
    <n v="0"/>
    <n v="0.85"/>
  </r>
  <r>
    <s v="APT-00948"/>
    <x v="247"/>
    <x v="0"/>
    <x v="4"/>
    <x v="3"/>
    <x v="1"/>
    <s v="Thrissur"/>
    <x v="2"/>
    <s v="PT-1122"/>
    <s v="Sports Injury"/>
    <x v="1"/>
    <x v="0"/>
    <s v="Online Search"/>
    <x v="0"/>
    <n v="90"/>
    <n v="90"/>
    <n v="102"/>
    <n v="2000"/>
    <x v="33"/>
    <x v="0"/>
    <n v="0"/>
    <n v="1"/>
    <n v="0"/>
    <n v="0.85"/>
  </r>
  <r>
    <s v="APT-00949"/>
    <x v="191"/>
    <x v="6"/>
    <x v="1"/>
    <x v="0"/>
    <x v="2"/>
    <s v="Ernakulam"/>
    <x v="8"/>
    <s v="PT-1110"/>
    <s v="Follow-up"/>
    <x v="4"/>
    <x v="0"/>
    <s v="Hospital Discharge"/>
    <x v="0"/>
    <n v="45"/>
    <n v="45"/>
    <n v="55.8"/>
    <n v="1100"/>
    <x v="20"/>
    <x v="0"/>
    <n v="0"/>
    <n v="1"/>
    <n v="0"/>
    <n v="0.85"/>
  </r>
  <r>
    <s v="APT-00950"/>
    <x v="249"/>
    <x v="7"/>
    <x v="5"/>
    <x v="3"/>
    <x v="1"/>
    <s v="Thrissur"/>
    <x v="1"/>
    <s v="PT-1503"/>
    <s v="Sports Injury"/>
    <x v="3"/>
    <x v="3"/>
    <s v="Hospital Discharge"/>
    <x v="0"/>
    <n v="45"/>
    <n v="45"/>
    <n v="56.6"/>
    <n v="950"/>
    <x v="7"/>
    <x v="0"/>
    <n v="0"/>
    <n v="1"/>
    <n v="0"/>
    <n v="0.85"/>
  </r>
  <r>
    <s v="APT-00951"/>
    <x v="177"/>
    <x v="7"/>
    <x v="4"/>
    <x v="3"/>
    <x v="2"/>
    <s v="Ernakulam"/>
    <x v="8"/>
    <s v="PT-1359"/>
    <s v="Post-op Rehab"/>
    <x v="0"/>
    <x v="2"/>
    <s v="Corporate Wellness"/>
    <x v="0"/>
    <n v="45"/>
    <n v="45"/>
    <n v="54.8"/>
    <n v="1300"/>
    <x v="22"/>
    <x v="0"/>
    <n v="0"/>
    <n v="1"/>
    <n v="0"/>
    <n v="0.85"/>
  </r>
  <r>
    <s v="APT-00952"/>
    <x v="174"/>
    <x v="6"/>
    <x v="3"/>
    <x v="0"/>
    <x v="1"/>
    <s v="Thrissur"/>
    <x v="5"/>
    <s v="PT-1181"/>
    <s v="New Patient"/>
    <x v="4"/>
    <x v="0"/>
    <s v="Corporate Wellness"/>
    <x v="0"/>
    <n v="30"/>
    <n v="30"/>
    <n v="34.799999999999997"/>
    <n v="800"/>
    <x v="18"/>
    <x v="0"/>
    <n v="0"/>
    <n v="1"/>
    <n v="0"/>
    <n v="0.85"/>
  </r>
  <r>
    <s v="APT-00953"/>
    <x v="99"/>
    <x v="8"/>
    <x v="2"/>
    <x v="3"/>
    <x v="1"/>
    <s v="Thrissur"/>
    <x v="2"/>
    <s v="PT-1190"/>
    <s v="Post-op Rehab"/>
    <x v="0"/>
    <x v="0"/>
    <s v="Hospital Discharge"/>
    <x v="0"/>
    <n v="60"/>
    <n v="60"/>
    <n v="69.8"/>
    <n v="1550"/>
    <x v="1"/>
    <x v="0"/>
    <n v="0"/>
    <n v="1"/>
    <n v="0"/>
    <n v="0.85"/>
  </r>
  <r>
    <s v="APT-00954"/>
    <x v="170"/>
    <x v="6"/>
    <x v="1"/>
    <x v="1"/>
    <x v="1"/>
    <s v="Thrissur"/>
    <x v="1"/>
    <s v="PT-1098"/>
    <s v="Chronic Pain"/>
    <x v="2"/>
    <x v="2"/>
    <s v="Self Referral"/>
    <x v="0"/>
    <n v="60"/>
    <n v="60"/>
    <n v="67"/>
    <n v="1350"/>
    <x v="14"/>
    <x v="0"/>
    <n v="0"/>
    <n v="1"/>
    <n v="0"/>
    <n v="0.85"/>
  </r>
  <r>
    <s v="APT-00955"/>
    <x v="307"/>
    <x v="1"/>
    <x v="2"/>
    <x v="1"/>
    <x v="1"/>
    <s v="Thrissur"/>
    <x v="2"/>
    <s v="PT-1006"/>
    <s v="Post-op Rehab"/>
    <x v="1"/>
    <x v="2"/>
    <s v="Orthopedic Doctor"/>
    <x v="0"/>
    <n v="60"/>
    <n v="60"/>
    <n v="69.900000000000006"/>
    <n v="1550"/>
    <x v="1"/>
    <x v="0"/>
    <n v="0"/>
    <n v="1"/>
    <n v="0"/>
    <n v="0.85"/>
  </r>
  <r>
    <s v="APT-00956"/>
    <x v="14"/>
    <x v="1"/>
    <x v="4"/>
    <x v="3"/>
    <x v="2"/>
    <s v="Ernakulam"/>
    <x v="3"/>
    <s v="PT-1610"/>
    <s v="Chronic Pain"/>
    <x v="5"/>
    <x v="2"/>
    <s v="Self Referral"/>
    <x v="0"/>
    <n v="30"/>
    <n v="30"/>
    <n v="35.5"/>
    <n v="750"/>
    <x v="27"/>
    <x v="0"/>
    <n v="0"/>
    <n v="1"/>
    <n v="0"/>
    <n v="0.85"/>
  </r>
  <r>
    <s v="APT-00957"/>
    <x v="81"/>
    <x v="4"/>
    <x v="1"/>
    <x v="1"/>
    <x v="0"/>
    <s v="Palakkad"/>
    <x v="0"/>
    <s v="PT-1554"/>
    <s v="Follow-up"/>
    <x v="3"/>
    <x v="0"/>
    <s v="Online Search"/>
    <x v="0"/>
    <n v="45"/>
    <n v="45"/>
    <n v="56.2"/>
    <n v="950"/>
    <x v="7"/>
    <x v="0"/>
    <n v="0"/>
    <n v="1"/>
    <n v="0"/>
    <n v="0.85"/>
  </r>
  <r>
    <s v="APT-00958"/>
    <x v="283"/>
    <x v="6"/>
    <x v="3"/>
    <x v="0"/>
    <x v="1"/>
    <s v="Thrissur"/>
    <x v="1"/>
    <s v="PT-1246"/>
    <s v="Chronic Pain"/>
    <x v="1"/>
    <x v="0"/>
    <s v="Hospital Discharge"/>
    <x v="2"/>
    <n v="45"/>
    <n v="0"/>
    <n v="49.4"/>
    <n v="1000"/>
    <x v="9"/>
    <x v="16"/>
    <n v="0"/>
    <n v="0"/>
    <n v="1"/>
    <n v="0.85"/>
  </r>
  <r>
    <s v="APT-00959"/>
    <x v="46"/>
    <x v="11"/>
    <x v="2"/>
    <x v="2"/>
    <x v="0"/>
    <s v="Palakkad"/>
    <x v="9"/>
    <s v="PT-1342"/>
    <s v="Post-op Rehab"/>
    <x v="3"/>
    <x v="3"/>
    <s v="Corporate Wellness"/>
    <x v="0"/>
    <n v="60"/>
    <n v="60"/>
    <n v="72.3"/>
    <n v="1300"/>
    <x v="22"/>
    <x v="0"/>
    <n v="0"/>
    <n v="1"/>
    <n v="0"/>
    <n v="0.85"/>
  </r>
  <r>
    <s v="APT-00960"/>
    <x v="150"/>
    <x v="6"/>
    <x v="1"/>
    <x v="3"/>
    <x v="0"/>
    <s v="Palakkad"/>
    <x v="0"/>
    <s v="PT-1510"/>
    <s v="Follow-up"/>
    <x v="4"/>
    <x v="0"/>
    <s v="Orthopedic Doctor"/>
    <x v="0"/>
    <n v="60"/>
    <n v="60"/>
    <n v="72.099999999999994"/>
    <n v="1250"/>
    <x v="5"/>
    <x v="0"/>
    <n v="0"/>
    <n v="1"/>
    <n v="0"/>
    <n v="0.85"/>
  </r>
  <r>
    <s v="APT-00961"/>
    <x v="12"/>
    <x v="8"/>
    <x v="1"/>
    <x v="1"/>
    <x v="0"/>
    <s v="Palakkad"/>
    <x v="0"/>
    <s v="PT-1514"/>
    <s v="Post-op Rehab"/>
    <x v="5"/>
    <x v="2"/>
    <s v="Self Referral"/>
    <x v="1"/>
    <n v="90"/>
    <n v="0"/>
    <n v="114.8"/>
    <n v="2150"/>
    <x v="9"/>
    <x v="8"/>
    <n v="1"/>
    <n v="0"/>
    <n v="0"/>
    <n v="0.85"/>
  </r>
  <r>
    <s v="APT-00962"/>
    <x v="262"/>
    <x v="9"/>
    <x v="1"/>
    <x v="2"/>
    <x v="1"/>
    <s v="Thrissur"/>
    <x v="10"/>
    <s v="PT-1192"/>
    <s v="Follow-up"/>
    <x v="0"/>
    <x v="0"/>
    <s v="Hospital Discharge"/>
    <x v="0"/>
    <n v="60"/>
    <n v="60"/>
    <n v="69.099999999999994"/>
    <n v="1350"/>
    <x v="14"/>
    <x v="0"/>
    <n v="0"/>
    <n v="1"/>
    <n v="0"/>
    <n v="0.85"/>
  </r>
  <r>
    <s v="APT-00963"/>
    <x v="308"/>
    <x v="9"/>
    <x v="4"/>
    <x v="3"/>
    <x v="0"/>
    <s v="Palakkad"/>
    <x v="6"/>
    <s v="PT-1341"/>
    <s v="Chronic Pain"/>
    <x v="2"/>
    <x v="2"/>
    <s v="Neurologist"/>
    <x v="1"/>
    <n v="45"/>
    <n v="0"/>
    <n v="51.9"/>
    <n v="950"/>
    <x v="9"/>
    <x v="19"/>
    <n v="1"/>
    <n v="0"/>
    <n v="0"/>
    <n v="0.85"/>
  </r>
  <r>
    <s v="APT-00964"/>
    <x v="263"/>
    <x v="8"/>
    <x v="4"/>
    <x v="1"/>
    <x v="1"/>
    <s v="Thrissur"/>
    <x v="1"/>
    <s v="PT-1661"/>
    <s v="Chronic Pain"/>
    <x v="1"/>
    <x v="2"/>
    <s v="Corporate Wellness"/>
    <x v="3"/>
    <n v="60"/>
    <n v="0"/>
    <n v="67"/>
    <n v="1350"/>
    <x v="9"/>
    <x v="0"/>
    <n v="0"/>
    <n v="0"/>
    <n v="0"/>
    <n v="0.85"/>
  </r>
  <r>
    <s v="APT-00965"/>
    <x v="3"/>
    <x v="3"/>
    <x v="3"/>
    <x v="2"/>
    <x v="2"/>
    <s v="Ernakulam"/>
    <x v="8"/>
    <s v="PT-1144"/>
    <s v="Follow-up"/>
    <x v="1"/>
    <x v="3"/>
    <s v="Online Search"/>
    <x v="0"/>
    <n v="60"/>
    <n v="60"/>
    <n v="70.400000000000006"/>
    <n v="1400"/>
    <x v="21"/>
    <x v="0"/>
    <n v="0"/>
    <n v="1"/>
    <n v="0"/>
    <n v="0.85"/>
  </r>
  <r>
    <s v="APT-00966"/>
    <x v="123"/>
    <x v="1"/>
    <x v="0"/>
    <x v="3"/>
    <x v="2"/>
    <s v="Ernakulam"/>
    <x v="12"/>
    <s v="PT-1639"/>
    <s v="Follow-up"/>
    <x v="1"/>
    <x v="3"/>
    <s v="Hospital Discharge"/>
    <x v="0"/>
    <n v="45"/>
    <n v="45"/>
    <n v="53.4"/>
    <n v="1050"/>
    <x v="2"/>
    <x v="0"/>
    <n v="0"/>
    <n v="1"/>
    <n v="0"/>
    <n v="0.85"/>
  </r>
  <r>
    <s v="APT-00967"/>
    <x v="159"/>
    <x v="5"/>
    <x v="1"/>
    <x v="2"/>
    <x v="2"/>
    <s v="Ernakulam"/>
    <x v="8"/>
    <s v="PT-1424"/>
    <s v="New Patient"/>
    <x v="2"/>
    <x v="0"/>
    <s v="Orthopedic Doctor"/>
    <x v="1"/>
    <n v="45"/>
    <n v="0"/>
    <n v="52.1"/>
    <n v="1350"/>
    <x v="9"/>
    <x v="2"/>
    <n v="1"/>
    <n v="0"/>
    <n v="0"/>
    <n v="0.85"/>
  </r>
  <r>
    <s v="APT-00968"/>
    <x v="109"/>
    <x v="0"/>
    <x v="1"/>
    <x v="2"/>
    <x v="0"/>
    <s v="Palakkad"/>
    <x v="6"/>
    <s v="PT-1208"/>
    <s v="Follow-up"/>
    <x v="1"/>
    <x v="3"/>
    <s v="Orthopedic Doctor"/>
    <x v="0"/>
    <n v="45"/>
    <n v="45"/>
    <n v="50.4"/>
    <n v="850"/>
    <x v="23"/>
    <x v="0"/>
    <n v="0"/>
    <n v="1"/>
    <n v="0"/>
    <n v="0.85"/>
  </r>
  <r>
    <s v="APT-00969"/>
    <x v="168"/>
    <x v="7"/>
    <x v="1"/>
    <x v="3"/>
    <x v="2"/>
    <s v="Ernakulam"/>
    <x v="3"/>
    <s v="PT-1547"/>
    <s v="Post-op Rehab"/>
    <x v="1"/>
    <x v="3"/>
    <s v="Online Search"/>
    <x v="0"/>
    <n v="75"/>
    <n v="75"/>
    <n v="88.7"/>
    <n v="2000"/>
    <x v="33"/>
    <x v="0"/>
    <n v="0"/>
    <n v="1"/>
    <n v="0"/>
    <n v="0.85"/>
  </r>
  <r>
    <s v="APT-00970"/>
    <x v="66"/>
    <x v="7"/>
    <x v="1"/>
    <x v="1"/>
    <x v="0"/>
    <s v="Palakkad"/>
    <x v="13"/>
    <s v="PT-1179"/>
    <s v="Follow-up"/>
    <x v="2"/>
    <x v="2"/>
    <s v="Hospital Discharge"/>
    <x v="0"/>
    <n v="60"/>
    <n v="60"/>
    <n v="73.900000000000006"/>
    <n v="1250"/>
    <x v="5"/>
    <x v="0"/>
    <n v="0"/>
    <n v="1"/>
    <n v="0"/>
    <n v="0.85"/>
  </r>
  <r>
    <s v="APT-00971"/>
    <x v="228"/>
    <x v="1"/>
    <x v="2"/>
    <x v="0"/>
    <x v="1"/>
    <s v="Thrissur"/>
    <x v="7"/>
    <s v="PT-1505"/>
    <s v="Sports Injury"/>
    <x v="5"/>
    <x v="2"/>
    <s v="Hospital Discharge"/>
    <x v="3"/>
    <n v="60"/>
    <n v="0"/>
    <n v="80"/>
    <n v="1350"/>
    <x v="9"/>
    <x v="0"/>
    <n v="0"/>
    <n v="0"/>
    <n v="0"/>
    <n v="0.85"/>
  </r>
  <r>
    <s v="APT-00972"/>
    <x v="174"/>
    <x v="6"/>
    <x v="3"/>
    <x v="1"/>
    <x v="2"/>
    <s v="Ernakulam"/>
    <x v="4"/>
    <s v="PT-1457"/>
    <s v="Chronic Pain"/>
    <x v="5"/>
    <x v="2"/>
    <s v="Self Referral"/>
    <x v="0"/>
    <n v="45"/>
    <n v="45"/>
    <n v="52.2"/>
    <n v="1100"/>
    <x v="20"/>
    <x v="0"/>
    <n v="0"/>
    <n v="1"/>
    <n v="0"/>
    <n v="0.85"/>
  </r>
  <r>
    <s v="APT-00973"/>
    <x v="40"/>
    <x v="5"/>
    <x v="4"/>
    <x v="2"/>
    <x v="0"/>
    <s v="Palakkad"/>
    <x v="13"/>
    <s v="PT-1697"/>
    <s v="Follow-up"/>
    <x v="3"/>
    <x v="2"/>
    <s v="Online Search"/>
    <x v="0"/>
    <n v="30"/>
    <n v="30"/>
    <n v="38"/>
    <n v="600"/>
    <x v="16"/>
    <x v="0"/>
    <n v="0"/>
    <n v="1"/>
    <n v="0"/>
    <n v="0.85"/>
  </r>
  <r>
    <s v="APT-00974"/>
    <x v="218"/>
    <x v="8"/>
    <x v="0"/>
    <x v="2"/>
    <x v="0"/>
    <s v="Palakkad"/>
    <x v="0"/>
    <s v="PT-1506"/>
    <s v="New Patient"/>
    <x v="0"/>
    <x v="0"/>
    <s v="Online Search"/>
    <x v="1"/>
    <n v="60"/>
    <n v="0"/>
    <n v="76.099999999999994"/>
    <n v="1500"/>
    <x v="9"/>
    <x v="12"/>
    <n v="1"/>
    <n v="0"/>
    <n v="0"/>
    <n v="0.85"/>
  </r>
  <r>
    <s v="APT-00975"/>
    <x v="309"/>
    <x v="4"/>
    <x v="6"/>
    <x v="0"/>
    <x v="0"/>
    <s v="Palakkad"/>
    <x v="9"/>
    <s v="PT-1646"/>
    <s v="Post-op Rehab"/>
    <x v="2"/>
    <x v="2"/>
    <s v="Self Referral"/>
    <x v="0"/>
    <n v="45"/>
    <n v="45"/>
    <n v="54.5"/>
    <n v="1100"/>
    <x v="20"/>
    <x v="0"/>
    <n v="0"/>
    <n v="1"/>
    <n v="0"/>
    <n v="0.85"/>
  </r>
  <r>
    <s v="APT-00976"/>
    <x v="204"/>
    <x v="3"/>
    <x v="2"/>
    <x v="3"/>
    <x v="2"/>
    <s v="Ernakulam"/>
    <x v="3"/>
    <s v="PT-1296"/>
    <s v="Follow-up"/>
    <x v="3"/>
    <x v="0"/>
    <s v="Hospital Discharge"/>
    <x v="0"/>
    <n v="30"/>
    <n v="30"/>
    <n v="36"/>
    <n v="750"/>
    <x v="27"/>
    <x v="0"/>
    <n v="0"/>
    <n v="1"/>
    <n v="0"/>
    <n v="0.85"/>
  </r>
  <r>
    <s v="APT-00977"/>
    <x v="220"/>
    <x v="0"/>
    <x v="0"/>
    <x v="3"/>
    <x v="2"/>
    <s v="Ernakulam"/>
    <x v="14"/>
    <s v="PT-1376"/>
    <s v="Sports Injury"/>
    <x v="1"/>
    <x v="2"/>
    <s v="Corporate Wellness"/>
    <x v="0"/>
    <n v="45"/>
    <n v="45"/>
    <n v="57"/>
    <n v="1100"/>
    <x v="20"/>
    <x v="0"/>
    <n v="0"/>
    <n v="1"/>
    <n v="0"/>
    <n v="0.85"/>
  </r>
  <r>
    <s v="APT-00978"/>
    <x v="6"/>
    <x v="5"/>
    <x v="3"/>
    <x v="0"/>
    <x v="0"/>
    <s v="Palakkad"/>
    <x v="0"/>
    <s v="PT-1406"/>
    <s v="Post-op Rehab"/>
    <x v="0"/>
    <x v="0"/>
    <s v="Corporate Wellness"/>
    <x v="3"/>
    <n v="60"/>
    <n v="0"/>
    <n v="75.5"/>
    <n v="1450"/>
    <x v="9"/>
    <x v="0"/>
    <n v="0"/>
    <n v="0"/>
    <n v="0"/>
    <n v="0.85"/>
  </r>
  <r>
    <s v="APT-00979"/>
    <x v="85"/>
    <x v="7"/>
    <x v="0"/>
    <x v="3"/>
    <x v="0"/>
    <s v="Palakkad"/>
    <x v="9"/>
    <s v="PT-1210"/>
    <s v="Follow-up"/>
    <x v="0"/>
    <x v="2"/>
    <s v="Orthopedic Doctor"/>
    <x v="0"/>
    <n v="60"/>
    <n v="60"/>
    <n v="70.599999999999994"/>
    <n v="1250"/>
    <x v="5"/>
    <x v="0"/>
    <n v="0"/>
    <n v="1"/>
    <n v="0"/>
    <n v="0.85"/>
  </r>
  <r>
    <s v="APT-00980"/>
    <x v="156"/>
    <x v="9"/>
    <x v="4"/>
    <x v="1"/>
    <x v="0"/>
    <s v="Palakkad"/>
    <x v="6"/>
    <s v="PT-1398"/>
    <s v="Sports Injury"/>
    <x v="4"/>
    <x v="2"/>
    <s v="Self Referral"/>
    <x v="1"/>
    <n v="45"/>
    <n v="0"/>
    <n v="59.7"/>
    <n v="950"/>
    <x v="9"/>
    <x v="19"/>
    <n v="1"/>
    <n v="0"/>
    <n v="0"/>
    <n v="0.85"/>
  </r>
  <r>
    <s v="APT-00981"/>
    <x v="30"/>
    <x v="9"/>
    <x v="3"/>
    <x v="1"/>
    <x v="2"/>
    <s v="Ernakulam"/>
    <x v="4"/>
    <s v="PT-1677"/>
    <s v="Post-op Rehab"/>
    <x v="2"/>
    <x v="2"/>
    <s v="Hospital Discharge"/>
    <x v="0"/>
    <n v="60"/>
    <n v="60"/>
    <n v="76.7"/>
    <n v="1700"/>
    <x v="6"/>
    <x v="0"/>
    <n v="0"/>
    <n v="1"/>
    <n v="0"/>
    <n v="0.85"/>
  </r>
  <r>
    <s v="APT-00982"/>
    <x v="4"/>
    <x v="4"/>
    <x v="2"/>
    <x v="1"/>
    <x v="1"/>
    <s v="Thrissur"/>
    <x v="1"/>
    <s v="PT-1217"/>
    <s v="Chronic Pain"/>
    <x v="5"/>
    <x v="2"/>
    <s v="Corporate Wellness"/>
    <x v="1"/>
    <n v="60"/>
    <n v="0"/>
    <n v="78.400000000000006"/>
    <n v="1350"/>
    <x v="9"/>
    <x v="2"/>
    <n v="1"/>
    <n v="0"/>
    <n v="0"/>
    <n v="0.85"/>
  </r>
  <r>
    <s v="APT-00983"/>
    <x v="175"/>
    <x v="3"/>
    <x v="3"/>
    <x v="0"/>
    <x v="0"/>
    <s v="Palakkad"/>
    <x v="0"/>
    <s v="PT-1026"/>
    <s v="New Patient"/>
    <x v="0"/>
    <x v="3"/>
    <s v="Orthopedic Doctor"/>
    <x v="0"/>
    <n v="60"/>
    <n v="60"/>
    <n v="65.8"/>
    <n v="1400"/>
    <x v="21"/>
    <x v="0"/>
    <n v="0"/>
    <n v="1"/>
    <n v="0"/>
    <n v="0.85"/>
  </r>
  <r>
    <s v="APT-00984"/>
    <x v="235"/>
    <x v="0"/>
    <x v="5"/>
    <x v="0"/>
    <x v="1"/>
    <s v="Thrissur"/>
    <x v="7"/>
    <s v="PT-1562"/>
    <s v="Chronic Pain"/>
    <x v="3"/>
    <x v="0"/>
    <s v="Corporate Wellness"/>
    <x v="0"/>
    <n v="45"/>
    <n v="45"/>
    <n v="50.7"/>
    <n v="1000"/>
    <x v="13"/>
    <x v="0"/>
    <n v="0"/>
    <n v="1"/>
    <n v="0"/>
    <n v="0.85"/>
  </r>
  <r>
    <s v="APT-00985"/>
    <x v="199"/>
    <x v="4"/>
    <x v="1"/>
    <x v="1"/>
    <x v="1"/>
    <s v="Thrissur"/>
    <x v="5"/>
    <s v="PT-1620"/>
    <s v="New Patient"/>
    <x v="5"/>
    <x v="0"/>
    <s v="Orthopedic Doctor"/>
    <x v="0"/>
    <n v="30"/>
    <n v="30"/>
    <n v="36.200000000000003"/>
    <n v="800"/>
    <x v="18"/>
    <x v="0"/>
    <n v="0"/>
    <n v="1"/>
    <n v="0"/>
    <n v="0.85"/>
  </r>
  <r>
    <s v="APT-00986"/>
    <x v="296"/>
    <x v="0"/>
    <x v="3"/>
    <x v="2"/>
    <x v="2"/>
    <s v="Ernakulam"/>
    <x v="4"/>
    <s v="PT-1688"/>
    <s v="Sports Injury"/>
    <x v="0"/>
    <x v="0"/>
    <s v="Online Search"/>
    <x v="0"/>
    <n v="45"/>
    <n v="45"/>
    <n v="51.4"/>
    <n v="1100"/>
    <x v="20"/>
    <x v="0"/>
    <n v="0"/>
    <n v="1"/>
    <n v="0"/>
    <n v="0.85"/>
  </r>
  <r>
    <s v="APT-00987"/>
    <x v="262"/>
    <x v="9"/>
    <x v="1"/>
    <x v="3"/>
    <x v="2"/>
    <s v="Ernakulam"/>
    <x v="12"/>
    <s v="PT-1387"/>
    <s v="New Patient"/>
    <x v="5"/>
    <x v="0"/>
    <s v="Hospital Discharge"/>
    <x v="0"/>
    <n v="75"/>
    <n v="75"/>
    <n v="95.2"/>
    <n v="2250"/>
    <x v="12"/>
    <x v="0"/>
    <n v="0"/>
    <n v="1"/>
    <n v="0"/>
    <n v="0.85"/>
  </r>
  <r>
    <s v="APT-00988"/>
    <x v="138"/>
    <x v="8"/>
    <x v="1"/>
    <x v="1"/>
    <x v="2"/>
    <s v="Ernakulam"/>
    <x v="4"/>
    <s v="PT-1039"/>
    <s v="Chronic Pain"/>
    <x v="1"/>
    <x v="2"/>
    <s v="Corporate Wellness"/>
    <x v="0"/>
    <n v="45"/>
    <n v="45"/>
    <n v="58"/>
    <n v="1100"/>
    <x v="20"/>
    <x v="0"/>
    <n v="0"/>
    <n v="1"/>
    <n v="0"/>
    <n v="0.85"/>
  </r>
  <r>
    <s v="APT-00989"/>
    <x v="248"/>
    <x v="7"/>
    <x v="0"/>
    <x v="3"/>
    <x v="1"/>
    <s v="Thrissur"/>
    <x v="7"/>
    <s v="PT-1309"/>
    <s v="Geriatric Rehab"/>
    <x v="2"/>
    <x v="2"/>
    <s v="Hospital Discharge"/>
    <x v="0"/>
    <n v="60"/>
    <n v="60"/>
    <n v="65.5"/>
    <n v="1350"/>
    <x v="14"/>
    <x v="0"/>
    <n v="0"/>
    <n v="1"/>
    <n v="0"/>
    <n v="0.85"/>
  </r>
  <r>
    <s v="APT-00990"/>
    <x v="45"/>
    <x v="9"/>
    <x v="4"/>
    <x v="1"/>
    <x v="1"/>
    <s v="Thrissur"/>
    <x v="10"/>
    <s v="PT-1127"/>
    <s v="Sports Injury"/>
    <x v="3"/>
    <x v="0"/>
    <s v="Orthopedic Doctor"/>
    <x v="2"/>
    <n v="30"/>
    <n v="0"/>
    <n v="35.299999999999997"/>
    <n v="700"/>
    <x v="9"/>
    <x v="3"/>
    <n v="0"/>
    <n v="0"/>
    <n v="1"/>
    <n v="0.85"/>
  </r>
  <r>
    <s v="APT-00991"/>
    <x v="310"/>
    <x v="5"/>
    <x v="5"/>
    <x v="3"/>
    <x v="0"/>
    <s v="Palakkad"/>
    <x v="13"/>
    <s v="PT-1232"/>
    <s v="Chronic Pain"/>
    <x v="1"/>
    <x v="2"/>
    <s v="Self Referral"/>
    <x v="1"/>
    <n v="45"/>
    <n v="0"/>
    <n v="56.4"/>
    <n v="950"/>
    <x v="9"/>
    <x v="19"/>
    <n v="1"/>
    <n v="0"/>
    <n v="0"/>
    <n v="0.85"/>
  </r>
  <r>
    <s v="APT-00992"/>
    <x v="159"/>
    <x v="5"/>
    <x v="1"/>
    <x v="2"/>
    <x v="0"/>
    <s v="Palakkad"/>
    <x v="0"/>
    <s v="PT-1087"/>
    <s v="Chronic Pain"/>
    <x v="2"/>
    <x v="0"/>
    <s v="Hospital Discharge"/>
    <x v="0"/>
    <n v="45"/>
    <n v="45"/>
    <n v="54.8"/>
    <n v="950"/>
    <x v="7"/>
    <x v="0"/>
    <n v="0"/>
    <n v="1"/>
    <n v="0"/>
    <n v="0.85"/>
  </r>
  <r>
    <s v="APT-00993"/>
    <x v="156"/>
    <x v="9"/>
    <x v="4"/>
    <x v="3"/>
    <x v="2"/>
    <s v="Ernakulam"/>
    <x v="3"/>
    <s v="PT-1641"/>
    <s v="Sports Injury"/>
    <x v="0"/>
    <x v="0"/>
    <s v="Self Referral"/>
    <x v="0"/>
    <n v="90"/>
    <n v="90"/>
    <n v="106.9"/>
    <n v="2250"/>
    <x v="12"/>
    <x v="0"/>
    <n v="0"/>
    <n v="1"/>
    <n v="0"/>
    <n v="0.85"/>
  </r>
  <r>
    <s v="APT-00994"/>
    <x v="168"/>
    <x v="7"/>
    <x v="1"/>
    <x v="3"/>
    <x v="2"/>
    <s v="Ernakulam"/>
    <x v="12"/>
    <s v="PT-1289"/>
    <s v="Follow-up"/>
    <x v="0"/>
    <x v="0"/>
    <s v="Orthopedic Doctor"/>
    <x v="0"/>
    <n v="90"/>
    <n v="90"/>
    <n v="110.7"/>
    <n v="2250"/>
    <x v="12"/>
    <x v="0"/>
    <n v="0"/>
    <n v="1"/>
    <n v="0"/>
    <n v="0.85"/>
  </r>
  <r>
    <s v="APT-00995"/>
    <x v="150"/>
    <x v="6"/>
    <x v="1"/>
    <x v="3"/>
    <x v="0"/>
    <s v="Palakkad"/>
    <x v="9"/>
    <s v="PT-1376"/>
    <s v="Geriatric Rehab"/>
    <x v="4"/>
    <x v="0"/>
    <s v="Corporate Wellness"/>
    <x v="1"/>
    <n v="60"/>
    <n v="0"/>
    <n v="81"/>
    <n v="1250"/>
    <x v="9"/>
    <x v="9"/>
    <n v="1"/>
    <n v="0"/>
    <n v="0"/>
    <n v="0.85"/>
  </r>
  <r>
    <s v="APT-00996"/>
    <x v="247"/>
    <x v="0"/>
    <x v="4"/>
    <x v="3"/>
    <x v="0"/>
    <s v="Palakkad"/>
    <x v="9"/>
    <s v="PT-1259"/>
    <s v="Sports Injury"/>
    <x v="1"/>
    <x v="0"/>
    <s v="Online Search"/>
    <x v="0"/>
    <n v="75"/>
    <n v="75"/>
    <n v="85.3"/>
    <n v="1550"/>
    <x v="1"/>
    <x v="0"/>
    <n v="0"/>
    <n v="1"/>
    <n v="0"/>
    <n v="0.85"/>
  </r>
  <r>
    <s v="APT-00997"/>
    <x v="300"/>
    <x v="8"/>
    <x v="0"/>
    <x v="2"/>
    <x v="1"/>
    <s v="Thrissur"/>
    <x v="1"/>
    <s v="PT-1140"/>
    <s v="Follow-up"/>
    <x v="1"/>
    <x v="2"/>
    <s v="Hospital Discharge"/>
    <x v="2"/>
    <n v="30"/>
    <n v="0"/>
    <n v="38.200000000000003"/>
    <n v="700"/>
    <x v="9"/>
    <x v="3"/>
    <n v="0"/>
    <n v="0"/>
    <n v="1"/>
    <n v="0.85"/>
  </r>
  <r>
    <s v="APT-00998"/>
    <x v="33"/>
    <x v="0"/>
    <x v="3"/>
    <x v="0"/>
    <x v="1"/>
    <s v="Thrissur"/>
    <x v="10"/>
    <s v="PT-1485"/>
    <s v="Chronic Pain"/>
    <x v="2"/>
    <x v="0"/>
    <s v="Self Referral"/>
    <x v="3"/>
    <n v="90"/>
    <n v="0"/>
    <n v="116.4"/>
    <n v="2000"/>
    <x v="9"/>
    <x v="0"/>
    <n v="0"/>
    <n v="0"/>
    <n v="0"/>
    <n v="0.85"/>
  </r>
  <r>
    <s v="APT-00999"/>
    <x v="196"/>
    <x v="10"/>
    <x v="0"/>
    <x v="0"/>
    <x v="2"/>
    <s v="Ernakulam"/>
    <x v="8"/>
    <s v="PT-1617"/>
    <s v="Follow-up"/>
    <x v="3"/>
    <x v="0"/>
    <s v="Online Search"/>
    <x v="0"/>
    <n v="60"/>
    <n v="60"/>
    <n v="66.599999999999994"/>
    <n v="1500"/>
    <x v="3"/>
    <x v="0"/>
    <n v="0"/>
    <n v="1"/>
    <n v="0"/>
    <n v="0.85"/>
  </r>
  <r>
    <s v="APT-01000"/>
    <x v="198"/>
    <x v="0"/>
    <x v="4"/>
    <x v="2"/>
    <x v="2"/>
    <s v="Ernakulam"/>
    <x v="3"/>
    <s v="PT-1467"/>
    <s v="Chronic Pain"/>
    <x v="0"/>
    <x v="0"/>
    <s v="Neurologist"/>
    <x v="1"/>
    <n v="45"/>
    <n v="0"/>
    <n v="52.2"/>
    <n v="1100"/>
    <x v="9"/>
    <x v="6"/>
    <n v="1"/>
    <n v="0"/>
    <n v="0"/>
    <n v="0.85"/>
  </r>
  <r>
    <s v="APT-01001"/>
    <x v="112"/>
    <x v="9"/>
    <x v="1"/>
    <x v="3"/>
    <x v="1"/>
    <s v="Thrissur"/>
    <x v="7"/>
    <s v="PT-1687"/>
    <s v="Follow-up"/>
    <x v="2"/>
    <x v="2"/>
    <s v="Self Referral"/>
    <x v="2"/>
    <n v="90"/>
    <n v="0"/>
    <n v="100.5"/>
    <n v="2000"/>
    <x v="9"/>
    <x v="21"/>
    <n v="0"/>
    <n v="0"/>
    <n v="1"/>
    <n v="0.85"/>
  </r>
  <r>
    <s v="APT-01002"/>
    <x v="164"/>
    <x v="10"/>
    <x v="4"/>
    <x v="0"/>
    <x v="2"/>
    <s v="Ernakulam"/>
    <x v="4"/>
    <s v="PT-1302"/>
    <s v="New Patient"/>
    <x v="0"/>
    <x v="1"/>
    <s v="Corporate Wellness"/>
    <x v="0"/>
    <n v="60"/>
    <n v="60"/>
    <n v="74"/>
    <n v="1550"/>
    <x v="1"/>
    <x v="0"/>
    <n v="0"/>
    <n v="1"/>
    <n v="0"/>
    <n v="0.85"/>
  </r>
  <r>
    <s v="APT-01003"/>
    <x v="235"/>
    <x v="0"/>
    <x v="5"/>
    <x v="3"/>
    <x v="1"/>
    <s v="Thrissur"/>
    <x v="2"/>
    <s v="PT-1685"/>
    <s v="Post-op Rehab"/>
    <x v="2"/>
    <x v="2"/>
    <s v="Orthopedic Doctor"/>
    <x v="0"/>
    <n v="90"/>
    <n v="90"/>
    <n v="109.8"/>
    <n v="2350"/>
    <x v="35"/>
    <x v="0"/>
    <n v="0"/>
    <n v="1"/>
    <n v="0"/>
    <n v="0.85"/>
  </r>
  <r>
    <s v="APT-01004"/>
    <x v="34"/>
    <x v="10"/>
    <x v="2"/>
    <x v="2"/>
    <x v="0"/>
    <s v="Palakkad"/>
    <x v="0"/>
    <s v="PT-1502"/>
    <s v="Follow-up"/>
    <x v="0"/>
    <x v="0"/>
    <s v="Online Search"/>
    <x v="2"/>
    <n v="45"/>
    <n v="0"/>
    <n v="52.8"/>
    <n v="950"/>
    <x v="9"/>
    <x v="19"/>
    <n v="0"/>
    <n v="0"/>
    <n v="1"/>
    <n v="0.85"/>
  </r>
  <r>
    <s v="APT-01005"/>
    <x v="166"/>
    <x v="10"/>
    <x v="1"/>
    <x v="2"/>
    <x v="0"/>
    <s v="Palakkad"/>
    <x v="9"/>
    <s v="PT-1324"/>
    <s v="Post-op Rehab"/>
    <x v="5"/>
    <x v="2"/>
    <s v="Neurologist"/>
    <x v="0"/>
    <n v="60"/>
    <n v="60"/>
    <n v="67.400000000000006"/>
    <n v="1450"/>
    <x v="10"/>
    <x v="0"/>
    <n v="0"/>
    <n v="1"/>
    <n v="0"/>
    <n v="0.85"/>
  </r>
  <r>
    <s v="APT-01006"/>
    <x v="276"/>
    <x v="5"/>
    <x v="0"/>
    <x v="1"/>
    <x v="0"/>
    <s v="Palakkad"/>
    <x v="0"/>
    <s v="PT-1664"/>
    <s v="Post-op Rehab"/>
    <x v="0"/>
    <x v="2"/>
    <s v="Orthopedic Doctor"/>
    <x v="0"/>
    <n v="90"/>
    <n v="90"/>
    <n v="114.6"/>
    <n v="2150"/>
    <x v="30"/>
    <x v="0"/>
    <n v="0"/>
    <n v="1"/>
    <n v="0"/>
    <n v="0.85"/>
  </r>
  <r>
    <s v="APT-01007"/>
    <x v="146"/>
    <x v="8"/>
    <x v="1"/>
    <x v="3"/>
    <x v="0"/>
    <s v="Palakkad"/>
    <x v="0"/>
    <s v="PT-1481"/>
    <s v="Follow-up"/>
    <x v="4"/>
    <x v="0"/>
    <s v="Online Search"/>
    <x v="0"/>
    <n v="45"/>
    <n v="45"/>
    <n v="52"/>
    <n v="950"/>
    <x v="7"/>
    <x v="0"/>
    <n v="0"/>
    <n v="1"/>
    <n v="0"/>
    <n v="0.85"/>
  </r>
  <r>
    <s v="APT-01008"/>
    <x v="102"/>
    <x v="1"/>
    <x v="1"/>
    <x v="3"/>
    <x v="0"/>
    <s v="Palakkad"/>
    <x v="9"/>
    <s v="PT-1579"/>
    <s v="New Patient"/>
    <x v="1"/>
    <x v="2"/>
    <s v="Orthopedic Doctor"/>
    <x v="1"/>
    <n v="60"/>
    <n v="0"/>
    <n v="70.599999999999994"/>
    <n v="1500"/>
    <x v="9"/>
    <x v="12"/>
    <n v="1"/>
    <n v="0"/>
    <n v="0"/>
    <n v="0.85"/>
  </r>
  <r>
    <s v="APT-01009"/>
    <x v="133"/>
    <x v="6"/>
    <x v="3"/>
    <x v="2"/>
    <x v="0"/>
    <s v="Palakkad"/>
    <x v="0"/>
    <s v="PT-1677"/>
    <s v="Geriatric Rehab"/>
    <x v="4"/>
    <x v="0"/>
    <s v="Online Search"/>
    <x v="0"/>
    <n v="90"/>
    <n v="90"/>
    <n v="100.1"/>
    <n v="1900"/>
    <x v="0"/>
    <x v="0"/>
    <n v="0"/>
    <n v="1"/>
    <n v="0"/>
    <n v="0.85"/>
  </r>
  <r>
    <s v="APT-01010"/>
    <x v="15"/>
    <x v="9"/>
    <x v="5"/>
    <x v="2"/>
    <x v="2"/>
    <s v="Ernakulam"/>
    <x v="4"/>
    <s v="PT-1210"/>
    <s v="Post-op Rehab"/>
    <x v="5"/>
    <x v="0"/>
    <s v="Orthopedic Doctor"/>
    <x v="0"/>
    <n v="60"/>
    <n v="60"/>
    <n v="76.5"/>
    <n v="1700"/>
    <x v="6"/>
    <x v="0"/>
    <n v="0"/>
    <n v="1"/>
    <n v="0"/>
    <n v="0.85"/>
  </r>
  <r>
    <s v="APT-01011"/>
    <x v="304"/>
    <x v="1"/>
    <x v="3"/>
    <x v="0"/>
    <x v="2"/>
    <s v="Ernakulam"/>
    <x v="3"/>
    <s v="PT-1522"/>
    <s v="New Patient"/>
    <x v="4"/>
    <x v="0"/>
    <s v="Self Referral"/>
    <x v="0"/>
    <n v="75"/>
    <n v="75"/>
    <n v="96.7"/>
    <n v="2250"/>
    <x v="12"/>
    <x v="0"/>
    <n v="0"/>
    <n v="1"/>
    <n v="0"/>
    <n v="0.85"/>
  </r>
  <r>
    <s v="APT-01012"/>
    <x v="236"/>
    <x v="0"/>
    <x v="2"/>
    <x v="2"/>
    <x v="1"/>
    <s v="Thrissur"/>
    <x v="2"/>
    <s v="PT-1029"/>
    <s v="New Patient"/>
    <x v="0"/>
    <x v="0"/>
    <s v="Orthopedic Doctor"/>
    <x v="0"/>
    <n v="60"/>
    <n v="60"/>
    <n v="80.599999999999994"/>
    <n v="1600"/>
    <x v="11"/>
    <x v="0"/>
    <n v="0"/>
    <n v="1"/>
    <n v="0"/>
    <n v="0.85"/>
  </r>
  <r>
    <s v="APT-01013"/>
    <x v="29"/>
    <x v="5"/>
    <x v="5"/>
    <x v="2"/>
    <x v="0"/>
    <s v="Palakkad"/>
    <x v="6"/>
    <s v="PT-1582"/>
    <s v="Follow-up"/>
    <x v="3"/>
    <x v="0"/>
    <s v="Orthopedic Doctor"/>
    <x v="0"/>
    <n v="45"/>
    <n v="45"/>
    <n v="49.8"/>
    <n v="950"/>
    <x v="7"/>
    <x v="0"/>
    <n v="0"/>
    <n v="1"/>
    <n v="0"/>
    <n v="0.85"/>
  </r>
  <r>
    <s v="APT-01014"/>
    <x v="308"/>
    <x v="9"/>
    <x v="4"/>
    <x v="0"/>
    <x v="2"/>
    <s v="Ernakulam"/>
    <x v="12"/>
    <s v="PT-1261"/>
    <s v="Chronic Pain"/>
    <x v="3"/>
    <x v="0"/>
    <s v="Orthopedic Doctor"/>
    <x v="0"/>
    <n v="60"/>
    <n v="60"/>
    <n v="69.900000000000006"/>
    <n v="1500"/>
    <x v="3"/>
    <x v="0"/>
    <n v="0"/>
    <n v="1"/>
    <n v="0"/>
    <n v="0.85"/>
  </r>
  <r>
    <s v="APT-01015"/>
    <x v="210"/>
    <x v="7"/>
    <x v="4"/>
    <x v="1"/>
    <x v="1"/>
    <s v="Thrissur"/>
    <x v="1"/>
    <s v="PT-1100"/>
    <s v="New Patient"/>
    <x v="0"/>
    <x v="1"/>
    <s v="Orthopedic Doctor"/>
    <x v="0"/>
    <n v="60"/>
    <n v="60"/>
    <n v="68.099999999999994"/>
    <n v="1400"/>
    <x v="21"/>
    <x v="0"/>
    <n v="0"/>
    <n v="1"/>
    <n v="0"/>
    <n v="0.85"/>
  </r>
  <r>
    <s v="APT-01016"/>
    <x v="17"/>
    <x v="0"/>
    <x v="1"/>
    <x v="2"/>
    <x v="1"/>
    <s v="Thrissur"/>
    <x v="2"/>
    <s v="PT-1356"/>
    <s v="Chronic Pain"/>
    <x v="0"/>
    <x v="3"/>
    <s v="Hospital Discharge"/>
    <x v="0"/>
    <n v="60"/>
    <n v="60"/>
    <n v="76.2"/>
    <n v="1250"/>
    <x v="5"/>
    <x v="0"/>
    <n v="0"/>
    <n v="1"/>
    <n v="0"/>
    <n v="0.85"/>
  </r>
  <r>
    <s v="APT-01017"/>
    <x v="11"/>
    <x v="7"/>
    <x v="0"/>
    <x v="2"/>
    <x v="2"/>
    <s v="Ernakulam"/>
    <x v="14"/>
    <s v="PT-1062"/>
    <s v="Post-op Rehab"/>
    <x v="4"/>
    <x v="0"/>
    <s v="Orthopedic Doctor"/>
    <x v="0"/>
    <n v="75"/>
    <n v="75"/>
    <n v="100.4"/>
    <n v="2150"/>
    <x v="30"/>
    <x v="0"/>
    <n v="0"/>
    <n v="1"/>
    <n v="0"/>
    <n v="0.85"/>
  </r>
  <r>
    <s v="APT-01018"/>
    <x v="236"/>
    <x v="0"/>
    <x v="2"/>
    <x v="2"/>
    <x v="0"/>
    <s v="Palakkad"/>
    <x v="13"/>
    <s v="PT-1135"/>
    <s v="Follow-up"/>
    <x v="3"/>
    <x v="3"/>
    <s v="Orthopedic Doctor"/>
    <x v="0"/>
    <n v="45"/>
    <n v="45"/>
    <n v="54.9"/>
    <n v="850"/>
    <x v="23"/>
    <x v="0"/>
    <n v="0"/>
    <n v="1"/>
    <n v="0"/>
    <n v="0.85"/>
  </r>
  <r>
    <s v="APT-01019"/>
    <x v="236"/>
    <x v="0"/>
    <x v="2"/>
    <x v="3"/>
    <x v="0"/>
    <s v="Palakkad"/>
    <x v="13"/>
    <s v="PT-1575"/>
    <s v="Follow-up"/>
    <x v="0"/>
    <x v="0"/>
    <s v="Hospital Discharge"/>
    <x v="0"/>
    <n v="60"/>
    <n v="60"/>
    <n v="73.099999999999994"/>
    <n v="1250"/>
    <x v="5"/>
    <x v="0"/>
    <n v="0"/>
    <n v="1"/>
    <n v="0"/>
    <n v="0.85"/>
  </r>
  <r>
    <s v="APT-01020"/>
    <x v="23"/>
    <x v="5"/>
    <x v="1"/>
    <x v="3"/>
    <x v="0"/>
    <s v="Palakkad"/>
    <x v="9"/>
    <s v="PT-1180"/>
    <s v="Follow-up"/>
    <x v="5"/>
    <x v="0"/>
    <s v="Hospital Discharge"/>
    <x v="1"/>
    <n v="90"/>
    <n v="0"/>
    <n v="113.6"/>
    <n v="1900"/>
    <x v="9"/>
    <x v="4"/>
    <n v="1"/>
    <n v="0"/>
    <n v="0"/>
    <n v="0.85"/>
  </r>
  <r>
    <s v="APT-01021"/>
    <x v="33"/>
    <x v="0"/>
    <x v="3"/>
    <x v="0"/>
    <x v="1"/>
    <s v="Thrissur"/>
    <x v="1"/>
    <s v="PT-1465"/>
    <s v="Follow-up"/>
    <x v="5"/>
    <x v="3"/>
    <s v="Hospital Discharge"/>
    <x v="0"/>
    <n v="60"/>
    <n v="60"/>
    <n v="76.2"/>
    <n v="1250"/>
    <x v="5"/>
    <x v="0"/>
    <n v="0"/>
    <n v="1"/>
    <n v="0"/>
    <n v="0.85"/>
  </r>
  <r>
    <s v="APT-01022"/>
    <x v="90"/>
    <x v="0"/>
    <x v="2"/>
    <x v="1"/>
    <x v="0"/>
    <s v="Palakkad"/>
    <x v="9"/>
    <s v="PT-1480"/>
    <s v="Follow-up"/>
    <x v="2"/>
    <x v="0"/>
    <s v="Online Search"/>
    <x v="0"/>
    <n v="90"/>
    <n v="90"/>
    <n v="109.2"/>
    <n v="1900"/>
    <x v="0"/>
    <x v="0"/>
    <n v="0"/>
    <n v="1"/>
    <n v="0"/>
    <n v="0.85"/>
  </r>
  <r>
    <s v="APT-01023"/>
    <x v="116"/>
    <x v="6"/>
    <x v="2"/>
    <x v="0"/>
    <x v="2"/>
    <s v="Ernakulam"/>
    <x v="14"/>
    <s v="PT-1105"/>
    <s v="New Patient"/>
    <x v="5"/>
    <x v="2"/>
    <s v="Orthopedic Doctor"/>
    <x v="0"/>
    <n v="45"/>
    <n v="45"/>
    <n v="52"/>
    <n v="1350"/>
    <x v="14"/>
    <x v="0"/>
    <n v="0"/>
    <n v="1"/>
    <n v="0"/>
    <n v="0.85"/>
  </r>
  <r>
    <s v="APT-01024"/>
    <x v="100"/>
    <x v="1"/>
    <x v="4"/>
    <x v="3"/>
    <x v="0"/>
    <s v="Palakkad"/>
    <x v="9"/>
    <s v="PT-1155"/>
    <s v="New Patient"/>
    <x v="0"/>
    <x v="0"/>
    <s v="Orthopedic Doctor"/>
    <x v="1"/>
    <n v="60"/>
    <n v="0"/>
    <n v="65.8"/>
    <n v="1500"/>
    <x v="9"/>
    <x v="12"/>
    <n v="1"/>
    <n v="0"/>
    <n v="0"/>
    <n v="0.85"/>
  </r>
  <r>
    <s v="APT-01025"/>
    <x v="144"/>
    <x v="11"/>
    <x v="1"/>
    <x v="0"/>
    <x v="0"/>
    <s v="Palakkad"/>
    <x v="9"/>
    <s v="PT-1400"/>
    <s v="Follow-up"/>
    <x v="4"/>
    <x v="0"/>
    <s v="Hospital Discharge"/>
    <x v="0"/>
    <n v="90"/>
    <n v="90"/>
    <n v="99"/>
    <n v="1900"/>
    <x v="0"/>
    <x v="0"/>
    <n v="0"/>
    <n v="1"/>
    <n v="0"/>
    <n v="0.85"/>
  </r>
  <r>
    <s v="APT-01026"/>
    <x v="99"/>
    <x v="8"/>
    <x v="2"/>
    <x v="0"/>
    <x v="1"/>
    <s v="Thrissur"/>
    <x v="1"/>
    <s v="PT-1199"/>
    <s v="Geriatric Rehab"/>
    <x v="3"/>
    <x v="0"/>
    <s v="Corporate Wellness"/>
    <x v="0"/>
    <n v="45"/>
    <n v="45"/>
    <n v="50.4"/>
    <n v="1000"/>
    <x v="13"/>
    <x v="0"/>
    <n v="0"/>
    <n v="1"/>
    <n v="0"/>
    <n v="0.85"/>
  </r>
  <r>
    <s v="APT-01027"/>
    <x v="15"/>
    <x v="9"/>
    <x v="5"/>
    <x v="2"/>
    <x v="2"/>
    <s v="Ernakulam"/>
    <x v="4"/>
    <s v="PT-1399"/>
    <s v="Sports Injury"/>
    <x v="5"/>
    <x v="3"/>
    <s v="Self Referral"/>
    <x v="2"/>
    <n v="60"/>
    <n v="0"/>
    <n v="66.400000000000006"/>
    <n v="1400"/>
    <x v="9"/>
    <x v="23"/>
    <n v="0"/>
    <n v="0"/>
    <n v="1"/>
    <n v="0.85"/>
  </r>
  <r>
    <s v="APT-01028"/>
    <x v="110"/>
    <x v="5"/>
    <x v="4"/>
    <x v="0"/>
    <x v="2"/>
    <s v="Ernakulam"/>
    <x v="8"/>
    <s v="PT-1500"/>
    <s v="Sports Injury"/>
    <x v="2"/>
    <x v="2"/>
    <s v="Neurologist"/>
    <x v="0"/>
    <n v="75"/>
    <n v="75"/>
    <n v="100.3"/>
    <n v="1900"/>
    <x v="0"/>
    <x v="0"/>
    <n v="0"/>
    <n v="1"/>
    <n v="0"/>
    <n v="0.85"/>
  </r>
  <r>
    <s v="APT-01029"/>
    <x v="248"/>
    <x v="7"/>
    <x v="0"/>
    <x v="3"/>
    <x v="1"/>
    <s v="Thrissur"/>
    <x v="1"/>
    <s v="PT-1321"/>
    <s v="Follow-up"/>
    <x v="2"/>
    <x v="1"/>
    <s v="Neurologist"/>
    <x v="3"/>
    <n v="45"/>
    <n v="0"/>
    <n v="53.7"/>
    <n v="850"/>
    <x v="9"/>
    <x v="0"/>
    <n v="0"/>
    <n v="0"/>
    <n v="0"/>
    <n v="0.85"/>
  </r>
  <r>
    <s v="APT-01030"/>
    <x v="200"/>
    <x v="1"/>
    <x v="0"/>
    <x v="2"/>
    <x v="2"/>
    <s v="Ernakulam"/>
    <x v="4"/>
    <s v="PT-1525"/>
    <s v="Follow-up"/>
    <x v="0"/>
    <x v="2"/>
    <s v="Online Search"/>
    <x v="0"/>
    <n v="45"/>
    <n v="45"/>
    <n v="51.1"/>
    <n v="1100"/>
    <x v="20"/>
    <x v="0"/>
    <n v="0"/>
    <n v="1"/>
    <n v="0"/>
    <n v="0.85"/>
  </r>
  <r>
    <s v="APT-01031"/>
    <x v="14"/>
    <x v="1"/>
    <x v="4"/>
    <x v="1"/>
    <x v="2"/>
    <s v="Ernakulam"/>
    <x v="12"/>
    <s v="PT-1640"/>
    <s v="Chronic Pain"/>
    <x v="3"/>
    <x v="2"/>
    <s v="Neurologist"/>
    <x v="0"/>
    <n v="75"/>
    <n v="75"/>
    <n v="100.6"/>
    <n v="1900"/>
    <x v="0"/>
    <x v="0"/>
    <n v="0"/>
    <n v="1"/>
    <n v="0"/>
    <n v="0.85"/>
  </r>
  <r>
    <s v="APT-01032"/>
    <x v="214"/>
    <x v="5"/>
    <x v="5"/>
    <x v="0"/>
    <x v="1"/>
    <s v="Thrissur"/>
    <x v="5"/>
    <s v="PT-1381"/>
    <s v="Post-op Rehab"/>
    <x v="2"/>
    <x v="0"/>
    <s v="Online Search"/>
    <x v="0"/>
    <n v="30"/>
    <n v="30"/>
    <n v="36.1"/>
    <n v="800"/>
    <x v="18"/>
    <x v="0"/>
    <n v="0"/>
    <n v="1"/>
    <n v="0"/>
    <n v="0.85"/>
  </r>
  <r>
    <s v="APT-01033"/>
    <x v="176"/>
    <x v="10"/>
    <x v="0"/>
    <x v="3"/>
    <x v="0"/>
    <s v="Palakkad"/>
    <x v="9"/>
    <s v="PT-1630"/>
    <s v="Geriatric Rehab"/>
    <x v="5"/>
    <x v="3"/>
    <s v="Orthopedic Doctor"/>
    <x v="0"/>
    <n v="60"/>
    <n v="60"/>
    <n v="66.2"/>
    <n v="1150"/>
    <x v="15"/>
    <x v="0"/>
    <n v="0"/>
    <n v="1"/>
    <n v="0"/>
    <n v="0.85"/>
  </r>
  <r>
    <s v="APT-01034"/>
    <x v="208"/>
    <x v="3"/>
    <x v="1"/>
    <x v="2"/>
    <x v="1"/>
    <s v="Thrissur"/>
    <x v="7"/>
    <s v="PT-1636"/>
    <s v="Sports Injury"/>
    <x v="0"/>
    <x v="2"/>
    <s v="Corporate Wellness"/>
    <x v="0"/>
    <n v="75"/>
    <n v="75"/>
    <n v="95"/>
    <n v="1700"/>
    <x v="6"/>
    <x v="0"/>
    <n v="0"/>
    <n v="1"/>
    <n v="0"/>
    <n v="0.85"/>
  </r>
  <r>
    <s v="APT-01035"/>
    <x v="186"/>
    <x v="3"/>
    <x v="1"/>
    <x v="2"/>
    <x v="1"/>
    <s v="Thrissur"/>
    <x v="5"/>
    <s v="PT-1176"/>
    <s v="Post-op Rehab"/>
    <x v="3"/>
    <x v="3"/>
    <s v="Self Referral"/>
    <x v="1"/>
    <n v="60"/>
    <n v="0"/>
    <n v="76.599999999999994"/>
    <n v="1450"/>
    <x v="9"/>
    <x v="22"/>
    <n v="1"/>
    <n v="0"/>
    <n v="0"/>
    <n v="0.85"/>
  </r>
  <r>
    <s v="APT-01036"/>
    <x v="304"/>
    <x v="1"/>
    <x v="3"/>
    <x v="2"/>
    <x v="1"/>
    <s v="Thrissur"/>
    <x v="10"/>
    <s v="PT-1418"/>
    <s v="Post-op Rehab"/>
    <x v="5"/>
    <x v="3"/>
    <s v="Orthopedic Doctor"/>
    <x v="3"/>
    <n v="75"/>
    <n v="0"/>
    <n v="82.8"/>
    <n v="1800"/>
    <x v="9"/>
    <x v="0"/>
    <n v="0"/>
    <n v="0"/>
    <n v="0"/>
    <n v="0.85"/>
  </r>
  <r>
    <s v="APT-01037"/>
    <x v="302"/>
    <x v="9"/>
    <x v="5"/>
    <x v="0"/>
    <x v="0"/>
    <s v="Palakkad"/>
    <x v="13"/>
    <s v="PT-1576"/>
    <s v="Post-op Rehab"/>
    <x v="0"/>
    <x v="0"/>
    <s v="Hospital Discharge"/>
    <x v="0"/>
    <n v="60"/>
    <n v="60"/>
    <n v="73.7"/>
    <n v="1450"/>
    <x v="10"/>
    <x v="0"/>
    <n v="0"/>
    <n v="1"/>
    <n v="0"/>
    <n v="0.85"/>
  </r>
  <r>
    <s v="APT-01038"/>
    <x v="244"/>
    <x v="9"/>
    <x v="0"/>
    <x v="3"/>
    <x v="0"/>
    <s v="Palakkad"/>
    <x v="11"/>
    <s v="PT-1249"/>
    <s v="Follow-up"/>
    <x v="0"/>
    <x v="0"/>
    <s v="Online Search"/>
    <x v="2"/>
    <n v="60"/>
    <n v="0"/>
    <n v="65.3"/>
    <n v="1250"/>
    <x v="9"/>
    <x v="9"/>
    <n v="0"/>
    <n v="0"/>
    <n v="1"/>
    <n v="0.85"/>
  </r>
  <r>
    <s v="APT-01039"/>
    <x v="108"/>
    <x v="11"/>
    <x v="3"/>
    <x v="3"/>
    <x v="0"/>
    <s v="Palakkad"/>
    <x v="0"/>
    <s v="PT-1446"/>
    <s v="Sports Injury"/>
    <x v="2"/>
    <x v="0"/>
    <s v="Neurologist"/>
    <x v="0"/>
    <n v="45"/>
    <n v="45"/>
    <n v="53.4"/>
    <n v="950"/>
    <x v="7"/>
    <x v="0"/>
    <n v="0"/>
    <n v="1"/>
    <n v="0"/>
    <n v="0.85"/>
  </r>
  <r>
    <s v="APT-01040"/>
    <x v="216"/>
    <x v="3"/>
    <x v="0"/>
    <x v="1"/>
    <x v="0"/>
    <s v="Palakkad"/>
    <x v="9"/>
    <s v="PT-1464"/>
    <s v="Chronic Pain"/>
    <x v="0"/>
    <x v="0"/>
    <s v="Orthopedic Doctor"/>
    <x v="0"/>
    <n v="30"/>
    <n v="30"/>
    <n v="36.799999999999997"/>
    <n v="600"/>
    <x v="16"/>
    <x v="0"/>
    <n v="0"/>
    <n v="1"/>
    <n v="0"/>
    <n v="0.85"/>
  </r>
  <r>
    <s v="APT-01041"/>
    <x v="53"/>
    <x v="10"/>
    <x v="4"/>
    <x v="1"/>
    <x v="2"/>
    <s v="Ernakulam"/>
    <x v="4"/>
    <s v="PT-1304"/>
    <s v="Sports Injury"/>
    <x v="0"/>
    <x v="3"/>
    <s v="Hospital Discharge"/>
    <x v="1"/>
    <n v="60"/>
    <n v="0"/>
    <n v="71.7"/>
    <n v="1400"/>
    <x v="9"/>
    <x v="23"/>
    <n v="1"/>
    <n v="0"/>
    <n v="0"/>
    <n v="0.85"/>
  </r>
  <r>
    <s v="APT-01042"/>
    <x v="165"/>
    <x v="9"/>
    <x v="2"/>
    <x v="0"/>
    <x v="0"/>
    <s v="Palakkad"/>
    <x v="13"/>
    <s v="PT-1338"/>
    <s v="Follow-up"/>
    <x v="5"/>
    <x v="1"/>
    <s v="Online Search"/>
    <x v="0"/>
    <n v="60"/>
    <n v="60"/>
    <n v="70.2"/>
    <n v="1050"/>
    <x v="2"/>
    <x v="0"/>
    <n v="0"/>
    <n v="1"/>
    <n v="0"/>
    <n v="0.85"/>
  </r>
  <r>
    <s v="APT-01043"/>
    <x v="113"/>
    <x v="2"/>
    <x v="2"/>
    <x v="3"/>
    <x v="2"/>
    <s v="Ernakulam"/>
    <x v="4"/>
    <s v="PT-1128"/>
    <s v="New Patient"/>
    <x v="1"/>
    <x v="2"/>
    <s v="Self Referral"/>
    <x v="0"/>
    <n v="75"/>
    <n v="75"/>
    <n v="81.7"/>
    <n v="2250"/>
    <x v="12"/>
    <x v="0"/>
    <n v="0"/>
    <n v="1"/>
    <n v="0"/>
    <n v="0.85"/>
  </r>
  <r>
    <s v="APT-01044"/>
    <x v="254"/>
    <x v="11"/>
    <x v="5"/>
    <x v="0"/>
    <x v="2"/>
    <s v="Ernakulam"/>
    <x v="3"/>
    <s v="PT-1468"/>
    <s v="Follow-up"/>
    <x v="4"/>
    <x v="1"/>
    <s v="Neurologist"/>
    <x v="0"/>
    <n v="60"/>
    <n v="60"/>
    <n v="70.900000000000006"/>
    <n v="1300"/>
    <x v="22"/>
    <x v="0"/>
    <n v="0"/>
    <n v="1"/>
    <n v="0"/>
    <n v="0.85"/>
  </r>
  <r>
    <s v="APT-01045"/>
    <x v="287"/>
    <x v="9"/>
    <x v="0"/>
    <x v="3"/>
    <x v="0"/>
    <s v="Palakkad"/>
    <x v="0"/>
    <s v="PT-1273"/>
    <s v="Follow-up"/>
    <x v="1"/>
    <x v="2"/>
    <s v="Corporate Wellness"/>
    <x v="0"/>
    <n v="60"/>
    <n v="60"/>
    <n v="67.099999999999994"/>
    <n v="1250"/>
    <x v="5"/>
    <x v="0"/>
    <n v="0"/>
    <n v="1"/>
    <n v="0"/>
    <n v="0.85"/>
  </r>
  <r>
    <s v="APT-01046"/>
    <x v="99"/>
    <x v="8"/>
    <x v="2"/>
    <x v="3"/>
    <x v="2"/>
    <s v="Ernakulam"/>
    <x v="14"/>
    <s v="PT-1204"/>
    <s v="Follow-up"/>
    <x v="1"/>
    <x v="0"/>
    <s v="Orthopedic Doctor"/>
    <x v="0"/>
    <n v="45"/>
    <n v="45"/>
    <n v="53"/>
    <n v="1100"/>
    <x v="20"/>
    <x v="0"/>
    <n v="0"/>
    <n v="1"/>
    <n v="0"/>
    <n v="0.85"/>
  </r>
  <r>
    <s v="APT-01047"/>
    <x v="226"/>
    <x v="1"/>
    <x v="2"/>
    <x v="0"/>
    <x v="1"/>
    <s v="Thrissur"/>
    <x v="10"/>
    <s v="PT-1454"/>
    <s v="New Patient"/>
    <x v="1"/>
    <x v="2"/>
    <s v="Orthopedic Doctor"/>
    <x v="0"/>
    <n v="45"/>
    <n v="45"/>
    <n v="60.5"/>
    <n v="1200"/>
    <x v="26"/>
    <x v="0"/>
    <n v="0"/>
    <n v="1"/>
    <n v="0"/>
    <n v="0.85"/>
  </r>
  <r>
    <s v="APT-01048"/>
    <x v="158"/>
    <x v="4"/>
    <x v="4"/>
    <x v="3"/>
    <x v="2"/>
    <s v="Ernakulam"/>
    <x v="8"/>
    <s v="PT-1489"/>
    <s v="Follow-up"/>
    <x v="0"/>
    <x v="2"/>
    <s v="Self Referral"/>
    <x v="0"/>
    <n v="60"/>
    <n v="60"/>
    <n v="66.599999999999994"/>
    <n v="1500"/>
    <x v="3"/>
    <x v="0"/>
    <n v="0"/>
    <n v="1"/>
    <n v="0"/>
    <n v="0.85"/>
  </r>
  <r>
    <s v="APT-01049"/>
    <x v="93"/>
    <x v="8"/>
    <x v="0"/>
    <x v="2"/>
    <x v="1"/>
    <s v="Thrissur"/>
    <x v="5"/>
    <s v="PT-1279"/>
    <s v="New Patient"/>
    <x v="1"/>
    <x v="2"/>
    <s v="Neurologist"/>
    <x v="1"/>
    <n v="60"/>
    <n v="0"/>
    <n v="74.099999999999994"/>
    <n v="1600"/>
    <x v="9"/>
    <x v="10"/>
    <n v="1"/>
    <n v="0"/>
    <n v="0"/>
    <n v="0.85"/>
  </r>
  <r>
    <s v="APT-01050"/>
    <x v="267"/>
    <x v="7"/>
    <x v="2"/>
    <x v="1"/>
    <x v="1"/>
    <s v="Thrissur"/>
    <x v="7"/>
    <s v="PT-1149"/>
    <s v="Post-op Rehab"/>
    <x v="5"/>
    <x v="0"/>
    <s v="Online Search"/>
    <x v="0"/>
    <n v="75"/>
    <n v="75"/>
    <n v="99.2"/>
    <n v="1950"/>
    <x v="8"/>
    <x v="0"/>
    <n v="0"/>
    <n v="1"/>
    <n v="0"/>
    <n v="0.85"/>
  </r>
  <r>
    <s v="APT-01051"/>
    <x v="61"/>
    <x v="10"/>
    <x v="5"/>
    <x v="2"/>
    <x v="1"/>
    <s v="Thrissur"/>
    <x v="7"/>
    <s v="PT-1097"/>
    <s v="New Patient"/>
    <x v="2"/>
    <x v="0"/>
    <s v="Online Search"/>
    <x v="0"/>
    <n v="60"/>
    <n v="60"/>
    <n v="79.599999999999994"/>
    <n v="1600"/>
    <x v="11"/>
    <x v="0"/>
    <n v="0"/>
    <n v="1"/>
    <n v="0"/>
    <n v="0.85"/>
  </r>
  <r>
    <s v="APT-01052"/>
    <x v="112"/>
    <x v="9"/>
    <x v="1"/>
    <x v="2"/>
    <x v="2"/>
    <s v="Ernakulam"/>
    <x v="3"/>
    <s v="PT-1257"/>
    <s v="Post-op Rehab"/>
    <x v="0"/>
    <x v="1"/>
    <s v="Self Referral"/>
    <x v="0"/>
    <n v="60"/>
    <n v="60"/>
    <n v="66.3"/>
    <n v="1450"/>
    <x v="10"/>
    <x v="0"/>
    <n v="0"/>
    <n v="1"/>
    <n v="0"/>
    <n v="0.85"/>
  </r>
  <r>
    <s v="APT-01053"/>
    <x v="197"/>
    <x v="3"/>
    <x v="1"/>
    <x v="3"/>
    <x v="2"/>
    <s v="Ernakulam"/>
    <x v="8"/>
    <s v="PT-1544"/>
    <s v="Post-op Rehab"/>
    <x v="3"/>
    <x v="0"/>
    <s v="Self Referral"/>
    <x v="0"/>
    <n v="75"/>
    <n v="75"/>
    <n v="87.9"/>
    <n v="2150"/>
    <x v="30"/>
    <x v="0"/>
    <n v="0"/>
    <n v="1"/>
    <n v="0"/>
    <n v="0.85"/>
  </r>
  <r>
    <s v="APT-01054"/>
    <x v="291"/>
    <x v="2"/>
    <x v="2"/>
    <x v="1"/>
    <x v="1"/>
    <s v="Thrissur"/>
    <x v="1"/>
    <s v="PT-1643"/>
    <s v="New Patient"/>
    <x v="5"/>
    <x v="3"/>
    <s v="Hospital Discharge"/>
    <x v="0"/>
    <n v="75"/>
    <n v="75"/>
    <n v="97.2"/>
    <n v="1850"/>
    <x v="24"/>
    <x v="0"/>
    <n v="0"/>
    <n v="1"/>
    <n v="0"/>
    <n v="0.85"/>
  </r>
  <r>
    <s v="APT-01055"/>
    <x v="165"/>
    <x v="9"/>
    <x v="2"/>
    <x v="3"/>
    <x v="2"/>
    <s v="Ernakulam"/>
    <x v="4"/>
    <s v="PT-1646"/>
    <s v="Sports Injury"/>
    <x v="5"/>
    <x v="3"/>
    <s v="Corporate Wellness"/>
    <x v="0"/>
    <n v="60"/>
    <n v="60"/>
    <n v="68"/>
    <n v="1400"/>
    <x v="21"/>
    <x v="0"/>
    <n v="0"/>
    <n v="1"/>
    <n v="0"/>
    <n v="0.85"/>
  </r>
  <r>
    <s v="APT-01056"/>
    <x v="226"/>
    <x v="1"/>
    <x v="2"/>
    <x v="2"/>
    <x v="2"/>
    <s v="Ernakulam"/>
    <x v="8"/>
    <s v="PT-1512"/>
    <s v="Follow-up"/>
    <x v="4"/>
    <x v="3"/>
    <s v="Self Referral"/>
    <x v="0"/>
    <n v="75"/>
    <n v="75"/>
    <n v="89.5"/>
    <n v="1700"/>
    <x v="6"/>
    <x v="0"/>
    <n v="0"/>
    <n v="1"/>
    <n v="0"/>
    <n v="0.85"/>
  </r>
  <r>
    <s v="APT-01057"/>
    <x v="57"/>
    <x v="3"/>
    <x v="5"/>
    <x v="1"/>
    <x v="0"/>
    <s v="Palakkad"/>
    <x v="9"/>
    <s v="PT-1587"/>
    <s v="Sports Injury"/>
    <x v="4"/>
    <x v="0"/>
    <s v="Online Search"/>
    <x v="0"/>
    <n v="45"/>
    <n v="45"/>
    <n v="58.9"/>
    <n v="950"/>
    <x v="7"/>
    <x v="0"/>
    <n v="0"/>
    <n v="1"/>
    <n v="0"/>
    <n v="0.85"/>
  </r>
  <r>
    <s v="APT-01058"/>
    <x v="251"/>
    <x v="7"/>
    <x v="4"/>
    <x v="0"/>
    <x v="1"/>
    <s v="Thrissur"/>
    <x v="7"/>
    <s v="PT-1132"/>
    <s v="Geriatric Rehab"/>
    <x v="2"/>
    <x v="2"/>
    <s v="Neurologist"/>
    <x v="0"/>
    <n v="45"/>
    <n v="45"/>
    <n v="58.3"/>
    <n v="1000"/>
    <x v="13"/>
    <x v="0"/>
    <n v="0"/>
    <n v="1"/>
    <n v="0"/>
    <n v="0.85"/>
  </r>
  <r>
    <s v="APT-01059"/>
    <x v="229"/>
    <x v="8"/>
    <x v="2"/>
    <x v="1"/>
    <x v="2"/>
    <s v="Ernakulam"/>
    <x v="8"/>
    <s v="PT-1352"/>
    <s v="Geriatric Rehab"/>
    <x v="4"/>
    <x v="3"/>
    <s v="Corporate Wellness"/>
    <x v="0"/>
    <n v="30"/>
    <n v="30"/>
    <n v="40.1"/>
    <n v="700"/>
    <x v="19"/>
    <x v="0"/>
    <n v="0"/>
    <n v="1"/>
    <n v="0"/>
    <n v="0.85"/>
  </r>
  <r>
    <s v="APT-01060"/>
    <x v="145"/>
    <x v="1"/>
    <x v="1"/>
    <x v="2"/>
    <x v="0"/>
    <s v="Palakkad"/>
    <x v="11"/>
    <s v="PT-1192"/>
    <s v="Geriatric Rehab"/>
    <x v="0"/>
    <x v="0"/>
    <s v="Corporate Wellness"/>
    <x v="0"/>
    <n v="30"/>
    <n v="30"/>
    <n v="34"/>
    <n v="600"/>
    <x v="16"/>
    <x v="0"/>
    <n v="0"/>
    <n v="1"/>
    <n v="0"/>
    <n v="0.85"/>
  </r>
  <r>
    <s v="APT-01061"/>
    <x v="70"/>
    <x v="3"/>
    <x v="5"/>
    <x v="3"/>
    <x v="0"/>
    <s v="Palakkad"/>
    <x v="6"/>
    <s v="PT-1062"/>
    <s v="Geriatric Rehab"/>
    <x v="0"/>
    <x v="0"/>
    <s v="Neurologist"/>
    <x v="0"/>
    <n v="45"/>
    <n v="45"/>
    <n v="60.4"/>
    <n v="950"/>
    <x v="7"/>
    <x v="0"/>
    <n v="0"/>
    <n v="1"/>
    <n v="0"/>
    <n v="0.85"/>
  </r>
  <r>
    <s v="APT-01062"/>
    <x v="83"/>
    <x v="1"/>
    <x v="5"/>
    <x v="3"/>
    <x v="1"/>
    <s v="Thrissur"/>
    <x v="7"/>
    <s v="PT-1028"/>
    <s v="Chronic Pain"/>
    <x v="1"/>
    <x v="0"/>
    <s v="Neurologist"/>
    <x v="0"/>
    <n v="30"/>
    <n v="30"/>
    <n v="38.9"/>
    <n v="700"/>
    <x v="19"/>
    <x v="0"/>
    <n v="0"/>
    <n v="1"/>
    <n v="0"/>
    <n v="0.85"/>
  </r>
  <r>
    <s v="APT-01063"/>
    <x v="208"/>
    <x v="3"/>
    <x v="1"/>
    <x v="1"/>
    <x v="0"/>
    <s v="Palakkad"/>
    <x v="11"/>
    <s v="PT-1415"/>
    <s v="Post-op Rehab"/>
    <x v="1"/>
    <x v="3"/>
    <s v="Online Search"/>
    <x v="0"/>
    <n v="45"/>
    <n v="45"/>
    <n v="54"/>
    <n v="1000"/>
    <x v="13"/>
    <x v="0"/>
    <n v="0"/>
    <n v="1"/>
    <n v="0"/>
    <n v="0.85"/>
  </r>
  <r>
    <s v="APT-01064"/>
    <x v="156"/>
    <x v="9"/>
    <x v="4"/>
    <x v="0"/>
    <x v="1"/>
    <s v="Thrissur"/>
    <x v="10"/>
    <s v="PT-1256"/>
    <s v="Post-op Rehab"/>
    <x v="2"/>
    <x v="0"/>
    <s v="Orthopedic Doctor"/>
    <x v="0"/>
    <n v="45"/>
    <n v="45"/>
    <n v="49.2"/>
    <n v="1150"/>
    <x v="15"/>
    <x v="0"/>
    <n v="0"/>
    <n v="1"/>
    <n v="0"/>
    <n v="0.85"/>
  </r>
  <r>
    <s v="APT-01065"/>
    <x v="61"/>
    <x v="10"/>
    <x v="5"/>
    <x v="3"/>
    <x v="0"/>
    <s v="Palakkad"/>
    <x v="11"/>
    <s v="PT-1012"/>
    <s v="Chronic Pain"/>
    <x v="2"/>
    <x v="2"/>
    <s v="Self Referral"/>
    <x v="0"/>
    <n v="60"/>
    <n v="60"/>
    <n v="75.599999999999994"/>
    <n v="1250"/>
    <x v="5"/>
    <x v="0"/>
    <n v="0"/>
    <n v="1"/>
    <n v="0"/>
    <n v="0.85"/>
  </r>
  <r>
    <s v="APT-01066"/>
    <x v="5"/>
    <x v="0"/>
    <x v="2"/>
    <x v="0"/>
    <x v="2"/>
    <s v="Ernakulam"/>
    <x v="12"/>
    <s v="PT-1254"/>
    <s v="Post-op Rehab"/>
    <x v="3"/>
    <x v="0"/>
    <s v="Online Search"/>
    <x v="0"/>
    <n v="60"/>
    <n v="60"/>
    <n v="65.900000000000006"/>
    <n v="1700"/>
    <x v="6"/>
    <x v="0"/>
    <n v="0"/>
    <n v="1"/>
    <n v="0"/>
    <n v="0.85"/>
  </r>
  <r>
    <s v="APT-01067"/>
    <x v="283"/>
    <x v="6"/>
    <x v="3"/>
    <x v="2"/>
    <x v="1"/>
    <s v="Thrissur"/>
    <x v="1"/>
    <s v="PT-1559"/>
    <s v="Geriatric Rehab"/>
    <x v="5"/>
    <x v="1"/>
    <s v="Orthopedic Doctor"/>
    <x v="1"/>
    <n v="90"/>
    <n v="0"/>
    <n v="99.2"/>
    <n v="1700"/>
    <x v="9"/>
    <x v="5"/>
    <n v="1"/>
    <n v="0"/>
    <n v="0"/>
    <n v="0.85"/>
  </r>
  <r>
    <s v="APT-01068"/>
    <x v="146"/>
    <x v="8"/>
    <x v="1"/>
    <x v="3"/>
    <x v="0"/>
    <s v="Palakkad"/>
    <x v="13"/>
    <s v="PT-1341"/>
    <s v="Follow-up"/>
    <x v="2"/>
    <x v="2"/>
    <s v="Hospital Discharge"/>
    <x v="0"/>
    <n v="60"/>
    <n v="60"/>
    <n v="74"/>
    <n v="1250"/>
    <x v="5"/>
    <x v="0"/>
    <n v="0"/>
    <n v="1"/>
    <n v="0"/>
    <n v="0.85"/>
  </r>
  <r>
    <s v="APT-01069"/>
    <x v="287"/>
    <x v="9"/>
    <x v="0"/>
    <x v="2"/>
    <x v="0"/>
    <s v="Palakkad"/>
    <x v="9"/>
    <s v="PT-1111"/>
    <s v="Follow-up"/>
    <x v="3"/>
    <x v="3"/>
    <s v="Corporate Wellness"/>
    <x v="0"/>
    <n v="45"/>
    <n v="45"/>
    <n v="55.8"/>
    <n v="850"/>
    <x v="23"/>
    <x v="0"/>
    <n v="0"/>
    <n v="1"/>
    <n v="0"/>
    <n v="0.85"/>
  </r>
  <r>
    <s v="APT-01070"/>
    <x v="176"/>
    <x v="10"/>
    <x v="0"/>
    <x v="2"/>
    <x v="2"/>
    <s v="Ernakulam"/>
    <x v="4"/>
    <s v="PT-1190"/>
    <s v="New Patient"/>
    <x v="2"/>
    <x v="3"/>
    <s v="Hospital Discharge"/>
    <x v="0"/>
    <n v="60"/>
    <n v="60"/>
    <n v="70.2"/>
    <n v="1650"/>
    <x v="32"/>
    <x v="0"/>
    <n v="0"/>
    <n v="1"/>
    <n v="0"/>
    <n v="0.85"/>
  </r>
  <r>
    <s v="APT-01071"/>
    <x v="13"/>
    <x v="4"/>
    <x v="0"/>
    <x v="1"/>
    <x v="2"/>
    <s v="Ernakulam"/>
    <x v="14"/>
    <s v="PT-1184"/>
    <s v="Follow-up"/>
    <x v="5"/>
    <x v="1"/>
    <s v="Corporate Wellness"/>
    <x v="1"/>
    <n v="30"/>
    <n v="0"/>
    <n v="32.700000000000003"/>
    <n v="650"/>
    <x v="9"/>
    <x v="20"/>
    <n v="1"/>
    <n v="0"/>
    <n v="0"/>
    <n v="0.85"/>
  </r>
  <r>
    <s v="APT-01072"/>
    <x v="44"/>
    <x v="4"/>
    <x v="1"/>
    <x v="1"/>
    <x v="2"/>
    <s v="Ernakulam"/>
    <x v="3"/>
    <s v="PT-1176"/>
    <s v="Follow-up"/>
    <x v="1"/>
    <x v="3"/>
    <s v="Hospital Discharge"/>
    <x v="1"/>
    <n v="45"/>
    <n v="0"/>
    <n v="54.4"/>
    <n v="1050"/>
    <x v="9"/>
    <x v="15"/>
    <n v="1"/>
    <n v="0"/>
    <n v="0"/>
    <n v="0.85"/>
  </r>
  <r>
    <s v="APT-01073"/>
    <x v="67"/>
    <x v="11"/>
    <x v="2"/>
    <x v="0"/>
    <x v="0"/>
    <s v="Palakkad"/>
    <x v="11"/>
    <s v="PT-1036"/>
    <s v="Geriatric Rehab"/>
    <x v="2"/>
    <x v="2"/>
    <s v="Online Search"/>
    <x v="0"/>
    <n v="60"/>
    <n v="60"/>
    <n v="74.900000000000006"/>
    <n v="1250"/>
    <x v="5"/>
    <x v="0"/>
    <n v="0"/>
    <n v="1"/>
    <n v="0"/>
    <n v="0.85"/>
  </r>
  <r>
    <s v="APT-01074"/>
    <x v="86"/>
    <x v="2"/>
    <x v="4"/>
    <x v="3"/>
    <x v="2"/>
    <s v="Ernakulam"/>
    <x v="14"/>
    <s v="PT-1177"/>
    <s v="New Patient"/>
    <x v="4"/>
    <x v="0"/>
    <s v="Hospital Discharge"/>
    <x v="0"/>
    <n v="60"/>
    <n v="60"/>
    <n v="68.8"/>
    <n v="1800"/>
    <x v="25"/>
    <x v="0"/>
    <n v="0"/>
    <n v="1"/>
    <n v="0"/>
    <n v="0.85"/>
  </r>
  <r>
    <s v="APT-01075"/>
    <x v="82"/>
    <x v="2"/>
    <x v="0"/>
    <x v="2"/>
    <x v="1"/>
    <s v="Thrissur"/>
    <x v="5"/>
    <s v="PT-1590"/>
    <s v="Sports Injury"/>
    <x v="2"/>
    <x v="2"/>
    <s v="Neurologist"/>
    <x v="0"/>
    <n v="75"/>
    <n v="75"/>
    <n v="93.1"/>
    <n v="1700"/>
    <x v="6"/>
    <x v="0"/>
    <n v="0"/>
    <n v="1"/>
    <n v="0"/>
    <n v="0.85"/>
  </r>
  <r>
    <s v="APT-01076"/>
    <x v="89"/>
    <x v="8"/>
    <x v="5"/>
    <x v="2"/>
    <x v="2"/>
    <s v="Ernakulam"/>
    <x v="12"/>
    <s v="PT-1000"/>
    <s v="Chronic Pain"/>
    <x v="3"/>
    <x v="0"/>
    <s v="Corporate Wellness"/>
    <x v="0"/>
    <n v="90"/>
    <n v="90"/>
    <n v="100.4"/>
    <n v="2250"/>
    <x v="12"/>
    <x v="0"/>
    <n v="0"/>
    <n v="1"/>
    <n v="0"/>
    <n v="0.85"/>
  </r>
  <r>
    <s v="APT-01077"/>
    <x v="150"/>
    <x v="6"/>
    <x v="1"/>
    <x v="0"/>
    <x v="1"/>
    <s v="Thrissur"/>
    <x v="10"/>
    <s v="PT-1129"/>
    <s v="Geriatric Rehab"/>
    <x v="4"/>
    <x v="2"/>
    <s v="Neurologist"/>
    <x v="0"/>
    <n v="45"/>
    <n v="45"/>
    <n v="59.3"/>
    <n v="1000"/>
    <x v="13"/>
    <x v="0"/>
    <n v="0"/>
    <n v="1"/>
    <n v="0"/>
    <n v="0.85"/>
  </r>
  <r>
    <s v="APT-01078"/>
    <x v="23"/>
    <x v="5"/>
    <x v="1"/>
    <x v="0"/>
    <x v="1"/>
    <s v="Thrissur"/>
    <x v="7"/>
    <s v="PT-1662"/>
    <s v="Follow-up"/>
    <x v="2"/>
    <x v="0"/>
    <s v="Hospital Discharge"/>
    <x v="0"/>
    <n v="60"/>
    <n v="60"/>
    <n v="70.099999999999994"/>
    <n v="1350"/>
    <x v="14"/>
    <x v="0"/>
    <n v="0"/>
    <n v="1"/>
    <n v="0"/>
    <n v="0.85"/>
  </r>
  <r>
    <s v="APT-01079"/>
    <x v="214"/>
    <x v="5"/>
    <x v="5"/>
    <x v="2"/>
    <x v="2"/>
    <s v="Ernakulam"/>
    <x v="8"/>
    <s v="PT-1491"/>
    <s v="Follow-up"/>
    <x v="1"/>
    <x v="1"/>
    <s v="Online Search"/>
    <x v="0"/>
    <n v="60"/>
    <n v="60"/>
    <n v="68.2"/>
    <n v="1300"/>
    <x v="22"/>
    <x v="0"/>
    <n v="0"/>
    <n v="1"/>
    <n v="0"/>
    <n v="0.85"/>
  </r>
  <r>
    <s v="APT-01080"/>
    <x v="208"/>
    <x v="3"/>
    <x v="1"/>
    <x v="1"/>
    <x v="2"/>
    <s v="Ernakulam"/>
    <x v="4"/>
    <s v="PT-1070"/>
    <s v="Post-op Rehab"/>
    <x v="4"/>
    <x v="0"/>
    <s v="Online Search"/>
    <x v="3"/>
    <n v="60"/>
    <n v="0"/>
    <n v="77.7"/>
    <n v="1700"/>
    <x v="9"/>
    <x v="0"/>
    <n v="0"/>
    <n v="0"/>
    <n v="0"/>
    <n v="0.85"/>
  </r>
  <r>
    <s v="APT-01081"/>
    <x v="52"/>
    <x v="9"/>
    <x v="2"/>
    <x v="2"/>
    <x v="2"/>
    <s v="Ernakulam"/>
    <x v="12"/>
    <s v="PT-1246"/>
    <s v="Post-op Rehab"/>
    <x v="0"/>
    <x v="0"/>
    <s v="Neurologist"/>
    <x v="0"/>
    <n v="45"/>
    <n v="45"/>
    <n v="52.7"/>
    <n v="1300"/>
    <x v="22"/>
    <x v="0"/>
    <n v="0"/>
    <n v="1"/>
    <n v="0"/>
    <n v="0.85"/>
  </r>
  <r>
    <s v="APT-01082"/>
    <x v="206"/>
    <x v="4"/>
    <x v="2"/>
    <x v="0"/>
    <x v="0"/>
    <s v="Palakkad"/>
    <x v="13"/>
    <s v="PT-1162"/>
    <s v="Follow-up"/>
    <x v="5"/>
    <x v="0"/>
    <s v="Corporate Wellness"/>
    <x v="0"/>
    <n v="45"/>
    <n v="45"/>
    <n v="55.4"/>
    <n v="950"/>
    <x v="7"/>
    <x v="0"/>
    <n v="0"/>
    <n v="1"/>
    <n v="0"/>
    <n v="0.85"/>
  </r>
  <r>
    <s v="APT-01083"/>
    <x v="280"/>
    <x v="7"/>
    <x v="4"/>
    <x v="0"/>
    <x v="1"/>
    <s v="Thrissur"/>
    <x v="10"/>
    <s v="PT-1543"/>
    <s v="Follow-up"/>
    <x v="3"/>
    <x v="2"/>
    <s v="Neurologist"/>
    <x v="0"/>
    <n v="45"/>
    <n v="45"/>
    <n v="56"/>
    <n v="1000"/>
    <x v="13"/>
    <x v="0"/>
    <n v="0"/>
    <n v="1"/>
    <n v="0"/>
    <n v="0.85"/>
  </r>
  <r>
    <s v="APT-01084"/>
    <x v="67"/>
    <x v="11"/>
    <x v="2"/>
    <x v="1"/>
    <x v="1"/>
    <s v="Thrissur"/>
    <x v="7"/>
    <s v="PT-1519"/>
    <s v="Sports Injury"/>
    <x v="1"/>
    <x v="3"/>
    <s v="Corporate Wellness"/>
    <x v="1"/>
    <n v="60"/>
    <n v="0"/>
    <n v="79.900000000000006"/>
    <n v="1250"/>
    <x v="9"/>
    <x v="9"/>
    <n v="1"/>
    <n v="0"/>
    <n v="0"/>
    <n v="0.85"/>
  </r>
  <r>
    <s v="APT-01085"/>
    <x v="201"/>
    <x v="8"/>
    <x v="3"/>
    <x v="3"/>
    <x v="1"/>
    <s v="Thrissur"/>
    <x v="7"/>
    <s v="PT-1082"/>
    <s v="Geriatric Rehab"/>
    <x v="0"/>
    <x v="0"/>
    <s v="Online Search"/>
    <x v="0"/>
    <n v="60"/>
    <n v="60"/>
    <n v="74.400000000000006"/>
    <n v="1350"/>
    <x v="14"/>
    <x v="0"/>
    <n v="0"/>
    <n v="1"/>
    <n v="0"/>
    <n v="0.85"/>
  </r>
  <r>
    <s v="APT-01086"/>
    <x v="60"/>
    <x v="9"/>
    <x v="1"/>
    <x v="0"/>
    <x v="0"/>
    <s v="Palakkad"/>
    <x v="11"/>
    <s v="PT-1168"/>
    <s v="Post-op Rehab"/>
    <x v="4"/>
    <x v="0"/>
    <s v="Hospital Discharge"/>
    <x v="3"/>
    <n v="45"/>
    <n v="0"/>
    <n v="60.7"/>
    <n v="1100"/>
    <x v="9"/>
    <x v="0"/>
    <n v="0"/>
    <n v="0"/>
    <n v="0"/>
    <n v="0.85"/>
  </r>
  <r>
    <s v="APT-01087"/>
    <x v="105"/>
    <x v="7"/>
    <x v="2"/>
    <x v="1"/>
    <x v="0"/>
    <s v="Palakkad"/>
    <x v="13"/>
    <s v="PT-1672"/>
    <s v="Geriatric Rehab"/>
    <x v="1"/>
    <x v="0"/>
    <s v="Hospital Discharge"/>
    <x v="0"/>
    <n v="30"/>
    <n v="30"/>
    <n v="34.700000000000003"/>
    <n v="600"/>
    <x v="16"/>
    <x v="0"/>
    <n v="0"/>
    <n v="1"/>
    <n v="0"/>
    <n v="0.85"/>
  </r>
  <r>
    <s v="APT-01088"/>
    <x v="130"/>
    <x v="3"/>
    <x v="2"/>
    <x v="3"/>
    <x v="0"/>
    <s v="Palakkad"/>
    <x v="0"/>
    <s v="PT-1282"/>
    <s v="New Patient"/>
    <x v="5"/>
    <x v="3"/>
    <s v="Neurologist"/>
    <x v="0"/>
    <n v="60"/>
    <n v="60"/>
    <n v="65.599999999999994"/>
    <n v="1400"/>
    <x v="21"/>
    <x v="0"/>
    <n v="0"/>
    <n v="1"/>
    <n v="0"/>
    <n v="0.85"/>
  </r>
  <r>
    <s v="APT-01089"/>
    <x v="76"/>
    <x v="2"/>
    <x v="0"/>
    <x v="3"/>
    <x v="2"/>
    <s v="Ernakulam"/>
    <x v="3"/>
    <s v="PT-1400"/>
    <s v="Chronic Pain"/>
    <x v="2"/>
    <x v="2"/>
    <s v="Neurologist"/>
    <x v="1"/>
    <n v="45"/>
    <n v="0"/>
    <n v="49.8"/>
    <n v="1100"/>
    <x v="9"/>
    <x v="6"/>
    <n v="1"/>
    <n v="0"/>
    <n v="0"/>
    <n v="0.85"/>
  </r>
  <r>
    <s v="APT-01090"/>
    <x v="215"/>
    <x v="9"/>
    <x v="6"/>
    <x v="0"/>
    <x v="0"/>
    <s v="Palakkad"/>
    <x v="13"/>
    <s v="PT-1486"/>
    <s v="New Patient"/>
    <x v="3"/>
    <x v="0"/>
    <s v="Hospital Discharge"/>
    <x v="0"/>
    <n v="60"/>
    <n v="60"/>
    <n v="67.7"/>
    <n v="1500"/>
    <x v="3"/>
    <x v="0"/>
    <n v="0"/>
    <n v="1"/>
    <n v="0"/>
    <n v="0.85"/>
  </r>
  <r>
    <s v="APT-01091"/>
    <x v="239"/>
    <x v="8"/>
    <x v="5"/>
    <x v="1"/>
    <x v="2"/>
    <s v="Ernakulam"/>
    <x v="4"/>
    <s v="PT-1200"/>
    <s v="Follow-up"/>
    <x v="2"/>
    <x v="0"/>
    <s v="Orthopedic Doctor"/>
    <x v="0"/>
    <n v="45"/>
    <n v="45"/>
    <n v="51.2"/>
    <n v="1100"/>
    <x v="20"/>
    <x v="0"/>
    <n v="0"/>
    <n v="1"/>
    <n v="0"/>
    <n v="0.85"/>
  </r>
  <r>
    <s v="APT-01092"/>
    <x v="21"/>
    <x v="10"/>
    <x v="1"/>
    <x v="0"/>
    <x v="2"/>
    <s v="Ernakulam"/>
    <x v="14"/>
    <s v="PT-1085"/>
    <s v="Follow-up"/>
    <x v="0"/>
    <x v="1"/>
    <s v="Neurologist"/>
    <x v="0"/>
    <n v="60"/>
    <n v="60"/>
    <n v="80.7"/>
    <n v="1300"/>
    <x v="22"/>
    <x v="0"/>
    <n v="0"/>
    <n v="1"/>
    <n v="0"/>
    <n v="0.85"/>
  </r>
  <r>
    <s v="APT-01093"/>
    <x v="271"/>
    <x v="9"/>
    <x v="2"/>
    <x v="2"/>
    <x v="2"/>
    <s v="Ernakulam"/>
    <x v="8"/>
    <s v="PT-1486"/>
    <s v="Sports Injury"/>
    <x v="4"/>
    <x v="0"/>
    <s v="Corporate Wellness"/>
    <x v="0"/>
    <n v="90"/>
    <n v="90"/>
    <n v="102.6"/>
    <n v="2250"/>
    <x v="12"/>
    <x v="0"/>
    <n v="0"/>
    <n v="1"/>
    <n v="0"/>
    <n v="0.85"/>
  </r>
  <r>
    <s v="APT-01094"/>
    <x v="0"/>
    <x v="0"/>
    <x v="0"/>
    <x v="2"/>
    <x v="2"/>
    <s v="Ernakulam"/>
    <x v="8"/>
    <s v="PT-1173"/>
    <s v="New Patient"/>
    <x v="2"/>
    <x v="2"/>
    <s v="Neurologist"/>
    <x v="0"/>
    <n v="45"/>
    <n v="45"/>
    <n v="59.6"/>
    <n v="1350"/>
    <x v="14"/>
    <x v="0"/>
    <n v="0"/>
    <n v="1"/>
    <n v="0"/>
    <n v="0.85"/>
  </r>
  <r>
    <s v="APT-01095"/>
    <x v="230"/>
    <x v="6"/>
    <x v="1"/>
    <x v="3"/>
    <x v="0"/>
    <s v="Palakkad"/>
    <x v="13"/>
    <s v="PT-1415"/>
    <s v="Chronic Pain"/>
    <x v="1"/>
    <x v="2"/>
    <s v="Orthopedic Doctor"/>
    <x v="0"/>
    <n v="60"/>
    <n v="60"/>
    <n v="67.599999999999994"/>
    <n v="1250"/>
    <x v="5"/>
    <x v="0"/>
    <n v="0"/>
    <n v="1"/>
    <n v="0"/>
    <n v="0.85"/>
  </r>
  <r>
    <s v="APT-01096"/>
    <x v="17"/>
    <x v="0"/>
    <x v="1"/>
    <x v="3"/>
    <x v="1"/>
    <s v="Thrissur"/>
    <x v="7"/>
    <s v="PT-1421"/>
    <s v="New Patient"/>
    <x v="0"/>
    <x v="0"/>
    <s v="Hospital Discharge"/>
    <x v="0"/>
    <n v="60"/>
    <n v="60"/>
    <n v="74.900000000000006"/>
    <n v="1600"/>
    <x v="11"/>
    <x v="0"/>
    <n v="0"/>
    <n v="1"/>
    <n v="0"/>
    <n v="0.85"/>
  </r>
  <r>
    <s v="APT-01097"/>
    <x v="228"/>
    <x v="1"/>
    <x v="2"/>
    <x v="2"/>
    <x v="1"/>
    <s v="Thrissur"/>
    <x v="1"/>
    <s v="PT-1085"/>
    <s v="Follow-up"/>
    <x v="5"/>
    <x v="0"/>
    <s v="Orthopedic Doctor"/>
    <x v="0"/>
    <n v="75"/>
    <n v="75"/>
    <n v="91.2"/>
    <n v="1700"/>
    <x v="6"/>
    <x v="0"/>
    <n v="0"/>
    <n v="1"/>
    <n v="0"/>
    <n v="0.85"/>
  </r>
  <r>
    <s v="APT-01098"/>
    <x v="258"/>
    <x v="11"/>
    <x v="3"/>
    <x v="1"/>
    <x v="2"/>
    <s v="Ernakulam"/>
    <x v="14"/>
    <s v="PT-1142"/>
    <s v="Post-op Rehab"/>
    <x v="4"/>
    <x v="1"/>
    <s v="Self Referral"/>
    <x v="0"/>
    <n v="60"/>
    <n v="60"/>
    <n v="78.400000000000006"/>
    <n v="1450"/>
    <x v="10"/>
    <x v="0"/>
    <n v="0"/>
    <n v="1"/>
    <n v="0"/>
    <n v="0.85"/>
  </r>
  <r>
    <s v="APT-01099"/>
    <x v="311"/>
    <x v="1"/>
    <x v="0"/>
    <x v="1"/>
    <x v="2"/>
    <s v="Ernakulam"/>
    <x v="4"/>
    <s v="PT-1567"/>
    <s v="Post-op Rehab"/>
    <x v="1"/>
    <x v="0"/>
    <s v="Orthopedic Doctor"/>
    <x v="3"/>
    <n v="90"/>
    <n v="0"/>
    <n v="111.5"/>
    <n v="2600"/>
    <x v="9"/>
    <x v="0"/>
    <n v="0"/>
    <n v="0"/>
    <n v="0"/>
    <n v="0.85"/>
  </r>
  <r>
    <s v="APT-01100"/>
    <x v="53"/>
    <x v="10"/>
    <x v="4"/>
    <x v="3"/>
    <x v="1"/>
    <s v="Thrissur"/>
    <x v="2"/>
    <s v="PT-1056"/>
    <s v="Chronic Pain"/>
    <x v="2"/>
    <x v="3"/>
    <s v="Neurologist"/>
    <x v="2"/>
    <n v="60"/>
    <n v="0"/>
    <n v="71.7"/>
    <n v="1250"/>
    <x v="9"/>
    <x v="9"/>
    <n v="0"/>
    <n v="0"/>
    <n v="1"/>
    <n v="0.85"/>
  </r>
  <r>
    <s v="APT-01101"/>
    <x v="60"/>
    <x v="9"/>
    <x v="1"/>
    <x v="0"/>
    <x v="0"/>
    <s v="Palakkad"/>
    <x v="11"/>
    <s v="PT-1432"/>
    <s v="Follow-up"/>
    <x v="2"/>
    <x v="2"/>
    <s v="Online Search"/>
    <x v="0"/>
    <n v="30"/>
    <n v="30"/>
    <n v="34.9"/>
    <n v="600"/>
    <x v="16"/>
    <x v="0"/>
    <n v="0"/>
    <n v="1"/>
    <n v="0"/>
    <n v="0.85"/>
  </r>
  <r>
    <s v="APT-01102"/>
    <x v="312"/>
    <x v="5"/>
    <x v="6"/>
    <x v="2"/>
    <x v="1"/>
    <s v="Thrissur"/>
    <x v="10"/>
    <s v="PT-1590"/>
    <s v="Chronic Pain"/>
    <x v="4"/>
    <x v="3"/>
    <s v="Self Referral"/>
    <x v="1"/>
    <n v="60"/>
    <n v="0"/>
    <n v="68.099999999999994"/>
    <n v="1250"/>
    <x v="9"/>
    <x v="9"/>
    <n v="1"/>
    <n v="0"/>
    <n v="0"/>
    <n v="0.85"/>
  </r>
  <r>
    <s v="APT-01103"/>
    <x v="149"/>
    <x v="10"/>
    <x v="5"/>
    <x v="2"/>
    <x v="0"/>
    <s v="Palakkad"/>
    <x v="13"/>
    <s v="PT-1260"/>
    <s v="Geriatric Rehab"/>
    <x v="3"/>
    <x v="2"/>
    <s v="Orthopedic Doctor"/>
    <x v="3"/>
    <n v="45"/>
    <n v="0"/>
    <n v="53.5"/>
    <n v="950"/>
    <x v="9"/>
    <x v="0"/>
    <n v="0"/>
    <n v="0"/>
    <n v="0"/>
    <n v="0.85"/>
  </r>
  <r>
    <s v="APT-01104"/>
    <x v="288"/>
    <x v="10"/>
    <x v="3"/>
    <x v="3"/>
    <x v="0"/>
    <s v="Palakkad"/>
    <x v="13"/>
    <s v="PT-1495"/>
    <s v="New Patient"/>
    <x v="1"/>
    <x v="2"/>
    <s v="Online Search"/>
    <x v="0"/>
    <n v="45"/>
    <n v="45"/>
    <n v="50"/>
    <n v="1100"/>
    <x v="20"/>
    <x v="0"/>
    <n v="0"/>
    <n v="1"/>
    <n v="0"/>
    <n v="0.85"/>
  </r>
  <r>
    <s v="APT-01105"/>
    <x v="41"/>
    <x v="11"/>
    <x v="1"/>
    <x v="3"/>
    <x v="2"/>
    <s v="Ernakulam"/>
    <x v="8"/>
    <s v="PT-1045"/>
    <s v="Chronic Pain"/>
    <x v="4"/>
    <x v="3"/>
    <s v="Neurologist"/>
    <x v="2"/>
    <n v="90"/>
    <n v="0"/>
    <n v="109"/>
    <n v="2050"/>
    <x v="9"/>
    <x v="28"/>
    <n v="0"/>
    <n v="0"/>
    <n v="1"/>
    <n v="0.85"/>
  </r>
  <r>
    <s v="APT-01106"/>
    <x v="209"/>
    <x v="4"/>
    <x v="4"/>
    <x v="1"/>
    <x v="0"/>
    <s v="Palakkad"/>
    <x v="6"/>
    <s v="PT-1329"/>
    <s v="Follow-up"/>
    <x v="4"/>
    <x v="0"/>
    <s v="Corporate Wellness"/>
    <x v="0"/>
    <n v="60"/>
    <n v="60"/>
    <n v="77.7"/>
    <n v="1250"/>
    <x v="5"/>
    <x v="0"/>
    <n v="0"/>
    <n v="1"/>
    <n v="0"/>
    <n v="0.85"/>
  </r>
  <r>
    <s v="APT-01107"/>
    <x v="191"/>
    <x v="6"/>
    <x v="1"/>
    <x v="3"/>
    <x v="2"/>
    <s v="Ernakulam"/>
    <x v="8"/>
    <s v="PT-1340"/>
    <s v="Post-op Rehab"/>
    <x v="2"/>
    <x v="0"/>
    <s v="Hospital Discharge"/>
    <x v="0"/>
    <n v="45"/>
    <n v="45"/>
    <n v="52.5"/>
    <n v="1300"/>
    <x v="22"/>
    <x v="0"/>
    <n v="0"/>
    <n v="1"/>
    <n v="0"/>
    <n v="0.85"/>
  </r>
  <r>
    <s v="APT-01108"/>
    <x v="151"/>
    <x v="10"/>
    <x v="5"/>
    <x v="1"/>
    <x v="2"/>
    <s v="Ernakulam"/>
    <x v="12"/>
    <s v="PT-1200"/>
    <s v="Follow-up"/>
    <x v="5"/>
    <x v="2"/>
    <s v="Self Referral"/>
    <x v="1"/>
    <n v="45"/>
    <n v="0"/>
    <n v="51.7"/>
    <n v="1100"/>
    <x v="9"/>
    <x v="6"/>
    <n v="1"/>
    <n v="0"/>
    <n v="0"/>
    <n v="0.85"/>
  </r>
  <r>
    <s v="APT-01109"/>
    <x v="104"/>
    <x v="2"/>
    <x v="3"/>
    <x v="2"/>
    <x v="1"/>
    <s v="Thrissur"/>
    <x v="5"/>
    <s v="PT-1395"/>
    <s v="New Patient"/>
    <x v="1"/>
    <x v="0"/>
    <s v="Online Search"/>
    <x v="0"/>
    <n v="60"/>
    <n v="60"/>
    <n v="66"/>
    <n v="1600"/>
    <x v="11"/>
    <x v="0"/>
    <n v="0"/>
    <n v="1"/>
    <n v="0"/>
    <n v="0.85"/>
  </r>
  <r>
    <s v="APT-01110"/>
    <x v="22"/>
    <x v="11"/>
    <x v="1"/>
    <x v="1"/>
    <x v="0"/>
    <s v="Palakkad"/>
    <x v="9"/>
    <s v="PT-1329"/>
    <s v="Chronic Pain"/>
    <x v="1"/>
    <x v="0"/>
    <s v="Online Search"/>
    <x v="0"/>
    <n v="60"/>
    <n v="60"/>
    <n v="78.2"/>
    <n v="1250"/>
    <x v="5"/>
    <x v="0"/>
    <n v="0"/>
    <n v="1"/>
    <n v="0"/>
    <n v="0.85"/>
  </r>
  <r>
    <s v="APT-01111"/>
    <x v="145"/>
    <x v="1"/>
    <x v="1"/>
    <x v="3"/>
    <x v="1"/>
    <s v="Thrissur"/>
    <x v="2"/>
    <s v="PT-1463"/>
    <s v="Post-op Rehab"/>
    <x v="2"/>
    <x v="0"/>
    <s v="Hospital Discharge"/>
    <x v="0"/>
    <n v="60"/>
    <n v="60"/>
    <n v="81.099999999999994"/>
    <n v="1550"/>
    <x v="1"/>
    <x v="0"/>
    <n v="0"/>
    <n v="1"/>
    <n v="0"/>
    <n v="0.85"/>
  </r>
  <r>
    <s v="APT-01112"/>
    <x v="14"/>
    <x v="1"/>
    <x v="4"/>
    <x v="1"/>
    <x v="1"/>
    <s v="Thrissur"/>
    <x v="5"/>
    <s v="PT-1477"/>
    <s v="Geriatric Rehab"/>
    <x v="1"/>
    <x v="3"/>
    <s v="Neurologist"/>
    <x v="0"/>
    <n v="75"/>
    <n v="75"/>
    <n v="85.4"/>
    <n v="1550"/>
    <x v="1"/>
    <x v="0"/>
    <n v="0"/>
    <n v="1"/>
    <n v="0"/>
    <n v="0.85"/>
  </r>
  <r>
    <s v="APT-01113"/>
    <x v="191"/>
    <x v="6"/>
    <x v="1"/>
    <x v="0"/>
    <x v="1"/>
    <s v="Thrissur"/>
    <x v="1"/>
    <s v="PT-1281"/>
    <s v="Geriatric Rehab"/>
    <x v="0"/>
    <x v="0"/>
    <s v="Self Referral"/>
    <x v="1"/>
    <n v="60"/>
    <n v="0"/>
    <n v="67.3"/>
    <n v="1350"/>
    <x v="9"/>
    <x v="2"/>
    <n v="1"/>
    <n v="0"/>
    <n v="0"/>
    <n v="0.85"/>
  </r>
  <r>
    <s v="APT-01114"/>
    <x v="168"/>
    <x v="7"/>
    <x v="1"/>
    <x v="2"/>
    <x v="0"/>
    <s v="Palakkad"/>
    <x v="13"/>
    <s v="PT-1593"/>
    <s v="New Patient"/>
    <x v="3"/>
    <x v="0"/>
    <s v="Neurologist"/>
    <x v="0"/>
    <n v="30"/>
    <n v="30"/>
    <n v="37.299999999999997"/>
    <n v="750"/>
    <x v="27"/>
    <x v="0"/>
    <n v="0"/>
    <n v="1"/>
    <n v="0"/>
    <n v="0.85"/>
  </r>
  <r>
    <s v="APT-01115"/>
    <x v="106"/>
    <x v="3"/>
    <x v="4"/>
    <x v="0"/>
    <x v="1"/>
    <s v="Thrissur"/>
    <x v="5"/>
    <s v="PT-1430"/>
    <s v="Chronic Pain"/>
    <x v="4"/>
    <x v="0"/>
    <s v="Hospital Discharge"/>
    <x v="2"/>
    <n v="60"/>
    <n v="0"/>
    <n v="76.2"/>
    <n v="1350"/>
    <x v="9"/>
    <x v="2"/>
    <n v="0"/>
    <n v="0"/>
    <n v="1"/>
    <n v="0.85"/>
  </r>
  <r>
    <s v="APT-01116"/>
    <x v="108"/>
    <x v="11"/>
    <x v="3"/>
    <x v="2"/>
    <x v="0"/>
    <s v="Palakkad"/>
    <x v="11"/>
    <s v="PT-1691"/>
    <s v="Follow-up"/>
    <x v="4"/>
    <x v="0"/>
    <s v="Orthopedic Doctor"/>
    <x v="0"/>
    <n v="60"/>
    <n v="60"/>
    <n v="68.599999999999994"/>
    <n v="1250"/>
    <x v="5"/>
    <x v="0"/>
    <n v="0"/>
    <n v="1"/>
    <n v="0"/>
    <n v="0.85"/>
  </r>
  <r>
    <s v="APT-01117"/>
    <x v="49"/>
    <x v="9"/>
    <x v="1"/>
    <x v="2"/>
    <x v="1"/>
    <s v="Thrissur"/>
    <x v="5"/>
    <s v="PT-1017"/>
    <s v="Geriatric Rehab"/>
    <x v="4"/>
    <x v="2"/>
    <s v="Corporate Wellness"/>
    <x v="0"/>
    <n v="75"/>
    <n v="75"/>
    <n v="92.8"/>
    <n v="1700"/>
    <x v="6"/>
    <x v="0"/>
    <n v="0"/>
    <n v="1"/>
    <n v="0"/>
    <n v="0.85"/>
  </r>
  <r>
    <s v="APT-01118"/>
    <x v="197"/>
    <x v="3"/>
    <x v="1"/>
    <x v="0"/>
    <x v="1"/>
    <s v="Thrissur"/>
    <x v="10"/>
    <s v="PT-1572"/>
    <s v="New Patient"/>
    <x v="3"/>
    <x v="0"/>
    <s v="Neurologist"/>
    <x v="0"/>
    <n v="60"/>
    <n v="60"/>
    <n v="78.400000000000006"/>
    <n v="1600"/>
    <x v="11"/>
    <x v="0"/>
    <n v="0"/>
    <n v="1"/>
    <n v="0"/>
    <n v="0.85"/>
  </r>
  <r>
    <s v="APT-01119"/>
    <x v="287"/>
    <x v="9"/>
    <x v="0"/>
    <x v="0"/>
    <x v="0"/>
    <s v="Palakkad"/>
    <x v="13"/>
    <s v="PT-1659"/>
    <s v="Follow-up"/>
    <x v="0"/>
    <x v="3"/>
    <s v="Neurologist"/>
    <x v="0"/>
    <n v="30"/>
    <n v="30"/>
    <n v="35.200000000000003"/>
    <n v="600"/>
    <x v="16"/>
    <x v="0"/>
    <n v="0"/>
    <n v="1"/>
    <n v="0"/>
    <n v="0.85"/>
  </r>
  <r>
    <s v="APT-01120"/>
    <x v="206"/>
    <x v="4"/>
    <x v="2"/>
    <x v="3"/>
    <x v="0"/>
    <s v="Palakkad"/>
    <x v="11"/>
    <s v="PT-1226"/>
    <s v="Chronic Pain"/>
    <x v="0"/>
    <x v="0"/>
    <s v="Corporate Wellness"/>
    <x v="0"/>
    <n v="60"/>
    <n v="60"/>
    <n v="69.400000000000006"/>
    <n v="1250"/>
    <x v="5"/>
    <x v="0"/>
    <n v="0"/>
    <n v="1"/>
    <n v="0"/>
    <n v="0.85"/>
  </r>
  <r>
    <s v="APT-01121"/>
    <x v="142"/>
    <x v="11"/>
    <x v="3"/>
    <x v="1"/>
    <x v="2"/>
    <s v="Ernakulam"/>
    <x v="12"/>
    <s v="PT-1215"/>
    <s v="Geriatric Rehab"/>
    <x v="1"/>
    <x v="0"/>
    <s v="Self Referral"/>
    <x v="0"/>
    <n v="45"/>
    <n v="45"/>
    <n v="52.8"/>
    <n v="1100"/>
    <x v="20"/>
    <x v="0"/>
    <n v="0"/>
    <n v="1"/>
    <n v="0"/>
    <n v="0.85"/>
  </r>
  <r>
    <s v="APT-01122"/>
    <x v="102"/>
    <x v="1"/>
    <x v="1"/>
    <x v="2"/>
    <x v="2"/>
    <s v="Ernakulam"/>
    <x v="12"/>
    <s v="PT-1066"/>
    <s v="Post-op Rehab"/>
    <x v="1"/>
    <x v="2"/>
    <s v="Corporate Wellness"/>
    <x v="0"/>
    <n v="30"/>
    <n v="30"/>
    <n v="33.200000000000003"/>
    <n v="850"/>
    <x v="23"/>
    <x v="0"/>
    <n v="0"/>
    <n v="1"/>
    <n v="0"/>
    <n v="0.85"/>
  </r>
  <r>
    <s v="APT-01123"/>
    <x v="194"/>
    <x v="8"/>
    <x v="4"/>
    <x v="2"/>
    <x v="2"/>
    <s v="Ernakulam"/>
    <x v="4"/>
    <s v="PT-1336"/>
    <s v="Post-op Rehab"/>
    <x v="4"/>
    <x v="3"/>
    <s v="Corporate Wellness"/>
    <x v="2"/>
    <n v="60"/>
    <n v="0"/>
    <n v="74.2"/>
    <n v="1600"/>
    <x v="9"/>
    <x v="10"/>
    <n v="0"/>
    <n v="0"/>
    <n v="1"/>
    <n v="0.85"/>
  </r>
  <r>
    <s v="APT-01124"/>
    <x v="59"/>
    <x v="5"/>
    <x v="0"/>
    <x v="2"/>
    <x v="0"/>
    <s v="Palakkad"/>
    <x v="0"/>
    <s v="PT-1578"/>
    <s v="Post-op Rehab"/>
    <x v="0"/>
    <x v="0"/>
    <s v="Online Search"/>
    <x v="0"/>
    <n v="30"/>
    <n v="30"/>
    <n v="35"/>
    <n v="700"/>
    <x v="19"/>
    <x v="0"/>
    <n v="0"/>
    <n v="1"/>
    <n v="0"/>
    <n v="0.85"/>
  </r>
  <r>
    <s v="APT-01125"/>
    <x v="60"/>
    <x v="9"/>
    <x v="1"/>
    <x v="3"/>
    <x v="2"/>
    <s v="Ernakulam"/>
    <x v="12"/>
    <s v="PT-1033"/>
    <s v="Geriatric Rehab"/>
    <x v="3"/>
    <x v="3"/>
    <s v="Online Search"/>
    <x v="1"/>
    <n v="60"/>
    <n v="0"/>
    <n v="79.400000000000006"/>
    <n v="1400"/>
    <x v="9"/>
    <x v="23"/>
    <n v="1"/>
    <n v="0"/>
    <n v="0"/>
    <n v="0.85"/>
  </r>
  <r>
    <s v="APT-01126"/>
    <x v="120"/>
    <x v="11"/>
    <x v="4"/>
    <x v="0"/>
    <x v="1"/>
    <s v="Thrissur"/>
    <x v="10"/>
    <s v="PT-1095"/>
    <s v="Follow-up"/>
    <x v="3"/>
    <x v="0"/>
    <s v="Neurologist"/>
    <x v="0"/>
    <n v="90"/>
    <n v="90"/>
    <n v="99.3"/>
    <n v="2000"/>
    <x v="33"/>
    <x v="0"/>
    <n v="0"/>
    <n v="1"/>
    <n v="0"/>
    <n v="0.85"/>
  </r>
  <r>
    <s v="APT-01127"/>
    <x v="81"/>
    <x v="4"/>
    <x v="1"/>
    <x v="3"/>
    <x v="0"/>
    <s v="Palakkad"/>
    <x v="9"/>
    <s v="PT-1294"/>
    <s v="Follow-up"/>
    <x v="2"/>
    <x v="0"/>
    <s v="Corporate Wellness"/>
    <x v="1"/>
    <n v="60"/>
    <n v="0"/>
    <n v="68.8"/>
    <n v="1250"/>
    <x v="9"/>
    <x v="9"/>
    <n v="1"/>
    <n v="0"/>
    <n v="0"/>
    <n v="0.85"/>
  </r>
  <r>
    <s v="APT-01128"/>
    <x v="154"/>
    <x v="10"/>
    <x v="5"/>
    <x v="1"/>
    <x v="0"/>
    <s v="Palakkad"/>
    <x v="6"/>
    <s v="PT-1664"/>
    <s v="New Patient"/>
    <x v="3"/>
    <x v="2"/>
    <s v="Online Search"/>
    <x v="1"/>
    <n v="45"/>
    <n v="0"/>
    <n v="53.4"/>
    <n v="1100"/>
    <x v="9"/>
    <x v="6"/>
    <n v="1"/>
    <n v="0"/>
    <n v="0"/>
    <n v="0.85"/>
  </r>
  <r>
    <s v="APT-01129"/>
    <x v="235"/>
    <x v="0"/>
    <x v="5"/>
    <x v="3"/>
    <x v="0"/>
    <s v="Palakkad"/>
    <x v="11"/>
    <s v="PT-1019"/>
    <s v="New Patient"/>
    <x v="4"/>
    <x v="2"/>
    <s v="Neurologist"/>
    <x v="0"/>
    <n v="60"/>
    <n v="60"/>
    <n v="72.7"/>
    <n v="1500"/>
    <x v="3"/>
    <x v="0"/>
    <n v="0"/>
    <n v="1"/>
    <n v="0"/>
    <n v="0.85"/>
  </r>
  <r>
    <s v="APT-01130"/>
    <x v="131"/>
    <x v="11"/>
    <x v="2"/>
    <x v="1"/>
    <x v="2"/>
    <s v="Ernakulam"/>
    <x v="12"/>
    <s v="PT-1068"/>
    <s v="New Patient"/>
    <x v="4"/>
    <x v="1"/>
    <s v="Orthopedic Doctor"/>
    <x v="0"/>
    <n v="60"/>
    <n v="60"/>
    <n v="67.599999999999994"/>
    <n v="1550"/>
    <x v="1"/>
    <x v="0"/>
    <n v="0"/>
    <n v="1"/>
    <n v="0"/>
    <n v="0.85"/>
  </r>
  <r>
    <s v="APT-01131"/>
    <x v="42"/>
    <x v="7"/>
    <x v="1"/>
    <x v="2"/>
    <x v="0"/>
    <s v="Palakkad"/>
    <x v="0"/>
    <s v="PT-1499"/>
    <s v="New Patient"/>
    <x v="1"/>
    <x v="0"/>
    <s v="Self Referral"/>
    <x v="0"/>
    <n v="90"/>
    <n v="90"/>
    <n v="112.2"/>
    <n v="2250"/>
    <x v="12"/>
    <x v="0"/>
    <n v="0"/>
    <n v="1"/>
    <n v="0"/>
    <n v="0.85"/>
  </r>
  <r>
    <s v="APT-01132"/>
    <x v="244"/>
    <x v="9"/>
    <x v="0"/>
    <x v="1"/>
    <x v="0"/>
    <s v="Palakkad"/>
    <x v="9"/>
    <s v="PT-1470"/>
    <s v="Follow-up"/>
    <x v="0"/>
    <x v="1"/>
    <s v="Orthopedic Doctor"/>
    <x v="0"/>
    <n v="60"/>
    <n v="60"/>
    <n v="67.400000000000006"/>
    <n v="1050"/>
    <x v="2"/>
    <x v="0"/>
    <n v="0"/>
    <n v="1"/>
    <n v="0"/>
    <n v="0.85"/>
  </r>
  <r>
    <s v="APT-01133"/>
    <x v="122"/>
    <x v="8"/>
    <x v="2"/>
    <x v="3"/>
    <x v="2"/>
    <s v="Ernakulam"/>
    <x v="3"/>
    <s v="PT-1677"/>
    <s v="New Patient"/>
    <x v="3"/>
    <x v="2"/>
    <s v="Orthopedic Doctor"/>
    <x v="1"/>
    <n v="60"/>
    <n v="0"/>
    <n v="70.5"/>
    <n v="1800"/>
    <x v="9"/>
    <x v="13"/>
    <n v="1"/>
    <n v="0"/>
    <n v="0"/>
    <n v="0.85"/>
  </r>
  <r>
    <s v="APT-01134"/>
    <x v="220"/>
    <x v="0"/>
    <x v="0"/>
    <x v="1"/>
    <x v="2"/>
    <s v="Ernakulam"/>
    <x v="8"/>
    <s v="PT-1395"/>
    <s v="Follow-up"/>
    <x v="2"/>
    <x v="2"/>
    <s v="Orthopedic Doctor"/>
    <x v="0"/>
    <n v="75"/>
    <n v="75"/>
    <n v="99.8"/>
    <n v="1900"/>
    <x v="0"/>
    <x v="0"/>
    <n v="0"/>
    <n v="1"/>
    <n v="0"/>
    <n v="0.85"/>
  </r>
  <r>
    <s v="APT-01135"/>
    <x v="91"/>
    <x v="4"/>
    <x v="3"/>
    <x v="2"/>
    <x v="0"/>
    <s v="Palakkad"/>
    <x v="9"/>
    <s v="PT-1128"/>
    <s v="Post-op Rehab"/>
    <x v="2"/>
    <x v="2"/>
    <s v="Online Search"/>
    <x v="1"/>
    <n v="60"/>
    <n v="0"/>
    <n v="66.2"/>
    <n v="1450"/>
    <x v="9"/>
    <x v="22"/>
    <n v="1"/>
    <n v="0"/>
    <n v="0"/>
    <n v="0.85"/>
  </r>
  <r>
    <s v="APT-01136"/>
    <x v="28"/>
    <x v="5"/>
    <x v="2"/>
    <x v="3"/>
    <x v="1"/>
    <s v="Thrissur"/>
    <x v="10"/>
    <s v="PT-1112"/>
    <s v="New Patient"/>
    <x v="4"/>
    <x v="1"/>
    <s v="Self Referral"/>
    <x v="0"/>
    <n v="60"/>
    <n v="60"/>
    <n v="76"/>
    <n v="1400"/>
    <x v="21"/>
    <x v="0"/>
    <n v="0"/>
    <n v="1"/>
    <n v="0"/>
    <n v="0.85"/>
  </r>
  <r>
    <s v="APT-01137"/>
    <x v="54"/>
    <x v="10"/>
    <x v="4"/>
    <x v="1"/>
    <x v="0"/>
    <s v="Palakkad"/>
    <x v="13"/>
    <s v="PT-1140"/>
    <s v="New Patient"/>
    <x v="2"/>
    <x v="3"/>
    <s v="Self Referral"/>
    <x v="0"/>
    <n v="90"/>
    <n v="90"/>
    <n v="111.4"/>
    <n v="2050"/>
    <x v="31"/>
    <x v="0"/>
    <n v="0"/>
    <n v="1"/>
    <n v="0"/>
    <n v="0.85"/>
  </r>
  <r>
    <s v="APT-01138"/>
    <x v="174"/>
    <x v="6"/>
    <x v="3"/>
    <x v="1"/>
    <x v="0"/>
    <s v="Palakkad"/>
    <x v="13"/>
    <s v="PT-1439"/>
    <s v="Post-op Rehab"/>
    <x v="3"/>
    <x v="3"/>
    <s v="Hospital Discharge"/>
    <x v="1"/>
    <n v="60"/>
    <n v="0"/>
    <n v="70.8"/>
    <n v="1300"/>
    <x v="9"/>
    <x v="1"/>
    <n v="1"/>
    <n v="0"/>
    <n v="0"/>
    <n v="0.85"/>
  </r>
  <r>
    <s v="APT-01139"/>
    <x v="203"/>
    <x v="11"/>
    <x v="2"/>
    <x v="3"/>
    <x v="0"/>
    <s v="Palakkad"/>
    <x v="11"/>
    <s v="PT-1136"/>
    <s v="Follow-up"/>
    <x v="4"/>
    <x v="0"/>
    <s v="Orthopedic Doctor"/>
    <x v="0"/>
    <n v="90"/>
    <n v="90"/>
    <n v="102"/>
    <n v="1900"/>
    <x v="0"/>
    <x v="0"/>
    <n v="0"/>
    <n v="1"/>
    <n v="0"/>
    <n v="0.85"/>
  </r>
  <r>
    <s v="APT-01140"/>
    <x v="82"/>
    <x v="2"/>
    <x v="0"/>
    <x v="1"/>
    <x v="2"/>
    <s v="Ernakulam"/>
    <x v="8"/>
    <s v="PT-1092"/>
    <s v="Follow-up"/>
    <x v="5"/>
    <x v="0"/>
    <s v="Self Referral"/>
    <x v="3"/>
    <n v="45"/>
    <n v="0"/>
    <n v="57.6"/>
    <n v="1100"/>
    <x v="9"/>
    <x v="0"/>
    <n v="0"/>
    <n v="0"/>
    <n v="0"/>
    <n v="0.85"/>
  </r>
  <r>
    <s v="APT-01141"/>
    <x v="49"/>
    <x v="9"/>
    <x v="1"/>
    <x v="1"/>
    <x v="0"/>
    <s v="Palakkad"/>
    <x v="13"/>
    <s v="PT-1205"/>
    <s v="New Patient"/>
    <x v="2"/>
    <x v="0"/>
    <s v="Neurologist"/>
    <x v="0"/>
    <n v="45"/>
    <n v="45"/>
    <n v="49.9"/>
    <n v="1100"/>
    <x v="20"/>
    <x v="0"/>
    <n v="0"/>
    <n v="1"/>
    <n v="0"/>
    <n v="0.85"/>
  </r>
  <r>
    <s v="APT-01142"/>
    <x v="103"/>
    <x v="5"/>
    <x v="4"/>
    <x v="2"/>
    <x v="2"/>
    <s v="Ernakulam"/>
    <x v="12"/>
    <s v="PT-1566"/>
    <s v="New Patient"/>
    <x v="1"/>
    <x v="0"/>
    <s v="Online Search"/>
    <x v="0"/>
    <n v="45"/>
    <n v="45"/>
    <n v="52.6"/>
    <n v="1350"/>
    <x v="14"/>
    <x v="0"/>
    <n v="0"/>
    <n v="1"/>
    <n v="0"/>
    <n v="0.85"/>
  </r>
  <r>
    <s v="APT-01143"/>
    <x v="151"/>
    <x v="10"/>
    <x v="5"/>
    <x v="3"/>
    <x v="0"/>
    <s v="Palakkad"/>
    <x v="0"/>
    <s v="PT-1197"/>
    <s v="Follow-up"/>
    <x v="5"/>
    <x v="2"/>
    <s v="Hospital Discharge"/>
    <x v="0"/>
    <n v="60"/>
    <n v="60"/>
    <n v="78.400000000000006"/>
    <n v="1250"/>
    <x v="5"/>
    <x v="0"/>
    <n v="0"/>
    <n v="1"/>
    <n v="0"/>
    <n v="0.85"/>
  </r>
  <r>
    <s v="APT-01144"/>
    <x v="233"/>
    <x v="3"/>
    <x v="3"/>
    <x v="0"/>
    <x v="2"/>
    <s v="Ernakulam"/>
    <x v="8"/>
    <s v="PT-1171"/>
    <s v="Post-op Rehab"/>
    <x v="1"/>
    <x v="1"/>
    <s v="Neurologist"/>
    <x v="0"/>
    <n v="45"/>
    <n v="45"/>
    <n v="55.3"/>
    <n v="1100"/>
    <x v="20"/>
    <x v="0"/>
    <n v="0"/>
    <n v="1"/>
    <n v="0"/>
    <n v="0.85"/>
  </r>
  <r>
    <s v="APT-01145"/>
    <x v="301"/>
    <x v="9"/>
    <x v="3"/>
    <x v="2"/>
    <x v="0"/>
    <s v="Palakkad"/>
    <x v="6"/>
    <s v="PT-1004"/>
    <s v="Chronic Pain"/>
    <x v="0"/>
    <x v="3"/>
    <s v="Orthopedic Doctor"/>
    <x v="0"/>
    <n v="45"/>
    <n v="45"/>
    <n v="59.2"/>
    <n v="850"/>
    <x v="23"/>
    <x v="0"/>
    <n v="0"/>
    <n v="1"/>
    <n v="0"/>
    <n v="0.85"/>
  </r>
  <r>
    <s v="APT-01146"/>
    <x v="163"/>
    <x v="8"/>
    <x v="0"/>
    <x v="3"/>
    <x v="1"/>
    <s v="Thrissur"/>
    <x v="10"/>
    <s v="PT-1173"/>
    <s v="Follow-up"/>
    <x v="5"/>
    <x v="3"/>
    <s v="Self Referral"/>
    <x v="0"/>
    <n v="30"/>
    <n v="30"/>
    <n v="33"/>
    <n v="600"/>
    <x v="16"/>
    <x v="0"/>
    <n v="0"/>
    <n v="1"/>
    <n v="0"/>
    <n v="0.85"/>
  </r>
  <r>
    <s v="APT-01147"/>
    <x v="9"/>
    <x v="1"/>
    <x v="5"/>
    <x v="1"/>
    <x v="2"/>
    <s v="Ernakulam"/>
    <x v="4"/>
    <s v="PT-1093"/>
    <s v="Follow-up"/>
    <x v="5"/>
    <x v="0"/>
    <s v="Corporate Wellness"/>
    <x v="0"/>
    <n v="45"/>
    <n v="45"/>
    <n v="60.1"/>
    <n v="1100"/>
    <x v="20"/>
    <x v="0"/>
    <n v="0"/>
    <n v="1"/>
    <n v="0"/>
    <n v="0.85"/>
  </r>
  <r>
    <s v="APT-01148"/>
    <x v="194"/>
    <x v="8"/>
    <x v="4"/>
    <x v="1"/>
    <x v="0"/>
    <s v="Palakkad"/>
    <x v="0"/>
    <s v="PT-1032"/>
    <s v="Post-op Rehab"/>
    <x v="0"/>
    <x v="1"/>
    <s v="Orthopedic Doctor"/>
    <x v="0"/>
    <n v="45"/>
    <n v="45"/>
    <n v="59.8"/>
    <n v="900"/>
    <x v="17"/>
    <x v="0"/>
    <n v="0"/>
    <n v="1"/>
    <n v="0"/>
    <n v="0.85"/>
  </r>
  <r>
    <s v="APT-01149"/>
    <x v="39"/>
    <x v="6"/>
    <x v="5"/>
    <x v="2"/>
    <x v="2"/>
    <s v="Ernakulam"/>
    <x v="14"/>
    <s v="PT-1584"/>
    <s v="Follow-up"/>
    <x v="5"/>
    <x v="0"/>
    <s v="Self Referral"/>
    <x v="0"/>
    <n v="45"/>
    <n v="45"/>
    <n v="54.7"/>
    <n v="1100"/>
    <x v="20"/>
    <x v="0"/>
    <n v="0"/>
    <n v="1"/>
    <n v="0"/>
    <n v="0.85"/>
  </r>
  <r>
    <s v="APT-01150"/>
    <x v="225"/>
    <x v="1"/>
    <x v="5"/>
    <x v="3"/>
    <x v="0"/>
    <s v="Palakkad"/>
    <x v="6"/>
    <s v="PT-1623"/>
    <s v="Follow-up"/>
    <x v="0"/>
    <x v="0"/>
    <s v="Neurologist"/>
    <x v="0"/>
    <n v="60"/>
    <n v="60"/>
    <n v="77.599999999999994"/>
    <n v="1250"/>
    <x v="5"/>
    <x v="0"/>
    <n v="0"/>
    <n v="1"/>
    <n v="0"/>
    <n v="0.85"/>
  </r>
  <r>
    <s v="APT-01151"/>
    <x v="210"/>
    <x v="7"/>
    <x v="4"/>
    <x v="1"/>
    <x v="1"/>
    <s v="Thrissur"/>
    <x v="7"/>
    <s v="PT-1003"/>
    <s v="Sports Injury"/>
    <x v="2"/>
    <x v="0"/>
    <s v="Neurologist"/>
    <x v="0"/>
    <n v="45"/>
    <n v="45"/>
    <n v="54"/>
    <n v="1000"/>
    <x v="13"/>
    <x v="0"/>
    <n v="0"/>
    <n v="1"/>
    <n v="0"/>
    <n v="0.85"/>
  </r>
  <r>
    <s v="APT-01152"/>
    <x v="291"/>
    <x v="2"/>
    <x v="2"/>
    <x v="0"/>
    <x v="2"/>
    <s v="Ernakulam"/>
    <x v="4"/>
    <s v="PT-1414"/>
    <s v="Follow-up"/>
    <x v="5"/>
    <x v="0"/>
    <s v="Orthopedic Doctor"/>
    <x v="0"/>
    <n v="60"/>
    <n v="60"/>
    <n v="68.3"/>
    <n v="1500"/>
    <x v="3"/>
    <x v="0"/>
    <n v="0"/>
    <n v="1"/>
    <n v="0"/>
    <n v="0.85"/>
  </r>
  <r>
    <s v="APT-01153"/>
    <x v="84"/>
    <x v="6"/>
    <x v="0"/>
    <x v="1"/>
    <x v="2"/>
    <s v="Ernakulam"/>
    <x v="14"/>
    <s v="PT-1653"/>
    <s v="Geriatric Rehab"/>
    <x v="0"/>
    <x v="3"/>
    <s v="Orthopedic Doctor"/>
    <x v="0"/>
    <n v="30"/>
    <n v="30"/>
    <n v="39.5"/>
    <n v="700"/>
    <x v="19"/>
    <x v="0"/>
    <n v="0"/>
    <n v="1"/>
    <n v="0"/>
    <n v="0.85"/>
  </r>
  <r>
    <s v="APT-01154"/>
    <x v="17"/>
    <x v="0"/>
    <x v="1"/>
    <x v="2"/>
    <x v="2"/>
    <s v="Ernakulam"/>
    <x v="8"/>
    <s v="PT-1523"/>
    <s v="Chronic Pain"/>
    <x v="4"/>
    <x v="0"/>
    <s v="Corporate Wellness"/>
    <x v="1"/>
    <n v="30"/>
    <n v="0"/>
    <n v="34.700000000000003"/>
    <n v="750"/>
    <x v="9"/>
    <x v="31"/>
    <n v="1"/>
    <n v="0"/>
    <n v="0"/>
    <n v="0.85"/>
  </r>
  <r>
    <s v="APT-01155"/>
    <x v="189"/>
    <x v="8"/>
    <x v="0"/>
    <x v="1"/>
    <x v="1"/>
    <s v="Thrissur"/>
    <x v="7"/>
    <s v="PT-1466"/>
    <s v="Follow-up"/>
    <x v="2"/>
    <x v="2"/>
    <s v="Orthopedic Doctor"/>
    <x v="1"/>
    <n v="45"/>
    <n v="0"/>
    <n v="58"/>
    <n v="1000"/>
    <x v="9"/>
    <x v="16"/>
    <n v="1"/>
    <n v="0"/>
    <n v="0"/>
    <n v="0.85"/>
  </r>
  <r>
    <s v="APT-01156"/>
    <x v="110"/>
    <x v="5"/>
    <x v="4"/>
    <x v="0"/>
    <x v="0"/>
    <s v="Palakkad"/>
    <x v="9"/>
    <s v="PT-1044"/>
    <s v="Chronic Pain"/>
    <x v="1"/>
    <x v="0"/>
    <s v="Neurologist"/>
    <x v="0"/>
    <n v="75"/>
    <n v="75"/>
    <n v="86.7"/>
    <n v="1550"/>
    <x v="1"/>
    <x v="0"/>
    <n v="0"/>
    <n v="1"/>
    <n v="0"/>
    <n v="0.85"/>
  </r>
  <r>
    <s v="APT-01157"/>
    <x v="262"/>
    <x v="9"/>
    <x v="1"/>
    <x v="1"/>
    <x v="2"/>
    <s v="Ernakulam"/>
    <x v="4"/>
    <s v="PT-1614"/>
    <s v="Sports Injury"/>
    <x v="5"/>
    <x v="0"/>
    <s v="Corporate Wellness"/>
    <x v="0"/>
    <n v="30"/>
    <n v="30"/>
    <n v="33.200000000000003"/>
    <n v="750"/>
    <x v="27"/>
    <x v="0"/>
    <n v="0"/>
    <n v="1"/>
    <n v="0"/>
    <n v="0.85"/>
  </r>
  <r>
    <s v="APT-01158"/>
    <x v="217"/>
    <x v="5"/>
    <x v="3"/>
    <x v="0"/>
    <x v="0"/>
    <s v="Palakkad"/>
    <x v="0"/>
    <s v="PT-1523"/>
    <s v="Chronic Pain"/>
    <x v="2"/>
    <x v="3"/>
    <s v="Corporate Wellness"/>
    <x v="0"/>
    <n v="45"/>
    <n v="45"/>
    <n v="59.3"/>
    <n v="850"/>
    <x v="23"/>
    <x v="0"/>
    <n v="0"/>
    <n v="1"/>
    <n v="0"/>
    <n v="0.85"/>
  </r>
  <r>
    <s v="APT-01159"/>
    <x v="310"/>
    <x v="5"/>
    <x v="5"/>
    <x v="1"/>
    <x v="2"/>
    <s v="Ernakulam"/>
    <x v="3"/>
    <s v="PT-1059"/>
    <s v="Post-op Rehab"/>
    <x v="3"/>
    <x v="2"/>
    <s v="Orthopedic Doctor"/>
    <x v="0"/>
    <n v="45"/>
    <n v="45"/>
    <n v="55.2"/>
    <n v="1300"/>
    <x v="22"/>
    <x v="0"/>
    <n v="0"/>
    <n v="1"/>
    <n v="0"/>
    <n v="0.85"/>
  </r>
  <r>
    <s v="APT-01160"/>
    <x v="307"/>
    <x v="1"/>
    <x v="2"/>
    <x v="3"/>
    <x v="1"/>
    <s v="Thrissur"/>
    <x v="10"/>
    <s v="PT-1525"/>
    <s v="New Patient"/>
    <x v="0"/>
    <x v="3"/>
    <s v="Corporate Wellness"/>
    <x v="2"/>
    <n v="60"/>
    <n v="0"/>
    <n v="66.599999999999994"/>
    <n v="1500"/>
    <x v="9"/>
    <x v="12"/>
    <n v="0"/>
    <n v="0"/>
    <n v="1"/>
    <n v="0.85"/>
  </r>
  <r>
    <s v="APT-01161"/>
    <x v="155"/>
    <x v="5"/>
    <x v="2"/>
    <x v="3"/>
    <x v="2"/>
    <s v="Ernakulam"/>
    <x v="12"/>
    <s v="PT-1200"/>
    <s v="Chronic Pain"/>
    <x v="4"/>
    <x v="1"/>
    <s v="Online Search"/>
    <x v="0"/>
    <n v="45"/>
    <n v="45"/>
    <n v="50.3"/>
    <n v="950"/>
    <x v="7"/>
    <x v="0"/>
    <n v="0"/>
    <n v="1"/>
    <n v="0"/>
    <n v="0.85"/>
  </r>
  <r>
    <s v="APT-01162"/>
    <x v="94"/>
    <x v="2"/>
    <x v="3"/>
    <x v="0"/>
    <x v="0"/>
    <s v="Palakkad"/>
    <x v="11"/>
    <s v="PT-1035"/>
    <s v="Follow-up"/>
    <x v="1"/>
    <x v="2"/>
    <s v="Orthopedic Doctor"/>
    <x v="2"/>
    <n v="60"/>
    <n v="0"/>
    <n v="72"/>
    <n v="1250"/>
    <x v="9"/>
    <x v="9"/>
    <n v="0"/>
    <n v="0"/>
    <n v="1"/>
    <n v="0.85"/>
  </r>
  <r>
    <s v="APT-01163"/>
    <x v="309"/>
    <x v="4"/>
    <x v="6"/>
    <x v="0"/>
    <x v="1"/>
    <s v="Thrissur"/>
    <x v="1"/>
    <s v="PT-1509"/>
    <s v="Follow-up"/>
    <x v="5"/>
    <x v="3"/>
    <s v="Self Referral"/>
    <x v="2"/>
    <n v="60"/>
    <n v="0"/>
    <n v="77.099999999999994"/>
    <n v="1250"/>
    <x v="9"/>
    <x v="9"/>
    <n v="0"/>
    <n v="0"/>
    <n v="1"/>
    <n v="0.85"/>
  </r>
  <r>
    <s v="APT-01164"/>
    <x v="223"/>
    <x v="3"/>
    <x v="3"/>
    <x v="0"/>
    <x v="0"/>
    <s v="Palakkad"/>
    <x v="11"/>
    <s v="PT-1294"/>
    <s v="Follow-up"/>
    <x v="5"/>
    <x v="1"/>
    <s v="Self Referral"/>
    <x v="0"/>
    <n v="60"/>
    <n v="60"/>
    <n v="72.2"/>
    <n v="1050"/>
    <x v="2"/>
    <x v="0"/>
    <n v="0"/>
    <n v="1"/>
    <n v="0"/>
    <n v="0.85"/>
  </r>
  <r>
    <s v="APT-01165"/>
    <x v="50"/>
    <x v="5"/>
    <x v="3"/>
    <x v="3"/>
    <x v="0"/>
    <s v="Palakkad"/>
    <x v="13"/>
    <s v="PT-1020"/>
    <s v="New Patient"/>
    <x v="3"/>
    <x v="2"/>
    <s v="Orthopedic Doctor"/>
    <x v="0"/>
    <n v="75"/>
    <n v="75"/>
    <n v="97.4"/>
    <n v="1900"/>
    <x v="0"/>
    <x v="0"/>
    <n v="0"/>
    <n v="1"/>
    <n v="0"/>
    <n v="0.85"/>
  </r>
  <r>
    <s v="APT-01166"/>
    <x v="97"/>
    <x v="0"/>
    <x v="0"/>
    <x v="1"/>
    <x v="2"/>
    <s v="Ernakulam"/>
    <x v="8"/>
    <s v="PT-1050"/>
    <s v="Follow-up"/>
    <x v="1"/>
    <x v="1"/>
    <s v="Neurologist"/>
    <x v="0"/>
    <n v="45"/>
    <n v="45"/>
    <n v="49"/>
    <n v="950"/>
    <x v="7"/>
    <x v="0"/>
    <n v="0"/>
    <n v="1"/>
    <n v="0"/>
    <n v="0.85"/>
  </r>
  <r>
    <s v="APT-01167"/>
    <x v="172"/>
    <x v="7"/>
    <x v="1"/>
    <x v="3"/>
    <x v="1"/>
    <s v="Thrissur"/>
    <x v="7"/>
    <s v="PT-1148"/>
    <s v="New Patient"/>
    <x v="5"/>
    <x v="2"/>
    <s v="Neurologist"/>
    <x v="0"/>
    <n v="60"/>
    <n v="60"/>
    <n v="76"/>
    <n v="1600"/>
    <x v="11"/>
    <x v="0"/>
    <n v="0"/>
    <n v="1"/>
    <n v="0"/>
    <n v="0.85"/>
  </r>
  <r>
    <s v="APT-01168"/>
    <x v="313"/>
    <x v="0"/>
    <x v="0"/>
    <x v="0"/>
    <x v="0"/>
    <s v="Palakkad"/>
    <x v="6"/>
    <s v="PT-1694"/>
    <s v="New Patient"/>
    <x v="5"/>
    <x v="2"/>
    <s v="Self Referral"/>
    <x v="0"/>
    <n v="60"/>
    <n v="60"/>
    <n v="75.2"/>
    <n v="1500"/>
    <x v="3"/>
    <x v="0"/>
    <n v="0"/>
    <n v="1"/>
    <n v="0"/>
    <n v="0.85"/>
  </r>
  <r>
    <s v="APT-01169"/>
    <x v="104"/>
    <x v="2"/>
    <x v="3"/>
    <x v="3"/>
    <x v="1"/>
    <s v="Thrissur"/>
    <x v="1"/>
    <s v="PT-1392"/>
    <s v="Follow-up"/>
    <x v="1"/>
    <x v="0"/>
    <s v="Orthopedic Doctor"/>
    <x v="0"/>
    <n v="60"/>
    <n v="60"/>
    <n v="79.099999999999994"/>
    <n v="1350"/>
    <x v="14"/>
    <x v="0"/>
    <n v="0"/>
    <n v="1"/>
    <n v="0"/>
    <n v="0.85"/>
  </r>
  <r>
    <s v="APT-01170"/>
    <x v="298"/>
    <x v="2"/>
    <x v="5"/>
    <x v="2"/>
    <x v="2"/>
    <s v="Ernakulam"/>
    <x v="8"/>
    <s v="PT-1138"/>
    <s v="Follow-up"/>
    <x v="5"/>
    <x v="0"/>
    <s v="Self Referral"/>
    <x v="0"/>
    <n v="60"/>
    <n v="60"/>
    <n v="80"/>
    <n v="1500"/>
    <x v="3"/>
    <x v="0"/>
    <n v="0"/>
    <n v="1"/>
    <n v="0"/>
    <n v="0.85"/>
  </r>
  <r>
    <s v="APT-01171"/>
    <x v="31"/>
    <x v="11"/>
    <x v="4"/>
    <x v="1"/>
    <x v="1"/>
    <s v="Thrissur"/>
    <x v="2"/>
    <s v="PT-1241"/>
    <s v="Follow-up"/>
    <x v="5"/>
    <x v="2"/>
    <s v="Corporate Wellness"/>
    <x v="1"/>
    <n v="60"/>
    <n v="0"/>
    <n v="68.8"/>
    <n v="1350"/>
    <x v="9"/>
    <x v="2"/>
    <n v="1"/>
    <n v="0"/>
    <n v="0"/>
    <n v="0.85"/>
  </r>
  <r>
    <s v="APT-01172"/>
    <x v="237"/>
    <x v="0"/>
    <x v="6"/>
    <x v="3"/>
    <x v="1"/>
    <s v="Thrissur"/>
    <x v="10"/>
    <s v="PT-1557"/>
    <s v="Follow-up"/>
    <x v="3"/>
    <x v="0"/>
    <s v="Orthopedic Doctor"/>
    <x v="0"/>
    <n v="30"/>
    <n v="30"/>
    <n v="40.299999999999997"/>
    <n v="700"/>
    <x v="19"/>
    <x v="0"/>
    <n v="0"/>
    <n v="1"/>
    <n v="0"/>
    <n v="0.85"/>
  </r>
  <r>
    <s v="APT-01173"/>
    <x v="199"/>
    <x v="4"/>
    <x v="1"/>
    <x v="2"/>
    <x v="0"/>
    <s v="Palakkad"/>
    <x v="11"/>
    <s v="PT-1354"/>
    <s v="Follow-up"/>
    <x v="3"/>
    <x v="0"/>
    <s v="Online Search"/>
    <x v="0"/>
    <n v="75"/>
    <n v="75"/>
    <n v="97.3"/>
    <n v="1550"/>
    <x v="1"/>
    <x v="0"/>
    <n v="0"/>
    <n v="1"/>
    <n v="0"/>
    <n v="0.85"/>
  </r>
  <r>
    <s v="APT-01174"/>
    <x v="74"/>
    <x v="10"/>
    <x v="3"/>
    <x v="0"/>
    <x v="2"/>
    <s v="Ernakulam"/>
    <x v="8"/>
    <s v="PT-1210"/>
    <s v="Follow-up"/>
    <x v="3"/>
    <x v="2"/>
    <s v="Self Referral"/>
    <x v="0"/>
    <n v="45"/>
    <n v="45"/>
    <n v="53"/>
    <n v="1100"/>
    <x v="20"/>
    <x v="0"/>
    <n v="0"/>
    <n v="1"/>
    <n v="0"/>
    <n v="0.85"/>
  </r>
  <r>
    <s v="APT-01175"/>
    <x v="296"/>
    <x v="0"/>
    <x v="3"/>
    <x v="0"/>
    <x v="2"/>
    <s v="Ernakulam"/>
    <x v="4"/>
    <s v="PT-1376"/>
    <s v="Follow-up"/>
    <x v="0"/>
    <x v="2"/>
    <s v="Self Referral"/>
    <x v="0"/>
    <n v="60"/>
    <n v="60"/>
    <n v="67.400000000000006"/>
    <n v="1500"/>
    <x v="3"/>
    <x v="0"/>
    <n v="0"/>
    <n v="1"/>
    <n v="0"/>
    <n v="0.85"/>
  </r>
  <r>
    <s v="APT-01176"/>
    <x v="60"/>
    <x v="9"/>
    <x v="1"/>
    <x v="3"/>
    <x v="1"/>
    <s v="Thrissur"/>
    <x v="10"/>
    <s v="PT-1677"/>
    <s v="New Patient"/>
    <x v="5"/>
    <x v="0"/>
    <s v="Online Search"/>
    <x v="0"/>
    <n v="60"/>
    <n v="60"/>
    <n v="75.400000000000006"/>
    <n v="1600"/>
    <x v="11"/>
    <x v="0"/>
    <n v="0"/>
    <n v="1"/>
    <n v="0"/>
    <n v="0.85"/>
  </r>
  <r>
    <s v="APT-01177"/>
    <x v="39"/>
    <x v="6"/>
    <x v="5"/>
    <x v="3"/>
    <x v="0"/>
    <s v="Palakkad"/>
    <x v="13"/>
    <s v="PT-1419"/>
    <s v="Chronic Pain"/>
    <x v="2"/>
    <x v="0"/>
    <s v="Orthopedic Doctor"/>
    <x v="0"/>
    <n v="45"/>
    <n v="45"/>
    <n v="52.7"/>
    <n v="950"/>
    <x v="7"/>
    <x v="0"/>
    <n v="0"/>
    <n v="1"/>
    <n v="0"/>
    <n v="0.85"/>
  </r>
  <r>
    <s v="APT-01178"/>
    <x v="119"/>
    <x v="1"/>
    <x v="4"/>
    <x v="2"/>
    <x v="1"/>
    <s v="Thrissur"/>
    <x v="2"/>
    <s v="PT-1605"/>
    <s v="Follow-up"/>
    <x v="2"/>
    <x v="2"/>
    <s v="Orthopedic Doctor"/>
    <x v="0"/>
    <n v="60"/>
    <n v="60"/>
    <n v="67.099999999999994"/>
    <n v="1350"/>
    <x v="14"/>
    <x v="0"/>
    <n v="0"/>
    <n v="1"/>
    <n v="0"/>
    <n v="0.85"/>
  </r>
  <r>
    <s v="APT-01179"/>
    <x v="62"/>
    <x v="4"/>
    <x v="3"/>
    <x v="0"/>
    <x v="2"/>
    <s v="Ernakulam"/>
    <x v="8"/>
    <s v="PT-1250"/>
    <s v="Sports Injury"/>
    <x v="3"/>
    <x v="3"/>
    <s v="Corporate Wellness"/>
    <x v="0"/>
    <n v="45"/>
    <n v="45"/>
    <n v="49.1"/>
    <n v="1050"/>
    <x v="2"/>
    <x v="0"/>
    <n v="0"/>
    <n v="1"/>
    <n v="0"/>
    <n v="0.85"/>
  </r>
  <r>
    <s v="APT-01180"/>
    <x v="19"/>
    <x v="4"/>
    <x v="0"/>
    <x v="3"/>
    <x v="2"/>
    <s v="Ernakulam"/>
    <x v="14"/>
    <s v="PT-1671"/>
    <s v="Follow-up"/>
    <x v="3"/>
    <x v="2"/>
    <s v="Corporate Wellness"/>
    <x v="0"/>
    <n v="30"/>
    <n v="30"/>
    <n v="40.299999999999997"/>
    <n v="750"/>
    <x v="27"/>
    <x v="0"/>
    <n v="0"/>
    <n v="1"/>
    <n v="0"/>
    <n v="0.85"/>
  </r>
  <r>
    <s v="APT-01181"/>
    <x v="193"/>
    <x v="3"/>
    <x v="5"/>
    <x v="3"/>
    <x v="1"/>
    <s v="Thrissur"/>
    <x v="10"/>
    <s v="PT-1677"/>
    <s v="Post-op Rehab"/>
    <x v="5"/>
    <x v="0"/>
    <s v="Corporate Wellness"/>
    <x v="1"/>
    <n v="30"/>
    <n v="0"/>
    <n v="33.4"/>
    <n v="800"/>
    <x v="9"/>
    <x v="30"/>
    <n v="1"/>
    <n v="0"/>
    <n v="0"/>
    <n v="0.85"/>
  </r>
  <r>
    <s v="APT-01182"/>
    <x v="244"/>
    <x v="9"/>
    <x v="0"/>
    <x v="2"/>
    <x v="1"/>
    <s v="Thrissur"/>
    <x v="2"/>
    <s v="PT-1218"/>
    <s v="New Patient"/>
    <x v="0"/>
    <x v="0"/>
    <s v="Self Referral"/>
    <x v="0"/>
    <n v="60"/>
    <n v="60"/>
    <n v="65.3"/>
    <n v="1600"/>
    <x v="11"/>
    <x v="0"/>
    <n v="0"/>
    <n v="1"/>
    <n v="0"/>
    <n v="0.85"/>
  </r>
  <r>
    <s v="APT-01183"/>
    <x v="255"/>
    <x v="11"/>
    <x v="0"/>
    <x v="1"/>
    <x v="2"/>
    <s v="Ernakulam"/>
    <x v="8"/>
    <s v="PT-1050"/>
    <s v="New Patient"/>
    <x v="1"/>
    <x v="2"/>
    <s v="Self Referral"/>
    <x v="0"/>
    <n v="90"/>
    <n v="90"/>
    <n v="100.2"/>
    <n v="2700"/>
    <x v="34"/>
    <x v="0"/>
    <n v="0"/>
    <n v="1"/>
    <n v="0"/>
    <n v="0.85"/>
  </r>
  <r>
    <s v="APT-01184"/>
    <x v="15"/>
    <x v="9"/>
    <x v="5"/>
    <x v="2"/>
    <x v="1"/>
    <s v="Thrissur"/>
    <x v="5"/>
    <s v="PT-1648"/>
    <s v="Sports Injury"/>
    <x v="5"/>
    <x v="3"/>
    <s v="Hospital Discharge"/>
    <x v="0"/>
    <n v="60"/>
    <n v="60"/>
    <n v="69"/>
    <n v="1250"/>
    <x v="5"/>
    <x v="0"/>
    <n v="0"/>
    <n v="1"/>
    <n v="0"/>
    <n v="0.85"/>
  </r>
  <r>
    <s v="APT-01185"/>
    <x v="159"/>
    <x v="5"/>
    <x v="1"/>
    <x v="0"/>
    <x v="1"/>
    <s v="Thrissur"/>
    <x v="1"/>
    <s v="PT-1268"/>
    <s v="Geriatric Rehab"/>
    <x v="3"/>
    <x v="0"/>
    <s v="Self Referral"/>
    <x v="0"/>
    <n v="60"/>
    <n v="60"/>
    <n v="75.900000000000006"/>
    <n v="1350"/>
    <x v="14"/>
    <x v="0"/>
    <n v="0"/>
    <n v="1"/>
    <n v="0"/>
    <n v="0.85"/>
  </r>
  <r>
    <s v="APT-01186"/>
    <x v="7"/>
    <x v="3"/>
    <x v="1"/>
    <x v="0"/>
    <x v="2"/>
    <s v="Ernakulam"/>
    <x v="4"/>
    <s v="PT-1545"/>
    <s v="Follow-up"/>
    <x v="4"/>
    <x v="2"/>
    <s v="Self Referral"/>
    <x v="0"/>
    <n v="30"/>
    <n v="30"/>
    <n v="37.799999999999997"/>
    <n v="750"/>
    <x v="27"/>
    <x v="0"/>
    <n v="0"/>
    <n v="1"/>
    <n v="0"/>
    <n v="0.85"/>
  </r>
  <r>
    <s v="APT-01187"/>
    <x v="314"/>
    <x v="4"/>
    <x v="4"/>
    <x v="1"/>
    <x v="0"/>
    <s v="Palakkad"/>
    <x v="13"/>
    <s v="PT-1144"/>
    <s v="Chronic Pain"/>
    <x v="1"/>
    <x v="2"/>
    <s v="Online Search"/>
    <x v="0"/>
    <n v="60"/>
    <n v="60"/>
    <n v="72.2"/>
    <n v="1250"/>
    <x v="5"/>
    <x v="0"/>
    <n v="0"/>
    <n v="1"/>
    <n v="0"/>
    <n v="0.85"/>
  </r>
  <r>
    <s v="APT-01188"/>
    <x v="89"/>
    <x v="8"/>
    <x v="5"/>
    <x v="0"/>
    <x v="1"/>
    <s v="Thrissur"/>
    <x v="2"/>
    <s v="PT-1358"/>
    <s v="New Patient"/>
    <x v="3"/>
    <x v="3"/>
    <s v="Self Referral"/>
    <x v="1"/>
    <n v="60"/>
    <n v="0"/>
    <n v="65.3"/>
    <n v="1500"/>
    <x v="9"/>
    <x v="12"/>
    <n v="1"/>
    <n v="0"/>
    <n v="0"/>
    <n v="0.85"/>
  </r>
  <r>
    <s v="APT-01189"/>
    <x v="198"/>
    <x v="0"/>
    <x v="4"/>
    <x v="3"/>
    <x v="1"/>
    <s v="Thrissur"/>
    <x v="5"/>
    <s v="PT-1401"/>
    <s v="New Patient"/>
    <x v="2"/>
    <x v="2"/>
    <s v="Hospital Discharge"/>
    <x v="0"/>
    <n v="60"/>
    <n v="60"/>
    <n v="74"/>
    <n v="1600"/>
    <x v="11"/>
    <x v="0"/>
    <n v="0"/>
    <n v="1"/>
    <n v="0"/>
    <n v="0.85"/>
  </r>
  <r>
    <s v="APT-01190"/>
    <x v="143"/>
    <x v="0"/>
    <x v="5"/>
    <x v="0"/>
    <x v="1"/>
    <s v="Thrissur"/>
    <x v="2"/>
    <s v="PT-1171"/>
    <s v="New Patient"/>
    <x v="4"/>
    <x v="0"/>
    <s v="Neurologist"/>
    <x v="2"/>
    <n v="45"/>
    <n v="0"/>
    <n v="55.2"/>
    <n v="1200"/>
    <x v="9"/>
    <x v="27"/>
    <n v="0"/>
    <n v="0"/>
    <n v="1"/>
    <n v="0.85"/>
  </r>
  <r>
    <s v="APT-01191"/>
    <x v="23"/>
    <x v="5"/>
    <x v="1"/>
    <x v="3"/>
    <x v="2"/>
    <s v="Ernakulam"/>
    <x v="4"/>
    <s v="PT-1360"/>
    <s v="Follow-up"/>
    <x v="3"/>
    <x v="1"/>
    <s v="Hospital Discharge"/>
    <x v="2"/>
    <n v="45"/>
    <n v="0"/>
    <n v="49"/>
    <n v="950"/>
    <x v="9"/>
    <x v="19"/>
    <n v="0"/>
    <n v="0"/>
    <n v="1"/>
    <n v="0.85"/>
  </r>
  <r>
    <s v="APT-01192"/>
    <x v="117"/>
    <x v="6"/>
    <x v="0"/>
    <x v="0"/>
    <x v="2"/>
    <s v="Ernakulam"/>
    <x v="4"/>
    <s v="PT-1212"/>
    <s v="Post-op Rehab"/>
    <x v="1"/>
    <x v="2"/>
    <s v="Orthopedic Doctor"/>
    <x v="0"/>
    <n v="60"/>
    <n v="60"/>
    <n v="66.2"/>
    <n v="1700"/>
    <x v="6"/>
    <x v="0"/>
    <n v="0"/>
    <n v="1"/>
    <n v="0"/>
    <n v="0.85"/>
  </r>
  <r>
    <s v="APT-01193"/>
    <x v="315"/>
    <x v="6"/>
    <x v="0"/>
    <x v="2"/>
    <x v="2"/>
    <s v="Ernakulam"/>
    <x v="14"/>
    <s v="PT-1388"/>
    <s v="New Patient"/>
    <x v="1"/>
    <x v="0"/>
    <s v="Corporate Wellness"/>
    <x v="0"/>
    <n v="45"/>
    <n v="45"/>
    <n v="58.7"/>
    <n v="1350"/>
    <x v="14"/>
    <x v="0"/>
    <n v="0"/>
    <n v="1"/>
    <n v="0"/>
    <n v="0.85"/>
  </r>
  <r>
    <s v="APT-01194"/>
    <x v="216"/>
    <x v="3"/>
    <x v="0"/>
    <x v="1"/>
    <x v="1"/>
    <s v="Thrissur"/>
    <x v="7"/>
    <s v="PT-1470"/>
    <s v="Chronic Pain"/>
    <x v="0"/>
    <x v="2"/>
    <s v="Corporate Wellness"/>
    <x v="0"/>
    <n v="90"/>
    <n v="90"/>
    <n v="100.7"/>
    <n v="2000"/>
    <x v="33"/>
    <x v="0"/>
    <n v="0"/>
    <n v="1"/>
    <n v="0"/>
    <n v="0.85"/>
  </r>
  <r>
    <s v="APT-01195"/>
    <x v="42"/>
    <x v="7"/>
    <x v="1"/>
    <x v="0"/>
    <x v="0"/>
    <s v="Palakkad"/>
    <x v="13"/>
    <s v="PT-1252"/>
    <s v="Geriatric Rehab"/>
    <x v="3"/>
    <x v="0"/>
    <s v="Neurologist"/>
    <x v="0"/>
    <n v="75"/>
    <n v="75"/>
    <n v="98.3"/>
    <n v="1550"/>
    <x v="1"/>
    <x v="0"/>
    <n v="0"/>
    <n v="1"/>
    <n v="0"/>
    <n v="0.85"/>
  </r>
  <r>
    <s v="APT-01196"/>
    <x v="56"/>
    <x v="6"/>
    <x v="4"/>
    <x v="0"/>
    <x v="0"/>
    <s v="Palakkad"/>
    <x v="0"/>
    <s v="PT-1204"/>
    <s v="Follow-up"/>
    <x v="1"/>
    <x v="3"/>
    <s v="Online Search"/>
    <x v="0"/>
    <n v="45"/>
    <n v="45"/>
    <n v="59"/>
    <n v="850"/>
    <x v="23"/>
    <x v="0"/>
    <n v="0"/>
    <n v="1"/>
    <n v="0"/>
    <n v="0.85"/>
  </r>
  <r>
    <s v="APT-01197"/>
    <x v="316"/>
    <x v="6"/>
    <x v="3"/>
    <x v="2"/>
    <x v="0"/>
    <s v="Palakkad"/>
    <x v="0"/>
    <s v="PT-1334"/>
    <s v="Chronic Pain"/>
    <x v="1"/>
    <x v="0"/>
    <s v="Neurologist"/>
    <x v="0"/>
    <n v="45"/>
    <n v="45"/>
    <n v="51.6"/>
    <n v="950"/>
    <x v="7"/>
    <x v="0"/>
    <n v="0"/>
    <n v="1"/>
    <n v="0"/>
    <n v="0.85"/>
  </r>
  <r>
    <s v="APT-01198"/>
    <x v="292"/>
    <x v="4"/>
    <x v="1"/>
    <x v="1"/>
    <x v="0"/>
    <s v="Palakkad"/>
    <x v="11"/>
    <s v="PT-1387"/>
    <s v="Follow-up"/>
    <x v="5"/>
    <x v="1"/>
    <s v="Self Referral"/>
    <x v="0"/>
    <n v="60"/>
    <n v="60"/>
    <n v="66.2"/>
    <n v="1050"/>
    <x v="2"/>
    <x v="0"/>
    <n v="0"/>
    <n v="1"/>
    <n v="0"/>
    <n v="0.85"/>
  </r>
  <r>
    <s v="APT-01199"/>
    <x v="71"/>
    <x v="2"/>
    <x v="1"/>
    <x v="1"/>
    <x v="2"/>
    <s v="Ernakulam"/>
    <x v="12"/>
    <s v="PT-1111"/>
    <s v="Follow-up"/>
    <x v="5"/>
    <x v="2"/>
    <s v="Online Search"/>
    <x v="0"/>
    <n v="60"/>
    <n v="60"/>
    <n v="66.8"/>
    <n v="1500"/>
    <x v="3"/>
    <x v="0"/>
    <n v="0"/>
    <n v="1"/>
    <n v="0"/>
    <n v="0.85"/>
  </r>
  <r>
    <s v="APT-01200"/>
    <x v="26"/>
    <x v="3"/>
    <x v="4"/>
    <x v="2"/>
    <x v="0"/>
    <s v="Palakkad"/>
    <x v="11"/>
    <s v="PT-1115"/>
    <s v="New Patient"/>
    <x v="2"/>
    <x v="0"/>
    <s v="Orthopedic Doctor"/>
    <x v="0"/>
    <n v="90"/>
    <n v="90"/>
    <n v="120"/>
    <n v="2250"/>
    <x v="12"/>
    <x v="0"/>
    <n v="0"/>
    <n v="1"/>
    <n v="0"/>
    <n v="0.85"/>
  </r>
  <r>
    <s v="APT-01201"/>
    <x v="59"/>
    <x v="5"/>
    <x v="0"/>
    <x v="2"/>
    <x v="0"/>
    <s v="Palakkad"/>
    <x v="11"/>
    <s v="PT-1399"/>
    <s v="New Patient"/>
    <x v="3"/>
    <x v="0"/>
    <s v="Online Search"/>
    <x v="1"/>
    <n v="45"/>
    <n v="0"/>
    <n v="51.7"/>
    <n v="1100"/>
    <x v="9"/>
    <x v="6"/>
    <n v="1"/>
    <n v="0"/>
    <n v="0"/>
    <n v="0.85"/>
  </r>
  <r>
    <s v="APT-01202"/>
    <x v="64"/>
    <x v="7"/>
    <x v="3"/>
    <x v="0"/>
    <x v="2"/>
    <s v="Ernakulam"/>
    <x v="3"/>
    <s v="PT-1176"/>
    <s v="New Patient"/>
    <x v="5"/>
    <x v="2"/>
    <s v="Hospital Discharge"/>
    <x v="0"/>
    <n v="60"/>
    <n v="60"/>
    <n v="76.599999999999994"/>
    <n v="1800"/>
    <x v="25"/>
    <x v="0"/>
    <n v="0"/>
    <n v="1"/>
    <n v="0"/>
    <n v="0.85"/>
  </r>
  <r>
    <s v="APT-01203"/>
    <x v="68"/>
    <x v="5"/>
    <x v="4"/>
    <x v="2"/>
    <x v="2"/>
    <s v="Ernakulam"/>
    <x v="3"/>
    <s v="PT-1226"/>
    <s v="Follow-up"/>
    <x v="1"/>
    <x v="1"/>
    <s v="Online Search"/>
    <x v="0"/>
    <n v="60"/>
    <n v="60"/>
    <n v="69.5"/>
    <n v="1300"/>
    <x v="22"/>
    <x v="0"/>
    <n v="0"/>
    <n v="1"/>
    <n v="0"/>
    <n v="0.85"/>
  </r>
  <r>
    <s v="APT-01204"/>
    <x v="117"/>
    <x v="6"/>
    <x v="0"/>
    <x v="1"/>
    <x v="1"/>
    <s v="Thrissur"/>
    <x v="10"/>
    <s v="PT-1384"/>
    <s v="Post-op Rehab"/>
    <x v="4"/>
    <x v="0"/>
    <s v="Hospital Discharge"/>
    <x v="1"/>
    <n v="60"/>
    <n v="0"/>
    <n v="72.7"/>
    <n v="1550"/>
    <x v="9"/>
    <x v="14"/>
    <n v="1"/>
    <n v="0"/>
    <n v="0"/>
    <n v="0.85"/>
  </r>
  <r>
    <s v="APT-01205"/>
    <x v="96"/>
    <x v="2"/>
    <x v="0"/>
    <x v="2"/>
    <x v="2"/>
    <s v="Ernakulam"/>
    <x v="3"/>
    <s v="PT-1131"/>
    <s v="Geriatric Rehab"/>
    <x v="2"/>
    <x v="2"/>
    <s v="Self Referral"/>
    <x v="0"/>
    <n v="75"/>
    <n v="75"/>
    <n v="91.7"/>
    <n v="1900"/>
    <x v="0"/>
    <x v="0"/>
    <n v="0"/>
    <n v="1"/>
    <n v="0"/>
    <n v="0.85"/>
  </r>
  <r>
    <s v="APT-01206"/>
    <x v="205"/>
    <x v="10"/>
    <x v="5"/>
    <x v="1"/>
    <x v="1"/>
    <s v="Thrissur"/>
    <x v="10"/>
    <s v="PT-1653"/>
    <s v="Follow-up"/>
    <x v="1"/>
    <x v="0"/>
    <s v="Hospital Discharge"/>
    <x v="0"/>
    <n v="60"/>
    <n v="60"/>
    <n v="73.5"/>
    <n v="1350"/>
    <x v="14"/>
    <x v="0"/>
    <n v="0"/>
    <n v="1"/>
    <n v="0"/>
    <n v="0.85"/>
  </r>
  <r>
    <s v="APT-01207"/>
    <x v="117"/>
    <x v="6"/>
    <x v="0"/>
    <x v="0"/>
    <x v="2"/>
    <s v="Ernakulam"/>
    <x v="4"/>
    <s v="PT-1538"/>
    <s v="Geriatric Rehab"/>
    <x v="2"/>
    <x v="2"/>
    <s v="Orthopedic Doctor"/>
    <x v="0"/>
    <n v="30"/>
    <n v="30"/>
    <n v="34.200000000000003"/>
    <n v="750"/>
    <x v="27"/>
    <x v="0"/>
    <n v="0"/>
    <n v="1"/>
    <n v="0"/>
    <n v="0.85"/>
  </r>
  <r>
    <s v="APT-01208"/>
    <x v="129"/>
    <x v="10"/>
    <x v="3"/>
    <x v="3"/>
    <x v="0"/>
    <s v="Palakkad"/>
    <x v="13"/>
    <s v="PT-1028"/>
    <s v="Chronic Pain"/>
    <x v="2"/>
    <x v="0"/>
    <s v="Hospital Discharge"/>
    <x v="0"/>
    <n v="75"/>
    <n v="75"/>
    <n v="87.8"/>
    <n v="1550"/>
    <x v="1"/>
    <x v="0"/>
    <n v="0"/>
    <n v="1"/>
    <n v="0"/>
    <n v="0.85"/>
  </r>
  <r>
    <s v="APT-01209"/>
    <x v="264"/>
    <x v="8"/>
    <x v="5"/>
    <x v="3"/>
    <x v="0"/>
    <s v="Palakkad"/>
    <x v="11"/>
    <s v="PT-1009"/>
    <s v="Geriatric Rehab"/>
    <x v="0"/>
    <x v="2"/>
    <s v="Hospital Discharge"/>
    <x v="0"/>
    <n v="45"/>
    <n v="45"/>
    <n v="51"/>
    <n v="950"/>
    <x v="7"/>
    <x v="0"/>
    <n v="0"/>
    <n v="1"/>
    <n v="0"/>
    <n v="0.85"/>
  </r>
  <r>
    <s v="APT-01210"/>
    <x v="314"/>
    <x v="4"/>
    <x v="4"/>
    <x v="0"/>
    <x v="0"/>
    <s v="Palakkad"/>
    <x v="6"/>
    <s v="PT-1110"/>
    <s v="Post-op Rehab"/>
    <x v="1"/>
    <x v="2"/>
    <s v="Online Search"/>
    <x v="0"/>
    <n v="90"/>
    <n v="90"/>
    <n v="98"/>
    <n v="2150"/>
    <x v="30"/>
    <x v="0"/>
    <n v="0"/>
    <n v="1"/>
    <n v="0"/>
    <n v="0.85"/>
  </r>
  <r>
    <s v="APT-01211"/>
    <x v="305"/>
    <x v="4"/>
    <x v="5"/>
    <x v="3"/>
    <x v="0"/>
    <s v="Palakkad"/>
    <x v="9"/>
    <s v="PT-1551"/>
    <s v="Follow-up"/>
    <x v="4"/>
    <x v="0"/>
    <s v="Corporate Wellness"/>
    <x v="0"/>
    <n v="45"/>
    <n v="45"/>
    <n v="59.9"/>
    <n v="950"/>
    <x v="7"/>
    <x v="0"/>
    <n v="0"/>
    <n v="1"/>
    <n v="0"/>
    <n v="0.85"/>
  </r>
  <r>
    <s v="APT-01212"/>
    <x v="222"/>
    <x v="2"/>
    <x v="4"/>
    <x v="1"/>
    <x v="0"/>
    <s v="Palakkad"/>
    <x v="0"/>
    <s v="PT-1584"/>
    <s v="New Patient"/>
    <x v="1"/>
    <x v="2"/>
    <s v="Neurologist"/>
    <x v="1"/>
    <n v="60"/>
    <n v="0"/>
    <n v="73.400000000000006"/>
    <n v="1500"/>
    <x v="9"/>
    <x v="12"/>
    <n v="1"/>
    <n v="0"/>
    <n v="0"/>
    <n v="0.85"/>
  </r>
  <r>
    <s v="APT-01213"/>
    <x v="186"/>
    <x v="3"/>
    <x v="1"/>
    <x v="3"/>
    <x v="1"/>
    <s v="Thrissur"/>
    <x v="10"/>
    <s v="PT-1531"/>
    <s v="New Patient"/>
    <x v="4"/>
    <x v="0"/>
    <s v="Self Referral"/>
    <x v="0"/>
    <n v="75"/>
    <n v="75"/>
    <n v="82"/>
    <n v="2000"/>
    <x v="33"/>
    <x v="0"/>
    <n v="0"/>
    <n v="1"/>
    <n v="0"/>
    <n v="0.85"/>
  </r>
  <r>
    <s v="APT-01214"/>
    <x v="245"/>
    <x v="1"/>
    <x v="1"/>
    <x v="2"/>
    <x v="1"/>
    <s v="Thrissur"/>
    <x v="10"/>
    <s v="PT-1109"/>
    <s v="Post-op Rehab"/>
    <x v="0"/>
    <x v="0"/>
    <s v="Orthopedic Doctor"/>
    <x v="0"/>
    <n v="60"/>
    <n v="60"/>
    <n v="72"/>
    <n v="1550"/>
    <x v="1"/>
    <x v="0"/>
    <n v="0"/>
    <n v="1"/>
    <n v="0"/>
    <n v="0.85"/>
  </r>
  <r>
    <s v="APT-01215"/>
    <x v="219"/>
    <x v="3"/>
    <x v="5"/>
    <x v="0"/>
    <x v="1"/>
    <s v="Thrissur"/>
    <x v="1"/>
    <s v="PT-1535"/>
    <s v="New Patient"/>
    <x v="4"/>
    <x v="3"/>
    <s v="Corporate Wellness"/>
    <x v="0"/>
    <n v="45"/>
    <n v="45"/>
    <n v="53.2"/>
    <n v="1100"/>
    <x v="20"/>
    <x v="0"/>
    <n v="0"/>
    <n v="1"/>
    <n v="0"/>
    <n v="0.85"/>
  </r>
  <r>
    <s v="APT-01216"/>
    <x v="202"/>
    <x v="1"/>
    <x v="2"/>
    <x v="2"/>
    <x v="0"/>
    <s v="Palakkad"/>
    <x v="11"/>
    <s v="PT-1592"/>
    <s v="Geriatric Rehab"/>
    <x v="3"/>
    <x v="0"/>
    <s v="Online Search"/>
    <x v="1"/>
    <n v="60"/>
    <n v="0"/>
    <n v="66"/>
    <n v="1250"/>
    <x v="9"/>
    <x v="9"/>
    <n v="1"/>
    <n v="0"/>
    <n v="0"/>
    <n v="0.85"/>
  </r>
  <r>
    <s v="APT-01217"/>
    <x v="317"/>
    <x v="6"/>
    <x v="4"/>
    <x v="3"/>
    <x v="2"/>
    <s v="Ernakulam"/>
    <x v="4"/>
    <s v="PT-1403"/>
    <s v="Follow-up"/>
    <x v="5"/>
    <x v="2"/>
    <s v="Online Search"/>
    <x v="0"/>
    <n v="45"/>
    <n v="45"/>
    <n v="49.6"/>
    <n v="1100"/>
    <x v="20"/>
    <x v="0"/>
    <n v="0"/>
    <n v="1"/>
    <n v="0"/>
    <n v="0.85"/>
  </r>
  <r>
    <s v="APT-01218"/>
    <x v="226"/>
    <x v="1"/>
    <x v="2"/>
    <x v="1"/>
    <x v="1"/>
    <s v="Thrissur"/>
    <x v="10"/>
    <s v="PT-1083"/>
    <s v="Chronic Pain"/>
    <x v="4"/>
    <x v="1"/>
    <s v="Corporate Wellness"/>
    <x v="0"/>
    <n v="60"/>
    <n v="60"/>
    <n v="73.400000000000006"/>
    <n v="1150"/>
    <x v="15"/>
    <x v="0"/>
    <n v="0"/>
    <n v="1"/>
    <n v="0"/>
    <n v="0.85"/>
  </r>
  <r>
    <s v="APT-01219"/>
    <x v="172"/>
    <x v="7"/>
    <x v="1"/>
    <x v="0"/>
    <x v="1"/>
    <s v="Thrissur"/>
    <x v="2"/>
    <s v="PT-1196"/>
    <s v="New Patient"/>
    <x v="4"/>
    <x v="3"/>
    <s v="Hospital Discharge"/>
    <x v="1"/>
    <n v="45"/>
    <n v="0"/>
    <n v="59"/>
    <n v="1100"/>
    <x v="9"/>
    <x v="6"/>
    <n v="1"/>
    <n v="0"/>
    <n v="0"/>
    <n v="0.85"/>
  </r>
  <r>
    <s v="APT-01220"/>
    <x v="78"/>
    <x v="0"/>
    <x v="1"/>
    <x v="1"/>
    <x v="1"/>
    <s v="Thrissur"/>
    <x v="5"/>
    <s v="PT-1308"/>
    <s v="New Patient"/>
    <x v="4"/>
    <x v="3"/>
    <s v="Corporate Wellness"/>
    <x v="0"/>
    <n v="60"/>
    <n v="60"/>
    <n v="80.7"/>
    <n v="1500"/>
    <x v="3"/>
    <x v="0"/>
    <n v="0"/>
    <n v="1"/>
    <n v="0"/>
    <n v="0.85"/>
  </r>
  <r>
    <s v="APT-01221"/>
    <x v="49"/>
    <x v="9"/>
    <x v="1"/>
    <x v="0"/>
    <x v="1"/>
    <s v="Thrissur"/>
    <x v="2"/>
    <s v="PT-1360"/>
    <s v="Follow-up"/>
    <x v="1"/>
    <x v="0"/>
    <s v="Neurologist"/>
    <x v="0"/>
    <n v="75"/>
    <n v="75"/>
    <n v="85.6"/>
    <n v="1700"/>
    <x v="6"/>
    <x v="0"/>
    <n v="0"/>
    <n v="1"/>
    <n v="0"/>
    <n v="0.85"/>
  </r>
  <r>
    <s v="APT-01222"/>
    <x v="305"/>
    <x v="4"/>
    <x v="5"/>
    <x v="2"/>
    <x v="0"/>
    <s v="Palakkad"/>
    <x v="6"/>
    <s v="PT-1050"/>
    <s v="Follow-up"/>
    <x v="4"/>
    <x v="0"/>
    <s v="Corporate Wellness"/>
    <x v="0"/>
    <n v="45"/>
    <n v="45"/>
    <n v="50.2"/>
    <n v="950"/>
    <x v="7"/>
    <x v="0"/>
    <n v="0"/>
    <n v="1"/>
    <n v="0"/>
    <n v="0.85"/>
  </r>
  <r>
    <s v="APT-01223"/>
    <x v="22"/>
    <x v="11"/>
    <x v="1"/>
    <x v="0"/>
    <x v="2"/>
    <s v="Ernakulam"/>
    <x v="3"/>
    <s v="PT-1473"/>
    <s v="New Patient"/>
    <x v="4"/>
    <x v="0"/>
    <s v="Orthopedic Doctor"/>
    <x v="0"/>
    <n v="45"/>
    <n v="45"/>
    <n v="49.9"/>
    <n v="1350"/>
    <x v="14"/>
    <x v="0"/>
    <n v="0"/>
    <n v="1"/>
    <n v="0"/>
    <n v="0.85"/>
  </r>
  <r>
    <s v="APT-01224"/>
    <x v="162"/>
    <x v="0"/>
    <x v="3"/>
    <x v="2"/>
    <x v="0"/>
    <s v="Palakkad"/>
    <x v="0"/>
    <s v="PT-1050"/>
    <s v="Follow-up"/>
    <x v="0"/>
    <x v="3"/>
    <s v="Hospital Discharge"/>
    <x v="1"/>
    <n v="45"/>
    <n v="0"/>
    <n v="52.7"/>
    <n v="850"/>
    <x v="9"/>
    <x v="24"/>
    <n v="1"/>
    <n v="0"/>
    <n v="0"/>
    <n v="0.85"/>
  </r>
  <r>
    <s v="APT-01225"/>
    <x v="41"/>
    <x v="11"/>
    <x v="1"/>
    <x v="1"/>
    <x v="1"/>
    <s v="Thrissur"/>
    <x v="1"/>
    <s v="PT-1044"/>
    <s v="Follow-up"/>
    <x v="0"/>
    <x v="0"/>
    <s v="Self Referral"/>
    <x v="1"/>
    <n v="60"/>
    <n v="0"/>
    <n v="70.2"/>
    <n v="1350"/>
    <x v="9"/>
    <x v="2"/>
    <n v="1"/>
    <n v="0"/>
    <n v="0"/>
    <n v="0.85"/>
  </r>
  <r>
    <s v="APT-01226"/>
    <x v="296"/>
    <x v="0"/>
    <x v="3"/>
    <x v="3"/>
    <x v="1"/>
    <s v="Thrissur"/>
    <x v="7"/>
    <s v="PT-1137"/>
    <s v="New Patient"/>
    <x v="0"/>
    <x v="0"/>
    <s v="Hospital Discharge"/>
    <x v="0"/>
    <n v="45"/>
    <n v="45"/>
    <n v="58.1"/>
    <n v="1200"/>
    <x v="26"/>
    <x v="0"/>
    <n v="0"/>
    <n v="1"/>
    <n v="0"/>
    <n v="0.85"/>
  </r>
  <r>
    <s v="APT-01227"/>
    <x v="259"/>
    <x v="0"/>
    <x v="2"/>
    <x v="1"/>
    <x v="1"/>
    <s v="Thrissur"/>
    <x v="2"/>
    <s v="PT-1070"/>
    <s v="Post-op Rehab"/>
    <x v="0"/>
    <x v="0"/>
    <s v="Neurologist"/>
    <x v="0"/>
    <n v="60"/>
    <n v="60"/>
    <n v="67.5"/>
    <n v="1550"/>
    <x v="1"/>
    <x v="0"/>
    <n v="0"/>
    <n v="1"/>
    <n v="0"/>
    <n v="0.85"/>
  </r>
  <r>
    <s v="APT-01228"/>
    <x v="82"/>
    <x v="2"/>
    <x v="0"/>
    <x v="2"/>
    <x v="1"/>
    <s v="Thrissur"/>
    <x v="1"/>
    <s v="PT-1495"/>
    <s v="Follow-up"/>
    <x v="4"/>
    <x v="2"/>
    <s v="Online Search"/>
    <x v="0"/>
    <n v="90"/>
    <n v="90"/>
    <n v="103"/>
    <n v="2000"/>
    <x v="33"/>
    <x v="0"/>
    <n v="0"/>
    <n v="1"/>
    <n v="0"/>
    <n v="0.85"/>
  </r>
  <r>
    <s v="APT-01229"/>
    <x v="206"/>
    <x v="4"/>
    <x v="2"/>
    <x v="0"/>
    <x v="2"/>
    <s v="Ernakulam"/>
    <x v="8"/>
    <s v="PT-1545"/>
    <s v="Post-op Rehab"/>
    <x v="2"/>
    <x v="1"/>
    <s v="Corporate Wellness"/>
    <x v="0"/>
    <n v="30"/>
    <n v="30"/>
    <n v="34.1"/>
    <n v="750"/>
    <x v="27"/>
    <x v="0"/>
    <n v="0"/>
    <n v="1"/>
    <n v="0"/>
    <n v="0.85"/>
  </r>
  <r>
    <s v="APT-01230"/>
    <x v="318"/>
    <x v="7"/>
    <x v="5"/>
    <x v="1"/>
    <x v="2"/>
    <s v="Ernakulam"/>
    <x v="12"/>
    <s v="PT-1129"/>
    <s v="Sports Injury"/>
    <x v="4"/>
    <x v="3"/>
    <s v="Orthopedic Doctor"/>
    <x v="3"/>
    <n v="45"/>
    <n v="0"/>
    <n v="54.6"/>
    <n v="1050"/>
    <x v="9"/>
    <x v="0"/>
    <n v="0"/>
    <n v="0"/>
    <n v="0"/>
    <n v="0.85"/>
  </r>
  <r>
    <s v="APT-01231"/>
    <x v="267"/>
    <x v="7"/>
    <x v="2"/>
    <x v="3"/>
    <x v="2"/>
    <s v="Ernakulam"/>
    <x v="14"/>
    <s v="PT-1658"/>
    <s v="Follow-up"/>
    <x v="2"/>
    <x v="0"/>
    <s v="Self Referral"/>
    <x v="3"/>
    <n v="30"/>
    <n v="0"/>
    <n v="33"/>
    <n v="750"/>
    <x v="9"/>
    <x v="0"/>
    <n v="0"/>
    <n v="0"/>
    <n v="0"/>
    <n v="0.85"/>
  </r>
  <r>
    <s v="APT-01232"/>
    <x v="116"/>
    <x v="6"/>
    <x v="2"/>
    <x v="2"/>
    <x v="2"/>
    <s v="Ernakulam"/>
    <x v="12"/>
    <s v="PT-1074"/>
    <s v="New Patient"/>
    <x v="0"/>
    <x v="0"/>
    <s v="Corporate Wellness"/>
    <x v="3"/>
    <n v="45"/>
    <n v="0"/>
    <n v="60.6"/>
    <n v="1350"/>
    <x v="9"/>
    <x v="0"/>
    <n v="0"/>
    <n v="0"/>
    <n v="0"/>
    <n v="0.85"/>
  </r>
  <r>
    <s v="APT-01233"/>
    <x v="305"/>
    <x v="4"/>
    <x v="5"/>
    <x v="2"/>
    <x v="2"/>
    <s v="Ernakulam"/>
    <x v="3"/>
    <s v="PT-1125"/>
    <s v="New Patient"/>
    <x v="4"/>
    <x v="2"/>
    <s v="Corporate Wellness"/>
    <x v="0"/>
    <n v="45"/>
    <n v="45"/>
    <n v="60.7"/>
    <n v="1350"/>
    <x v="14"/>
    <x v="0"/>
    <n v="0"/>
    <n v="1"/>
    <n v="0"/>
    <n v="0.85"/>
  </r>
  <r>
    <s v="APT-01234"/>
    <x v="292"/>
    <x v="4"/>
    <x v="1"/>
    <x v="2"/>
    <x v="2"/>
    <s v="Ernakulam"/>
    <x v="8"/>
    <s v="PT-1055"/>
    <s v="Follow-up"/>
    <x v="2"/>
    <x v="0"/>
    <s v="Neurologist"/>
    <x v="0"/>
    <n v="60"/>
    <n v="60"/>
    <n v="75.8"/>
    <n v="1500"/>
    <x v="3"/>
    <x v="0"/>
    <n v="0"/>
    <n v="1"/>
    <n v="0"/>
    <n v="0.85"/>
  </r>
  <r>
    <s v="APT-01235"/>
    <x v="103"/>
    <x v="5"/>
    <x v="4"/>
    <x v="3"/>
    <x v="1"/>
    <s v="Thrissur"/>
    <x v="10"/>
    <s v="PT-1375"/>
    <s v="Chronic Pain"/>
    <x v="2"/>
    <x v="0"/>
    <s v="Corporate Wellness"/>
    <x v="0"/>
    <n v="60"/>
    <n v="60"/>
    <n v="70.900000000000006"/>
    <n v="1350"/>
    <x v="14"/>
    <x v="0"/>
    <n v="0"/>
    <n v="1"/>
    <n v="0"/>
    <n v="0.85"/>
  </r>
  <r>
    <s v="APT-01236"/>
    <x v="227"/>
    <x v="1"/>
    <x v="5"/>
    <x v="3"/>
    <x v="2"/>
    <s v="Ernakulam"/>
    <x v="12"/>
    <s v="PT-1470"/>
    <s v="New Patient"/>
    <x v="3"/>
    <x v="1"/>
    <s v="Self Referral"/>
    <x v="3"/>
    <n v="60"/>
    <n v="0"/>
    <n v="67"/>
    <n v="1550"/>
    <x v="9"/>
    <x v="0"/>
    <n v="0"/>
    <n v="0"/>
    <n v="0"/>
    <n v="0.85"/>
  </r>
  <r>
    <s v="APT-01237"/>
    <x v="71"/>
    <x v="2"/>
    <x v="1"/>
    <x v="3"/>
    <x v="1"/>
    <s v="Thrissur"/>
    <x v="10"/>
    <s v="PT-1619"/>
    <s v="Sports Injury"/>
    <x v="3"/>
    <x v="2"/>
    <s v="Neurologist"/>
    <x v="0"/>
    <n v="60"/>
    <n v="60"/>
    <n v="70.3"/>
    <n v="1350"/>
    <x v="14"/>
    <x v="0"/>
    <n v="0"/>
    <n v="1"/>
    <n v="0"/>
    <n v="0.85"/>
  </r>
  <r>
    <s v="APT-01238"/>
    <x v="110"/>
    <x v="5"/>
    <x v="4"/>
    <x v="0"/>
    <x v="2"/>
    <s v="Ernakulam"/>
    <x v="14"/>
    <s v="PT-1286"/>
    <s v="Follow-up"/>
    <x v="4"/>
    <x v="1"/>
    <s v="Hospital Discharge"/>
    <x v="0"/>
    <n v="75"/>
    <n v="75"/>
    <n v="99.5"/>
    <n v="1600"/>
    <x v="11"/>
    <x v="0"/>
    <n v="0"/>
    <n v="1"/>
    <n v="0"/>
    <n v="0.85"/>
  </r>
  <r>
    <s v="APT-01239"/>
    <x v="24"/>
    <x v="11"/>
    <x v="1"/>
    <x v="1"/>
    <x v="2"/>
    <s v="Ernakulam"/>
    <x v="14"/>
    <s v="PT-1630"/>
    <s v="Chronic Pain"/>
    <x v="2"/>
    <x v="0"/>
    <s v="Self Referral"/>
    <x v="1"/>
    <n v="90"/>
    <n v="0"/>
    <n v="119.1"/>
    <n v="2250"/>
    <x v="9"/>
    <x v="7"/>
    <n v="1"/>
    <n v="0"/>
    <n v="0"/>
    <n v="0.85"/>
  </r>
  <r>
    <s v="APT-01240"/>
    <x v="160"/>
    <x v="0"/>
    <x v="3"/>
    <x v="3"/>
    <x v="2"/>
    <s v="Ernakulam"/>
    <x v="8"/>
    <s v="PT-1122"/>
    <s v="New Patient"/>
    <x v="0"/>
    <x v="2"/>
    <s v="Orthopedic Doctor"/>
    <x v="0"/>
    <n v="45"/>
    <n v="45"/>
    <n v="58"/>
    <n v="1350"/>
    <x v="14"/>
    <x v="0"/>
    <n v="0"/>
    <n v="1"/>
    <n v="0"/>
    <n v="0.85"/>
  </r>
  <r>
    <s v="APT-01241"/>
    <x v="141"/>
    <x v="2"/>
    <x v="4"/>
    <x v="3"/>
    <x v="1"/>
    <s v="Thrissur"/>
    <x v="2"/>
    <s v="PT-1514"/>
    <s v="Chronic Pain"/>
    <x v="0"/>
    <x v="0"/>
    <s v="Online Search"/>
    <x v="0"/>
    <n v="60"/>
    <n v="60"/>
    <n v="67.3"/>
    <n v="1350"/>
    <x v="14"/>
    <x v="0"/>
    <n v="0"/>
    <n v="1"/>
    <n v="0"/>
    <n v="0.85"/>
  </r>
  <r>
    <s v="APT-01242"/>
    <x v="22"/>
    <x v="11"/>
    <x v="1"/>
    <x v="2"/>
    <x v="2"/>
    <s v="Ernakulam"/>
    <x v="4"/>
    <s v="PT-1250"/>
    <s v="New Patient"/>
    <x v="4"/>
    <x v="0"/>
    <s v="Corporate Wellness"/>
    <x v="0"/>
    <n v="30"/>
    <n v="30"/>
    <n v="38.200000000000003"/>
    <n v="900"/>
    <x v="17"/>
    <x v="0"/>
    <n v="0"/>
    <n v="1"/>
    <n v="0"/>
    <n v="0.85"/>
  </r>
  <r>
    <s v="APT-01243"/>
    <x v="63"/>
    <x v="11"/>
    <x v="0"/>
    <x v="0"/>
    <x v="0"/>
    <s v="Palakkad"/>
    <x v="11"/>
    <s v="PT-1156"/>
    <s v="Follow-up"/>
    <x v="4"/>
    <x v="2"/>
    <s v="Self Referral"/>
    <x v="1"/>
    <n v="60"/>
    <n v="0"/>
    <n v="66.3"/>
    <n v="1250"/>
    <x v="9"/>
    <x v="9"/>
    <n v="1"/>
    <n v="0"/>
    <n v="0"/>
    <n v="0.85"/>
  </r>
  <r>
    <s v="APT-01244"/>
    <x v="114"/>
    <x v="3"/>
    <x v="5"/>
    <x v="1"/>
    <x v="2"/>
    <s v="Ernakulam"/>
    <x v="12"/>
    <s v="PT-1500"/>
    <s v="Follow-up"/>
    <x v="3"/>
    <x v="2"/>
    <s v="Online Search"/>
    <x v="0"/>
    <n v="30"/>
    <n v="30"/>
    <n v="37.1"/>
    <n v="750"/>
    <x v="27"/>
    <x v="0"/>
    <n v="0"/>
    <n v="1"/>
    <n v="0"/>
    <n v="0.85"/>
  </r>
  <r>
    <s v="APT-01245"/>
    <x v="165"/>
    <x v="9"/>
    <x v="2"/>
    <x v="1"/>
    <x v="2"/>
    <s v="Ernakulam"/>
    <x v="8"/>
    <s v="PT-1013"/>
    <s v="New Patient"/>
    <x v="3"/>
    <x v="0"/>
    <s v="Orthopedic Doctor"/>
    <x v="1"/>
    <n v="60"/>
    <n v="0"/>
    <n v="71.8"/>
    <n v="1800"/>
    <x v="9"/>
    <x v="13"/>
    <n v="1"/>
    <n v="0"/>
    <n v="0"/>
    <n v="0.85"/>
  </r>
  <r>
    <s v="APT-01246"/>
    <x v="32"/>
    <x v="8"/>
    <x v="4"/>
    <x v="2"/>
    <x v="1"/>
    <s v="Thrissur"/>
    <x v="2"/>
    <s v="PT-1689"/>
    <s v="Post-op Rehab"/>
    <x v="3"/>
    <x v="2"/>
    <s v="Online Search"/>
    <x v="0"/>
    <n v="90"/>
    <n v="90"/>
    <n v="98.5"/>
    <n v="2350"/>
    <x v="35"/>
    <x v="0"/>
    <n v="0"/>
    <n v="1"/>
    <n v="0"/>
    <n v="0.85"/>
  </r>
  <r>
    <s v="APT-01247"/>
    <x v="111"/>
    <x v="8"/>
    <x v="1"/>
    <x v="3"/>
    <x v="2"/>
    <s v="Ernakulam"/>
    <x v="3"/>
    <s v="PT-1490"/>
    <s v="Follow-up"/>
    <x v="2"/>
    <x v="1"/>
    <s v="Self Referral"/>
    <x v="0"/>
    <n v="30"/>
    <n v="30"/>
    <n v="36.299999999999997"/>
    <n v="650"/>
    <x v="36"/>
    <x v="0"/>
    <n v="0"/>
    <n v="1"/>
    <n v="0"/>
    <n v="0.85"/>
  </r>
  <r>
    <s v="APT-01248"/>
    <x v="103"/>
    <x v="5"/>
    <x v="4"/>
    <x v="1"/>
    <x v="0"/>
    <s v="Palakkad"/>
    <x v="11"/>
    <s v="PT-1335"/>
    <s v="New Patient"/>
    <x v="5"/>
    <x v="0"/>
    <s v="Orthopedic Doctor"/>
    <x v="0"/>
    <n v="90"/>
    <n v="90"/>
    <n v="102.1"/>
    <n v="2250"/>
    <x v="12"/>
    <x v="0"/>
    <n v="0"/>
    <n v="1"/>
    <n v="0"/>
    <n v="0.85"/>
  </r>
  <r>
    <s v="APT-01249"/>
    <x v="251"/>
    <x v="7"/>
    <x v="4"/>
    <x v="0"/>
    <x v="1"/>
    <s v="Thrissur"/>
    <x v="5"/>
    <s v="PT-1626"/>
    <s v="Post-op Rehab"/>
    <x v="0"/>
    <x v="0"/>
    <s v="Self Referral"/>
    <x v="0"/>
    <n v="90"/>
    <n v="90"/>
    <n v="109"/>
    <n v="2350"/>
    <x v="35"/>
    <x v="0"/>
    <n v="0"/>
    <n v="1"/>
    <n v="0"/>
    <n v="0.85"/>
  </r>
  <r>
    <s v="APT-01250"/>
    <x v="98"/>
    <x v="3"/>
    <x v="0"/>
    <x v="1"/>
    <x v="2"/>
    <s v="Ernakulam"/>
    <x v="8"/>
    <s v="PT-1308"/>
    <s v="Post-op Rehab"/>
    <x v="3"/>
    <x v="3"/>
    <s v="Corporate Wellness"/>
    <x v="0"/>
    <n v="30"/>
    <n v="30"/>
    <n v="33.700000000000003"/>
    <n v="800"/>
    <x v="18"/>
    <x v="0"/>
    <n v="0"/>
    <n v="1"/>
    <n v="0"/>
    <n v="0.85"/>
  </r>
  <r>
    <s v="APT-01251"/>
    <x v="171"/>
    <x v="10"/>
    <x v="3"/>
    <x v="0"/>
    <x v="0"/>
    <s v="Palakkad"/>
    <x v="11"/>
    <s v="PT-1196"/>
    <s v="Post-op Rehab"/>
    <x v="0"/>
    <x v="0"/>
    <s v="Online Search"/>
    <x v="0"/>
    <n v="30"/>
    <n v="30"/>
    <n v="33.200000000000003"/>
    <n v="700"/>
    <x v="19"/>
    <x v="0"/>
    <n v="0"/>
    <n v="1"/>
    <n v="0"/>
    <n v="0.85"/>
  </r>
  <r>
    <s v="APT-01252"/>
    <x v="253"/>
    <x v="5"/>
    <x v="2"/>
    <x v="3"/>
    <x v="2"/>
    <s v="Ernakulam"/>
    <x v="14"/>
    <s v="PT-1536"/>
    <s v="Post-op Rehab"/>
    <x v="2"/>
    <x v="0"/>
    <s v="Online Search"/>
    <x v="0"/>
    <n v="30"/>
    <n v="30"/>
    <n v="36.9"/>
    <n v="850"/>
    <x v="23"/>
    <x v="0"/>
    <n v="0"/>
    <n v="1"/>
    <n v="0"/>
    <n v="0.85"/>
  </r>
  <r>
    <s v="APT-01253"/>
    <x v="273"/>
    <x v="10"/>
    <x v="4"/>
    <x v="3"/>
    <x v="1"/>
    <s v="Thrissur"/>
    <x v="1"/>
    <s v="PT-1697"/>
    <s v="Sports Injury"/>
    <x v="4"/>
    <x v="2"/>
    <s v="Online Search"/>
    <x v="0"/>
    <n v="60"/>
    <n v="60"/>
    <n v="71.599999999999994"/>
    <n v="1350"/>
    <x v="14"/>
    <x v="0"/>
    <n v="0"/>
    <n v="1"/>
    <n v="0"/>
    <n v="0.85"/>
  </r>
  <r>
    <s v="APT-01254"/>
    <x v="49"/>
    <x v="9"/>
    <x v="1"/>
    <x v="3"/>
    <x v="1"/>
    <s v="Thrissur"/>
    <x v="7"/>
    <s v="PT-1674"/>
    <s v="Follow-up"/>
    <x v="3"/>
    <x v="2"/>
    <s v="Online Search"/>
    <x v="1"/>
    <n v="60"/>
    <n v="0"/>
    <n v="76.8"/>
    <n v="1350"/>
    <x v="9"/>
    <x v="2"/>
    <n v="1"/>
    <n v="0"/>
    <n v="0"/>
    <n v="0.85"/>
  </r>
  <r>
    <s v="APT-01255"/>
    <x v="253"/>
    <x v="5"/>
    <x v="2"/>
    <x v="0"/>
    <x v="2"/>
    <s v="Ernakulam"/>
    <x v="3"/>
    <s v="PT-1529"/>
    <s v="Sports Injury"/>
    <x v="1"/>
    <x v="1"/>
    <s v="Orthopedic Doctor"/>
    <x v="3"/>
    <n v="60"/>
    <n v="0"/>
    <n v="77.5"/>
    <n v="1300"/>
    <x v="9"/>
    <x v="0"/>
    <n v="0"/>
    <n v="0"/>
    <n v="0"/>
    <n v="0.85"/>
  </r>
  <r>
    <s v="APT-01256"/>
    <x v="287"/>
    <x v="9"/>
    <x v="0"/>
    <x v="2"/>
    <x v="2"/>
    <s v="Ernakulam"/>
    <x v="3"/>
    <s v="PT-1139"/>
    <s v="Follow-up"/>
    <x v="2"/>
    <x v="0"/>
    <s v="Self Referral"/>
    <x v="0"/>
    <n v="60"/>
    <n v="60"/>
    <n v="76.7"/>
    <n v="1500"/>
    <x v="3"/>
    <x v="0"/>
    <n v="0"/>
    <n v="1"/>
    <n v="0"/>
    <n v="0.85"/>
  </r>
  <r>
    <s v="APT-01257"/>
    <x v="273"/>
    <x v="10"/>
    <x v="4"/>
    <x v="0"/>
    <x v="2"/>
    <s v="Ernakulam"/>
    <x v="3"/>
    <s v="PT-1298"/>
    <s v="Follow-up"/>
    <x v="5"/>
    <x v="2"/>
    <s v="Orthopedic Doctor"/>
    <x v="0"/>
    <n v="45"/>
    <n v="45"/>
    <n v="51.3"/>
    <n v="1100"/>
    <x v="20"/>
    <x v="0"/>
    <n v="0"/>
    <n v="1"/>
    <n v="0"/>
    <n v="0.85"/>
  </r>
  <r>
    <s v="APT-01258"/>
    <x v="56"/>
    <x v="6"/>
    <x v="4"/>
    <x v="2"/>
    <x v="2"/>
    <s v="Ernakulam"/>
    <x v="3"/>
    <s v="PT-1366"/>
    <s v="Follow-up"/>
    <x v="1"/>
    <x v="1"/>
    <s v="Neurologist"/>
    <x v="0"/>
    <n v="75"/>
    <n v="75"/>
    <n v="83"/>
    <n v="1600"/>
    <x v="11"/>
    <x v="0"/>
    <n v="0"/>
    <n v="1"/>
    <n v="0"/>
    <n v="0.85"/>
  </r>
  <r>
    <s v="APT-01259"/>
    <x v="266"/>
    <x v="10"/>
    <x v="2"/>
    <x v="0"/>
    <x v="1"/>
    <s v="Thrissur"/>
    <x v="2"/>
    <s v="PT-1472"/>
    <s v="New Patient"/>
    <x v="0"/>
    <x v="3"/>
    <s v="Self Referral"/>
    <x v="0"/>
    <n v="30"/>
    <n v="30"/>
    <n v="37.700000000000003"/>
    <n v="750"/>
    <x v="27"/>
    <x v="0"/>
    <n v="0"/>
    <n v="1"/>
    <n v="0"/>
    <n v="0.85"/>
  </r>
  <r>
    <s v="APT-01260"/>
    <x v="296"/>
    <x v="0"/>
    <x v="3"/>
    <x v="3"/>
    <x v="2"/>
    <s v="Ernakulam"/>
    <x v="8"/>
    <s v="PT-1125"/>
    <s v="Chronic Pain"/>
    <x v="0"/>
    <x v="3"/>
    <s v="Orthopedic Doctor"/>
    <x v="2"/>
    <n v="60"/>
    <n v="0"/>
    <n v="75.400000000000006"/>
    <n v="1400"/>
    <x v="9"/>
    <x v="23"/>
    <n v="0"/>
    <n v="0"/>
    <n v="1"/>
    <n v="0.85"/>
  </r>
  <r>
    <s v="APT-01261"/>
    <x v="72"/>
    <x v="10"/>
    <x v="2"/>
    <x v="3"/>
    <x v="0"/>
    <s v="Palakkad"/>
    <x v="13"/>
    <s v="PT-1643"/>
    <s v="Post-op Rehab"/>
    <x v="4"/>
    <x v="0"/>
    <s v="Corporate Wellness"/>
    <x v="0"/>
    <n v="60"/>
    <n v="60"/>
    <n v="77.5"/>
    <n v="1450"/>
    <x v="10"/>
    <x v="0"/>
    <n v="0"/>
    <n v="1"/>
    <n v="0"/>
    <n v="0.85"/>
  </r>
  <r>
    <s v="APT-01262"/>
    <x v="74"/>
    <x v="10"/>
    <x v="3"/>
    <x v="1"/>
    <x v="1"/>
    <s v="Thrissur"/>
    <x v="1"/>
    <s v="PT-1499"/>
    <s v="Follow-up"/>
    <x v="1"/>
    <x v="0"/>
    <s v="Online Search"/>
    <x v="0"/>
    <n v="45"/>
    <n v="45"/>
    <n v="51.4"/>
    <n v="1000"/>
    <x v="13"/>
    <x v="0"/>
    <n v="0"/>
    <n v="1"/>
    <n v="0"/>
    <n v="0.85"/>
  </r>
  <r>
    <s v="APT-01263"/>
    <x v="51"/>
    <x v="6"/>
    <x v="0"/>
    <x v="2"/>
    <x v="0"/>
    <s v="Palakkad"/>
    <x v="0"/>
    <s v="PT-1624"/>
    <s v="Follow-up"/>
    <x v="2"/>
    <x v="2"/>
    <s v="Orthopedic Doctor"/>
    <x v="0"/>
    <n v="45"/>
    <n v="45"/>
    <n v="58.5"/>
    <n v="950"/>
    <x v="7"/>
    <x v="0"/>
    <n v="0"/>
    <n v="1"/>
    <n v="0"/>
    <n v="0.85"/>
  </r>
  <r>
    <s v="APT-01264"/>
    <x v="201"/>
    <x v="8"/>
    <x v="3"/>
    <x v="1"/>
    <x v="0"/>
    <s v="Palakkad"/>
    <x v="13"/>
    <s v="PT-1645"/>
    <s v="Sports Injury"/>
    <x v="1"/>
    <x v="3"/>
    <s v="Neurologist"/>
    <x v="0"/>
    <n v="75"/>
    <n v="75"/>
    <n v="95.8"/>
    <n v="1450"/>
    <x v="10"/>
    <x v="0"/>
    <n v="0"/>
    <n v="1"/>
    <n v="0"/>
    <n v="0.85"/>
  </r>
  <r>
    <s v="APT-01265"/>
    <x v="298"/>
    <x v="2"/>
    <x v="5"/>
    <x v="1"/>
    <x v="0"/>
    <s v="Palakkad"/>
    <x v="9"/>
    <s v="PT-1583"/>
    <s v="Follow-up"/>
    <x v="1"/>
    <x v="0"/>
    <s v="Online Search"/>
    <x v="0"/>
    <n v="45"/>
    <n v="45"/>
    <n v="58.6"/>
    <n v="950"/>
    <x v="7"/>
    <x v="0"/>
    <n v="0"/>
    <n v="1"/>
    <n v="0"/>
    <n v="0.85"/>
  </r>
  <r>
    <s v="APT-01266"/>
    <x v="66"/>
    <x v="7"/>
    <x v="1"/>
    <x v="3"/>
    <x v="2"/>
    <s v="Ernakulam"/>
    <x v="4"/>
    <s v="PT-1186"/>
    <s v="New Patient"/>
    <x v="1"/>
    <x v="0"/>
    <s v="Online Search"/>
    <x v="0"/>
    <n v="60"/>
    <n v="60"/>
    <n v="68.2"/>
    <n v="1800"/>
    <x v="25"/>
    <x v="0"/>
    <n v="0"/>
    <n v="1"/>
    <n v="0"/>
    <n v="0.85"/>
  </r>
  <r>
    <s v="APT-01267"/>
    <x v="177"/>
    <x v="7"/>
    <x v="4"/>
    <x v="2"/>
    <x v="0"/>
    <s v="Palakkad"/>
    <x v="9"/>
    <s v="PT-1007"/>
    <s v="Follow-up"/>
    <x v="5"/>
    <x v="0"/>
    <s v="Online Search"/>
    <x v="0"/>
    <n v="45"/>
    <n v="45"/>
    <n v="54.7"/>
    <n v="950"/>
    <x v="7"/>
    <x v="0"/>
    <n v="0"/>
    <n v="1"/>
    <n v="0"/>
    <n v="0.85"/>
  </r>
  <r>
    <s v="APT-01268"/>
    <x v="233"/>
    <x v="3"/>
    <x v="3"/>
    <x v="2"/>
    <x v="1"/>
    <s v="Thrissur"/>
    <x v="2"/>
    <s v="PT-1504"/>
    <s v="New Patient"/>
    <x v="1"/>
    <x v="2"/>
    <s v="Self Referral"/>
    <x v="1"/>
    <n v="30"/>
    <n v="0"/>
    <n v="32.6"/>
    <n v="800"/>
    <x v="9"/>
    <x v="30"/>
    <n v="1"/>
    <n v="0"/>
    <n v="0"/>
    <n v="0.85"/>
  </r>
  <r>
    <s v="APT-01269"/>
    <x v="147"/>
    <x v="8"/>
    <x v="3"/>
    <x v="0"/>
    <x v="1"/>
    <s v="Thrissur"/>
    <x v="10"/>
    <s v="PT-1046"/>
    <s v="Follow-up"/>
    <x v="2"/>
    <x v="2"/>
    <s v="Self Referral"/>
    <x v="1"/>
    <n v="60"/>
    <n v="0"/>
    <n v="65.5"/>
    <n v="1350"/>
    <x v="9"/>
    <x v="2"/>
    <n v="1"/>
    <n v="0"/>
    <n v="0"/>
    <n v="0.85"/>
  </r>
  <r>
    <s v="APT-01270"/>
    <x v="319"/>
    <x v="10"/>
    <x v="2"/>
    <x v="0"/>
    <x v="0"/>
    <s v="Palakkad"/>
    <x v="13"/>
    <s v="PT-1676"/>
    <s v="Post-op Rehab"/>
    <x v="5"/>
    <x v="0"/>
    <s v="Online Search"/>
    <x v="0"/>
    <n v="45"/>
    <n v="45"/>
    <n v="52.3"/>
    <n v="1100"/>
    <x v="20"/>
    <x v="0"/>
    <n v="0"/>
    <n v="1"/>
    <n v="0"/>
    <n v="0.85"/>
  </r>
  <r>
    <s v="APT-01271"/>
    <x v="227"/>
    <x v="1"/>
    <x v="5"/>
    <x v="1"/>
    <x v="0"/>
    <s v="Palakkad"/>
    <x v="13"/>
    <s v="PT-1125"/>
    <s v="Post-op Rehab"/>
    <x v="1"/>
    <x v="0"/>
    <s v="Orthopedic Doctor"/>
    <x v="3"/>
    <n v="45"/>
    <n v="0"/>
    <n v="57.8"/>
    <n v="1100"/>
    <x v="9"/>
    <x v="0"/>
    <n v="0"/>
    <n v="0"/>
    <n v="0"/>
    <n v="0.85"/>
  </r>
  <r>
    <s v="APT-01272"/>
    <x v="215"/>
    <x v="9"/>
    <x v="6"/>
    <x v="3"/>
    <x v="0"/>
    <s v="Palakkad"/>
    <x v="13"/>
    <s v="PT-1696"/>
    <s v="Chronic Pain"/>
    <x v="4"/>
    <x v="1"/>
    <s v="Self Referral"/>
    <x v="0"/>
    <n v="60"/>
    <n v="60"/>
    <n v="80.599999999999994"/>
    <n v="1050"/>
    <x v="2"/>
    <x v="0"/>
    <n v="0"/>
    <n v="1"/>
    <n v="0"/>
    <n v="0.85"/>
  </r>
  <r>
    <s v="APT-01273"/>
    <x v="266"/>
    <x v="10"/>
    <x v="2"/>
    <x v="3"/>
    <x v="0"/>
    <s v="Palakkad"/>
    <x v="6"/>
    <s v="PT-1370"/>
    <s v="Chronic Pain"/>
    <x v="1"/>
    <x v="0"/>
    <s v="Neurologist"/>
    <x v="0"/>
    <n v="45"/>
    <n v="45"/>
    <n v="52.7"/>
    <n v="950"/>
    <x v="7"/>
    <x v="0"/>
    <n v="0"/>
    <n v="1"/>
    <n v="0"/>
    <n v="0.85"/>
  </r>
  <r>
    <s v="APT-01274"/>
    <x v="61"/>
    <x v="10"/>
    <x v="5"/>
    <x v="3"/>
    <x v="1"/>
    <s v="Thrissur"/>
    <x v="2"/>
    <s v="PT-1132"/>
    <s v="Follow-up"/>
    <x v="5"/>
    <x v="1"/>
    <s v="Hospital Discharge"/>
    <x v="0"/>
    <n v="60"/>
    <n v="60"/>
    <n v="72.3"/>
    <n v="1150"/>
    <x v="15"/>
    <x v="0"/>
    <n v="0"/>
    <n v="1"/>
    <n v="0"/>
    <n v="0.85"/>
  </r>
  <r>
    <s v="APT-01275"/>
    <x v="306"/>
    <x v="2"/>
    <x v="5"/>
    <x v="3"/>
    <x v="1"/>
    <s v="Thrissur"/>
    <x v="2"/>
    <s v="PT-1304"/>
    <s v="New Patient"/>
    <x v="1"/>
    <x v="0"/>
    <s v="Orthopedic Doctor"/>
    <x v="0"/>
    <n v="45"/>
    <n v="45"/>
    <n v="50.3"/>
    <n v="1200"/>
    <x v="26"/>
    <x v="0"/>
    <n v="0"/>
    <n v="1"/>
    <n v="0"/>
    <n v="0.85"/>
  </r>
  <r>
    <s v="APT-01276"/>
    <x v="127"/>
    <x v="4"/>
    <x v="5"/>
    <x v="2"/>
    <x v="0"/>
    <s v="Palakkad"/>
    <x v="13"/>
    <s v="PT-1059"/>
    <s v="Sports Injury"/>
    <x v="0"/>
    <x v="3"/>
    <s v="Self Referral"/>
    <x v="0"/>
    <n v="90"/>
    <n v="90"/>
    <n v="109.4"/>
    <n v="1700"/>
    <x v="6"/>
    <x v="0"/>
    <n v="0"/>
    <n v="1"/>
    <n v="0"/>
    <n v="0.85"/>
  </r>
  <r>
    <s v="APT-01277"/>
    <x v="259"/>
    <x v="0"/>
    <x v="2"/>
    <x v="1"/>
    <x v="1"/>
    <s v="Thrissur"/>
    <x v="7"/>
    <s v="PT-1065"/>
    <s v="Sports Injury"/>
    <x v="3"/>
    <x v="0"/>
    <s v="Hospital Discharge"/>
    <x v="1"/>
    <n v="45"/>
    <n v="0"/>
    <n v="55.2"/>
    <n v="1000"/>
    <x v="9"/>
    <x v="16"/>
    <n v="1"/>
    <n v="0"/>
    <n v="0"/>
    <n v="0.85"/>
  </r>
  <r>
    <s v="APT-01278"/>
    <x v="158"/>
    <x v="4"/>
    <x v="4"/>
    <x v="3"/>
    <x v="2"/>
    <s v="Ernakulam"/>
    <x v="3"/>
    <s v="PT-1229"/>
    <s v="Chronic Pain"/>
    <x v="1"/>
    <x v="2"/>
    <s v="Orthopedic Doctor"/>
    <x v="0"/>
    <n v="45"/>
    <n v="45"/>
    <n v="56.9"/>
    <n v="1100"/>
    <x v="20"/>
    <x v="0"/>
    <n v="0"/>
    <n v="1"/>
    <n v="0"/>
    <n v="0.85"/>
  </r>
  <r>
    <s v="APT-01279"/>
    <x v="268"/>
    <x v="2"/>
    <x v="1"/>
    <x v="3"/>
    <x v="2"/>
    <s v="Ernakulam"/>
    <x v="12"/>
    <s v="PT-1085"/>
    <s v="Chronic Pain"/>
    <x v="5"/>
    <x v="0"/>
    <s v="Self Referral"/>
    <x v="2"/>
    <n v="75"/>
    <n v="0"/>
    <n v="96.1"/>
    <n v="1900"/>
    <x v="9"/>
    <x v="4"/>
    <n v="0"/>
    <n v="0"/>
    <n v="1"/>
    <n v="0.85"/>
  </r>
  <r>
    <s v="APT-01280"/>
    <x v="172"/>
    <x v="7"/>
    <x v="1"/>
    <x v="1"/>
    <x v="1"/>
    <s v="Thrissur"/>
    <x v="2"/>
    <s v="PT-1373"/>
    <s v="Sports Injury"/>
    <x v="4"/>
    <x v="2"/>
    <s v="Online Search"/>
    <x v="0"/>
    <n v="60"/>
    <n v="60"/>
    <n v="71.599999999999994"/>
    <n v="1350"/>
    <x v="14"/>
    <x v="0"/>
    <n v="0"/>
    <n v="1"/>
    <n v="0"/>
    <n v="0.85"/>
  </r>
  <r>
    <s v="APT-01281"/>
    <x v="216"/>
    <x v="3"/>
    <x v="0"/>
    <x v="1"/>
    <x v="0"/>
    <s v="Palakkad"/>
    <x v="11"/>
    <s v="PT-1554"/>
    <s v="Follow-up"/>
    <x v="3"/>
    <x v="0"/>
    <s v="Hospital Discharge"/>
    <x v="0"/>
    <n v="45"/>
    <n v="45"/>
    <n v="52.9"/>
    <n v="950"/>
    <x v="7"/>
    <x v="0"/>
    <n v="0"/>
    <n v="1"/>
    <n v="0"/>
    <n v="0.85"/>
  </r>
  <r>
    <s v="APT-01282"/>
    <x v="57"/>
    <x v="3"/>
    <x v="5"/>
    <x v="1"/>
    <x v="0"/>
    <s v="Palakkad"/>
    <x v="6"/>
    <s v="PT-1229"/>
    <s v="Follow-up"/>
    <x v="4"/>
    <x v="1"/>
    <s v="Online Search"/>
    <x v="0"/>
    <n v="60"/>
    <n v="60"/>
    <n v="75.099999999999994"/>
    <n v="1050"/>
    <x v="2"/>
    <x v="0"/>
    <n v="0"/>
    <n v="1"/>
    <n v="0"/>
    <n v="0.85"/>
  </r>
  <r>
    <s v="APT-01283"/>
    <x v="224"/>
    <x v="3"/>
    <x v="4"/>
    <x v="0"/>
    <x v="2"/>
    <s v="Ernakulam"/>
    <x v="3"/>
    <s v="PT-1582"/>
    <s v="Follow-up"/>
    <x v="3"/>
    <x v="2"/>
    <s v="Online Search"/>
    <x v="0"/>
    <n v="45"/>
    <n v="45"/>
    <n v="51.9"/>
    <n v="1100"/>
    <x v="20"/>
    <x v="0"/>
    <n v="0"/>
    <n v="1"/>
    <n v="0"/>
    <n v="0.85"/>
  </r>
  <r>
    <s v="APT-01284"/>
    <x v="41"/>
    <x v="11"/>
    <x v="1"/>
    <x v="0"/>
    <x v="0"/>
    <s v="Palakkad"/>
    <x v="0"/>
    <s v="PT-1519"/>
    <s v="Sports Injury"/>
    <x v="1"/>
    <x v="0"/>
    <s v="Self Referral"/>
    <x v="0"/>
    <n v="45"/>
    <n v="45"/>
    <n v="52.2"/>
    <n v="950"/>
    <x v="7"/>
    <x v="0"/>
    <n v="0"/>
    <n v="1"/>
    <n v="0"/>
    <n v="0.85"/>
  </r>
  <r>
    <s v="APT-01285"/>
    <x v="134"/>
    <x v="2"/>
    <x v="1"/>
    <x v="1"/>
    <x v="1"/>
    <s v="Thrissur"/>
    <x v="2"/>
    <s v="PT-1276"/>
    <s v="New Patient"/>
    <x v="0"/>
    <x v="3"/>
    <s v="Orthopedic Doctor"/>
    <x v="0"/>
    <n v="75"/>
    <n v="75"/>
    <n v="97.6"/>
    <n v="1850"/>
    <x v="24"/>
    <x v="0"/>
    <n v="0"/>
    <n v="1"/>
    <n v="0"/>
    <n v="0.85"/>
  </r>
  <r>
    <s v="APT-01286"/>
    <x v="145"/>
    <x v="1"/>
    <x v="1"/>
    <x v="1"/>
    <x v="2"/>
    <s v="Ernakulam"/>
    <x v="12"/>
    <s v="PT-1050"/>
    <s v="Follow-up"/>
    <x v="4"/>
    <x v="0"/>
    <s v="Orthopedic Doctor"/>
    <x v="0"/>
    <n v="90"/>
    <n v="90"/>
    <n v="110"/>
    <n v="2250"/>
    <x v="12"/>
    <x v="0"/>
    <n v="0"/>
    <n v="1"/>
    <n v="0"/>
    <n v="0.85"/>
  </r>
  <r>
    <s v="APT-01287"/>
    <x v="292"/>
    <x v="4"/>
    <x v="1"/>
    <x v="1"/>
    <x v="1"/>
    <s v="Thrissur"/>
    <x v="1"/>
    <s v="PT-1690"/>
    <s v="Follow-up"/>
    <x v="2"/>
    <x v="0"/>
    <s v="Corporate Wellness"/>
    <x v="0"/>
    <n v="45"/>
    <n v="45"/>
    <n v="59.9"/>
    <n v="1000"/>
    <x v="13"/>
    <x v="0"/>
    <n v="0"/>
    <n v="1"/>
    <n v="0"/>
    <n v="0.85"/>
  </r>
  <r>
    <s v="APT-01288"/>
    <x v="245"/>
    <x v="1"/>
    <x v="1"/>
    <x v="1"/>
    <x v="1"/>
    <s v="Thrissur"/>
    <x v="2"/>
    <s v="PT-1483"/>
    <s v="Follow-up"/>
    <x v="4"/>
    <x v="0"/>
    <s v="Corporate Wellness"/>
    <x v="0"/>
    <n v="30"/>
    <n v="30"/>
    <n v="35.700000000000003"/>
    <n v="700"/>
    <x v="19"/>
    <x v="0"/>
    <n v="0"/>
    <n v="1"/>
    <n v="0"/>
    <n v="0.85"/>
  </r>
  <r>
    <s v="APT-01289"/>
    <x v="294"/>
    <x v="5"/>
    <x v="5"/>
    <x v="3"/>
    <x v="0"/>
    <s v="Palakkad"/>
    <x v="0"/>
    <s v="PT-1585"/>
    <s v="Follow-up"/>
    <x v="3"/>
    <x v="0"/>
    <s v="Corporate Wellness"/>
    <x v="0"/>
    <n v="60"/>
    <n v="60"/>
    <n v="70.099999999999994"/>
    <n v="1250"/>
    <x v="5"/>
    <x v="0"/>
    <n v="0"/>
    <n v="1"/>
    <n v="0"/>
    <n v="0.85"/>
  </r>
  <r>
    <s v="APT-01290"/>
    <x v="305"/>
    <x v="4"/>
    <x v="5"/>
    <x v="0"/>
    <x v="2"/>
    <s v="Ernakulam"/>
    <x v="12"/>
    <s v="PT-1328"/>
    <s v="Post-op Rehab"/>
    <x v="5"/>
    <x v="2"/>
    <s v="Neurologist"/>
    <x v="0"/>
    <n v="45"/>
    <n v="45"/>
    <n v="56.3"/>
    <n v="1300"/>
    <x v="22"/>
    <x v="0"/>
    <n v="0"/>
    <n v="1"/>
    <n v="0"/>
    <n v="0.85"/>
  </r>
  <r>
    <s v="APT-01291"/>
    <x v="96"/>
    <x v="2"/>
    <x v="0"/>
    <x v="0"/>
    <x v="0"/>
    <s v="Palakkad"/>
    <x v="11"/>
    <s v="PT-1247"/>
    <s v="New Patient"/>
    <x v="2"/>
    <x v="0"/>
    <s v="Hospital Discharge"/>
    <x v="0"/>
    <n v="45"/>
    <n v="45"/>
    <n v="52.5"/>
    <n v="1100"/>
    <x v="20"/>
    <x v="0"/>
    <n v="0"/>
    <n v="1"/>
    <n v="0"/>
    <n v="0.85"/>
  </r>
  <r>
    <s v="APT-01292"/>
    <x v="150"/>
    <x v="6"/>
    <x v="1"/>
    <x v="2"/>
    <x v="1"/>
    <s v="Thrissur"/>
    <x v="5"/>
    <s v="PT-1631"/>
    <s v="New Patient"/>
    <x v="5"/>
    <x v="2"/>
    <s v="Online Search"/>
    <x v="2"/>
    <n v="60"/>
    <n v="0"/>
    <n v="76.2"/>
    <n v="1600"/>
    <x v="9"/>
    <x v="10"/>
    <n v="0"/>
    <n v="0"/>
    <n v="1"/>
    <n v="0.85"/>
  </r>
  <r>
    <s v="APT-01293"/>
    <x v="165"/>
    <x v="9"/>
    <x v="2"/>
    <x v="0"/>
    <x v="0"/>
    <s v="Palakkad"/>
    <x v="11"/>
    <s v="PT-1242"/>
    <s v="Follow-up"/>
    <x v="1"/>
    <x v="0"/>
    <s v="Corporate Wellness"/>
    <x v="0"/>
    <n v="60"/>
    <n v="60"/>
    <n v="73.8"/>
    <n v="1250"/>
    <x v="5"/>
    <x v="0"/>
    <n v="0"/>
    <n v="1"/>
    <n v="0"/>
    <n v="0.85"/>
  </r>
  <r>
    <s v="APT-01294"/>
    <x v="276"/>
    <x v="5"/>
    <x v="0"/>
    <x v="0"/>
    <x v="0"/>
    <s v="Palakkad"/>
    <x v="6"/>
    <s v="PT-1026"/>
    <s v="Post-op Rehab"/>
    <x v="4"/>
    <x v="0"/>
    <s v="Self Referral"/>
    <x v="0"/>
    <n v="75"/>
    <n v="75"/>
    <n v="98.4"/>
    <n v="1800"/>
    <x v="25"/>
    <x v="0"/>
    <n v="0"/>
    <n v="1"/>
    <n v="0"/>
    <n v="0.85"/>
  </r>
  <r>
    <s v="APT-01295"/>
    <x v="105"/>
    <x v="7"/>
    <x v="2"/>
    <x v="3"/>
    <x v="1"/>
    <s v="Thrissur"/>
    <x v="10"/>
    <s v="PT-1128"/>
    <s v="Follow-up"/>
    <x v="5"/>
    <x v="0"/>
    <s v="Corporate Wellness"/>
    <x v="0"/>
    <n v="60"/>
    <n v="60"/>
    <n v="74.2"/>
    <n v="1350"/>
    <x v="14"/>
    <x v="0"/>
    <n v="0"/>
    <n v="1"/>
    <n v="0"/>
    <n v="0.85"/>
  </r>
  <r>
    <s v="APT-01296"/>
    <x v="132"/>
    <x v="8"/>
    <x v="3"/>
    <x v="1"/>
    <x v="0"/>
    <s v="Palakkad"/>
    <x v="11"/>
    <s v="PT-1696"/>
    <s v="Follow-up"/>
    <x v="0"/>
    <x v="0"/>
    <s v="Orthopedic Doctor"/>
    <x v="0"/>
    <n v="45"/>
    <n v="45"/>
    <n v="52.8"/>
    <n v="950"/>
    <x v="7"/>
    <x v="0"/>
    <n v="0"/>
    <n v="1"/>
    <n v="0"/>
    <n v="0.85"/>
  </r>
  <r>
    <s v="APT-01297"/>
    <x v="318"/>
    <x v="7"/>
    <x v="5"/>
    <x v="1"/>
    <x v="1"/>
    <s v="Thrissur"/>
    <x v="10"/>
    <s v="PT-1081"/>
    <s v="New Patient"/>
    <x v="2"/>
    <x v="0"/>
    <s v="Online Search"/>
    <x v="1"/>
    <n v="60"/>
    <n v="0"/>
    <n v="65.599999999999994"/>
    <n v="1600"/>
    <x v="9"/>
    <x v="10"/>
    <n v="1"/>
    <n v="0"/>
    <n v="0"/>
    <n v="0.85"/>
  </r>
  <r>
    <s v="APT-01298"/>
    <x v="57"/>
    <x v="3"/>
    <x v="5"/>
    <x v="1"/>
    <x v="0"/>
    <s v="Palakkad"/>
    <x v="11"/>
    <s v="PT-1531"/>
    <s v="Post-op Rehab"/>
    <x v="4"/>
    <x v="2"/>
    <s v="Neurologist"/>
    <x v="0"/>
    <n v="60"/>
    <n v="60"/>
    <n v="78.5"/>
    <n v="1450"/>
    <x v="10"/>
    <x v="0"/>
    <n v="0"/>
    <n v="1"/>
    <n v="0"/>
    <n v="0.85"/>
  </r>
  <r>
    <s v="APT-01299"/>
    <x v="245"/>
    <x v="1"/>
    <x v="1"/>
    <x v="0"/>
    <x v="1"/>
    <s v="Thrissur"/>
    <x v="1"/>
    <s v="PT-1316"/>
    <s v="Follow-up"/>
    <x v="0"/>
    <x v="2"/>
    <s v="Online Search"/>
    <x v="2"/>
    <n v="60"/>
    <n v="0"/>
    <n v="77.599999999999994"/>
    <n v="1350"/>
    <x v="9"/>
    <x v="2"/>
    <n v="0"/>
    <n v="0"/>
    <n v="1"/>
    <n v="0.85"/>
  </r>
  <r>
    <s v="APT-01300"/>
    <x v="146"/>
    <x v="8"/>
    <x v="1"/>
    <x v="3"/>
    <x v="1"/>
    <s v="Thrissur"/>
    <x v="2"/>
    <s v="PT-1598"/>
    <s v="Post-op Rehab"/>
    <x v="1"/>
    <x v="2"/>
    <s v="Online Search"/>
    <x v="1"/>
    <n v="60"/>
    <n v="0"/>
    <n v="65.5"/>
    <n v="1550"/>
    <x v="9"/>
    <x v="14"/>
    <n v="1"/>
    <n v="0"/>
    <n v="0"/>
    <n v="0.85"/>
  </r>
  <r>
    <s v="APT-01301"/>
    <x v="311"/>
    <x v="1"/>
    <x v="0"/>
    <x v="0"/>
    <x v="0"/>
    <s v="Palakkad"/>
    <x v="11"/>
    <s v="PT-1087"/>
    <s v="Geriatric Rehab"/>
    <x v="0"/>
    <x v="3"/>
    <s v="Self Referral"/>
    <x v="2"/>
    <n v="60"/>
    <n v="0"/>
    <n v="67.8"/>
    <n v="1150"/>
    <x v="9"/>
    <x v="11"/>
    <n v="0"/>
    <n v="0"/>
    <n v="1"/>
    <n v="0.85"/>
  </r>
  <r>
    <s v="APT-01302"/>
    <x v="269"/>
    <x v="8"/>
    <x v="2"/>
    <x v="0"/>
    <x v="1"/>
    <s v="Thrissur"/>
    <x v="5"/>
    <s v="PT-1644"/>
    <s v="Geriatric Rehab"/>
    <x v="5"/>
    <x v="2"/>
    <s v="Online Search"/>
    <x v="0"/>
    <n v="45"/>
    <n v="45"/>
    <n v="52.6"/>
    <n v="1000"/>
    <x v="13"/>
    <x v="0"/>
    <n v="0"/>
    <n v="1"/>
    <n v="0"/>
    <n v="0.85"/>
  </r>
  <r>
    <s v="APT-01303"/>
    <x v="62"/>
    <x v="4"/>
    <x v="3"/>
    <x v="1"/>
    <x v="0"/>
    <s v="Palakkad"/>
    <x v="13"/>
    <s v="PT-1187"/>
    <s v="Chronic Pain"/>
    <x v="0"/>
    <x v="1"/>
    <s v="Hospital Discharge"/>
    <x v="0"/>
    <n v="45"/>
    <n v="45"/>
    <n v="55"/>
    <n v="800"/>
    <x v="18"/>
    <x v="0"/>
    <n v="0"/>
    <n v="1"/>
    <n v="0"/>
    <n v="0.85"/>
  </r>
  <r>
    <s v="APT-01304"/>
    <x v="1"/>
    <x v="1"/>
    <x v="1"/>
    <x v="3"/>
    <x v="1"/>
    <s v="Thrissur"/>
    <x v="7"/>
    <s v="PT-1084"/>
    <s v="Post-op Rehab"/>
    <x v="5"/>
    <x v="0"/>
    <s v="Self Referral"/>
    <x v="0"/>
    <n v="60"/>
    <n v="60"/>
    <n v="66.5"/>
    <n v="1550"/>
    <x v="1"/>
    <x v="0"/>
    <n v="0"/>
    <n v="1"/>
    <n v="0"/>
    <n v="0.85"/>
  </r>
  <r>
    <s v="APT-01305"/>
    <x v="91"/>
    <x v="4"/>
    <x v="3"/>
    <x v="3"/>
    <x v="0"/>
    <s v="Palakkad"/>
    <x v="9"/>
    <s v="PT-1541"/>
    <s v="Sports Injury"/>
    <x v="3"/>
    <x v="1"/>
    <s v="Online Search"/>
    <x v="0"/>
    <n v="90"/>
    <n v="90"/>
    <n v="104"/>
    <n v="1600"/>
    <x v="11"/>
    <x v="0"/>
    <n v="0"/>
    <n v="1"/>
    <n v="0"/>
    <n v="0.85"/>
  </r>
  <r>
    <s v="APT-01306"/>
    <x v="167"/>
    <x v="4"/>
    <x v="2"/>
    <x v="1"/>
    <x v="0"/>
    <s v="Palakkad"/>
    <x v="0"/>
    <s v="PT-1320"/>
    <s v="Geriatric Rehab"/>
    <x v="2"/>
    <x v="2"/>
    <s v="Hospital Discharge"/>
    <x v="0"/>
    <n v="30"/>
    <n v="30"/>
    <n v="33"/>
    <n v="600"/>
    <x v="16"/>
    <x v="0"/>
    <n v="0"/>
    <n v="1"/>
    <n v="0"/>
    <n v="0.85"/>
  </r>
  <r>
    <s v="APT-01307"/>
    <x v="31"/>
    <x v="11"/>
    <x v="4"/>
    <x v="2"/>
    <x v="2"/>
    <s v="Ernakulam"/>
    <x v="8"/>
    <s v="PT-1290"/>
    <s v="New Patient"/>
    <x v="3"/>
    <x v="3"/>
    <s v="Online Search"/>
    <x v="0"/>
    <n v="60"/>
    <n v="60"/>
    <n v="72.7"/>
    <n v="1650"/>
    <x v="32"/>
    <x v="0"/>
    <n v="0"/>
    <n v="1"/>
    <n v="0"/>
    <n v="0.85"/>
  </r>
  <r>
    <s v="APT-01308"/>
    <x v="68"/>
    <x v="5"/>
    <x v="4"/>
    <x v="1"/>
    <x v="1"/>
    <s v="Thrissur"/>
    <x v="1"/>
    <s v="PT-1397"/>
    <s v="Follow-up"/>
    <x v="0"/>
    <x v="2"/>
    <s v="Online Search"/>
    <x v="0"/>
    <n v="75"/>
    <n v="75"/>
    <n v="89.7"/>
    <n v="1700"/>
    <x v="6"/>
    <x v="0"/>
    <n v="0"/>
    <n v="1"/>
    <n v="0"/>
    <n v="0.85"/>
  </r>
  <r>
    <s v="APT-01309"/>
    <x v="6"/>
    <x v="5"/>
    <x v="3"/>
    <x v="2"/>
    <x v="1"/>
    <s v="Thrissur"/>
    <x v="2"/>
    <s v="PT-1449"/>
    <s v="New Patient"/>
    <x v="1"/>
    <x v="0"/>
    <s v="Orthopedic Doctor"/>
    <x v="0"/>
    <n v="60"/>
    <n v="60"/>
    <n v="69.400000000000006"/>
    <n v="1600"/>
    <x v="11"/>
    <x v="0"/>
    <n v="0"/>
    <n v="1"/>
    <n v="0"/>
    <n v="0.85"/>
  </r>
  <r>
    <s v="APT-01310"/>
    <x v="222"/>
    <x v="2"/>
    <x v="4"/>
    <x v="2"/>
    <x v="0"/>
    <s v="Palakkad"/>
    <x v="9"/>
    <s v="PT-1374"/>
    <s v="Follow-up"/>
    <x v="3"/>
    <x v="2"/>
    <s v="Online Search"/>
    <x v="0"/>
    <n v="60"/>
    <n v="60"/>
    <n v="69.2"/>
    <n v="1250"/>
    <x v="5"/>
    <x v="0"/>
    <n v="0"/>
    <n v="1"/>
    <n v="0"/>
    <n v="0.85"/>
  </r>
  <r>
    <s v="APT-01311"/>
    <x v="48"/>
    <x v="1"/>
    <x v="3"/>
    <x v="1"/>
    <x v="2"/>
    <s v="Ernakulam"/>
    <x v="14"/>
    <s v="PT-1261"/>
    <s v="New Patient"/>
    <x v="3"/>
    <x v="1"/>
    <s v="Corporate Wellness"/>
    <x v="0"/>
    <n v="75"/>
    <n v="75"/>
    <n v="84.7"/>
    <n v="1900"/>
    <x v="0"/>
    <x v="0"/>
    <n v="0"/>
    <n v="1"/>
    <n v="0"/>
    <n v="0.85"/>
  </r>
  <r>
    <s v="APT-01312"/>
    <x v="138"/>
    <x v="8"/>
    <x v="1"/>
    <x v="0"/>
    <x v="1"/>
    <s v="Thrissur"/>
    <x v="10"/>
    <s v="PT-1235"/>
    <s v="Chronic Pain"/>
    <x v="2"/>
    <x v="2"/>
    <s v="Orthopedic Doctor"/>
    <x v="1"/>
    <n v="75"/>
    <n v="0"/>
    <n v="93.7"/>
    <n v="1700"/>
    <x v="9"/>
    <x v="5"/>
    <n v="1"/>
    <n v="0"/>
    <n v="0"/>
    <n v="0.85"/>
  </r>
  <r>
    <s v="APT-01313"/>
    <x v="217"/>
    <x v="5"/>
    <x v="3"/>
    <x v="1"/>
    <x v="1"/>
    <s v="Thrissur"/>
    <x v="1"/>
    <s v="PT-1499"/>
    <s v="Chronic Pain"/>
    <x v="5"/>
    <x v="2"/>
    <s v="Neurologist"/>
    <x v="0"/>
    <n v="90"/>
    <n v="90"/>
    <n v="99.8"/>
    <n v="2000"/>
    <x v="33"/>
    <x v="0"/>
    <n v="0"/>
    <n v="1"/>
    <n v="0"/>
    <n v="0.85"/>
  </r>
  <r>
    <s v="APT-01314"/>
    <x v="274"/>
    <x v="9"/>
    <x v="0"/>
    <x v="0"/>
    <x v="1"/>
    <s v="Thrissur"/>
    <x v="10"/>
    <s v="PT-1293"/>
    <s v="Follow-up"/>
    <x v="2"/>
    <x v="0"/>
    <s v="Orthopedic Doctor"/>
    <x v="0"/>
    <n v="45"/>
    <n v="45"/>
    <n v="49.5"/>
    <n v="1000"/>
    <x v="13"/>
    <x v="0"/>
    <n v="0"/>
    <n v="1"/>
    <n v="0"/>
    <n v="0.85"/>
  </r>
  <r>
    <s v="APT-01315"/>
    <x v="83"/>
    <x v="1"/>
    <x v="5"/>
    <x v="3"/>
    <x v="2"/>
    <s v="Ernakulam"/>
    <x v="12"/>
    <s v="PT-1409"/>
    <s v="Chronic Pain"/>
    <x v="0"/>
    <x v="1"/>
    <s v="Online Search"/>
    <x v="0"/>
    <n v="60"/>
    <n v="60"/>
    <n v="68.099999999999994"/>
    <n v="1300"/>
    <x v="22"/>
    <x v="0"/>
    <n v="0"/>
    <n v="1"/>
    <n v="0"/>
    <n v="0.85"/>
  </r>
  <r>
    <s v="APT-01316"/>
    <x v="106"/>
    <x v="3"/>
    <x v="4"/>
    <x v="0"/>
    <x v="1"/>
    <s v="Thrissur"/>
    <x v="5"/>
    <s v="PT-1161"/>
    <s v="Sports Injury"/>
    <x v="0"/>
    <x v="0"/>
    <s v="Hospital Discharge"/>
    <x v="0"/>
    <n v="60"/>
    <n v="60"/>
    <n v="66.400000000000006"/>
    <n v="1350"/>
    <x v="14"/>
    <x v="0"/>
    <n v="0"/>
    <n v="1"/>
    <n v="0"/>
    <n v="0.85"/>
  </r>
  <r>
    <s v="APT-01317"/>
    <x v="141"/>
    <x v="2"/>
    <x v="4"/>
    <x v="3"/>
    <x v="1"/>
    <s v="Thrissur"/>
    <x v="10"/>
    <s v="PT-1305"/>
    <s v="Follow-up"/>
    <x v="4"/>
    <x v="1"/>
    <s v="Neurologist"/>
    <x v="1"/>
    <n v="75"/>
    <n v="0"/>
    <n v="98.7"/>
    <n v="1450"/>
    <x v="9"/>
    <x v="22"/>
    <n v="1"/>
    <n v="0"/>
    <n v="0"/>
    <n v="0.85"/>
  </r>
  <r>
    <s v="APT-01318"/>
    <x v="304"/>
    <x v="1"/>
    <x v="3"/>
    <x v="1"/>
    <x v="1"/>
    <s v="Thrissur"/>
    <x v="2"/>
    <s v="PT-1036"/>
    <s v="Sports Injury"/>
    <x v="2"/>
    <x v="2"/>
    <s v="Orthopedic Doctor"/>
    <x v="0"/>
    <n v="60"/>
    <n v="60"/>
    <n v="66.099999999999994"/>
    <n v="1350"/>
    <x v="14"/>
    <x v="0"/>
    <n v="0"/>
    <n v="1"/>
    <n v="0"/>
    <n v="0.85"/>
  </r>
  <r>
    <s v="APT-01319"/>
    <x v="34"/>
    <x v="10"/>
    <x v="2"/>
    <x v="1"/>
    <x v="1"/>
    <s v="Thrissur"/>
    <x v="1"/>
    <s v="PT-1039"/>
    <s v="Follow-up"/>
    <x v="3"/>
    <x v="1"/>
    <s v="Self Referral"/>
    <x v="1"/>
    <n v="45"/>
    <n v="0"/>
    <n v="52.2"/>
    <n v="850"/>
    <x v="9"/>
    <x v="24"/>
    <n v="1"/>
    <n v="0"/>
    <n v="0"/>
    <n v="0.85"/>
  </r>
  <r>
    <s v="APT-01320"/>
    <x v="145"/>
    <x v="1"/>
    <x v="1"/>
    <x v="1"/>
    <x v="2"/>
    <s v="Ernakulam"/>
    <x v="8"/>
    <s v="PT-1173"/>
    <s v="Chronic Pain"/>
    <x v="3"/>
    <x v="0"/>
    <s v="Self Referral"/>
    <x v="0"/>
    <n v="60"/>
    <n v="60"/>
    <n v="76.3"/>
    <n v="1500"/>
    <x v="3"/>
    <x v="0"/>
    <n v="0"/>
    <n v="1"/>
    <n v="0"/>
    <n v="0.85"/>
  </r>
  <r>
    <s v="APT-01321"/>
    <x v="150"/>
    <x v="6"/>
    <x v="1"/>
    <x v="2"/>
    <x v="2"/>
    <s v="Ernakulam"/>
    <x v="14"/>
    <s v="PT-1399"/>
    <s v="Post-op Rehab"/>
    <x v="2"/>
    <x v="2"/>
    <s v="Neurologist"/>
    <x v="1"/>
    <n v="45"/>
    <n v="0"/>
    <n v="55.6"/>
    <n v="1300"/>
    <x v="9"/>
    <x v="1"/>
    <n v="1"/>
    <n v="0"/>
    <n v="0"/>
    <n v="0.85"/>
  </r>
  <r>
    <s v="APT-01322"/>
    <x v="145"/>
    <x v="1"/>
    <x v="1"/>
    <x v="0"/>
    <x v="0"/>
    <s v="Palakkad"/>
    <x v="9"/>
    <s v="PT-1090"/>
    <s v="Post-op Rehab"/>
    <x v="3"/>
    <x v="3"/>
    <s v="Neurologist"/>
    <x v="1"/>
    <n v="45"/>
    <n v="0"/>
    <n v="49.1"/>
    <n v="1000"/>
    <x v="9"/>
    <x v="16"/>
    <n v="1"/>
    <n v="0"/>
    <n v="0"/>
    <n v="0.85"/>
  </r>
  <r>
    <s v="APT-01323"/>
    <x v="172"/>
    <x v="7"/>
    <x v="1"/>
    <x v="2"/>
    <x v="2"/>
    <s v="Ernakulam"/>
    <x v="14"/>
    <s v="PT-1350"/>
    <s v="Follow-up"/>
    <x v="2"/>
    <x v="0"/>
    <s v="Self Referral"/>
    <x v="1"/>
    <n v="45"/>
    <n v="0"/>
    <n v="55.5"/>
    <n v="1100"/>
    <x v="9"/>
    <x v="6"/>
    <n v="1"/>
    <n v="0"/>
    <n v="0"/>
    <n v="0.85"/>
  </r>
  <r>
    <s v="APT-01324"/>
    <x v="97"/>
    <x v="0"/>
    <x v="0"/>
    <x v="3"/>
    <x v="0"/>
    <s v="Palakkad"/>
    <x v="0"/>
    <s v="PT-1657"/>
    <s v="Follow-up"/>
    <x v="5"/>
    <x v="0"/>
    <s v="Hospital Discharge"/>
    <x v="1"/>
    <n v="60"/>
    <n v="0"/>
    <n v="78.400000000000006"/>
    <n v="1250"/>
    <x v="9"/>
    <x v="9"/>
    <n v="1"/>
    <n v="0"/>
    <n v="0"/>
    <n v="0.85"/>
  </r>
  <r>
    <s v="APT-01325"/>
    <x v="230"/>
    <x v="6"/>
    <x v="1"/>
    <x v="1"/>
    <x v="1"/>
    <s v="Thrissur"/>
    <x v="10"/>
    <s v="PT-1601"/>
    <s v="Chronic Pain"/>
    <x v="0"/>
    <x v="0"/>
    <s v="Neurologist"/>
    <x v="1"/>
    <n v="60"/>
    <n v="0"/>
    <n v="72"/>
    <n v="1350"/>
    <x v="9"/>
    <x v="2"/>
    <n v="1"/>
    <n v="0"/>
    <n v="0"/>
    <n v="0.85"/>
  </r>
  <r>
    <s v="APT-01326"/>
    <x v="18"/>
    <x v="4"/>
    <x v="3"/>
    <x v="1"/>
    <x v="2"/>
    <s v="Ernakulam"/>
    <x v="14"/>
    <s v="PT-1673"/>
    <s v="Post-op Rehab"/>
    <x v="0"/>
    <x v="2"/>
    <s v="Self Referral"/>
    <x v="0"/>
    <n v="45"/>
    <n v="45"/>
    <n v="60.6"/>
    <n v="1300"/>
    <x v="22"/>
    <x v="0"/>
    <n v="0"/>
    <n v="1"/>
    <n v="0"/>
    <n v="0.85"/>
  </r>
  <r>
    <s v="APT-01327"/>
    <x v="182"/>
    <x v="5"/>
    <x v="3"/>
    <x v="2"/>
    <x v="2"/>
    <s v="Ernakulam"/>
    <x v="3"/>
    <s v="PT-1645"/>
    <s v="New Patient"/>
    <x v="2"/>
    <x v="2"/>
    <s v="Corporate Wellness"/>
    <x v="0"/>
    <n v="60"/>
    <n v="60"/>
    <n v="77.400000000000006"/>
    <n v="1800"/>
    <x v="25"/>
    <x v="0"/>
    <n v="0"/>
    <n v="1"/>
    <n v="0"/>
    <n v="0.85"/>
  </r>
  <r>
    <s v="APT-01328"/>
    <x v="276"/>
    <x v="5"/>
    <x v="0"/>
    <x v="1"/>
    <x v="0"/>
    <s v="Palakkad"/>
    <x v="11"/>
    <s v="PT-1347"/>
    <s v="New Patient"/>
    <x v="5"/>
    <x v="2"/>
    <s v="Online Search"/>
    <x v="0"/>
    <n v="45"/>
    <n v="45"/>
    <n v="59.2"/>
    <n v="1100"/>
    <x v="20"/>
    <x v="0"/>
    <n v="0"/>
    <n v="1"/>
    <n v="0"/>
    <n v="0.85"/>
  </r>
  <r>
    <s v="APT-01329"/>
    <x v="100"/>
    <x v="1"/>
    <x v="4"/>
    <x v="2"/>
    <x v="1"/>
    <s v="Thrissur"/>
    <x v="2"/>
    <s v="PT-1197"/>
    <s v="Follow-up"/>
    <x v="4"/>
    <x v="0"/>
    <s v="Self Referral"/>
    <x v="2"/>
    <n v="90"/>
    <n v="0"/>
    <n v="118.2"/>
    <n v="2000"/>
    <x v="9"/>
    <x v="21"/>
    <n v="0"/>
    <n v="0"/>
    <n v="1"/>
    <n v="0.85"/>
  </r>
  <r>
    <s v="APT-01330"/>
    <x v="200"/>
    <x v="1"/>
    <x v="0"/>
    <x v="2"/>
    <x v="1"/>
    <s v="Thrissur"/>
    <x v="1"/>
    <s v="PT-1071"/>
    <s v="Follow-up"/>
    <x v="2"/>
    <x v="3"/>
    <s v="Neurologist"/>
    <x v="0"/>
    <n v="45"/>
    <n v="45"/>
    <n v="60.2"/>
    <n v="950"/>
    <x v="7"/>
    <x v="0"/>
    <n v="0"/>
    <n v="1"/>
    <n v="0"/>
    <n v="0.85"/>
  </r>
  <r>
    <s v="APT-01331"/>
    <x v="177"/>
    <x v="7"/>
    <x v="4"/>
    <x v="1"/>
    <x v="1"/>
    <s v="Thrissur"/>
    <x v="7"/>
    <s v="PT-1516"/>
    <s v="New Patient"/>
    <x v="5"/>
    <x v="2"/>
    <s v="Hospital Discharge"/>
    <x v="0"/>
    <n v="60"/>
    <n v="60"/>
    <n v="77.3"/>
    <n v="1600"/>
    <x v="11"/>
    <x v="0"/>
    <n v="0"/>
    <n v="1"/>
    <n v="0"/>
    <n v="0.85"/>
  </r>
  <r>
    <s v="APT-01332"/>
    <x v="1"/>
    <x v="1"/>
    <x v="1"/>
    <x v="0"/>
    <x v="1"/>
    <s v="Thrissur"/>
    <x v="2"/>
    <s v="PT-1263"/>
    <s v="Chronic Pain"/>
    <x v="5"/>
    <x v="2"/>
    <s v="Corporate Wellness"/>
    <x v="0"/>
    <n v="45"/>
    <n v="45"/>
    <n v="54.5"/>
    <n v="1000"/>
    <x v="13"/>
    <x v="0"/>
    <n v="0"/>
    <n v="1"/>
    <n v="0"/>
    <n v="0.85"/>
  </r>
  <r>
    <s v="APT-01333"/>
    <x v="15"/>
    <x v="9"/>
    <x v="5"/>
    <x v="3"/>
    <x v="1"/>
    <s v="Thrissur"/>
    <x v="7"/>
    <s v="PT-1295"/>
    <s v="Sports Injury"/>
    <x v="5"/>
    <x v="1"/>
    <s v="Online Search"/>
    <x v="0"/>
    <n v="75"/>
    <n v="75"/>
    <n v="83"/>
    <n v="1450"/>
    <x v="10"/>
    <x v="0"/>
    <n v="0"/>
    <n v="1"/>
    <n v="0"/>
    <n v="0.85"/>
  </r>
  <r>
    <s v="APT-01334"/>
    <x v="123"/>
    <x v="1"/>
    <x v="0"/>
    <x v="1"/>
    <x v="1"/>
    <s v="Thrissur"/>
    <x v="10"/>
    <s v="PT-1445"/>
    <s v="Post-op Rehab"/>
    <x v="0"/>
    <x v="2"/>
    <s v="Neurologist"/>
    <x v="0"/>
    <n v="90"/>
    <n v="90"/>
    <n v="115.9"/>
    <n v="2350"/>
    <x v="35"/>
    <x v="0"/>
    <n v="0"/>
    <n v="1"/>
    <n v="0"/>
    <n v="0.85"/>
  </r>
  <r>
    <s v="APT-01335"/>
    <x v="253"/>
    <x v="5"/>
    <x v="2"/>
    <x v="1"/>
    <x v="2"/>
    <s v="Ernakulam"/>
    <x v="14"/>
    <s v="PT-1686"/>
    <s v="Follow-up"/>
    <x v="1"/>
    <x v="0"/>
    <s v="Self Referral"/>
    <x v="0"/>
    <n v="60"/>
    <n v="60"/>
    <n v="75.8"/>
    <n v="1500"/>
    <x v="3"/>
    <x v="0"/>
    <n v="0"/>
    <n v="1"/>
    <n v="0"/>
    <n v="0.85"/>
  </r>
  <r>
    <s v="APT-01336"/>
    <x v="76"/>
    <x v="2"/>
    <x v="0"/>
    <x v="2"/>
    <x v="2"/>
    <s v="Ernakulam"/>
    <x v="14"/>
    <s v="PT-1557"/>
    <s v="Chronic Pain"/>
    <x v="1"/>
    <x v="0"/>
    <s v="Corporate Wellness"/>
    <x v="0"/>
    <n v="30"/>
    <n v="30"/>
    <n v="35.5"/>
    <n v="750"/>
    <x v="27"/>
    <x v="0"/>
    <n v="0"/>
    <n v="1"/>
    <n v="0"/>
    <n v="0.85"/>
  </r>
  <r>
    <s v="APT-01337"/>
    <x v="141"/>
    <x v="2"/>
    <x v="4"/>
    <x v="0"/>
    <x v="1"/>
    <s v="Thrissur"/>
    <x v="5"/>
    <s v="PT-1439"/>
    <s v="Follow-up"/>
    <x v="5"/>
    <x v="0"/>
    <s v="Orthopedic Doctor"/>
    <x v="3"/>
    <n v="45"/>
    <n v="0"/>
    <n v="58.2"/>
    <n v="1000"/>
    <x v="9"/>
    <x v="0"/>
    <n v="0"/>
    <n v="0"/>
    <n v="0"/>
    <n v="0.85"/>
  </r>
  <r>
    <s v="APT-01338"/>
    <x v="21"/>
    <x v="10"/>
    <x v="1"/>
    <x v="1"/>
    <x v="1"/>
    <s v="Thrissur"/>
    <x v="1"/>
    <s v="PT-1198"/>
    <s v="Geriatric Rehab"/>
    <x v="2"/>
    <x v="0"/>
    <s v="Corporate Wellness"/>
    <x v="1"/>
    <n v="60"/>
    <n v="0"/>
    <n v="69"/>
    <n v="1350"/>
    <x v="9"/>
    <x v="2"/>
    <n v="1"/>
    <n v="0"/>
    <n v="0"/>
    <n v="0.85"/>
  </r>
  <r>
    <s v="APT-01339"/>
    <x v="313"/>
    <x v="0"/>
    <x v="0"/>
    <x v="0"/>
    <x v="1"/>
    <s v="Thrissur"/>
    <x v="5"/>
    <s v="PT-1283"/>
    <s v="New Patient"/>
    <x v="1"/>
    <x v="3"/>
    <s v="Hospital Discharge"/>
    <x v="3"/>
    <n v="45"/>
    <n v="0"/>
    <n v="56.4"/>
    <n v="1100"/>
    <x v="9"/>
    <x v="0"/>
    <n v="0"/>
    <n v="0"/>
    <n v="0"/>
    <n v="0.85"/>
  </r>
  <r>
    <s v="APT-01340"/>
    <x v="6"/>
    <x v="5"/>
    <x v="3"/>
    <x v="0"/>
    <x v="1"/>
    <s v="Thrissur"/>
    <x v="2"/>
    <s v="PT-1347"/>
    <s v="Follow-up"/>
    <x v="5"/>
    <x v="3"/>
    <s v="Hospital Discharge"/>
    <x v="3"/>
    <n v="60"/>
    <n v="0"/>
    <n v="75.2"/>
    <n v="1250"/>
    <x v="9"/>
    <x v="0"/>
    <n v="0"/>
    <n v="0"/>
    <n v="0"/>
    <n v="0.85"/>
  </r>
  <r>
    <s v="APT-01341"/>
    <x v="44"/>
    <x v="4"/>
    <x v="1"/>
    <x v="3"/>
    <x v="1"/>
    <s v="Thrissur"/>
    <x v="5"/>
    <s v="PT-1186"/>
    <s v="Post-op Rehab"/>
    <x v="1"/>
    <x v="3"/>
    <s v="Corporate Wellness"/>
    <x v="1"/>
    <n v="60"/>
    <n v="0"/>
    <n v="72.7"/>
    <n v="1450"/>
    <x v="9"/>
    <x v="22"/>
    <n v="1"/>
    <n v="0"/>
    <n v="0"/>
    <n v="0.85"/>
  </r>
  <r>
    <s v="APT-01342"/>
    <x v="304"/>
    <x v="1"/>
    <x v="3"/>
    <x v="2"/>
    <x v="0"/>
    <s v="Palakkad"/>
    <x v="9"/>
    <s v="PT-1201"/>
    <s v="Follow-up"/>
    <x v="2"/>
    <x v="2"/>
    <s v="Online Search"/>
    <x v="1"/>
    <n v="45"/>
    <n v="0"/>
    <n v="50.4"/>
    <n v="950"/>
    <x v="9"/>
    <x v="19"/>
    <n v="1"/>
    <n v="0"/>
    <n v="0"/>
    <n v="0.85"/>
  </r>
  <r>
    <s v="APT-01343"/>
    <x v="248"/>
    <x v="7"/>
    <x v="0"/>
    <x v="1"/>
    <x v="2"/>
    <s v="Ernakulam"/>
    <x v="3"/>
    <s v="PT-1161"/>
    <s v="New Patient"/>
    <x v="1"/>
    <x v="1"/>
    <s v="Online Search"/>
    <x v="0"/>
    <n v="60"/>
    <n v="60"/>
    <n v="71.900000000000006"/>
    <n v="1550"/>
    <x v="1"/>
    <x v="0"/>
    <n v="0"/>
    <n v="1"/>
    <n v="0"/>
    <n v="0.85"/>
  </r>
  <r>
    <s v="APT-01344"/>
    <x v="108"/>
    <x v="11"/>
    <x v="3"/>
    <x v="1"/>
    <x v="1"/>
    <s v="Thrissur"/>
    <x v="5"/>
    <s v="PT-1238"/>
    <s v="Follow-up"/>
    <x v="3"/>
    <x v="3"/>
    <s v="Orthopedic Doctor"/>
    <x v="0"/>
    <n v="75"/>
    <n v="75"/>
    <n v="88.1"/>
    <n v="1550"/>
    <x v="1"/>
    <x v="0"/>
    <n v="0"/>
    <n v="1"/>
    <n v="0"/>
    <n v="0.85"/>
  </r>
  <r>
    <s v="APT-01345"/>
    <x v="200"/>
    <x v="1"/>
    <x v="0"/>
    <x v="2"/>
    <x v="2"/>
    <s v="Ernakulam"/>
    <x v="14"/>
    <s v="PT-1249"/>
    <s v="Follow-up"/>
    <x v="1"/>
    <x v="1"/>
    <s v="Online Search"/>
    <x v="0"/>
    <n v="60"/>
    <n v="60"/>
    <n v="71.099999999999994"/>
    <n v="1300"/>
    <x v="22"/>
    <x v="0"/>
    <n v="0"/>
    <n v="1"/>
    <n v="0"/>
    <n v="0.85"/>
  </r>
  <r>
    <s v="APT-01346"/>
    <x v="232"/>
    <x v="11"/>
    <x v="4"/>
    <x v="0"/>
    <x v="0"/>
    <s v="Palakkad"/>
    <x v="6"/>
    <s v="PT-1138"/>
    <s v="Follow-up"/>
    <x v="5"/>
    <x v="1"/>
    <s v="Corporate Wellness"/>
    <x v="0"/>
    <n v="45"/>
    <n v="45"/>
    <n v="51.2"/>
    <n v="800"/>
    <x v="18"/>
    <x v="0"/>
    <n v="0"/>
    <n v="1"/>
    <n v="0"/>
    <n v="0.85"/>
  </r>
  <r>
    <s v="APT-01347"/>
    <x v="17"/>
    <x v="0"/>
    <x v="1"/>
    <x v="3"/>
    <x v="1"/>
    <s v="Thrissur"/>
    <x v="7"/>
    <s v="PT-1570"/>
    <s v="Follow-up"/>
    <x v="1"/>
    <x v="0"/>
    <s v="Hospital Discharge"/>
    <x v="0"/>
    <n v="45"/>
    <n v="45"/>
    <n v="55.3"/>
    <n v="1000"/>
    <x v="13"/>
    <x v="0"/>
    <n v="0"/>
    <n v="1"/>
    <n v="0"/>
    <n v="0.85"/>
  </r>
  <r>
    <s v="APT-01348"/>
    <x v="320"/>
    <x v="7"/>
    <x v="6"/>
    <x v="2"/>
    <x v="0"/>
    <s v="Palakkad"/>
    <x v="6"/>
    <s v="PT-1172"/>
    <s v="New Patient"/>
    <x v="1"/>
    <x v="0"/>
    <s v="Online Search"/>
    <x v="2"/>
    <n v="60"/>
    <n v="0"/>
    <n v="70.900000000000006"/>
    <n v="1500"/>
    <x v="9"/>
    <x v="12"/>
    <n v="0"/>
    <n v="0"/>
    <n v="1"/>
    <n v="0.85"/>
  </r>
  <r>
    <s v="APT-01349"/>
    <x v="197"/>
    <x v="3"/>
    <x v="1"/>
    <x v="1"/>
    <x v="0"/>
    <s v="Palakkad"/>
    <x v="6"/>
    <s v="PT-1090"/>
    <s v="Post-op Rehab"/>
    <x v="0"/>
    <x v="2"/>
    <s v="Hospital Discharge"/>
    <x v="0"/>
    <n v="60"/>
    <n v="60"/>
    <n v="76"/>
    <n v="1450"/>
    <x v="10"/>
    <x v="0"/>
    <n v="0"/>
    <n v="1"/>
    <n v="0"/>
    <n v="0.85"/>
  </r>
  <r>
    <s v="APT-01350"/>
    <x v="185"/>
    <x v="1"/>
    <x v="0"/>
    <x v="0"/>
    <x v="2"/>
    <s v="Ernakulam"/>
    <x v="4"/>
    <s v="PT-1232"/>
    <s v="Geriatric Rehab"/>
    <x v="4"/>
    <x v="1"/>
    <s v="Self Referral"/>
    <x v="0"/>
    <n v="60"/>
    <n v="60"/>
    <n v="76.5"/>
    <n v="1300"/>
    <x v="22"/>
    <x v="0"/>
    <n v="0"/>
    <n v="1"/>
    <n v="0"/>
    <n v="0.85"/>
  </r>
  <r>
    <s v="APT-01351"/>
    <x v="200"/>
    <x v="1"/>
    <x v="0"/>
    <x v="2"/>
    <x v="0"/>
    <s v="Palakkad"/>
    <x v="6"/>
    <s v="PT-1505"/>
    <s v="Sports Injury"/>
    <x v="0"/>
    <x v="2"/>
    <s v="Corporate Wellness"/>
    <x v="0"/>
    <n v="60"/>
    <n v="60"/>
    <n v="80.2"/>
    <n v="1250"/>
    <x v="5"/>
    <x v="0"/>
    <n v="0"/>
    <n v="1"/>
    <n v="0"/>
    <n v="0.85"/>
  </r>
  <r>
    <s v="APT-01352"/>
    <x v="217"/>
    <x v="5"/>
    <x v="3"/>
    <x v="3"/>
    <x v="2"/>
    <s v="Ernakulam"/>
    <x v="12"/>
    <s v="PT-1447"/>
    <s v="New Patient"/>
    <x v="5"/>
    <x v="1"/>
    <s v="Neurologist"/>
    <x v="1"/>
    <n v="45"/>
    <n v="0"/>
    <n v="51.6"/>
    <n v="1150"/>
    <x v="9"/>
    <x v="11"/>
    <n v="1"/>
    <n v="0"/>
    <n v="0"/>
    <n v="0.85"/>
  </r>
  <r>
    <s v="APT-01353"/>
    <x v="40"/>
    <x v="5"/>
    <x v="4"/>
    <x v="2"/>
    <x v="0"/>
    <s v="Palakkad"/>
    <x v="13"/>
    <s v="PT-1266"/>
    <s v="Sports Injury"/>
    <x v="1"/>
    <x v="3"/>
    <s v="Self Referral"/>
    <x v="0"/>
    <n v="45"/>
    <n v="45"/>
    <n v="53.2"/>
    <n v="850"/>
    <x v="23"/>
    <x v="0"/>
    <n v="0"/>
    <n v="1"/>
    <n v="0"/>
    <n v="0.85"/>
  </r>
  <r>
    <s v="APT-01354"/>
    <x v="101"/>
    <x v="9"/>
    <x v="4"/>
    <x v="3"/>
    <x v="1"/>
    <s v="Thrissur"/>
    <x v="5"/>
    <s v="PT-1183"/>
    <s v="Chronic Pain"/>
    <x v="4"/>
    <x v="0"/>
    <s v="Orthopedic Doctor"/>
    <x v="1"/>
    <n v="60"/>
    <n v="0"/>
    <n v="78.5"/>
    <n v="1350"/>
    <x v="9"/>
    <x v="2"/>
    <n v="1"/>
    <n v="0"/>
    <n v="0"/>
    <n v="0.85"/>
  </r>
  <r>
    <s v="APT-01355"/>
    <x v="120"/>
    <x v="11"/>
    <x v="4"/>
    <x v="2"/>
    <x v="0"/>
    <s v="Palakkad"/>
    <x v="0"/>
    <s v="PT-1210"/>
    <s v="Follow-up"/>
    <x v="3"/>
    <x v="1"/>
    <s v="Self Referral"/>
    <x v="3"/>
    <n v="90"/>
    <n v="0"/>
    <n v="106.3"/>
    <n v="1600"/>
    <x v="9"/>
    <x v="0"/>
    <n v="0"/>
    <n v="0"/>
    <n v="0"/>
    <n v="0.85"/>
  </r>
  <r>
    <s v="APT-01356"/>
    <x v="232"/>
    <x v="11"/>
    <x v="4"/>
    <x v="1"/>
    <x v="2"/>
    <s v="Ernakulam"/>
    <x v="4"/>
    <s v="PT-1616"/>
    <s v="Follow-up"/>
    <x v="2"/>
    <x v="3"/>
    <s v="Corporate Wellness"/>
    <x v="0"/>
    <n v="60"/>
    <n v="60"/>
    <n v="69"/>
    <n v="1400"/>
    <x v="21"/>
    <x v="0"/>
    <n v="0"/>
    <n v="1"/>
    <n v="0"/>
    <n v="0.85"/>
  </r>
  <r>
    <s v="APT-01357"/>
    <x v="264"/>
    <x v="8"/>
    <x v="5"/>
    <x v="2"/>
    <x v="0"/>
    <s v="Palakkad"/>
    <x v="9"/>
    <s v="PT-1574"/>
    <s v="New Patient"/>
    <x v="3"/>
    <x v="0"/>
    <s v="Neurologist"/>
    <x v="1"/>
    <n v="75"/>
    <n v="0"/>
    <n v="94.8"/>
    <n v="1900"/>
    <x v="9"/>
    <x v="4"/>
    <n v="1"/>
    <n v="0"/>
    <n v="0"/>
    <n v="0.85"/>
  </r>
  <r>
    <s v="APT-01358"/>
    <x v="121"/>
    <x v="7"/>
    <x v="2"/>
    <x v="2"/>
    <x v="2"/>
    <s v="Ernakulam"/>
    <x v="12"/>
    <s v="PT-1509"/>
    <s v="Follow-up"/>
    <x v="1"/>
    <x v="0"/>
    <s v="Orthopedic Doctor"/>
    <x v="0"/>
    <n v="45"/>
    <n v="45"/>
    <n v="58.8"/>
    <n v="1100"/>
    <x v="20"/>
    <x v="0"/>
    <n v="0"/>
    <n v="1"/>
    <n v="0"/>
    <n v="0.85"/>
  </r>
  <r>
    <s v="APT-01359"/>
    <x v="134"/>
    <x v="2"/>
    <x v="1"/>
    <x v="1"/>
    <x v="1"/>
    <s v="Thrissur"/>
    <x v="2"/>
    <s v="PT-1321"/>
    <s v="Follow-up"/>
    <x v="1"/>
    <x v="0"/>
    <s v="Online Search"/>
    <x v="0"/>
    <n v="60"/>
    <n v="60"/>
    <n v="69"/>
    <n v="1350"/>
    <x v="14"/>
    <x v="0"/>
    <n v="0"/>
    <n v="1"/>
    <n v="0"/>
    <n v="0.85"/>
  </r>
  <r>
    <s v="APT-01360"/>
    <x v="216"/>
    <x v="3"/>
    <x v="0"/>
    <x v="1"/>
    <x v="0"/>
    <s v="Palakkad"/>
    <x v="6"/>
    <s v="PT-1220"/>
    <s v="Post-op Rehab"/>
    <x v="0"/>
    <x v="2"/>
    <s v="Corporate Wellness"/>
    <x v="0"/>
    <n v="30"/>
    <n v="30"/>
    <n v="37.299999999999997"/>
    <n v="700"/>
    <x v="19"/>
    <x v="0"/>
    <n v="0"/>
    <n v="1"/>
    <n v="0"/>
    <n v="0.85"/>
  </r>
  <r>
    <s v="APT-01361"/>
    <x v="199"/>
    <x v="4"/>
    <x v="1"/>
    <x v="0"/>
    <x v="1"/>
    <s v="Thrissur"/>
    <x v="2"/>
    <s v="PT-1500"/>
    <s v="Chronic Pain"/>
    <x v="5"/>
    <x v="1"/>
    <s v="Online Search"/>
    <x v="0"/>
    <n v="45"/>
    <n v="45"/>
    <n v="57.5"/>
    <n v="850"/>
    <x v="23"/>
    <x v="0"/>
    <n v="0"/>
    <n v="1"/>
    <n v="0"/>
    <n v="0.85"/>
  </r>
  <r>
    <s v="APT-01362"/>
    <x v="191"/>
    <x v="6"/>
    <x v="1"/>
    <x v="3"/>
    <x v="2"/>
    <s v="Ernakulam"/>
    <x v="8"/>
    <s v="PT-1364"/>
    <s v="Follow-up"/>
    <x v="1"/>
    <x v="0"/>
    <s v="Orthopedic Doctor"/>
    <x v="0"/>
    <n v="90"/>
    <n v="90"/>
    <n v="99.1"/>
    <n v="2250"/>
    <x v="12"/>
    <x v="0"/>
    <n v="0"/>
    <n v="1"/>
    <n v="0"/>
    <n v="0.85"/>
  </r>
  <r>
    <s v="APT-01363"/>
    <x v="71"/>
    <x v="2"/>
    <x v="1"/>
    <x v="3"/>
    <x v="2"/>
    <s v="Ernakulam"/>
    <x v="3"/>
    <s v="PT-1013"/>
    <s v="Follow-up"/>
    <x v="3"/>
    <x v="1"/>
    <s v="Hospital Discharge"/>
    <x v="0"/>
    <n v="75"/>
    <n v="75"/>
    <n v="101.3"/>
    <n v="1600"/>
    <x v="11"/>
    <x v="0"/>
    <n v="0"/>
    <n v="1"/>
    <n v="0"/>
    <n v="0.85"/>
  </r>
  <r>
    <s v="APT-01364"/>
    <x v="224"/>
    <x v="3"/>
    <x v="4"/>
    <x v="3"/>
    <x v="2"/>
    <s v="Ernakulam"/>
    <x v="4"/>
    <s v="PT-1389"/>
    <s v="Follow-up"/>
    <x v="0"/>
    <x v="2"/>
    <s v="Corporate Wellness"/>
    <x v="0"/>
    <n v="90"/>
    <n v="90"/>
    <n v="116.1"/>
    <n v="2250"/>
    <x v="12"/>
    <x v="0"/>
    <n v="0"/>
    <n v="1"/>
    <n v="0"/>
    <n v="0.85"/>
  </r>
  <r>
    <s v="APT-01365"/>
    <x v="243"/>
    <x v="9"/>
    <x v="5"/>
    <x v="1"/>
    <x v="1"/>
    <s v="Thrissur"/>
    <x v="7"/>
    <s v="PT-1321"/>
    <s v="Follow-up"/>
    <x v="0"/>
    <x v="0"/>
    <s v="Hospital Discharge"/>
    <x v="0"/>
    <n v="75"/>
    <n v="75"/>
    <n v="85"/>
    <n v="1700"/>
    <x v="6"/>
    <x v="0"/>
    <n v="0"/>
    <n v="1"/>
    <n v="0"/>
    <n v="0.85"/>
  </r>
  <r>
    <s v="APT-01366"/>
    <x v="165"/>
    <x v="9"/>
    <x v="2"/>
    <x v="3"/>
    <x v="0"/>
    <s v="Palakkad"/>
    <x v="6"/>
    <s v="PT-1154"/>
    <s v="Post-op Rehab"/>
    <x v="5"/>
    <x v="2"/>
    <s v="Self Referral"/>
    <x v="0"/>
    <n v="90"/>
    <n v="90"/>
    <n v="113.5"/>
    <n v="2150"/>
    <x v="30"/>
    <x v="0"/>
    <n v="0"/>
    <n v="1"/>
    <n v="0"/>
    <n v="0.85"/>
  </r>
  <r>
    <s v="APT-01367"/>
    <x v="50"/>
    <x v="5"/>
    <x v="3"/>
    <x v="1"/>
    <x v="2"/>
    <s v="Ernakulam"/>
    <x v="12"/>
    <s v="PT-1429"/>
    <s v="Follow-up"/>
    <x v="0"/>
    <x v="3"/>
    <s v="Neurologist"/>
    <x v="0"/>
    <n v="60"/>
    <n v="60"/>
    <n v="67.099999999999994"/>
    <n v="1400"/>
    <x v="21"/>
    <x v="0"/>
    <n v="0"/>
    <n v="1"/>
    <n v="0"/>
    <n v="0.85"/>
  </r>
  <r>
    <s v="APT-01368"/>
    <x v="49"/>
    <x v="9"/>
    <x v="1"/>
    <x v="1"/>
    <x v="0"/>
    <s v="Palakkad"/>
    <x v="9"/>
    <s v="PT-1612"/>
    <s v="Chronic Pain"/>
    <x v="1"/>
    <x v="3"/>
    <s v="Online Search"/>
    <x v="1"/>
    <n v="45"/>
    <n v="0"/>
    <n v="60.7"/>
    <n v="850"/>
    <x v="9"/>
    <x v="24"/>
    <n v="1"/>
    <n v="0"/>
    <n v="0"/>
    <n v="0.85"/>
  </r>
  <r>
    <s v="APT-01369"/>
    <x v="104"/>
    <x v="2"/>
    <x v="3"/>
    <x v="3"/>
    <x v="0"/>
    <s v="Palakkad"/>
    <x v="0"/>
    <s v="PT-1025"/>
    <s v="Sports Injury"/>
    <x v="1"/>
    <x v="0"/>
    <s v="Self Referral"/>
    <x v="0"/>
    <n v="60"/>
    <n v="60"/>
    <n v="72.2"/>
    <n v="1250"/>
    <x v="5"/>
    <x v="0"/>
    <n v="0"/>
    <n v="1"/>
    <n v="0"/>
    <n v="0.85"/>
  </r>
  <r>
    <s v="APT-01370"/>
    <x v="288"/>
    <x v="10"/>
    <x v="3"/>
    <x v="3"/>
    <x v="0"/>
    <s v="Palakkad"/>
    <x v="0"/>
    <s v="PT-1603"/>
    <s v="Sports Injury"/>
    <x v="5"/>
    <x v="0"/>
    <s v="Neurologist"/>
    <x v="1"/>
    <n v="60"/>
    <n v="0"/>
    <n v="66.400000000000006"/>
    <n v="1250"/>
    <x v="9"/>
    <x v="9"/>
    <n v="1"/>
    <n v="0"/>
    <n v="0"/>
    <n v="0.85"/>
  </r>
  <r>
    <s v="APT-01371"/>
    <x v="301"/>
    <x v="9"/>
    <x v="3"/>
    <x v="0"/>
    <x v="2"/>
    <s v="Ernakulam"/>
    <x v="3"/>
    <s v="PT-1614"/>
    <s v="New Patient"/>
    <x v="5"/>
    <x v="2"/>
    <s v="Hospital Discharge"/>
    <x v="0"/>
    <n v="60"/>
    <n v="60"/>
    <n v="67.900000000000006"/>
    <n v="1800"/>
    <x v="25"/>
    <x v="0"/>
    <n v="0"/>
    <n v="1"/>
    <n v="0"/>
    <n v="0.85"/>
  </r>
  <r>
    <s v="APT-01372"/>
    <x v="104"/>
    <x v="2"/>
    <x v="3"/>
    <x v="1"/>
    <x v="0"/>
    <s v="Palakkad"/>
    <x v="9"/>
    <s v="PT-1649"/>
    <s v="Chronic Pain"/>
    <x v="1"/>
    <x v="2"/>
    <s v="Self Referral"/>
    <x v="0"/>
    <n v="30"/>
    <n v="30"/>
    <n v="36.4"/>
    <n v="600"/>
    <x v="16"/>
    <x v="0"/>
    <n v="0"/>
    <n v="1"/>
    <n v="0"/>
    <n v="0.85"/>
  </r>
  <r>
    <s v="APT-01373"/>
    <x v="211"/>
    <x v="4"/>
    <x v="2"/>
    <x v="3"/>
    <x v="1"/>
    <s v="Thrissur"/>
    <x v="1"/>
    <s v="PT-1339"/>
    <s v="Follow-up"/>
    <x v="0"/>
    <x v="0"/>
    <s v="Online Search"/>
    <x v="0"/>
    <n v="60"/>
    <n v="60"/>
    <n v="75.2"/>
    <n v="1350"/>
    <x v="14"/>
    <x v="0"/>
    <n v="0"/>
    <n v="1"/>
    <n v="0"/>
    <n v="0.85"/>
  </r>
  <r>
    <s v="APT-01374"/>
    <x v="254"/>
    <x v="11"/>
    <x v="5"/>
    <x v="1"/>
    <x v="2"/>
    <s v="Ernakulam"/>
    <x v="12"/>
    <s v="PT-1144"/>
    <s v="Chronic Pain"/>
    <x v="2"/>
    <x v="2"/>
    <s v="Orthopedic Doctor"/>
    <x v="0"/>
    <n v="90"/>
    <n v="90"/>
    <n v="104.3"/>
    <n v="2250"/>
    <x v="12"/>
    <x v="0"/>
    <n v="0"/>
    <n v="1"/>
    <n v="0"/>
    <n v="0.85"/>
  </r>
  <r>
    <s v="APT-01375"/>
    <x v="68"/>
    <x v="5"/>
    <x v="4"/>
    <x v="0"/>
    <x v="2"/>
    <s v="Ernakulam"/>
    <x v="3"/>
    <s v="PT-1025"/>
    <s v="Follow-up"/>
    <x v="0"/>
    <x v="0"/>
    <s v="Corporate Wellness"/>
    <x v="0"/>
    <n v="45"/>
    <n v="45"/>
    <n v="54.3"/>
    <n v="1100"/>
    <x v="20"/>
    <x v="0"/>
    <n v="0"/>
    <n v="1"/>
    <n v="0"/>
    <n v="0.85"/>
  </r>
  <r>
    <s v="APT-01376"/>
    <x v="188"/>
    <x v="5"/>
    <x v="2"/>
    <x v="1"/>
    <x v="2"/>
    <s v="Ernakulam"/>
    <x v="14"/>
    <s v="PT-1188"/>
    <s v="Post-op Rehab"/>
    <x v="4"/>
    <x v="1"/>
    <s v="Online Search"/>
    <x v="2"/>
    <n v="30"/>
    <n v="0"/>
    <n v="36.799999999999997"/>
    <n v="750"/>
    <x v="9"/>
    <x v="31"/>
    <n v="0"/>
    <n v="0"/>
    <n v="1"/>
    <n v="0.85"/>
  </r>
  <r>
    <s v="APT-01377"/>
    <x v="200"/>
    <x v="1"/>
    <x v="0"/>
    <x v="2"/>
    <x v="1"/>
    <s v="Thrissur"/>
    <x v="2"/>
    <s v="PT-1065"/>
    <s v="Sports Injury"/>
    <x v="5"/>
    <x v="2"/>
    <s v="Self Referral"/>
    <x v="0"/>
    <n v="45"/>
    <n v="45"/>
    <n v="50.8"/>
    <n v="1000"/>
    <x v="13"/>
    <x v="0"/>
    <n v="0"/>
    <n v="1"/>
    <n v="0"/>
    <n v="0.85"/>
  </r>
  <r>
    <s v="APT-01378"/>
    <x v="101"/>
    <x v="9"/>
    <x v="4"/>
    <x v="2"/>
    <x v="0"/>
    <s v="Palakkad"/>
    <x v="9"/>
    <s v="PT-1249"/>
    <s v="New Patient"/>
    <x v="4"/>
    <x v="1"/>
    <s v="Orthopedic Doctor"/>
    <x v="0"/>
    <n v="45"/>
    <n v="45"/>
    <n v="55"/>
    <n v="950"/>
    <x v="7"/>
    <x v="0"/>
    <n v="0"/>
    <n v="1"/>
    <n v="0"/>
    <n v="0.85"/>
  </r>
  <r>
    <s v="APT-01379"/>
    <x v="51"/>
    <x v="6"/>
    <x v="0"/>
    <x v="3"/>
    <x v="2"/>
    <s v="Ernakulam"/>
    <x v="4"/>
    <s v="PT-1495"/>
    <s v="Geriatric Rehab"/>
    <x v="4"/>
    <x v="0"/>
    <s v="Neurologist"/>
    <x v="0"/>
    <n v="45"/>
    <n v="45"/>
    <n v="54.9"/>
    <n v="1100"/>
    <x v="20"/>
    <x v="0"/>
    <n v="0"/>
    <n v="1"/>
    <n v="0"/>
    <n v="0.85"/>
  </r>
  <r>
    <s v="APT-01380"/>
    <x v="109"/>
    <x v="0"/>
    <x v="1"/>
    <x v="1"/>
    <x v="0"/>
    <s v="Palakkad"/>
    <x v="9"/>
    <s v="PT-1036"/>
    <s v="Chronic Pain"/>
    <x v="0"/>
    <x v="3"/>
    <s v="Orthopedic Doctor"/>
    <x v="2"/>
    <n v="45"/>
    <n v="0"/>
    <n v="49.3"/>
    <n v="850"/>
    <x v="9"/>
    <x v="24"/>
    <n v="0"/>
    <n v="0"/>
    <n v="1"/>
    <n v="0.85"/>
  </r>
  <r>
    <s v="APT-01381"/>
    <x v="213"/>
    <x v="8"/>
    <x v="2"/>
    <x v="3"/>
    <x v="0"/>
    <s v="Palakkad"/>
    <x v="11"/>
    <s v="PT-1638"/>
    <s v="Sports Injury"/>
    <x v="3"/>
    <x v="0"/>
    <s v="Self Referral"/>
    <x v="0"/>
    <n v="45"/>
    <n v="45"/>
    <n v="60.3"/>
    <n v="950"/>
    <x v="7"/>
    <x v="0"/>
    <n v="0"/>
    <n v="1"/>
    <n v="0"/>
    <n v="0.85"/>
  </r>
  <r>
    <s v="APT-01382"/>
    <x v="286"/>
    <x v="9"/>
    <x v="0"/>
    <x v="0"/>
    <x v="0"/>
    <s v="Palakkad"/>
    <x v="11"/>
    <s v="PT-1497"/>
    <s v="Follow-up"/>
    <x v="2"/>
    <x v="2"/>
    <s v="Neurologist"/>
    <x v="2"/>
    <n v="30"/>
    <n v="0"/>
    <n v="37.200000000000003"/>
    <n v="600"/>
    <x v="9"/>
    <x v="18"/>
    <n v="0"/>
    <n v="0"/>
    <n v="1"/>
    <n v="0.85"/>
  </r>
  <r>
    <s v="APT-01383"/>
    <x v="51"/>
    <x v="6"/>
    <x v="0"/>
    <x v="1"/>
    <x v="2"/>
    <s v="Ernakulam"/>
    <x v="4"/>
    <s v="PT-1182"/>
    <s v="Sports Injury"/>
    <x v="5"/>
    <x v="3"/>
    <s v="Hospital Discharge"/>
    <x v="0"/>
    <n v="60"/>
    <n v="60"/>
    <n v="67.7"/>
    <n v="1400"/>
    <x v="21"/>
    <x v="0"/>
    <n v="0"/>
    <n v="1"/>
    <n v="0"/>
    <n v="0.85"/>
  </r>
  <r>
    <s v="APT-01384"/>
    <x v="29"/>
    <x v="5"/>
    <x v="5"/>
    <x v="0"/>
    <x v="1"/>
    <s v="Thrissur"/>
    <x v="10"/>
    <s v="PT-1049"/>
    <s v="Follow-up"/>
    <x v="0"/>
    <x v="2"/>
    <s v="Orthopedic Doctor"/>
    <x v="1"/>
    <n v="30"/>
    <n v="0"/>
    <n v="33.799999999999997"/>
    <n v="700"/>
    <x v="9"/>
    <x v="3"/>
    <n v="1"/>
    <n v="0"/>
    <n v="0"/>
    <n v="0.85"/>
  </r>
  <r>
    <s v="APT-01385"/>
    <x v="37"/>
    <x v="5"/>
    <x v="0"/>
    <x v="0"/>
    <x v="0"/>
    <s v="Palakkad"/>
    <x v="6"/>
    <s v="PT-1302"/>
    <s v="Sports Injury"/>
    <x v="0"/>
    <x v="0"/>
    <s v="Hospital Discharge"/>
    <x v="0"/>
    <n v="30"/>
    <n v="30"/>
    <n v="34.1"/>
    <n v="600"/>
    <x v="16"/>
    <x v="0"/>
    <n v="0"/>
    <n v="1"/>
    <n v="0"/>
    <n v="0.85"/>
  </r>
  <r>
    <s v="APT-01386"/>
    <x v="13"/>
    <x v="4"/>
    <x v="0"/>
    <x v="2"/>
    <x v="1"/>
    <s v="Thrissur"/>
    <x v="2"/>
    <s v="PT-1317"/>
    <s v="Sports Injury"/>
    <x v="1"/>
    <x v="0"/>
    <s v="Neurologist"/>
    <x v="0"/>
    <n v="60"/>
    <n v="60"/>
    <n v="68.3"/>
    <n v="1350"/>
    <x v="14"/>
    <x v="0"/>
    <n v="0"/>
    <n v="1"/>
    <n v="0"/>
    <n v="0.85"/>
  </r>
  <r>
    <s v="APT-01387"/>
    <x v="253"/>
    <x v="5"/>
    <x v="2"/>
    <x v="3"/>
    <x v="0"/>
    <s v="Palakkad"/>
    <x v="0"/>
    <s v="PT-1663"/>
    <s v="Follow-up"/>
    <x v="5"/>
    <x v="0"/>
    <s v="Neurologist"/>
    <x v="0"/>
    <n v="45"/>
    <n v="45"/>
    <n v="55"/>
    <n v="950"/>
    <x v="7"/>
    <x v="0"/>
    <n v="0"/>
    <n v="1"/>
    <n v="0"/>
    <n v="0.85"/>
  </r>
  <r>
    <s v="APT-01388"/>
    <x v="13"/>
    <x v="4"/>
    <x v="0"/>
    <x v="1"/>
    <x v="0"/>
    <s v="Palakkad"/>
    <x v="13"/>
    <s v="PT-1688"/>
    <s v="Geriatric Rehab"/>
    <x v="2"/>
    <x v="1"/>
    <s v="Orthopedic Doctor"/>
    <x v="0"/>
    <n v="30"/>
    <n v="30"/>
    <n v="39.299999999999997"/>
    <n v="550"/>
    <x v="29"/>
    <x v="0"/>
    <n v="0"/>
    <n v="1"/>
    <n v="0"/>
    <n v="0.85"/>
  </r>
  <r>
    <s v="APT-01389"/>
    <x v="220"/>
    <x v="0"/>
    <x v="0"/>
    <x v="1"/>
    <x v="1"/>
    <s v="Thrissur"/>
    <x v="1"/>
    <s v="PT-1086"/>
    <s v="Follow-up"/>
    <x v="4"/>
    <x v="0"/>
    <s v="Hospital Discharge"/>
    <x v="2"/>
    <n v="75"/>
    <n v="0"/>
    <n v="91.2"/>
    <n v="1700"/>
    <x v="9"/>
    <x v="5"/>
    <n v="0"/>
    <n v="0"/>
    <n v="1"/>
    <n v="0.85"/>
  </r>
  <r>
    <s v="APT-01390"/>
    <x v="45"/>
    <x v="9"/>
    <x v="4"/>
    <x v="3"/>
    <x v="1"/>
    <s v="Thrissur"/>
    <x v="1"/>
    <s v="PT-1507"/>
    <s v="New Patient"/>
    <x v="1"/>
    <x v="3"/>
    <s v="Hospital Discharge"/>
    <x v="0"/>
    <n v="75"/>
    <n v="75"/>
    <n v="94.9"/>
    <n v="1850"/>
    <x v="24"/>
    <x v="0"/>
    <n v="0"/>
    <n v="1"/>
    <n v="0"/>
    <n v="0.85"/>
  </r>
  <r>
    <s v="APT-01391"/>
    <x v="50"/>
    <x v="5"/>
    <x v="3"/>
    <x v="1"/>
    <x v="2"/>
    <s v="Ernakulam"/>
    <x v="8"/>
    <s v="PT-1382"/>
    <s v="Post-op Rehab"/>
    <x v="0"/>
    <x v="1"/>
    <s v="Online Search"/>
    <x v="0"/>
    <n v="75"/>
    <n v="75"/>
    <n v="100.4"/>
    <n v="1850"/>
    <x v="24"/>
    <x v="0"/>
    <n v="0"/>
    <n v="1"/>
    <n v="0"/>
    <n v="0.85"/>
  </r>
  <r>
    <s v="APT-01392"/>
    <x v="105"/>
    <x v="7"/>
    <x v="2"/>
    <x v="3"/>
    <x v="1"/>
    <s v="Thrissur"/>
    <x v="5"/>
    <s v="PT-1370"/>
    <s v="Sports Injury"/>
    <x v="2"/>
    <x v="2"/>
    <s v="Hospital Discharge"/>
    <x v="0"/>
    <n v="30"/>
    <n v="30"/>
    <n v="40.4"/>
    <n v="700"/>
    <x v="19"/>
    <x v="0"/>
    <n v="0"/>
    <n v="1"/>
    <n v="0"/>
    <n v="0.85"/>
  </r>
  <r>
    <s v="APT-01393"/>
    <x v="199"/>
    <x v="4"/>
    <x v="1"/>
    <x v="1"/>
    <x v="2"/>
    <s v="Ernakulam"/>
    <x v="3"/>
    <s v="PT-1536"/>
    <s v="Sports Injury"/>
    <x v="0"/>
    <x v="2"/>
    <s v="Orthopedic Doctor"/>
    <x v="0"/>
    <n v="60"/>
    <n v="60"/>
    <n v="65.7"/>
    <n v="1500"/>
    <x v="3"/>
    <x v="0"/>
    <n v="0"/>
    <n v="1"/>
    <n v="0"/>
    <n v="0.85"/>
  </r>
  <r>
    <s v="APT-01394"/>
    <x v="18"/>
    <x v="4"/>
    <x v="3"/>
    <x v="1"/>
    <x v="1"/>
    <s v="Thrissur"/>
    <x v="5"/>
    <s v="PT-1683"/>
    <s v="Chronic Pain"/>
    <x v="4"/>
    <x v="3"/>
    <s v="Orthopedic Doctor"/>
    <x v="0"/>
    <n v="60"/>
    <n v="60"/>
    <n v="76.900000000000006"/>
    <n v="1250"/>
    <x v="5"/>
    <x v="0"/>
    <n v="0"/>
    <n v="1"/>
    <n v="0"/>
    <n v="0.85"/>
  </r>
  <r>
    <s v="APT-01395"/>
    <x v="23"/>
    <x v="5"/>
    <x v="1"/>
    <x v="2"/>
    <x v="0"/>
    <s v="Palakkad"/>
    <x v="6"/>
    <s v="PT-1613"/>
    <s v="Follow-up"/>
    <x v="2"/>
    <x v="2"/>
    <s v="Self Referral"/>
    <x v="1"/>
    <n v="60"/>
    <n v="0"/>
    <n v="72.5"/>
    <n v="1250"/>
    <x v="9"/>
    <x v="9"/>
    <n v="1"/>
    <n v="0"/>
    <n v="0"/>
    <n v="0.85"/>
  </r>
  <r>
    <s v="APT-01396"/>
    <x v="93"/>
    <x v="8"/>
    <x v="0"/>
    <x v="0"/>
    <x v="2"/>
    <s v="Ernakulam"/>
    <x v="14"/>
    <s v="PT-1273"/>
    <s v="Chronic Pain"/>
    <x v="1"/>
    <x v="0"/>
    <s v="Hospital Discharge"/>
    <x v="0"/>
    <n v="60"/>
    <n v="60"/>
    <n v="70.599999999999994"/>
    <n v="1500"/>
    <x v="3"/>
    <x v="0"/>
    <n v="0"/>
    <n v="1"/>
    <n v="0"/>
    <n v="0.85"/>
  </r>
  <r>
    <s v="APT-01397"/>
    <x v="169"/>
    <x v="3"/>
    <x v="0"/>
    <x v="1"/>
    <x v="2"/>
    <s v="Ernakulam"/>
    <x v="8"/>
    <s v="PT-1127"/>
    <s v="Follow-up"/>
    <x v="3"/>
    <x v="0"/>
    <s v="Orthopedic Doctor"/>
    <x v="0"/>
    <n v="45"/>
    <n v="45"/>
    <n v="51.3"/>
    <n v="1100"/>
    <x v="20"/>
    <x v="0"/>
    <n v="0"/>
    <n v="1"/>
    <n v="0"/>
    <n v="0.85"/>
  </r>
  <r>
    <s v="APT-01398"/>
    <x v="50"/>
    <x v="5"/>
    <x v="3"/>
    <x v="0"/>
    <x v="2"/>
    <s v="Ernakulam"/>
    <x v="3"/>
    <s v="PT-1220"/>
    <s v="Post-op Rehab"/>
    <x v="4"/>
    <x v="2"/>
    <s v="Self Referral"/>
    <x v="0"/>
    <n v="45"/>
    <n v="45"/>
    <n v="55.6"/>
    <n v="1300"/>
    <x v="22"/>
    <x v="0"/>
    <n v="0"/>
    <n v="1"/>
    <n v="0"/>
    <n v="0.85"/>
  </r>
  <r>
    <s v="APT-01399"/>
    <x v="274"/>
    <x v="9"/>
    <x v="0"/>
    <x v="0"/>
    <x v="0"/>
    <s v="Palakkad"/>
    <x v="6"/>
    <s v="PT-1630"/>
    <s v="New Patient"/>
    <x v="1"/>
    <x v="2"/>
    <s v="Self Referral"/>
    <x v="1"/>
    <n v="60"/>
    <n v="0"/>
    <n v="73.599999999999994"/>
    <n v="1500"/>
    <x v="9"/>
    <x v="12"/>
    <n v="1"/>
    <n v="0"/>
    <n v="0"/>
    <n v="0.85"/>
  </r>
  <r>
    <s v="APT-01400"/>
    <x v="66"/>
    <x v="7"/>
    <x v="1"/>
    <x v="0"/>
    <x v="1"/>
    <s v="Thrissur"/>
    <x v="10"/>
    <s v="PT-1513"/>
    <s v="Geriatric Rehab"/>
    <x v="2"/>
    <x v="3"/>
    <s v="Self Referral"/>
    <x v="0"/>
    <n v="45"/>
    <n v="45"/>
    <n v="57.4"/>
    <n v="950"/>
    <x v="7"/>
    <x v="0"/>
    <n v="0"/>
    <n v="1"/>
    <n v="0"/>
    <n v="0.85"/>
  </r>
  <r>
    <s v="APT-01401"/>
    <x v="293"/>
    <x v="11"/>
    <x v="3"/>
    <x v="1"/>
    <x v="2"/>
    <s v="Ernakulam"/>
    <x v="14"/>
    <s v="PT-1128"/>
    <s v="New Patient"/>
    <x v="2"/>
    <x v="1"/>
    <s v="Corporate Wellness"/>
    <x v="0"/>
    <n v="45"/>
    <n v="45"/>
    <n v="55.8"/>
    <n v="1150"/>
    <x v="15"/>
    <x v="0"/>
    <n v="0"/>
    <n v="1"/>
    <n v="0"/>
    <n v="0.85"/>
  </r>
  <r>
    <s v="APT-01402"/>
    <x v="204"/>
    <x v="3"/>
    <x v="2"/>
    <x v="0"/>
    <x v="0"/>
    <s v="Palakkad"/>
    <x v="9"/>
    <s v="PT-1156"/>
    <s v="Follow-up"/>
    <x v="4"/>
    <x v="1"/>
    <s v="Neurologist"/>
    <x v="1"/>
    <n v="60"/>
    <n v="0"/>
    <n v="80.400000000000006"/>
    <n v="1050"/>
    <x v="9"/>
    <x v="15"/>
    <n v="1"/>
    <n v="0"/>
    <n v="0"/>
    <n v="0.85"/>
  </r>
  <r>
    <s v="APT-01403"/>
    <x v="66"/>
    <x v="7"/>
    <x v="1"/>
    <x v="0"/>
    <x v="2"/>
    <s v="Ernakulam"/>
    <x v="12"/>
    <s v="PT-1510"/>
    <s v="Follow-up"/>
    <x v="4"/>
    <x v="0"/>
    <s v="Corporate Wellness"/>
    <x v="3"/>
    <n v="60"/>
    <n v="0"/>
    <n v="76.099999999999994"/>
    <n v="1500"/>
    <x v="9"/>
    <x v="0"/>
    <n v="0"/>
    <n v="0"/>
    <n v="0"/>
    <n v="0.85"/>
  </r>
  <r>
    <s v="APT-01404"/>
    <x v="92"/>
    <x v="3"/>
    <x v="2"/>
    <x v="0"/>
    <x v="1"/>
    <s v="Thrissur"/>
    <x v="10"/>
    <s v="PT-1345"/>
    <s v="Post-op Rehab"/>
    <x v="3"/>
    <x v="2"/>
    <s v="Online Search"/>
    <x v="0"/>
    <n v="60"/>
    <n v="60"/>
    <n v="69.3"/>
    <n v="1550"/>
    <x v="1"/>
    <x v="0"/>
    <n v="0"/>
    <n v="1"/>
    <n v="0"/>
    <n v="0.85"/>
  </r>
  <r>
    <s v="APT-01405"/>
    <x v="49"/>
    <x v="9"/>
    <x v="1"/>
    <x v="3"/>
    <x v="1"/>
    <s v="Thrissur"/>
    <x v="2"/>
    <s v="PT-1351"/>
    <s v="Chronic Pain"/>
    <x v="2"/>
    <x v="0"/>
    <s v="Neurologist"/>
    <x v="1"/>
    <n v="30"/>
    <n v="0"/>
    <n v="39"/>
    <n v="700"/>
    <x v="9"/>
    <x v="3"/>
    <n v="1"/>
    <n v="0"/>
    <n v="0"/>
    <n v="0.85"/>
  </r>
  <r>
    <s v="APT-01406"/>
    <x v="123"/>
    <x v="1"/>
    <x v="0"/>
    <x v="3"/>
    <x v="2"/>
    <s v="Ernakulam"/>
    <x v="4"/>
    <s v="PT-1254"/>
    <s v="Post-op Rehab"/>
    <x v="2"/>
    <x v="0"/>
    <s v="Neurologist"/>
    <x v="0"/>
    <n v="75"/>
    <n v="75"/>
    <n v="87.5"/>
    <n v="2150"/>
    <x v="30"/>
    <x v="0"/>
    <n v="0"/>
    <n v="1"/>
    <n v="0"/>
    <n v="0.85"/>
  </r>
  <r>
    <s v="APT-01407"/>
    <x v="66"/>
    <x v="7"/>
    <x v="1"/>
    <x v="0"/>
    <x v="1"/>
    <s v="Thrissur"/>
    <x v="1"/>
    <s v="PT-1432"/>
    <s v="Follow-up"/>
    <x v="4"/>
    <x v="0"/>
    <s v="Online Search"/>
    <x v="0"/>
    <n v="75"/>
    <n v="75"/>
    <n v="88.2"/>
    <n v="1700"/>
    <x v="6"/>
    <x v="0"/>
    <n v="0"/>
    <n v="1"/>
    <n v="0"/>
    <n v="0.85"/>
  </r>
  <r>
    <s v="APT-01408"/>
    <x v="23"/>
    <x v="5"/>
    <x v="1"/>
    <x v="3"/>
    <x v="2"/>
    <s v="Ernakulam"/>
    <x v="12"/>
    <s v="PT-1046"/>
    <s v="Follow-up"/>
    <x v="0"/>
    <x v="0"/>
    <s v="Corporate Wellness"/>
    <x v="0"/>
    <n v="30"/>
    <n v="30"/>
    <n v="37.799999999999997"/>
    <n v="750"/>
    <x v="27"/>
    <x v="0"/>
    <n v="0"/>
    <n v="1"/>
    <n v="0"/>
    <n v="0.85"/>
  </r>
  <r>
    <s v="APT-01409"/>
    <x v="286"/>
    <x v="9"/>
    <x v="0"/>
    <x v="1"/>
    <x v="0"/>
    <s v="Palakkad"/>
    <x v="6"/>
    <s v="PT-1650"/>
    <s v="Post-op Rehab"/>
    <x v="0"/>
    <x v="0"/>
    <s v="Orthopedic Doctor"/>
    <x v="0"/>
    <n v="60"/>
    <n v="60"/>
    <n v="68.8"/>
    <n v="1450"/>
    <x v="10"/>
    <x v="0"/>
    <n v="0"/>
    <n v="1"/>
    <n v="0"/>
    <n v="0.85"/>
  </r>
  <r>
    <s v="APT-01410"/>
    <x v="74"/>
    <x v="10"/>
    <x v="3"/>
    <x v="0"/>
    <x v="0"/>
    <s v="Palakkad"/>
    <x v="13"/>
    <s v="PT-1219"/>
    <s v="New Patient"/>
    <x v="1"/>
    <x v="0"/>
    <s v="Corporate Wellness"/>
    <x v="3"/>
    <n v="30"/>
    <n v="0"/>
    <n v="37.6"/>
    <n v="750"/>
    <x v="9"/>
    <x v="0"/>
    <n v="0"/>
    <n v="0"/>
    <n v="0"/>
    <n v="0.85"/>
  </r>
  <r>
    <s v="APT-01411"/>
    <x v="283"/>
    <x v="6"/>
    <x v="3"/>
    <x v="1"/>
    <x v="2"/>
    <s v="Ernakulam"/>
    <x v="3"/>
    <s v="PT-1667"/>
    <s v="Chronic Pain"/>
    <x v="3"/>
    <x v="0"/>
    <s v="Online Search"/>
    <x v="1"/>
    <n v="60"/>
    <n v="0"/>
    <n v="68.099999999999994"/>
    <n v="1500"/>
    <x v="9"/>
    <x v="12"/>
    <n v="1"/>
    <n v="0"/>
    <n v="0"/>
    <n v="0.85"/>
  </r>
  <r>
    <s v="APT-01412"/>
    <x v="230"/>
    <x v="6"/>
    <x v="1"/>
    <x v="1"/>
    <x v="0"/>
    <s v="Palakkad"/>
    <x v="13"/>
    <s v="PT-1610"/>
    <s v="Post-op Rehab"/>
    <x v="3"/>
    <x v="2"/>
    <s v="Orthopedic Doctor"/>
    <x v="0"/>
    <n v="60"/>
    <n v="60"/>
    <n v="74.900000000000006"/>
    <n v="1450"/>
    <x v="10"/>
    <x v="0"/>
    <n v="0"/>
    <n v="1"/>
    <n v="0"/>
    <n v="0.85"/>
  </r>
  <r>
    <s v="APT-01413"/>
    <x v="146"/>
    <x v="8"/>
    <x v="1"/>
    <x v="3"/>
    <x v="2"/>
    <s v="Ernakulam"/>
    <x v="14"/>
    <s v="PT-1426"/>
    <s v="Follow-up"/>
    <x v="3"/>
    <x v="2"/>
    <s v="Corporate Wellness"/>
    <x v="1"/>
    <n v="45"/>
    <n v="0"/>
    <n v="60.4"/>
    <n v="1100"/>
    <x v="9"/>
    <x v="6"/>
    <n v="1"/>
    <n v="0"/>
    <n v="0"/>
    <n v="0.85"/>
  </r>
  <r>
    <s v="APT-01414"/>
    <x v="212"/>
    <x v="11"/>
    <x v="5"/>
    <x v="2"/>
    <x v="1"/>
    <s v="Thrissur"/>
    <x v="5"/>
    <s v="PT-1056"/>
    <s v="New Patient"/>
    <x v="5"/>
    <x v="0"/>
    <s v="Corporate Wellness"/>
    <x v="1"/>
    <n v="90"/>
    <n v="0"/>
    <n v="118.7"/>
    <n v="2450"/>
    <x v="9"/>
    <x v="33"/>
    <n v="1"/>
    <n v="0"/>
    <n v="0"/>
    <n v="0.85"/>
  </r>
  <r>
    <s v="APT-01415"/>
    <x v="298"/>
    <x v="2"/>
    <x v="5"/>
    <x v="0"/>
    <x v="1"/>
    <s v="Thrissur"/>
    <x v="1"/>
    <s v="PT-1671"/>
    <s v="Chronic Pain"/>
    <x v="3"/>
    <x v="0"/>
    <s v="Online Search"/>
    <x v="0"/>
    <n v="60"/>
    <n v="60"/>
    <n v="78.7"/>
    <n v="1350"/>
    <x v="14"/>
    <x v="0"/>
    <n v="0"/>
    <n v="1"/>
    <n v="0"/>
    <n v="0.85"/>
  </r>
  <r>
    <s v="APT-01416"/>
    <x v="235"/>
    <x v="0"/>
    <x v="5"/>
    <x v="3"/>
    <x v="2"/>
    <s v="Ernakulam"/>
    <x v="12"/>
    <s v="PT-1374"/>
    <s v="Follow-up"/>
    <x v="5"/>
    <x v="0"/>
    <s v="Hospital Discharge"/>
    <x v="3"/>
    <n v="45"/>
    <n v="0"/>
    <n v="50.6"/>
    <n v="1100"/>
    <x v="9"/>
    <x v="0"/>
    <n v="0"/>
    <n v="0"/>
    <n v="0"/>
    <n v="0.85"/>
  </r>
  <r>
    <s v="APT-01417"/>
    <x v="294"/>
    <x v="5"/>
    <x v="5"/>
    <x v="3"/>
    <x v="1"/>
    <s v="Thrissur"/>
    <x v="10"/>
    <s v="PT-1189"/>
    <s v="Chronic Pain"/>
    <x v="4"/>
    <x v="2"/>
    <s v="Corporate Wellness"/>
    <x v="1"/>
    <n v="60"/>
    <n v="0"/>
    <n v="80.099999999999994"/>
    <n v="1350"/>
    <x v="9"/>
    <x v="2"/>
    <n v="1"/>
    <n v="0"/>
    <n v="0"/>
    <n v="0.85"/>
  </r>
  <r>
    <s v="APT-01418"/>
    <x v="269"/>
    <x v="8"/>
    <x v="2"/>
    <x v="0"/>
    <x v="2"/>
    <s v="Ernakulam"/>
    <x v="14"/>
    <s v="PT-1684"/>
    <s v="Post-op Rehab"/>
    <x v="0"/>
    <x v="2"/>
    <s v="Orthopedic Doctor"/>
    <x v="0"/>
    <n v="60"/>
    <n v="60"/>
    <n v="75.7"/>
    <n v="1700"/>
    <x v="6"/>
    <x v="0"/>
    <n v="0"/>
    <n v="1"/>
    <n v="0"/>
    <n v="0.85"/>
  </r>
  <r>
    <s v="APT-01419"/>
    <x v="306"/>
    <x v="2"/>
    <x v="5"/>
    <x v="3"/>
    <x v="0"/>
    <s v="Palakkad"/>
    <x v="6"/>
    <s v="PT-1082"/>
    <s v="Geriatric Rehab"/>
    <x v="1"/>
    <x v="1"/>
    <s v="Orthopedic Doctor"/>
    <x v="0"/>
    <n v="60"/>
    <n v="60"/>
    <n v="73.099999999999994"/>
    <n v="1050"/>
    <x v="2"/>
    <x v="0"/>
    <n v="0"/>
    <n v="1"/>
    <n v="0"/>
    <n v="0.85"/>
  </r>
  <r>
    <s v="APT-01420"/>
    <x v="321"/>
    <x v="2"/>
    <x v="6"/>
    <x v="0"/>
    <x v="0"/>
    <s v="Palakkad"/>
    <x v="13"/>
    <s v="PT-1072"/>
    <s v="Follow-up"/>
    <x v="4"/>
    <x v="2"/>
    <s v="Orthopedic Doctor"/>
    <x v="0"/>
    <n v="45"/>
    <n v="45"/>
    <n v="50.2"/>
    <n v="950"/>
    <x v="7"/>
    <x v="0"/>
    <n v="0"/>
    <n v="1"/>
    <n v="0"/>
    <n v="0.85"/>
  </r>
  <r>
    <s v="APT-01421"/>
    <x v="205"/>
    <x v="10"/>
    <x v="5"/>
    <x v="3"/>
    <x v="0"/>
    <s v="Palakkad"/>
    <x v="6"/>
    <s v="PT-1136"/>
    <s v="New Patient"/>
    <x v="3"/>
    <x v="0"/>
    <s v="Self Referral"/>
    <x v="0"/>
    <n v="30"/>
    <n v="30"/>
    <n v="36.9"/>
    <n v="750"/>
    <x v="27"/>
    <x v="0"/>
    <n v="0"/>
    <n v="1"/>
    <n v="0"/>
    <n v="0.85"/>
  </r>
  <r>
    <s v="APT-01422"/>
    <x v="50"/>
    <x v="5"/>
    <x v="3"/>
    <x v="1"/>
    <x v="1"/>
    <s v="Thrissur"/>
    <x v="10"/>
    <s v="PT-1500"/>
    <s v="Post-op Rehab"/>
    <x v="1"/>
    <x v="3"/>
    <s v="Corporate Wellness"/>
    <x v="3"/>
    <n v="60"/>
    <n v="0"/>
    <n v="74.599999999999994"/>
    <n v="1450"/>
    <x v="9"/>
    <x v="0"/>
    <n v="0"/>
    <n v="0"/>
    <n v="0"/>
    <n v="0.85"/>
  </r>
  <r>
    <s v="APT-01423"/>
    <x v="159"/>
    <x v="5"/>
    <x v="1"/>
    <x v="2"/>
    <x v="1"/>
    <s v="Thrissur"/>
    <x v="5"/>
    <s v="PT-1050"/>
    <s v="Post-op Rehab"/>
    <x v="1"/>
    <x v="2"/>
    <s v="Neurologist"/>
    <x v="0"/>
    <n v="75"/>
    <n v="75"/>
    <n v="93.6"/>
    <n v="1950"/>
    <x v="8"/>
    <x v="0"/>
    <n v="0"/>
    <n v="1"/>
    <n v="0"/>
    <n v="0.85"/>
  </r>
  <r>
    <s v="APT-01424"/>
    <x v="219"/>
    <x v="3"/>
    <x v="5"/>
    <x v="0"/>
    <x v="0"/>
    <s v="Palakkad"/>
    <x v="9"/>
    <s v="PT-1060"/>
    <s v="Sports Injury"/>
    <x v="2"/>
    <x v="2"/>
    <s v="Self Referral"/>
    <x v="0"/>
    <n v="60"/>
    <n v="60"/>
    <n v="71.2"/>
    <n v="1250"/>
    <x v="5"/>
    <x v="0"/>
    <n v="0"/>
    <n v="1"/>
    <n v="0"/>
    <n v="0.85"/>
  </r>
  <r>
    <s v="APT-01425"/>
    <x v="143"/>
    <x v="0"/>
    <x v="5"/>
    <x v="2"/>
    <x v="0"/>
    <s v="Palakkad"/>
    <x v="13"/>
    <s v="PT-1530"/>
    <s v="Geriatric Rehab"/>
    <x v="1"/>
    <x v="3"/>
    <s v="Self Referral"/>
    <x v="0"/>
    <n v="60"/>
    <n v="60"/>
    <n v="79.5"/>
    <n v="1150"/>
    <x v="15"/>
    <x v="0"/>
    <n v="0"/>
    <n v="1"/>
    <n v="0"/>
    <n v="0.85"/>
  </r>
  <r>
    <s v="APT-01426"/>
    <x v="63"/>
    <x v="11"/>
    <x v="0"/>
    <x v="2"/>
    <x v="0"/>
    <s v="Palakkad"/>
    <x v="13"/>
    <s v="PT-1048"/>
    <s v="Sports Injury"/>
    <x v="2"/>
    <x v="1"/>
    <s v="Orthopedic Doctor"/>
    <x v="0"/>
    <n v="45"/>
    <n v="45"/>
    <n v="57.6"/>
    <n v="800"/>
    <x v="18"/>
    <x v="0"/>
    <n v="0"/>
    <n v="1"/>
    <n v="0"/>
    <n v="0.85"/>
  </r>
  <r>
    <s v="APT-01427"/>
    <x v="209"/>
    <x v="4"/>
    <x v="4"/>
    <x v="1"/>
    <x v="0"/>
    <s v="Palakkad"/>
    <x v="0"/>
    <s v="PT-1469"/>
    <s v="Sports Injury"/>
    <x v="1"/>
    <x v="1"/>
    <s v="Neurologist"/>
    <x v="1"/>
    <n v="75"/>
    <n v="0"/>
    <n v="93.6"/>
    <n v="1350"/>
    <x v="9"/>
    <x v="2"/>
    <n v="1"/>
    <n v="0"/>
    <n v="0"/>
    <n v="0.85"/>
  </r>
  <r>
    <s v="APT-01428"/>
    <x v="10"/>
    <x v="6"/>
    <x v="2"/>
    <x v="0"/>
    <x v="0"/>
    <s v="Palakkad"/>
    <x v="0"/>
    <s v="PT-1600"/>
    <s v="Chronic Pain"/>
    <x v="1"/>
    <x v="3"/>
    <s v="Corporate Wellness"/>
    <x v="2"/>
    <n v="45"/>
    <n v="0"/>
    <n v="51.7"/>
    <n v="850"/>
    <x v="9"/>
    <x v="24"/>
    <n v="0"/>
    <n v="0"/>
    <n v="1"/>
    <n v="0.85"/>
  </r>
  <r>
    <s v="APT-01429"/>
    <x v="304"/>
    <x v="1"/>
    <x v="3"/>
    <x v="3"/>
    <x v="0"/>
    <s v="Palakkad"/>
    <x v="6"/>
    <s v="PT-1246"/>
    <s v="New Patient"/>
    <x v="5"/>
    <x v="3"/>
    <s v="Orthopedic Doctor"/>
    <x v="0"/>
    <n v="45"/>
    <n v="45"/>
    <n v="51"/>
    <n v="1050"/>
    <x v="2"/>
    <x v="0"/>
    <n v="0"/>
    <n v="1"/>
    <n v="0"/>
    <n v="0.85"/>
  </r>
  <r>
    <s v="APT-01430"/>
    <x v="73"/>
    <x v="10"/>
    <x v="0"/>
    <x v="3"/>
    <x v="1"/>
    <s v="Thrissur"/>
    <x v="1"/>
    <s v="PT-1161"/>
    <s v="New Patient"/>
    <x v="1"/>
    <x v="0"/>
    <s v="Self Referral"/>
    <x v="0"/>
    <n v="45"/>
    <n v="45"/>
    <n v="50.2"/>
    <n v="1200"/>
    <x v="26"/>
    <x v="0"/>
    <n v="0"/>
    <n v="1"/>
    <n v="0"/>
    <n v="0.85"/>
  </r>
  <r>
    <s v="APT-01431"/>
    <x v="150"/>
    <x v="6"/>
    <x v="1"/>
    <x v="2"/>
    <x v="1"/>
    <s v="Thrissur"/>
    <x v="1"/>
    <s v="PT-1074"/>
    <s v="Chronic Pain"/>
    <x v="5"/>
    <x v="0"/>
    <s v="Self Referral"/>
    <x v="0"/>
    <n v="45"/>
    <n v="45"/>
    <n v="54.7"/>
    <n v="1000"/>
    <x v="13"/>
    <x v="0"/>
    <n v="0"/>
    <n v="1"/>
    <n v="0"/>
    <n v="0.85"/>
  </r>
  <r>
    <s v="APT-01432"/>
    <x v="35"/>
    <x v="3"/>
    <x v="1"/>
    <x v="0"/>
    <x v="0"/>
    <s v="Palakkad"/>
    <x v="13"/>
    <s v="PT-1372"/>
    <s v="Follow-up"/>
    <x v="5"/>
    <x v="3"/>
    <s v="Self Referral"/>
    <x v="0"/>
    <n v="45"/>
    <n v="45"/>
    <n v="58.3"/>
    <n v="850"/>
    <x v="23"/>
    <x v="0"/>
    <n v="0"/>
    <n v="1"/>
    <n v="0"/>
    <n v="0.85"/>
  </r>
  <r>
    <s v="APT-01433"/>
    <x v="4"/>
    <x v="4"/>
    <x v="2"/>
    <x v="3"/>
    <x v="1"/>
    <s v="Thrissur"/>
    <x v="2"/>
    <s v="PT-1066"/>
    <s v="Follow-up"/>
    <x v="1"/>
    <x v="2"/>
    <s v="Self Referral"/>
    <x v="0"/>
    <n v="45"/>
    <n v="45"/>
    <n v="51.4"/>
    <n v="1000"/>
    <x v="13"/>
    <x v="0"/>
    <n v="0"/>
    <n v="1"/>
    <n v="0"/>
    <n v="0.85"/>
  </r>
  <r>
    <s v="APT-01434"/>
    <x v="191"/>
    <x v="6"/>
    <x v="1"/>
    <x v="1"/>
    <x v="2"/>
    <s v="Ernakulam"/>
    <x v="14"/>
    <s v="PT-1546"/>
    <s v="Sports Injury"/>
    <x v="3"/>
    <x v="0"/>
    <s v="Hospital Discharge"/>
    <x v="0"/>
    <n v="60"/>
    <n v="60"/>
    <n v="65.400000000000006"/>
    <n v="1500"/>
    <x v="3"/>
    <x v="0"/>
    <n v="0"/>
    <n v="1"/>
    <n v="0"/>
    <n v="0.85"/>
  </r>
  <r>
    <s v="APT-01435"/>
    <x v="158"/>
    <x v="4"/>
    <x v="4"/>
    <x v="2"/>
    <x v="2"/>
    <s v="Ernakulam"/>
    <x v="8"/>
    <s v="PT-1577"/>
    <s v="Follow-up"/>
    <x v="5"/>
    <x v="0"/>
    <s v="Hospital Discharge"/>
    <x v="0"/>
    <n v="60"/>
    <n v="60"/>
    <n v="65.8"/>
    <n v="1500"/>
    <x v="3"/>
    <x v="0"/>
    <n v="0"/>
    <n v="1"/>
    <n v="0"/>
    <n v="0.85"/>
  </r>
  <r>
    <s v="APT-01436"/>
    <x v="192"/>
    <x v="0"/>
    <x v="1"/>
    <x v="3"/>
    <x v="1"/>
    <s v="Thrissur"/>
    <x v="2"/>
    <s v="PT-1458"/>
    <s v="Follow-up"/>
    <x v="4"/>
    <x v="3"/>
    <s v="Neurologist"/>
    <x v="1"/>
    <n v="60"/>
    <n v="0"/>
    <n v="69.7"/>
    <n v="1250"/>
    <x v="9"/>
    <x v="9"/>
    <n v="1"/>
    <n v="0"/>
    <n v="0"/>
    <n v="0.85"/>
  </r>
  <r>
    <s v="APT-01437"/>
    <x v="195"/>
    <x v="8"/>
    <x v="4"/>
    <x v="2"/>
    <x v="1"/>
    <s v="Thrissur"/>
    <x v="1"/>
    <s v="PT-1691"/>
    <s v="Follow-up"/>
    <x v="0"/>
    <x v="3"/>
    <s v="Hospital Discharge"/>
    <x v="0"/>
    <n v="75"/>
    <n v="75"/>
    <n v="87.7"/>
    <n v="1550"/>
    <x v="1"/>
    <x v="0"/>
    <n v="0"/>
    <n v="1"/>
    <n v="0"/>
    <n v="0.85"/>
  </r>
  <r>
    <s v="APT-01438"/>
    <x v="58"/>
    <x v="11"/>
    <x v="2"/>
    <x v="2"/>
    <x v="2"/>
    <s v="Ernakulam"/>
    <x v="12"/>
    <s v="PT-1405"/>
    <s v="Follow-up"/>
    <x v="5"/>
    <x v="0"/>
    <s v="Hospital Discharge"/>
    <x v="1"/>
    <n v="30"/>
    <n v="0"/>
    <n v="38.799999999999997"/>
    <n v="750"/>
    <x v="9"/>
    <x v="31"/>
    <n v="1"/>
    <n v="0"/>
    <n v="0"/>
    <n v="0.85"/>
  </r>
  <r>
    <s v="APT-01439"/>
    <x v="145"/>
    <x v="1"/>
    <x v="1"/>
    <x v="2"/>
    <x v="2"/>
    <s v="Ernakulam"/>
    <x v="14"/>
    <s v="PT-1066"/>
    <s v="Sports Injury"/>
    <x v="1"/>
    <x v="1"/>
    <s v="Orthopedic Doctor"/>
    <x v="0"/>
    <n v="60"/>
    <n v="60"/>
    <n v="76.7"/>
    <n v="1300"/>
    <x v="22"/>
    <x v="0"/>
    <n v="0"/>
    <n v="1"/>
    <n v="0"/>
    <n v="0.85"/>
  </r>
  <r>
    <s v="APT-01440"/>
    <x v="196"/>
    <x v="10"/>
    <x v="0"/>
    <x v="3"/>
    <x v="0"/>
    <s v="Palakkad"/>
    <x v="0"/>
    <s v="PT-1293"/>
    <s v="Sports Injury"/>
    <x v="1"/>
    <x v="0"/>
    <s v="Hospital Discharge"/>
    <x v="0"/>
    <n v="30"/>
    <n v="30"/>
    <n v="32.799999999999997"/>
    <n v="600"/>
    <x v="16"/>
    <x v="0"/>
    <n v="0"/>
    <n v="1"/>
    <n v="0"/>
    <n v="0.85"/>
  </r>
  <r>
    <s v="APT-01441"/>
    <x v="135"/>
    <x v="1"/>
    <x v="5"/>
    <x v="1"/>
    <x v="1"/>
    <s v="Thrissur"/>
    <x v="5"/>
    <s v="PT-1156"/>
    <s v="Geriatric Rehab"/>
    <x v="5"/>
    <x v="3"/>
    <s v="Online Search"/>
    <x v="0"/>
    <n v="60"/>
    <n v="60"/>
    <n v="72.3"/>
    <n v="1250"/>
    <x v="5"/>
    <x v="0"/>
    <n v="0"/>
    <n v="1"/>
    <n v="0"/>
    <n v="0.85"/>
  </r>
  <r>
    <s v="APT-01442"/>
    <x v="0"/>
    <x v="0"/>
    <x v="0"/>
    <x v="2"/>
    <x v="1"/>
    <s v="Thrissur"/>
    <x v="1"/>
    <s v="PT-1219"/>
    <s v="Chronic Pain"/>
    <x v="4"/>
    <x v="2"/>
    <s v="Self Referral"/>
    <x v="0"/>
    <n v="60"/>
    <n v="60"/>
    <n v="69.400000000000006"/>
    <n v="1350"/>
    <x v="14"/>
    <x v="0"/>
    <n v="0"/>
    <n v="1"/>
    <n v="0"/>
    <n v="0.85"/>
  </r>
  <r>
    <s v="APT-01443"/>
    <x v="23"/>
    <x v="5"/>
    <x v="1"/>
    <x v="2"/>
    <x v="0"/>
    <s v="Palakkad"/>
    <x v="9"/>
    <s v="PT-1690"/>
    <s v="Geriatric Rehab"/>
    <x v="2"/>
    <x v="0"/>
    <s v="Corporate Wellness"/>
    <x v="1"/>
    <n v="75"/>
    <n v="0"/>
    <n v="83.9"/>
    <n v="1550"/>
    <x v="9"/>
    <x v="14"/>
    <n v="1"/>
    <n v="0"/>
    <n v="0"/>
    <n v="0.85"/>
  </r>
  <r>
    <s v="APT-01444"/>
    <x v="268"/>
    <x v="2"/>
    <x v="1"/>
    <x v="1"/>
    <x v="0"/>
    <s v="Palakkad"/>
    <x v="6"/>
    <s v="PT-1654"/>
    <s v="Post-op Rehab"/>
    <x v="0"/>
    <x v="1"/>
    <s v="Online Search"/>
    <x v="0"/>
    <n v="45"/>
    <n v="45"/>
    <n v="59.2"/>
    <n v="900"/>
    <x v="17"/>
    <x v="0"/>
    <n v="0"/>
    <n v="1"/>
    <n v="0"/>
    <n v="0.85"/>
  </r>
  <r>
    <s v="APT-01445"/>
    <x v="127"/>
    <x v="4"/>
    <x v="5"/>
    <x v="3"/>
    <x v="2"/>
    <s v="Ernakulam"/>
    <x v="4"/>
    <s v="PT-1527"/>
    <s v="Sports Injury"/>
    <x v="3"/>
    <x v="3"/>
    <s v="Hospital Discharge"/>
    <x v="0"/>
    <n v="60"/>
    <n v="60"/>
    <n v="77.900000000000006"/>
    <n v="1400"/>
    <x v="21"/>
    <x v="0"/>
    <n v="0"/>
    <n v="1"/>
    <n v="0"/>
    <n v="0.85"/>
  </r>
  <r>
    <s v="APT-01446"/>
    <x v="20"/>
    <x v="6"/>
    <x v="2"/>
    <x v="3"/>
    <x v="2"/>
    <s v="Ernakulam"/>
    <x v="4"/>
    <s v="PT-1645"/>
    <s v="Chronic Pain"/>
    <x v="5"/>
    <x v="3"/>
    <s v="Hospital Discharge"/>
    <x v="0"/>
    <n v="75"/>
    <n v="75"/>
    <n v="89.2"/>
    <n v="1700"/>
    <x v="6"/>
    <x v="0"/>
    <n v="0"/>
    <n v="1"/>
    <n v="0"/>
    <n v="0.85"/>
  </r>
  <r>
    <s v="APT-01447"/>
    <x v="157"/>
    <x v="7"/>
    <x v="3"/>
    <x v="3"/>
    <x v="0"/>
    <s v="Palakkad"/>
    <x v="0"/>
    <s v="PT-1541"/>
    <s v="Follow-up"/>
    <x v="5"/>
    <x v="0"/>
    <s v="Orthopedic Doctor"/>
    <x v="3"/>
    <n v="60"/>
    <n v="0"/>
    <n v="80.099999999999994"/>
    <n v="1250"/>
    <x v="9"/>
    <x v="0"/>
    <n v="0"/>
    <n v="0"/>
    <n v="0"/>
    <n v="0.85"/>
  </r>
  <r>
    <s v="APT-01448"/>
    <x v="262"/>
    <x v="9"/>
    <x v="1"/>
    <x v="1"/>
    <x v="2"/>
    <s v="Ernakulam"/>
    <x v="3"/>
    <s v="PT-1544"/>
    <s v="Follow-up"/>
    <x v="3"/>
    <x v="0"/>
    <s v="Orthopedic Doctor"/>
    <x v="2"/>
    <n v="60"/>
    <n v="0"/>
    <n v="69.900000000000006"/>
    <n v="1500"/>
    <x v="9"/>
    <x v="12"/>
    <n v="0"/>
    <n v="0"/>
    <n v="1"/>
    <n v="0.85"/>
  </r>
  <r>
    <s v="APT-01449"/>
    <x v="108"/>
    <x v="11"/>
    <x v="3"/>
    <x v="3"/>
    <x v="0"/>
    <s v="Palakkad"/>
    <x v="11"/>
    <s v="PT-1241"/>
    <s v="Post-op Rehab"/>
    <x v="2"/>
    <x v="3"/>
    <s v="Self Referral"/>
    <x v="0"/>
    <n v="30"/>
    <n v="30"/>
    <n v="38.6"/>
    <n v="650"/>
    <x v="36"/>
    <x v="0"/>
    <n v="0"/>
    <n v="1"/>
    <n v="0"/>
    <n v="0.85"/>
  </r>
  <r>
    <s v="APT-01450"/>
    <x v="159"/>
    <x v="5"/>
    <x v="1"/>
    <x v="1"/>
    <x v="2"/>
    <s v="Ernakulam"/>
    <x v="8"/>
    <s v="PT-1118"/>
    <s v="Chronic Pain"/>
    <x v="4"/>
    <x v="0"/>
    <s v="Orthopedic Doctor"/>
    <x v="0"/>
    <n v="60"/>
    <n v="60"/>
    <n v="69.099999999999994"/>
    <n v="1500"/>
    <x v="3"/>
    <x v="0"/>
    <n v="0"/>
    <n v="1"/>
    <n v="0"/>
    <n v="0.85"/>
  </r>
  <r>
    <s v="APT-01451"/>
    <x v="274"/>
    <x v="9"/>
    <x v="0"/>
    <x v="3"/>
    <x v="1"/>
    <s v="Thrissur"/>
    <x v="10"/>
    <s v="PT-1395"/>
    <s v="New Patient"/>
    <x v="3"/>
    <x v="2"/>
    <s v="Orthopedic Doctor"/>
    <x v="0"/>
    <n v="45"/>
    <n v="45"/>
    <n v="49.2"/>
    <n v="1200"/>
    <x v="26"/>
    <x v="0"/>
    <n v="0"/>
    <n v="1"/>
    <n v="0"/>
    <n v="0.85"/>
  </r>
  <r>
    <s v="APT-01452"/>
    <x v="106"/>
    <x v="3"/>
    <x v="4"/>
    <x v="1"/>
    <x v="1"/>
    <s v="Thrissur"/>
    <x v="5"/>
    <s v="PT-1680"/>
    <s v="Post-op Rehab"/>
    <x v="3"/>
    <x v="0"/>
    <s v="Orthopedic Doctor"/>
    <x v="0"/>
    <n v="90"/>
    <n v="90"/>
    <n v="115.9"/>
    <n v="2350"/>
    <x v="35"/>
    <x v="0"/>
    <n v="0"/>
    <n v="1"/>
    <n v="0"/>
    <n v="0.85"/>
  </r>
  <r>
    <s v="APT-01453"/>
    <x v="4"/>
    <x v="4"/>
    <x v="2"/>
    <x v="0"/>
    <x v="0"/>
    <s v="Palakkad"/>
    <x v="9"/>
    <s v="PT-1660"/>
    <s v="Post-op Rehab"/>
    <x v="3"/>
    <x v="2"/>
    <s v="Orthopedic Doctor"/>
    <x v="0"/>
    <n v="60"/>
    <n v="60"/>
    <n v="68.3"/>
    <n v="1450"/>
    <x v="10"/>
    <x v="0"/>
    <n v="0"/>
    <n v="1"/>
    <n v="0"/>
    <n v="0.85"/>
  </r>
  <r>
    <s v="APT-01454"/>
    <x v="10"/>
    <x v="6"/>
    <x v="2"/>
    <x v="3"/>
    <x v="0"/>
    <s v="Palakkad"/>
    <x v="11"/>
    <s v="PT-1511"/>
    <s v="New Patient"/>
    <x v="5"/>
    <x v="2"/>
    <s v="Neurologist"/>
    <x v="0"/>
    <n v="30"/>
    <n v="30"/>
    <n v="36.799999999999997"/>
    <n v="750"/>
    <x v="27"/>
    <x v="0"/>
    <n v="0"/>
    <n v="1"/>
    <n v="0"/>
    <n v="0.85"/>
  </r>
  <r>
    <s v="APT-01455"/>
    <x v="172"/>
    <x v="7"/>
    <x v="1"/>
    <x v="0"/>
    <x v="1"/>
    <s v="Thrissur"/>
    <x v="1"/>
    <s v="PT-1044"/>
    <s v="Geriatric Rehab"/>
    <x v="4"/>
    <x v="3"/>
    <s v="Hospital Discharge"/>
    <x v="0"/>
    <n v="45"/>
    <n v="45"/>
    <n v="51.9"/>
    <n v="950"/>
    <x v="7"/>
    <x v="0"/>
    <n v="0"/>
    <n v="1"/>
    <n v="0"/>
    <n v="0.85"/>
  </r>
  <r>
    <s v="APT-01456"/>
    <x v="302"/>
    <x v="9"/>
    <x v="5"/>
    <x v="1"/>
    <x v="1"/>
    <s v="Thrissur"/>
    <x v="2"/>
    <s v="PT-1600"/>
    <s v="Post-op Rehab"/>
    <x v="1"/>
    <x v="2"/>
    <s v="Hospital Discharge"/>
    <x v="1"/>
    <n v="60"/>
    <n v="0"/>
    <n v="66.599999999999994"/>
    <n v="1550"/>
    <x v="9"/>
    <x v="14"/>
    <n v="1"/>
    <n v="0"/>
    <n v="0"/>
    <n v="0.85"/>
  </r>
  <r>
    <s v="APT-01457"/>
    <x v="192"/>
    <x v="0"/>
    <x v="1"/>
    <x v="3"/>
    <x v="2"/>
    <s v="Ernakulam"/>
    <x v="8"/>
    <s v="PT-1494"/>
    <s v="Geriatric Rehab"/>
    <x v="0"/>
    <x v="2"/>
    <s v="Neurologist"/>
    <x v="0"/>
    <n v="45"/>
    <n v="45"/>
    <n v="55.9"/>
    <n v="1100"/>
    <x v="20"/>
    <x v="0"/>
    <n v="0"/>
    <n v="1"/>
    <n v="0"/>
    <n v="0.85"/>
  </r>
  <r>
    <s v="APT-01458"/>
    <x v="86"/>
    <x v="2"/>
    <x v="4"/>
    <x v="2"/>
    <x v="1"/>
    <s v="Thrissur"/>
    <x v="5"/>
    <s v="PT-1057"/>
    <s v="Post-op Rehab"/>
    <x v="5"/>
    <x v="0"/>
    <s v="Self Referral"/>
    <x v="0"/>
    <n v="45"/>
    <n v="45"/>
    <n v="56.2"/>
    <n v="1150"/>
    <x v="15"/>
    <x v="0"/>
    <n v="0"/>
    <n v="1"/>
    <n v="0"/>
    <n v="0.85"/>
  </r>
  <r>
    <s v="APT-01459"/>
    <x v="244"/>
    <x v="9"/>
    <x v="0"/>
    <x v="1"/>
    <x v="2"/>
    <s v="Ernakulam"/>
    <x v="14"/>
    <s v="PT-1396"/>
    <s v="Post-op Rehab"/>
    <x v="5"/>
    <x v="3"/>
    <s v="Neurologist"/>
    <x v="1"/>
    <n v="60"/>
    <n v="0"/>
    <n v="77"/>
    <n v="1600"/>
    <x v="9"/>
    <x v="10"/>
    <n v="1"/>
    <n v="0"/>
    <n v="0"/>
    <n v="0.85"/>
  </r>
  <r>
    <s v="APT-01460"/>
    <x v="170"/>
    <x v="6"/>
    <x v="1"/>
    <x v="3"/>
    <x v="0"/>
    <s v="Palakkad"/>
    <x v="13"/>
    <s v="PT-1611"/>
    <s v="Chronic Pain"/>
    <x v="2"/>
    <x v="3"/>
    <s v="Hospital Discharge"/>
    <x v="1"/>
    <n v="60"/>
    <n v="0"/>
    <n v="68.099999999999994"/>
    <n v="1150"/>
    <x v="9"/>
    <x v="11"/>
    <n v="1"/>
    <n v="0"/>
    <n v="0"/>
    <n v="0.85"/>
  </r>
  <r>
    <s v="APT-01461"/>
    <x v="31"/>
    <x v="11"/>
    <x v="4"/>
    <x v="2"/>
    <x v="1"/>
    <s v="Thrissur"/>
    <x v="1"/>
    <s v="PT-1060"/>
    <s v="New Patient"/>
    <x v="2"/>
    <x v="3"/>
    <s v="Online Search"/>
    <x v="0"/>
    <n v="90"/>
    <n v="90"/>
    <n v="101.7"/>
    <n v="2250"/>
    <x v="12"/>
    <x v="0"/>
    <n v="0"/>
    <n v="1"/>
    <n v="0"/>
    <n v="0.85"/>
  </r>
  <r>
    <s v="APT-01462"/>
    <x v="36"/>
    <x v="2"/>
    <x v="1"/>
    <x v="3"/>
    <x v="2"/>
    <s v="Ernakulam"/>
    <x v="8"/>
    <s v="PT-1374"/>
    <s v="Follow-up"/>
    <x v="4"/>
    <x v="3"/>
    <s v="Self Referral"/>
    <x v="0"/>
    <n v="45"/>
    <n v="45"/>
    <n v="60.1"/>
    <n v="1050"/>
    <x v="2"/>
    <x v="0"/>
    <n v="0"/>
    <n v="1"/>
    <n v="0"/>
    <n v="0.85"/>
  </r>
  <r>
    <s v="APT-01463"/>
    <x v="64"/>
    <x v="7"/>
    <x v="3"/>
    <x v="2"/>
    <x v="1"/>
    <s v="Thrissur"/>
    <x v="2"/>
    <s v="PT-1412"/>
    <s v="Post-op Rehab"/>
    <x v="0"/>
    <x v="1"/>
    <s v="Neurologist"/>
    <x v="0"/>
    <n v="45"/>
    <n v="45"/>
    <n v="54.6"/>
    <n v="1000"/>
    <x v="13"/>
    <x v="0"/>
    <n v="0"/>
    <n v="1"/>
    <n v="0"/>
    <n v="0.85"/>
  </r>
  <r>
    <s v="APT-01464"/>
    <x v="250"/>
    <x v="4"/>
    <x v="1"/>
    <x v="0"/>
    <x v="1"/>
    <s v="Thrissur"/>
    <x v="2"/>
    <s v="PT-1498"/>
    <s v="Sports Injury"/>
    <x v="0"/>
    <x v="0"/>
    <s v="Corporate Wellness"/>
    <x v="0"/>
    <n v="60"/>
    <n v="60"/>
    <n v="73.5"/>
    <n v="1350"/>
    <x v="14"/>
    <x v="0"/>
    <n v="0"/>
    <n v="1"/>
    <n v="0"/>
    <n v="0.85"/>
  </r>
  <r>
    <s v="APT-01465"/>
    <x v="248"/>
    <x v="7"/>
    <x v="0"/>
    <x v="0"/>
    <x v="1"/>
    <s v="Thrissur"/>
    <x v="7"/>
    <s v="PT-1408"/>
    <s v="New Patient"/>
    <x v="4"/>
    <x v="1"/>
    <s v="Hospital Discharge"/>
    <x v="0"/>
    <n v="90"/>
    <n v="90"/>
    <n v="101.2"/>
    <n v="2050"/>
    <x v="31"/>
    <x v="0"/>
    <n v="0"/>
    <n v="1"/>
    <n v="0"/>
    <n v="0.85"/>
  </r>
  <r>
    <s v="APT-01466"/>
    <x v="143"/>
    <x v="0"/>
    <x v="5"/>
    <x v="0"/>
    <x v="1"/>
    <s v="Thrissur"/>
    <x v="10"/>
    <s v="PT-1644"/>
    <s v="New Patient"/>
    <x v="2"/>
    <x v="1"/>
    <s v="Self Referral"/>
    <x v="0"/>
    <n v="30"/>
    <n v="30"/>
    <n v="40"/>
    <n v="700"/>
    <x v="19"/>
    <x v="0"/>
    <n v="0"/>
    <n v="1"/>
    <n v="0"/>
    <n v="0.85"/>
  </r>
  <r>
    <s v="APT-01467"/>
    <x v="132"/>
    <x v="8"/>
    <x v="3"/>
    <x v="2"/>
    <x v="0"/>
    <s v="Palakkad"/>
    <x v="13"/>
    <s v="PT-1040"/>
    <s v="Follow-up"/>
    <x v="4"/>
    <x v="3"/>
    <s v="Hospital Discharge"/>
    <x v="0"/>
    <n v="60"/>
    <n v="60"/>
    <n v="78"/>
    <n v="1150"/>
    <x v="15"/>
    <x v="0"/>
    <n v="0"/>
    <n v="1"/>
    <n v="0"/>
    <n v="0.85"/>
  </r>
  <r>
    <s v="APT-01468"/>
    <x v="13"/>
    <x v="4"/>
    <x v="0"/>
    <x v="0"/>
    <x v="2"/>
    <s v="Ernakulam"/>
    <x v="4"/>
    <s v="PT-1198"/>
    <s v="Post-op Rehab"/>
    <x v="2"/>
    <x v="0"/>
    <s v="Neurologist"/>
    <x v="0"/>
    <n v="90"/>
    <n v="90"/>
    <n v="118.6"/>
    <n v="2600"/>
    <x v="4"/>
    <x v="0"/>
    <n v="0"/>
    <n v="1"/>
    <n v="0"/>
    <n v="0.85"/>
  </r>
  <r>
    <s v="APT-01469"/>
    <x v="121"/>
    <x v="7"/>
    <x v="2"/>
    <x v="3"/>
    <x v="1"/>
    <s v="Thrissur"/>
    <x v="2"/>
    <s v="PT-1056"/>
    <s v="Follow-up"/>
    <x v="0"/>
    <x v="0"/>
    <s v="Orthopedic Doctor"/>
    <x v="0"/>
    <n v="90"/>
    <n v="90"/>
    <n v="109"/>
    <n v="2000"/>
    <x v="33"/>
    <x v="0"/>
    <n v="0"/>
    <n v="1"/>
    <n v="0"/>
    <n v="0.85"/>
  </r>
  <r>
    <s v="APT-01470"/>
    <x v="52"/>
    <x v="9"/>
    <x v="2"/>
    <x v="3"/>
    <x v="0"/>
    <s v="Palakkad"/>
    <x v="6"/>
    <s v="PT-1185"/>
    <s v="Follow-up"/>
    <x v="2"/>
    <x v="3"/>
    <s v="Hospital Discharge"/>
    <x v="1"/>
    <n v="60"/>
    <n v="0"/>
    <n v="72.5"/>
    <n v="1150"/>
    <x v="9"/>
    <x v="11"/>
    <n v="1"/>
    <n v="0"/>
    <n v="0"/>
    <n v="0.85"/>
  </r>
  <r>
    <s v="APT-01471"/>
    <x v="182"/>
    <x v="5"/>
    <x v="3"/>
    <x v="0"/>
    <x v="0"/>
    <s v="Palakkad"/>
    <x v="6"/>
    <s v="PT-1449"/>
    <s v="New Patient"/>
    <x v="5"/>
    <x v="1"/>
    <s v="Orthopedic Doctor"/>
    <x v="0"/>
    <n v="45"/>
    <n v="45"/>
    <n v="49.9"/>
    <n v="950"/>
    <x v="7"/>
    <x v="0"/>
    <n v="0"/>
    <n v="1"/>
    <n v="0"/>
    <n v="0.85"/>
  </r>
  <r>
    <s v="APT-01472"/>
    <x v="163"/>
    <x v="8"/>
    <x v="0"/>
    <x v="0"/>
    <x v="1"/>
    <s v="Thrissur"/>
    <x v="2"/>
    <s v="PT-1680"/>
    <s v="New Patient"/>
    <x v="3"/>
    <x v="2"/>
    <s v="Online Search"/>
    <x v="1"/>
    <n v="45"/>
    <n v="0"/>
    <n v="57.3"/>
    <n v="1200"/>
    <x v="9"/>
    <x v="27"/>
    <n v="1"/>
    <n v="0"/>
    <n v="0"/>
    <n v="0.85"/>
  </r>
  <r>
    <s v="APT-01473"/>
    <x v="39"/>
    <x v="6"/>
    <x v="5"/>
    <x v="2"/>
    <x v="2"/>
    <s v="Ernakulam"/>
    <x v="14"/>
    <s v="PT-1182"/>
    <s v="Sports Injury"/>
    <x v="2"/>
    <x v="2"/>
    <s v="Hospital Discharge"/>
    <x v="2"/>
    <n v="60"/>
    <n v="0"/>
    <n v="68"/>
    <n v="1500"/>
    <x v="9"/>
    <x v="12"/>
    <n v="0"/>
    <n v="0"/>
    <n v="1"/>
    <n v="0.85"/>
  </r>
  <r>
    <s v="APT-01474"/>
    <x v="91"/>
    <x v="4"/>
    <x v="3"/>
    <x v="2"/>
    <x v="1"/>
    <s v="Thrissur"/>
    <x v="7"/>
    <s v="PT-1531"/>
    <s v="Post-op Rehab"/>
    <x v="0"/>
    <x v="3"/>
    <s v="Hospital Discharge"/>
    <x v="0"/>
    <n v="60"/>
    <n v="60"/>
    <n v="66.099999999999994"/>
    <n v="1450"/>
    <x v="10"/>
    <x v="0"/>
    <n v="0"/>
    <n v="1"/>
    <n v="0"/>
    <n v="0.85"/>
  </r>
  <r>
    <s v="APT-01475"/>
    <x v="24"/>
    <x v="11"/>
    <x v="1"/>
    <x v="1"/>
    <x v="1"/>
    <s v="Thrissur"/>
    <x v="10"/>
    <s v="PT-1261"/>
    <s v="Follow-up"/>
    <x v="2"/>
    <x v="0"/>
    <s v="Hospital Discharge"/>
    <x v="0"/>
    <n v="60"/>
    <n v="60"/>
    <n v="78.3"/>
    <n v="1350"/>
    <x v="14"/>
    <x v="0"/>
    <n v="0"/>
    <n v="1"/>
    <n v="0"/>
    <n v="0.85"/>
  </r>
  <r>
    <s v="APT-01476"/>
    <x v="213"/>
    <x v="8"/>
    <x v="2"/>
    <x v="0"/>
    <x v="2"/>
    <s v="Ernakulam"/>
    <x v="3"/>
    <s v="PT-1324"/>
    <s v="Follow-up"/>
    <x v="3"/>
    <x v="2"/>
    <s v="Neurologist"/>
    <x v="0"/>
    <n v="45"/>
    <n v="45"/>
    <n v="49.2"/>
    <n v="1100"/>
    <x v="20"/>
    <x v="0"/>
    <n v="0"/>
    <n v="1"/>
    <n v="0"/>
    <n v="0.85"/>
  </r>
  <r>
    <s v="APT-01477"/>
    <x v="272"/>
    <x v="9"/>
    <x v="5"/>
    <x v="2"/>
    <x v="2"/>
    <s v="Ernakulam"/>
    <x v="8"/>
    <s v="PT-1374"/>
    <s v="Chronic Pain"/>
    <x v="3"/>
    <x v="0"/>
    <s v="Corporate Wellness"/>
    <x v="0"/>
    <n v="60"/>
    <n v="60"/>
    <n v="71.400000000000006"/>
    <n v="1500"/>
    <x v="3"/>
    <x v="0"/>
    <n v="0"/>
    <n v="1"/>
    <n v="0"/>
    <n v="0.85"/>
  </r>
  <r>
    <s v="APT-01478"/>
    <x v="232"/>
    <x v="11"/>
    <x v="4"/>
    <x v="2"/>
    <x v="2"/>
    <s v="Ernakulam"/>
    <x v="8"/>
    <s v="PT-1055"/>
    <s v="Chronic Pain"/>
    <x v="5"/>
    <x v="0"/>
    <s v="Self Referral"/>
    <x v="0"/>
    <n v="30"/>
    <n v="30"/>
    <n v="38.700000000000003"/>
    <n v="750"/>
    <x v="27"/>
    <x v="0"/>
    <n v="0"/>
    <n v="1"/>
    <n v="0"/>
    <n v="0.85"/>
  </r>
  <r>
    <s v="APT-01479"/>
    <x v="283"/>
    <x v="6"/>
    <x v="3"/>
    <x v="0"/>
    <x v="1"/>
    <s v="Thrissur"/>
    <x v="7"/>
    <s v="PT-1130"/>
    <s v="Sports Injury"/>
    <x v="0"/>
    <x v="0"/>
    <s v="Orthopedic Doctor"/>
    <x v="0"/>
    <n v="30"/>
    <n v="30"/>
    <n v="34.200000000000003"/>
    <n v="700"/>
    <x v="19"/>
    <x v="0"/>
    <n v="0"/>
    <n v="1"/>
    <n v="0"/>
    <n v="0.85"/>
  </r>
  <r>
    <s v="APT-01480"/>
    <x v="146"/>
    <x v="8"/>
    <x v="1"/>
    <x v="1"/>
    <x v="2"/>
    <s v="Ernakulam"/>
    <x v="4"/>
    <s v="PT-1242"/>
    <s v="Follow-up"/>
    <x v="1"/>
    <x v="1"/>
    <s v="Orthopedic Doctor"/>
    <x v="0"/>
    <n v="45"/>
    <n v="45"/>
    <n v="53.9"/>
    <n v="950"/>
    <x v="7"/>
    <x v="0"/>
    <n v="0"/>
    <n v="1"/>
    <n v="0"/>
    <n v="0.85"/>
  </r>
  <r>
    <s v="APT-01481"/>
    <x v="145"/>
    <x v="1"/>
    <x v="1"/>
    <x v="3"/>
    <x v="0"/>
    <s v="Palakkad"/>
    <x v="0"/>
    <s v="PT-1691"/>
    <s v="Follow-up"/>
    <x v="3"/>
    <x v="3"/>
    <s v="Hospital Discharge"/>
    <x v="0"/>
    <n v="60"/>
    <n v="60"/>
    <n v="78.400000000000006"/>
    <n v="1150"/>
    <x v="15"/>
    <x v="0"/>
    <n v="0"/>
    <n v="1"/>
    <n v="0"/>
    <n v="0.85"/>
  </r>
  <r>
    <s v="APT-01482"/>
    <x v="314"/>
    <x v="4"/>
    <x v="4"/>
    <x v="0"/>
    <x v="0"/>
    <s v="Palakkad"/>
    <x v="0"/>
    <s v="PT-1046"/>
    <s v="New Patient"/>
    <x v="1"/>
    <x v="2"/>
    <s v="Hospital Discharge"/>
    <x v="0"/>
    <n v="60"/>
    <n v="60"/>
    <n v="67.2"/>
    <n v="1500"/>
    <x v="3"/>
    <x v="0"/>
    <n v="0"/>
    <n v="1"/>
    <n v="0"/>
    <n v="0.85"/>
  </r>
  <r>
    <s v="APT-01483"/>
    <x v="65"/>
    <x v="7"/>
    <x v="4"/>
    <x v="2"/>
    <x v="2"/>
    <s v="Ernakulam"/>
    <x v="12"/>
    <s v="PT-1132"/>
    <s v="Chronic Pain"/>
    <x v="4"/>
    <x v="1"/>
    <s v="Self Referral"/>
    <x v="0"/>
    <n v="45"/>
    <n v="45"/>
    <n v="52.7"/>
    <n v="950"/>
    <x v="7"/>
    <x v="0"/>
    <n v="0"/>
    <n v="1"/>
    <n v="0"/>
    <n v="0.85"/>
  </r>
  <r>
    <s v="APT-01484"/>
    <x v="208"/>
    <x v="3"/>
    <x v="1"/>
    <x v="0"/>
    <x v="0"/>
    <s v="Palakkad"/>
    <x v="0"/>
    <s v="PT-1388"/>
    <s v="Geriatric Rehab"/>
    <x v="2"/>
    <x v="3"/>
    <s v="Self Referral"/>
    <x v="0"/>
    <n v="30"/>
    <n v="30"/>
    <n v="35.700000000000003"/>
    <n v="600"/>
    <x v="16"/>
    <x v="0"/>
    <n v="0"/>
    <n v="1"/>
    <n v="0"/>
    <n v="0.85"/>
  </r>
  <r>
    <s v="APT-01485"/>
    <x v="300"/>
    <x v="8"/>
    <x v="0"/>
    <x v="2"/>
    <x v="0"/>
    <s v="Palakkad"/>
    <x v="6"/>
    <s v="PT-1609"/>
    <s v="Follow-up"/>
    <x v="5"/>
    <x v="2"/>
    <s v="Orthopedic Doctor"/>
    <x v="1"/>
    <n v="45"/>
    <n v="0"/>
    <n v="52.5"/>
    <n v="950"/>
    <x v="9"/>
    <x v="19"/>
    <n v="1"/>
    <n v="0"/>
    <n v="0"/>
    <n v="0.85"/>
  </r>
  <r>
    <s v="APT-01486"/>
    <x v="36"/>
    <x v="2"/>
    <x v="1"/>
    <x v="1"/>
    <x v="2"/>
    <s v="Ernakulam"/>
    <x v="3"/>
    <s v="PT-1312"/>
    <s v="Sports Injury"/>
    <x v="4"/>
    <x v="0"/>
    <s v="Orthopedic Doctor"/>
    <x v="1"/>
    <n v="45"/>
    <n v="0"/>
    <n v="54.1"/>
    <n v="1100"/>
    <x v="9"/>
    <x v="6"/>
    <n v="1"/>
    <n v="0"/>
    <n v="0"/>
    <n v="0.85"/>
  </r>
  <r>
    <s v="APT-01487"/>
    <x v="60"/>
    <x v="9"/>
    <x v="1"/>
    <x v="1"/>
    <x v="1"/>
    <s v="Thrissur"/>
    <x v="10"/>
    <s v="PT-1479"/>
    <s v="Follow-up"/>
    <x v="1"/>
    <x v="0"/>
    <s v="Corporate Wellness"/>
    <x v="0"/>
    <n v="45"/>
    <n v="45"/>
    <n v="50.8"/>
    <n v="1000"/>
    <x v="13"/>
    <x v="0"/>
    <n v="0"/>
    <n v="1"/>
    <n v="0"/>
    <n v="0.85"/>
  </r>
  <r>
    <s v="APT-01488"/>
    <x v="304"/>
    <x v="1"/>
    <x v="3"/>
    <x v="1"/>
    <x v="2"/>
    <s v="Ernakulam"/>
    <x v="12"/>
    <s v="PT-1527"/>
    <s v="Follow-up"/>
    <x v="1"/>
    <x v="3"/>
    <s v="Neurologist"/>
    <x v="0"/>
    <n v="60"/>
    <n v="60"/>
    <n v="79"/>
    <n v="1400"/>
    <x v="21"/>
    <x v="0"/>
    <n v="0"/>
    <n v="1"/>
    <n v="0"/>
    <n v="0.85"/>
  </r>
  <r>
    <s v="APT-01489"/>
    <x v="322"/>
    <x v="7"/>
    <x v="6"/>
    <x v="3"/>
    <x v="2"/>
    <s v="Ernakulam"/>
    <x v="12"/>
    <s v="PT-1332"/>
    <s v="New Patient"/>
    <x v="2"/>
    <x v="2"/>
    <s v="Online Search"/>
    <x v="0"/>
    <n v="30"/>
    <n v="30"/>
    <n v="40.4"/>
    <n v="900"/>
    <x v="17"/>
    <x v="0"/>
    <n v="0"/>
    <n v="1"/>
    <n v="0"/>
    <n v="0.85"/>
  </r>
  <r>
    <s v="APT-01490"/>
    <x v="288"/>
    <x v="10"/>
    <x v="3"/>
    <x v="1"/>
    <x v="2"/>
    <s v="Ernakulam"/>
    <x v="12"/>
    <s v="PT-1375"/>
    <s v="Follow-up"/>
    <x v="5"/>
    <x v="2"/>
    <s v="Corporate Wellness"/>
    <x v="0"/>
    <n v="45"/>
    <n v="45"/>
    <n v="51.6"/>
    <n v="1100"/>
    <x v="20"/>
    <x v="0"/>
    <n v="0"/>
    <n v="1"/>
    <n v="0"/>
    <n v="0.85"/>
  </r>
  <r>
    <s v="APT-01491"/>
    <x v="128"/>
    <x v="9"/>
    <x v="3"/>
    <x v="0"/>
    <x v="2"/>
    <s v="Ernakulam"/>
    <x v="14"/>
    <s v="PT-1368"/>
    <s v="Follow-up"/>
    <x v="4"/>
    <x v="2"/>
    <s v="Self Referral"/>
    <x v="0"/>
    <n v="45"/>
    <n v="45"/>
    <n v="50.9"/>
    <n v="1100"/>
    <x v="20"/>
    <x v="0"/>
    <n v="0"/>
    <n v="1"/>
    <n v="0"/>
    <n v="0.85"/>
  </r>
  <r>
    <s v="APT-01492"/>
    <x v="71"/>
    <x v="2"/>
    <x v="1"/>
    <x v="0"/>
    <x v="2"/>
    <s v="Ernakulam"/>
    <x v="14"/>
    <s v="PT-1543"/>
    <s v="Sports Injury"/>
    <x v="3"/>
    <x v="0"/>
    <s v="Orthopedic Doctor"/>
    <x v="0"/>
    <n v="60"/>
    <n v="60"/>
    <n v="80.900000000000006"/>
    <n v="1500"/>
    <x v="3"/>
    <x v="0"/>
    <n v="0"/>
    <n v="1"/>
    <n v="0"/>
    <n v="0.85"/>
  </r>
  <r>
    <s v="APT-01493"/>
    <x v="280"/>
    <x v="7"/>
    <x v="4"/>
    <x v="1"/>
    <x v="1"/>
    <s v="Thrissur"/>
    <x v="2"/>
    <s v="PT-1674"/>
    <s v="New Patient"/>
    <x v="3"/>
    <x v="0"/>
    <s v="Hospital Discharge"/>
    <x v="0"/>
    <n v="45"/>
    <n v="45"/>
    <n v="57"/>
    <n v="1200"/>
    <x v="26"/>
    <x v="0"/>
    <n v="0"/>
    <n v="1"/>
    <n v="0"/>
    <n v="0.85"/>
  </r>
  <r>
    <s v="APT-01494"/>
    <x v="264"/>
    <x v="8"/>
    <x v="5"/>
    <x v="3"/>
    <x v="1"/>
    <s v="Thrissur"/>
    <x v="7"/>
    <s v="PT-1577"/>
    <s v="New Patient"/>
    <x v="0"/>
    <x v="2"/>
    <s v="Self Referral"/>
    <x v="0"/>
    <n v="75"/>
    <n v="75"/>
    <n v="87"/>
    <n v="2000"/>
    <x v="33"/>
    <x v="0"/>
    <n v="0"/>
    <n v="1"/>
    <n v="0"/>
    <n v="0.85"/>
  </r>
  <r>
    <s v="APT-01495"/>
    <x v="66"/>
    <x v="7"/>
    <x v="1"/>
    <x v="2"/>
    <x v="1"/>
    <s v="Thrissur"/>
    <x v="2"/>
    <s v="PT-1217"/>
    <s v="Post-op Rehab"/>
    <x v="5"/>
    <x v="1"/>
    <s v="Orthopedic Doctor"/>
    <x v="1"/>
    <n v="90"/>
    <n v="0"/>
    <n v="107.2"/>
    <n v="2000"/>
    <x v="9"/>
    <x v="21"/>
    <n v="1"/>
    <n v="0"/>
    <n v="0"/>
    <n v="0.85"/>
  </r>
  <r>
    <s v="APT-01496"/>
    <x v="323"/>
    <x v="8"/>
    <x v="3"/>
    <x v="1"/>
    <x v="1"/>
    <s v="Thrissur"/>
    <x v="10"/>
    <s v="PT-1316"/>
    <s v="Geriatric Rehab"/>
    <x v="5"/>
    <x v="3"/>
    <s v="Orthopedic Doctor"/>
    <x v="0"/>
    <n v="75"/>
    <n v="75"/>
    <n v="85.3"/>
    <n v="1550"/>
    <x v="1"/>
    <x v="0"/>
    <n v="0"/>
    <n v="1"/>
    <n v="0"/>
    <n v="0.85"/>
  </r>
  <r>
    <s v="APT-01497"/>
    <x v="139"/>
    <x v="10"/>
    <x v="1"/>
    <x v="0"/>
    <x v="2"/>
    <s v="Ernakulam"/>
    <x v="3"/>
    <s v="PT-1624"/>
    <s v="Sports Injury"/>
    <x v="4"/>
    <x v="3"/>
    <s v="Orthopedic Doctor"/>
    <x v="0"/>
    <n v="90"/>
    <n v="90"/>
    <n v="102.2"/>
    <n v="2050"/>
    <x v="31"/>
    <x v="0"/>
    <n v="0"/>
    <n v="1"/>
    <n v="0"/>
    <n v="0.85"/>
  </r>
  <r>
    <s v="APT-01498"/>
    <x v="199"/>
    <x v="4"/>
    <x v="1"/>
    <x v="2"/>
    <x v="0"/>
    <s v="Palakkad"/>
    <x v="9"/>
    <s v="PT-1227"/>
    <s v="Sports Injury"/>
    <x v="1"/>
    <x v="2"/>
    <s v="Online Search"/>
    <x v="0"/>
    <n v="60"/>
    <n v="60"/>
    <n v="66.7"/>
    <n v="1250"/>
    <x v="5"/>
    <x v="0"/>
    <n v="0"/>
    <n v="1"/>
    <n v="0"/>
    <n v="0.85"/>
  </r>
  <r>
    <s v="APT-01499"/>
    <x v="316"/>
    <x v="6"/>
    <x v="3"/>
    <x v="1"/>
    <x v="1"/>
    <s v="Thrissur"/>
    <x v="7"/>
    <s v="PT-1214"/>
    <s v="Follow-up"/>
    <x v="0"/>
    <x v="1"/>
    <s v="Hospital Discharge"/>
    <x v="0"/>
    <n v="60"/>
    <n v="60"/>
    <n v="65.5"/>
    <n v="1150"/>
    <x v="15"/>
    <x v="0"/>
    <n v="0"/>
    <n v="1"/>
    <n v="0"/>
    <n v="0.85"/>
  </r>
  <r>
    <s v="APT-01500"/>
    <x v="189"/>
    <x v="8"/>
    <x v="0"/>
    <x v="2"/>
    <x v="0"/>
    <s v="Palakkad"/>
    <x v="6"/>
    <s v="PT-1362"/>
    <s v="Post-op Rehab"/>
    <x v="1"/>
    <x v="1"/>
    <s v="Corporate Wellness"/>
    <x v="1"/>
    <n v="60"/>
    <n v="0"/>
    <n v="65.400000000000006"/>
    <n v="1200"/>
    <x v="9"/>
    <x v="27"/>
    <n v="1"/>
    <n v="0"/>
    <n v="0"/>
    <n v="0.85"/>
  </r>
  <r>
    <s v="APT-01501"/>
    <x v="221"/>
    <x v="1"/>
    <x v="3"/>
    <x v="1"/>
    <x v="2"/>
    <s v="Ernakulam"/>
    <x v="12"/>
    <s v="PT-1067"/>
    <s v="New Patient"/>
    <x v="3"/>
    <x v="0"/>
    <s v="Neurologist"/>
    <x v="2"/>
    <n v="45"/>
    <n v="0"/>
    <n v="53.5"/>
    <n v="1350"/>
    <x v="9"/>
    <x v="2"/>
    <n v="0"/>
    <n v="0"/>
    <n v="1"/>
    <n v="0.85"/>
  </r>
  <r>
    <s v="APT-01502"/>
    <x v="86"/>
    <x v="2"/>
    <x v="4"/>
    <x v="1"/>
    <x v="2"/>
    <s v="Ernakulam"/>
    <x v="8"/>
    <s v="PT-1189"/>
    <s v="Post-op Rehab"/>
    <x v="5"/>
    <x v="0"/>
    <s v="Online Search"/>
    <x v="1"/>
    <n v="60"/>
    <n v="0"/>
    <n v="79"/>
    <n v="1700"/>
    <x v="9"/>
    <x v="5"/>
    <n v="1"/>
    <n v="0"/>
    <n v="0"/>
    <n v="0.85"/>
  </r>
  <r>
    <s v="APT-01503"/>
    <x v="232"/>
    <x v="11"/>
    <x v="4"/>
    <x v="1"/>
    <x v="0"/>
    <s v="Palakkad"/>
    <x v="0"/>
    <s v="PT-1014"/>
    <s v="New Patient"/>
    <x v="5"/>
    <x v="0"/>
    <s v="Online Search"/>
    <x v="0"/>
    <n v="60"/>
    <n v="60"/>
    <n v="75.599999999999994"/>
    <n v="1500"/>
    <x v="3"/>
    <x v="0"/>
    <n v="0"/>
    <n v="1"/>
    <n v="0"/>
    <n v="0.85"/>
  </r>
  <r>
    <s v="APT-01504"/>
    <x v="292"/>
    <x v="4"/>
    <x v="1"/>
    <x v="2"/>
    <x v="2"/>
    <s v="Ernakulam"/>
    <x v="8"/>
    <s v="PT-1160"/>
    <s v="Post-op Rehab"/>
    <x v="4"/>
    <x v="0"/>
    <s v="Neurologist"/>
    <x v="0"/>
    <n v="60"/>
    <n v="60"/>
    <n v="65.900000000000006"/>
    <n v="1700"/>
    <x v="6"/>
    <x v="0"/>
    <n v="0"/>
    <n v="1"/>
    <n v="0"/>
    <n v="0.85"/>
  </r>
  <r>
    <s v="APT-01505"/>
    <x v="324"/>
    <x v="3"/>
    <x v="6"/>
    <x v="3"/>
    <x v="0"/>
    <s v="Palakkad"/>
    <x v="9"/>
    <s v="PT-1071"/>
    <s v="Chronic Pain"/>
    <x v="4"/>
    <x v="0"/>
    <s v="Neurologist"/>
    <x v="0"/>
    <n v="45"/>
    <n v="45"/>
    <n v="50.5"/>
    <n v="950"/>
    <x v="7"/>
    <x v="0"/>
    <n v="0"/>
    <n v="1"/>
    <n v="0"/>
    <n v="0.85"/>
  </r>
  <r>
    <s v="APT-01506"/>
    <x v="248"/>
    <x v="7"/>
    <x v="0"/>
    <x v="1"/>
    <x v="1"/>
    <s v="Thrissur"/>
    <x v="2"/>
    <s v="PT-1429"/>
    <s v="Follow-up"/>
    <x v="1"/>
    <x v="2"/>
    <s v="Neurologist"/>
    <x v="0"/>
    <n v="45"/>
    <n v="45"/>
    <n v="51"/>
    <n v="1000"/>
    <x v="13"/>
    <x v="0"/>
    <n v="0"/>
    <n v="1"/>
    <n v="0"/>
    <n v="0.85"/>
  </r>
  <r>
    <s v="APT-01507"/>
    <x v="21"/>
    <x v="10"/>
    <x v="1"/>
    <x v="2"/>
    <x v="2"/>
    <s v="Ernakulam"/>
    <x v="8"/>
    <s v="PT-1397"/>
    <s v="Follow-up"/>
    <x v="2"/>
    <x v="2"/>
    <s v="Neurologist"/>
    <x v="0"/>
    <n v="60"/>
    <n v="60"/>
    <n v="75.7"/>
    <n v="1500"/>
    <x v="3"/>
    <x v="0"/>
    <n v="0"/>
    <n v="1"/>
    <n v="0"/>
    <n v="0.85"/>
  </r>
  <r>
    <s v="APT-01508"/>
    <x v="301"/>
    <x v="9"/>
    <x v="3"/>
    <x v="0"/>
    <x v="2"/>
    <s v="Ernakulam"/>
    <x v="14"/>
    <s v="PT-1111"/>
    <s v="Follow-up"/>
    <x v="2"/>
    <x v="0"/>
    <s v="Orthopedic Doctor"/>
    <x v="0"/>
    <n v="75"/>
    <n v="75"/>
    <n v="85.2"/>
    <n v="1900"/>
    <x v="0"/>
    <x v="0"/>
    <n v="0"/>
    <n v="1"/>
    <n v="0"/>
    <n v="0.85"/>
  </r>
  <r>
    <s v="APT-01509"/>
    <x v="121"/>
    <x v="7"/>
    <x v="2"/>
    <x v="3"/>
    <x v="2"/>
    <s v="Ernakulam"/>
    <x v="14"/>
    <s v="PT-1506"/>
    <s v="Follow-up"/>
    <x v="0"/>
    <x v="2"/>
    <s v="Online Search"/>
    <x v="0"/>
    <n v="45"/>
    <n v="45"/>
    <n v="52.7"/>
    <n v="1100"/>
    <x v="20"/>
    <x v="0"/>
    <n v="0"/>
    <n v="1"/>
    <n v="0"/>
    <n v="0.85"/>
  </r>
  <r>
    <s v="APT-01510"/>
    <x v="263"/>
    <x v="8"/>
    <x v="4"/>
    <x v="1"/>
    <x v="2"/>
    <s v="Ernakulam"/>
    <x v="4"/>
    <s v="PT-1419"/>
    <s v="Follow-up"/>
    <x v="5"/>
    <x v="0"/>
    <s v="Online Search"/>
    <x v="0"/>
    <n v="90"/>
    <n v="90"/>
    <n v="113.5"/>
    <n v="2250"/>
    <x v="12"/>
    <x v="0"/>
    <n v="0"/>
    <n v="1"/>
    <n v="0"/>
    <n v="0.85"/>
  </r>
  <r>
    <s v="APT-01511"/>
    <x v="37"/>
    <x v="5"/>
    <x v="0"/>
    <x v="0"/>
    <x v="1"/>
    <s v="Thrissur"/>
    <x v="7"/>
    <s v="PT-1478"/>
    <s v="New Patient"/>
    <x v="5"/>
    <x v="0"/>
    <s v="Orthopedic Doctor"/>
    <x v="0"/>
    <n v="60"/>
    <n v="60"/>
    <n v="79.400000000000006"/>
    <n v="1600"/>
    <x v="11"/>
    <x v="0"/>
    <n v="0"/>
    <n v="1"/>
    <n v="0"/>
    <n v="0.85"/>
  </r>
  <r>
    <s v="APT-01512"/>
    <x v="315"/>
    <x v="6"/>
    <x v="0"/>
    <x v="3"/>
    <x v="1"/>
    <s v="Thrissur"/>
    <x v="10"/>
    <s v="PT-1025"/>
    <s v="New Patient"/>
    <x v="5"/>
    <x v="1"/>
    <s v="Online Search"/>
    <x v="1"/>
    <n v="60"/>
    <n v="0"/>
    <n v="74.099999999999994"/>
    <n v="1400"/>
    <x v="9"/>
    <x v="23"/>
    <n v="1"/>
    <n v="0"/>
    <n v="0"/>
    <n v="0.85"/>
  </r>
  <r>
    <s v="APT-01513"/>
    <x v="126"/>
    <x v="11"/>
    <x v="0"/>
    <x v="2"/>
    <x v="2"/>
    <s v="Ernakulam"/>
    <x v="3"/>
    <s v="PT-1401"/>
    <s v="Follow-up"/>
    <x v="2"/>
    <x v="0"/>
    <s v="Orthopedic Doctor"/>
    <x v="1"/>
    <n v="60"/>
    <n v="0"/>
    <n v="67.5"/>
    <n v="1500"/>
    <x v="9"/>
    <x v="12"/>
    <n v="1"/>
    <n v="0"/>
    <n v="0"/>
    <n v="0.85"/>
  </r>
  <r>
    <s v="APT-01514"/>
    <x v="28"/>
    <x v="5"/>
    <x v="2"/>
    <x v="1"/>
    <x v="2"/>
    <s v="Ernakulam"/>
    <x v="14"/>
    <s v="PT-1393"/>
    <s v="Follow-up"/>
    <x v="3"/>
    <x v="1"/>
    <s v="Corporate Wellness"/>
    <x v="0"/>
    <n v="60"/>
    <n v="60"/>
    <n v="67.3"/>
    <n v="1300"/>
    <x v="22"/>
    <x v="0"/>
    <n v="0"/>
    <n v="1"/>
    <n v="0"/>
    <n v="0.85"/>
  </r>
  <r>
    <s v="APT-01515"/>
    <x v="109"/>
    <x v="0"/>
    <x v="1"/>
    <x v="0"/>
    <x v="1"/>
    <s v="Thrissur"/>
    <x v="10"/>
    <s v="PT-1122"/>
    <s v="New Patient"/>
    <x v="0"/>
    <x v="2"/>
    <s v="Neurologist"/>
    <x v="1"/>
    <n v="60"/>
    <n v="0"/>
    <n v="70.3"/>
    <n v="1600"/>
    <x v="9"/>
    <x v="10"/>
    <n v="1"/>
    <n v="0"/>
    <n v="0"/>
    <n v="0.85"/>
  </r>
  <r>
    <s v="APT-01516"/>
    <x v="170"/>
    <x v="6"/>
    <x v="1"/>
    <x v="0"/>
    <x v="0"/>
    <s v="Palakkad"/>
    <x v="0"/>
    <s v="PT-1199"/>
    <s v="Follow-up"/>
    <x v="0"/>
    <x v="0"/>
    <s v="Orthopedic Doctor"/>
    <x v="0"/>
    <n v="30"/>
    <n v="30"/>
    <n v="39.700000000000003"/>
    <n v="600"/>
    <x v="16"/>
    <x v="0"/>
    <n v="0"/>
    <n v="1"/>
    <n v="0"/>
    <n v="0.85"/>
  </r>
  <r>
    <s v="APT-01517"/>
    <x v="321"/>
    <x v="2"/>
    <x v="6"/>
    <x v="2"/>
    <x v="2"/>
    <s v="Ernakulam"/>
    <x v="12"/>
    <s v="PT-1337"/>
    <s v="Follow-up"/>
    <x v="4"/>
    <x v="1"/>
    <s v="Corporate Wellness"/>
    <x v="0"/>
    <n v="75"/>
    <n v="75"/>
    <n v="83.7"/>
    <n v="1600"/>
    <x v="11"/>
    <x v="0"/>
    <n v="0"/>
    <n v="1"/>
    <n v="0"/>
    <n v="0.85"/>
  </r>
  <r>
    <s v="APT-01518"/>
    <x v="240"/>
    <x v="2"/>
    <x v="0"/>
    <x v="2"/>
    <x v="2"/>
    <s v="Ernakulam"/>
    <x v="14"/>
    <s v="PT-1216"/>
    <s v="New Patient"/>
    <x v="0"/>
    <x v="2"/>
    <s v="Corporate Wellness"/>
    <x v="0"/>
    <n v="45"/>
    <n v="45"/>
    <n v="58.1"/>
    <n v="1350"/>
    <x v="14"/>
    <x v="0"/>
    <n v="0"/>
    <n v="1"/>
    <n v="0"/>
    <n v="0.85"/>
  </r>
  <r>
    <s v="APT-01519"/>
    <x v="316"/>
    <x v="6"/>
    <x v="3"/>
    <x v="1"/>
    <x v="2"/>
    <s v="Ernakulam"/>
    <x v="3"/>
    <s v="PT-1372"/>
    <s v="Follow-up"/>
    <x v="1"/>
    <x v="0"/>
    <s v="Orthopedic Doctor"/>
    <x v="0"/>
    <n v="30"/>
    <n v="30"/>
    <n v="34.799999999999997"/>
    <n v="750"/>
    <x v="27"/>
    <x v="0"/>
    <n v="0"/>
    <n v="1"/>
    <n v="0"/>
    <n v="0.85"/>
  </r>
  <r>
    <s v="APT-01520"/>
    <x v="146"/>
    <x v="8"/>
    <x v="1"/>
    <x v="3"/>
    <x v="1"/>
    <s v="Thrissur"/>
    <x v="1"/>
    <s v="PT-1534"/>
    <s v="Follow-up"/>
    <x v="3"/>
    <x v="1"/>
    <s v="Neurologist"/>
    <x v="1"/>
    <n v="60"/>
    <n v="0"/>
    <n v="69"/>
    <n v="1150"/>
    <x v="9"/>
    <x v="11"/>
    <n v="1"/>
    <n v="0"/>
    <n v="0"/>
    <n v="0.85"/>
  </r>
  <r>
    <s v="APT-01521"/>
    <x v="318"/>
    <x v="7"/>
    <x v="5"/>
    <x v="2"/>
    <x v="2"/>
    <s v="Ernakulam"/>
    <x v="8"/>
    <s v="PT-1488"/>
    <s v="New Patient"/>
    <x v="2"/>
    <x v="3"/>
    <s v="Self Referral"/>
    <x v="0"/>
    <n v="60"/>
    <n v="60"/>
    <n v="69.900000000000006"/>
    <n v="1650"/>
    <x v="32"/>
    <x v="0"/>
    <n v="0"/>
    <n v="1"/>
    <n v="0"/>
    <n v="0.85"/>
  </r>
  <r>
    <s v="APT-01522"/>
    <x v="196"/>
    <x v="10"/>
    <x v="0"/>
    <x v="1"/>
    <x v="2"/>
    <s v="Ernakulam"/>
    <x v="4"/>
    <s v="PT-1467"/>
    <s v="Post-op Rehab"/>
    <x v="1"/>
    <x v="2"/>
    <s v="Corporate Wellness"/>
    <x v="2"/>
    <n v="45"/>
    <n v="0"/>
    <n v="53.4"/>
    <n v="1300"/>
    <x v="9"/>
    <x v="1"/>
    <n v="0"/>
    <n v="0"/>
    <n v="1"/>
    <n v="0.85"/>
  </r>
  <r>
    <s v="APT-01523"/>
    <x v="283"/>
    <x v="6"/>
    <x v="3"/>
    <x v="0"/>
    <x v="2"/>
    <s v="Ernakulam"/>
    <x v="12"/>
    <s v="PT-1449"/>
    <s v="Sports Injury"/>
    <x v="5"/>
    <x v="3"/>
    <s v="Online Search"/>
    <x v="0"/>
    <n v="45"/>
    <n v="45"/>
    <n v="57.4"/>
    <n v="1050"/>
    <x v="2"/>
    <x v="0"/>
    <n v="0"/>
    <n v="1"/>
    <n v="0"/>
    <n v="0.85"/>
  </r>
  <r>
    <s v="APT-01524"/>
    <x v="276"/>
    <x v="5"/>
    <x v="0"/>
    <x v="0"/>
    <x v="1"/>
    <s v="Thrissur"/>
    <x v="10"/>
    <s v="PT-1668"/>
    <s v="New Patient"/>
    <x v="5"/>
    <x v="0"/>
    <s v="Hospital Discharge"/>
    <x v="0"/>
    <n v="90"/>
    <n v="90"/>
    <n v="116.9"/>
    <n v="2450"/>
    <x v="28"/>
    <x v="0"/>
    <n v="0"/>
    <n v="1"/>
    <n v="0"/>
    <n v="0.85"/>
  </r>
  <r>
    <s v="APT-01525"/>
    <x v="118"/>
    <x v="0"/>
    <x v="4"/>
    <x v="2"/>
    <x v="2"/>
    <s v="Ernakulam"/>
    <x v="4"/>
    <s v="PT-1376"/>
    <s v="Post-op Rehab"/>
    <x v="0"/>
    <x v="2"/>
    <s v="Neurologist"/>
    <x v="0"/>
    <n v="45"/>
    <n v="45"/>
    <n v="59.5"/>
    <n v="1300"/>
    <x v="22"/>
    <x v="0"/>
    <n v="0"/>
    <n v="1"/>
    <n v="0"/>
    <n v="0.85"/>
  </r>
  <r>
    <s v="APT-01526"/>
    <x v="8"/>
    <x v="0"/>
    <x v="4"/>
    <x v="1"/>
    <x v="1"/>
    <s v="Thrissur"/>
    <x v="5"/>
    <s v="PT-1419"/>
    <s v="Post-op Rehab"/>
    <x v="5"/>
    <x v="1"/>
    <s v="Corporate Wellness"/>
    <x v="0"/>
    <n v="45"/>
    <n v="45"/>
    <n v="51.4"/>
    <n v="1000"/>
    <x v="13"/>
    <x v="0"/>
    <n v="0"/>
    <n v="1"/>
    <n v="0"/>
    <n v="0.85"/>
  </r>
  <r>
    <s v="APT-01527"/>
    <x v="264"/>
    <x v="8"/>
    <x v="5"/>
    <x v="0"/>
    <x v="0"/>
    <s v="Palakkad"/>
    <x v="13"/>
    <s v="PT-1498"/>
    <s v="New Patient"/>
    <x v="1"/>
    <x v="0"/>
    <s v="Hospital Discharge"/>
    <x v="3"/>
    <n v="60"/>
    <n v="0"/>
    <n v="78.099999999999994"/>
    <n v="1500"/>
    <x v="9"/>
    <x v="0"/>
    <n v="0"/>
    <n v="0"/>
    <n v="0"/>
    <n v="0.85"/>
  </r>
  <r>
    <s v="APT-01528"/>
    <x v="77"/>
    <x v="5"/>
    <x v="0"/>
    <x v="2"/>
    <x v="0"/>
    <s v="Palakkad"/>
    <x v="13"/>
    <s v="PT-1626"/>
    <s v="New Patient"/>
    <x v="2"/>
    <x v="3"/>
    <s v="Neurologist"/>
    <x v="0"/>
    <n v="60"/>
    <n v="60"/>
    <n v="70"/>
    <n v="1400"/>
    <x v="21"/>
    <x v="0"/>
    <n v="0"/>
    <n v="1"/>
    <n v="0"/>
    <n v="0.85"/>
  </r>
  <r>
    <s v="APT-01529"/>
    <x v="159"/>
    <x v="5"/>
    <x v="1"/>
    <x v="0"/>
    <x v="0"/>
    <s v="Palakkad"/>
    <x v="9"/>
    <s v="PT-1283"/>
    <s v="Follow-up"/>
    <x v="4"/>
    <x v="2"/>
    <s v="Corporate Wellness"/>
    <x v="3"/>
    <n v="60"/>
    <n v="0"/>
    <n v="73.099999999999994"/>
    <n v="1250"/>
    <x v="9"/>
    <x v="0"/>
    <n v="0"/>
    <n v="0"/>
    <n v="0"/>
    <n v="0.85"/>
  </r>
  <r>
    <s v="APT-01530"/>
    <x v="43"/>
    <x v="2"/>
    <x v="5"/>
    <x v="2"/>
    <x v="1"/>
    <s v="Thrissur"/>
    <x v="10"/>
    <s v="PT-1087"/>
    <s v="Follow-up"/>
    <x v="2"/>
    <x v="0"/>
    <s v="Orthopedic Doctor"/>
    <x v="0"/>
    <n v="60"/>
    <n v="60"/>
    <n v="76.099999999999994"/>
    <n v="1350"/>
    <x v="14"/>
    <x v="0"/>
    <n v="0"/>
    <n v="1"/>
    <n v="0"/>
    <n v="0.85"/>
  </r>
  <r>
    <s v="APT-01531"/>
    <x v="325"/>
    <x v="3"/>
    <x v="2"/>
    <x v="2"/>
    <x v="2"/>
    <s v="Ernakulam"/>
    <x v="14"/>
    <s v="PT-1332"/>
    <s v="New Patient"/>
    <x v="5"/>
    <x v="2"/>
    <s v="Self Referral"/>
    <x v="0"/>
    <n v="60"/>
    <n v="60"/>
    <n v="74.7"/>
    <n v="1800"/>
    <x v="25"/>
    <x v="0"/>
    <n v="0"/>
    <n v="1"/>
    <n v="0"/>
    <n v="0.85"/>
  </r>
  <r>
    <s v="APT-01532"/>
    <x v="8"/>
    <x v="0"/>
    <x v="4"/>
    <x v="0"/>
    <x v="0"/>
    <s v="Palakkad"/>
    <x v="11"/>
    <s v="PT-1661"/>
    <s v="Follow-up"/>
    <x v="0"/>
    <x v="3"/>
    <s v="Neurologist"/>
    <x v="1"/>
    <n v="45"/>
    <n v="0"/>
    <n v="60.4"/>
    <n v="850"/>
    <x v="9"/>
    <x v="24"/>
    <n v="1"/>
    <n v="0"/>
    <n v="0"/>
    <n v="0.85"/>
  </r>
  <r>
    <s v="APT-01533"/>
    <x v="226"/>
    <x v="1"/>
    <x v="2"/>
    <x v="0"/>
    <x v="0"/>
    <s v="Palakkad"/>
    <x v="9"/>
    <s v="PT-1395"/>
    <s v="Chronic Pain"/>
    <x v="2"/>
    <x v="0"/>
    <s v="Self Referral"/>
    <x v="2"/>
    <n v="45"/>
    <n v="0"/>
    <n v="50.1"/>
    <n v="950"/>
    <x v="9"/>
    <x v="19"/>
    <n v="0"/>
    <n v="0"/>
    <n v="1"/>
    <n v="0.85"/>
  </r>
  <r>
    <s v="APT-01534"/>
    <x v="17"/>
    <x v="0"/>
    <x v="1"/>
    <x v="0"/>
    <x v="0"/>
    <s v="Palakkad"/>
    <x v="9"/>
    <s v="PT-1072"/>
    <s v="Sports Injury"/>
    <x v="0"/>
    <x v="2"/>
    <s v="Neurologist"/>
    <x v="0"/>
    <n v="60"/>
    <n v="60"/>
    <n v="68"/>
    <n v="1250"/>
    <x v="5"/>
    <x v="0"/>
    <n v="0"/>
    <n v="1"/>
    <n v="0"/>
    <n v="0.85"/>
  </r>
  <r>
    <s v="APT-01535"/>
    <x v="298"/>
    <x v="2"/>
    <x v="5"/>
    <x v="0"/>
    <x v="2"/>
    <s v="Ernakulam"/>
    <x v="4"/>
    <s v="PT-1102"/>
    <s v="Chronic Pain"/>
    <x v="2"/>
    <x v="1"/>
    <s v="Hospital Discharge"/>
    <x v="0"/>
    <n v="45"/>
    <n v="45"/>
    <n v="50.7"/>
    <n v="950"/>
    <x v="7"/>
    <x v="0"/>
    <n v="0"/>
    <n v="1"/>
    <n v="0"/>
    <n v="0.85"/>
  </r>
  <r>
    <s v="APT-01536"/>
    <x v="51"/>
    <x v="6"/>
    <x v="0"/>
    <x v="2"/>
    <x v="0"/>
    <s v="Palakkad"/>
    <x v="6"/>
    <s v="PT-1074"/>
    <s v="Follow-up"/>
    <x v="0"/>
    <x v="2"/>
    <s v="Online Search"/>
    <x v="0"/>
    <n v="45"/>
    <n v="45"/>
    <n v="57.1"/>
    <n v="950"/>
    <x v="7"/>
    <x v="0"/>
    <n v="0"/>
    <n v="1"/>
    <n v="0"/>
    <n v="0.85"/>
  </r>
  <r>
    <s v="APT-01537"/>
    <x v="233"/>
    <x v="3"/>
    <x v="3"/>
    <x v="0"/>
    <x v="0"/>
    <s v="Palakkad"/>
    <x v="6"/>
    <s v="PT-1104"/>
    <s v="Chronic Pain"/>
    <x v="0"/>
    <x v="2"/>
    <s v="Orthopedic Doctor"/>
    <x v="0"/>
    <n v="60"/>
    <n v="60"/>
    <n v="69.8"/>
    <n v="1250"/>
    <x v="5"/>
    <x v="0"/>
    <n v="0"/>
    <n v="1"/>
    <n v="0"/>
    <n v="0.85"/>
  </r>
  <r>
    <s v="APT-01538"/>
    <x v="46"/>
    <x v="11"/>
    <x v="2"/>
    <x v="3"/>
    <x v="1"/>
    <s v="Thrissur"/>
    <x v="5"/>
    <s v="PT-1452"/>
    <s v="New Patient"/>
    <x v="0"/>
    <x v="0"/>
    <s v="Orthopedic Doctor"/>
    <x v="0"/>
    <n v="45"/>
    <n v="45"/>
    <n v="52.1"/>
    <n v="1200"/>
    <x v="26"/>
    <x v="0"/>
    <n v="0"/>
    <n v="1"/>
    <n v="0"/>
    <n v="0.85"/>
  </r>
  <r>
    <s v="APT-01539"/>
    <x v="44"/>
    <x v="4"/>
    <x v="1"/>
    <x v="1"/>
    <x v="2"/>
    <s v="Ernakulam"/>
    <x v="4"/>
    <s v="PT-1691"/>
    <s v="Chronic Pain"/>
    <x v="3"/>
    <x v="2"/>
    <s v="Corporate Wellness"/>
    <x v="0"/>
    <n v="30"/>
    <n v="30"/>
    <n v="35.1"/>
    <n v="750"/>
    <x v="27"/>
    <x v="0"/>
    <n v="0"/>
    <n v="1"/>
    <n v="0"/>
    <n v="0.85"/>
  </r>
  <r>
    <s v="APT-01540"/>
    <x v="153"/>
    <x v="0"/>
    <x v="1"/>
    <x v="0"/>
    <x v="2"/>
    <s v="Ernakulam"/>
    <x v="12"/>
    <s v="PT-1361"/>
    <s v="Follow-up"/>
    <x v="2"/>
    <x v="0"/>
    <s v="Neurologist"/>
    <x v="2"/>
    <n v="60"/>
    <n v="0"/>
    <n v="72"/>
    <n v="1500"/>
    <x v="9"/>
    <x v="12"/>
    <n v="0"/>
    <n v="0"/>
    <n v="1"/>
    <n v="0.85"/>
  </r>
  <r>
    <s v="APT-01541"/>
    <x v="117"/>
    <x v="6"/>
    <x v="0"/>
    <x v="3"/>
    <x v="1"/>
    <s v="Thrissur"/>
    <x v="5"/>
    <s v="PT-1155"/>
    <s v="Sports Injury"/>
    <x v="3"/>
    <x v="3"/>
    <s v="Orthopedic Doctor"/>
    <x v="0"/>
    <n v="60"/>
    <n v="60"/>
    <n v="79.3"/>
    <n v="1250"/>
    <x v="5"/>
    <x v="0"/>
    <n v="0"/>
    <n v="1"/>
    <n v="0"/>
    <n v="0.85"/>
  </r>
  <r>
    <s v="APT-01542"/>
    <x v="10"/>
    <x v="6"/>
    <x v="2"/>
    <x v="0"/>
    <x v="1"/>
    <s v="Thrissur"/>
    <x v="2"/>
    <s v="PT-1367"/>
    <s v="Chronic Pain"/>
    <x v="2"/>
    <x v="3"/>
    <s v="Neurologist"/>
    <x v="0"/>
    <n v="45"/>
    <n v="45"/>
    <n v="54.1"/>
    <n v="950"/>
    <x v="7"/>
    <x v="0"/>
    <n v="0"/>
    <n v="1"/>
    <n v="0"/>
    <n v="0.85"/>
  </r>
  <r>
    <s v="APT-01543"/>
    <x v="199"/>
    <x v="4"/>
    <x v="1"/>
    <x v="1"/>
    <x v="0"/>
    <s v="Palakkad"/>
    <x v="6"/>
    <s v="PT-1458"/>
    <s v="Follow-up"/>
    <x v="4"/>
    <x v="0"/>
    <s v="Orthopedic Doctor"/>
    <x v="0"/>
    <n v="60"/>
    <n v="60"/>
    <n v="70.599999999999994"/>
    <n v="1250"/>
    <x v="5"/>
    <x v="0"/>
    <n v="0"/>
    <n v="1"/>
    <n v="0"/>
    <n v="0.85"/>
  </r>
  <r>
    <s v="APT-01544"/>
    <x v="262"/>
    <x v="9"/>
    <x v="1"/>
    <x v="3"/>
    <x v="1"/>
    <s v="Thrissur"/>
    <x v="10"/>
    <s v="PT-1358"/>
    <s v="Follow-up"/>
    <x v="0"/>
    <x v="3"/>
    <s v="Online Search"/>
    <x v="0"/>
    <n v="60"/>
    <n v="60"/>
    <n v="70.599999999999994"/>
    <n v="1250"/>
    <x v="5"/>
    <x v="0"/>
    <n v="0"/>
    <n v="1"/>
    <n v="0"/>
    <n v="0.85"/>
  </r>
  <r>
    <s v="APT-01545"/>
    <x v="152"/>
    <x v="11"/>
    <x v="4"/>
    <x v="1"/>
    <x v="2"/>
    <s v="Ernakulam"/>
    <x v="4"/>
    <s v="PT-1224"/>
    <s v="Follow-up"/>
    <x v="0"/>
    <x v="0"/>
    <s v="Orthopedic Doctor"/>
    <x v="0"/>
    <n v="45"/>
    <n v="45"/>
    <n v="57.5"/>
    <n v="1100"/>
    <x v="20"/>
    <x v="0"/>
    <n v="0"/>
    <n v="1"/>
    <n v="0"/>
    <n v="0.85"/>
  </r>
  <r>
    <s v="APT-01546"/>
    <x v="134"/>
    <x v="2"/>
    <x v="1"/>
    <x v="1"/>
    <x v="2"/>
    <s v="Ernakulam"/>
    <x v="3"/>
    <s v="PT-1160"/>
    <s v="New Patient"/>
    <x v="2"/>
    <x v="2"/>
    <s v="Corporate Wellness"/>
    <x v="0"/>
    <n v="30"/>
    <n v="30"/>
    <n v="35.299999999999997"/>
    <n v="900"/>
    <x v="17"/>
    <x v="0"/>
    <n v="0"/>
    <n v="1"/>
    <n v="0"/>
    <n v="0.85"/>
  </r>
  <r>
    <s v="APT-01547"/>
    <x v="221"/>
    <x v="1"/>
    <x v="3"/>
    <x v="0"/>
    <x v="1"/>
    <s v="Thrissur"/>
    <x v="1"/>
    <s v="PT-1210"/>
    <s v="Follow-up"/>
    <x v="3"/>
    <x v="0"/>
    <s v="Self Referral"/>
    <x v="0"/>
    <n v="30"/>
    <n v="30"/>
    <n v="38.9"/>
    <n v="700"/>
    <x v="19"/>
    <x v="0"/>
    <n v="0"/>
    <n v="1"/>
    <n v="0"/>
    <n v="0.85"/>
  </r>
  <r>
    <s v="APT-01548"/>
    <x v="219"/>
    <x v="3"/>
    <x v="5"/>
    <x v="0"/>
    <x v="0"/>
    <s v="Palakkad"/>
    <x v="11"/>
    <s v="PT-1625"/>
    <s v="New Patient"/>
    <x v="3"/>
    <x v="3"/>
    <s v="Online Search"/>
    <x v="0"/>
    <n v="45"/>
    <n v="45"/>
    <n v="57.2"/>
    <n v="1050"/>
    <x v="2"/>
    <x v="0"/>
    <n v="0"/>
    <n v="1"/>
    <n v="0"/>
    <n v="0.85"/>
  </r>
  <r>
    <s v="APT-01549"/>
    <x v="232"/>
    <x v="11"/>
    <x v="4"/>
    <x v="0"/>
    <x v="2"/>
    <s v="Ernakulam"/>
    <x v="12"/>
    <s v="PT-1212"/>
    <s v="Follow-up"/>
    <x v="0"/>
    <x v="1"/>
    <s v="Online Search"/>
    <x v="0"/>
    <n v="60"/>
    <n v="60"/>
    <n v="75.7"/>
    <n v="1300"/>
    <x v="22"/>
    <x v="0"/>
    <n v="0"/>
    <n v="1"/>
    <n v="0"/>
    <n v="0.85"/>
  </r>
  <r>
    <s v="APT-01550"/>
    <x v="220"/>
    <x v="0"/>
    <x v="0"/>
    <x v="2"/>
    <x v="0"/>
    <s v="Palakkad"/>
    <x v="11"/>
    <s v="PT-1309"/>
    <s v="Follow-up"/>
    <x v="2"/>
    <x v="2"/>
    <s v="Hospital Discharge"/>
    <x v="0"/>
    <n v="30"/>
    <n v="30"/>
    <n v="32.799999999999997"/>
    <n v="600"/>
    <x v="16"/>
    <x v="0"/>
    <n v="0"/>
    <n v="1"/>
    <n v="0"/>
    <n v="0.85"/>
  </r>
  <r>
    <s v="APT-01551"/>
    <x v="212"/>
    <x v="11"/>
    <x v="5"/>
    <x v="2"/>
    <x v="1"/>
    <s v="Thrissur"/>
    <x v="7"/>
    <s v="PT-1546"/>
    <s v="Geriatric Rehab"/>
    <x v="0"/>
    <x v="3"/>
    <s v="Orthopedic Doctor"/>
    <x v="1"/>
    <n v="60"/>
    <n v="0"/>
    <n v="74.2"/>
    <n v="1250"/>
    <x v="9"/>
    <x v="9"/>
    <n v="1"/>
    <n v="0"/>
    <n v="0"/>
    <n v="0.85"/>
  </r>
  <r>
    <s v="APT-01552"/>
    <x v="25"/>
    <x v="11"/>
    <x v="0"/>
    <x v="1"/>
    <x v="2"/>
    <s v="Ernakulam"/>
    <x v="3"/>
    <s v="PT-1169"/>
    <s v="Sports Injury"/>
    <x v="5"/>
    <x v="3"/>
    <s v="Orthopedic Doctor"/>
    <x v="0"/>
    <n v="60"/>
    <n v="60"/>
    <n v="75.8"/>
    <n v="1400"/>
    <x v="21"/>
    <x v="0"/>
    <n v="0"/>
    <n v="1"/>
    <n v="0"/>
    <n v="0.85"/>
  </r>
  <r>
    <s v="APT-01553"/>
    <x v="326"/>
    <x v="7"/>
    <x v="6"/>
    <x v="1"/>
    <x v="1"/>
    <s v="Thrissur"/>
    <x v="2"/>
    <s v="PT-1571"/>
    <s v="Chronic Pain"/>
    <x v="4"/>
    <x v="0"/>
    <s v="Corporate Wellness"/>
    <x v="2"/>
    <n v="75"/>
    <n v="0"/>
    <n v="83.7"/>
    <n v="1700"/>
    <x v="9"/>
    <x v="5"/>
    <n v="0"/>
    <n v="0"/>
    <n v="1"/>
    <n v="0.85"/>
  </r>
  <r>
    <s v="APT-01554"/>
    <x v="317"/>
    <x v="6"/>
    <x v="4"/>
    <x v="2"/>
    <x v="1"/>
    <s v="Thrissur"/>
    <x v="5"/>
    <s v="PT-1629"/>
    <s v="Post-op Rehab"/>
    <x v="1"/>
    <x v="1"/>
    <s v="Orthopedic Doctor"/>
    <x v="0"/>
    <n v="60"/>
    <n v="60"/>
    <n v="72.7"/>
    <n v="1300"/>
    <x v="22"/>
    <x v="0"/>
    <n v="0"/>
    <n v="1"/>
    <n v="0"/>
    <n v="0.85"/>
  </r>
  <r>
    <s v="APT-01555"/>
    <x v="240"/>
    <x v="2"/>
    <x v="0"/>
    <x v="2"/>
    <x v="2"/>
    <s v="Ernakulam"/>
    <x v="8"/>
    <s v="PT-1389"/>
    <s v="Geriatric Rehab"/>
    <x v="2"/>
    <x v="2"/>
    <s v="Neurologist"/>
    <x v="0"/>
    <n v="45"/>
    <n v="45"/>
    <n v="50.7"/>
    <n v="1100"/>
    <x v="20"/>
    <x v="0"/>
    <n v="0"/>
    <n v="1"/>
    <n v="0"/>
    <n v="0.85"/>
  </r>
  <r>
    <s v="APT-01556"/>
    <x v="82"/>
    <x v="2"/>
    <x v="0"/>
    <x v="3"/>
    <x v="0"/>
    <s v="Palakkad"/>
    <x v="0"/>
    <s v="PT-1221"/>
    <s v="Follow-up"/>
    <x v="0"/>
    <x v="0"/>
    <s v="Neurologist"/>
    <x v="0"/>
    <n v="45"/>
    <n v="45"/>
    <n v="53"/>
    <n v="950"/>
    <x v="7"/>
    <x v="0"/>
    <n v="0"/>
    <n v="1"/>
    <n v="0"/>
    <n v="0.85"/>
  </r>
  <r>
    <s v="APT-01557"/>
    <x v="139"/>
    <x v="10"/>
    <x v="1"/>
    <x v="2"/>
    <x v="2"/>
    <s v="Ernakulam"/>
    <x v="14"/>
    <s v="PT-1685"/>
    <s v="Follow-up"/>
    <x v="2"/>
    <x v="0"/>
    <s v="Orthopedic Doctor"/>
    <x v="0"/>
    <n v="30"/>
    <n v="30"/>
    <n v="33.9"/>
    <n v="750"/>
    <x v="27"/>
    <x v="0"/>
    <n v="0"/>
    <n v="1"/>
    <n v="0"/>
    <n v="0.85"/>
  </r>
  <r>
    <s v="APT-01558"/>
    <x v="196"/>
    <x v="10"/>
    <x v="0"/>
    <x v="0"/>
    <x v="0"/>
    <s v="Palakkad"/>
    <x v="11"/>
    <s v="PT-1146"/>
    <s v="Chronic Pain"/>
    <x v="4"/>
    <x v="2"/>
    <s v="Online Search"/>
    <x v="0"/>
    <n v="60"/>
    <n v="60"/>
    <n v="78.5"/>
    <n v="1250"/>
    <x v="5"/>
    <x v="0"/>
    <n v="0"/>
    <n v="1"/>
    <n v="0"/>
    <n v="0.85"/>
  </r>
  <r>
    <s v="APT-01559"/>
    <x v="274"/>
    <x v="9"/>
    <x v="0"/>
    <x v="1"/>
    <x v="2"/>
    <s v="Ernakulam"/>
    <x v="8"/>
    <s v="PT-1365"/>
    <s v="New Patient"/>
    <x v="2"/>
    <x v="0"/>
    <s v="Online Search"/>
    <x v="0"/>
    <n v="45"/>
    <n v="45"/>
    <n v="58.3"/>
    <n v="1350"/>
    <x v="14"/>
    <x v="0"/>
    <n v="0"/>
    <n v="1"/>
    <n v="0"/>
    <n v="0.85"/>
  </r>
  <r>
    <s v="APT-01560"/>
    <x v="85"/>
    <x v="7"/>
    <x v="0"/>
    <x v="1"/>
    <x v="0"/>
    <s v="Palakkad"/>
    <x v="0"/>
    <s v="PT-1179"/>
    <s v="Chronic Pain"/>
    <x v="3"/>
    <x v="2"/>
    <s v="Neurologist"/>
    <x v="0"/>
    <n v="30"/>
    <n v="30"/>
    <n v="36.1"/>
    <n v="600"/>
    <x v="16"/>
    <x v="0"/>
    <n v="0"/>
    <n v="1"/>
    <n v="0"/>
    <n v="0.85"/>
  </r>
  <r>
    <s v="APT-01561"/>
    <x v="4"/>
    <x v="4"/>
    <x v="2"/>
    <x v="0"/>
    <x v="2"/>
    <s v="Ernakulam"/>
    <x v="3"/>
    <s v="PT-1642"/>
    <s v="Chronic Pain"/>
    <x v="5"/>
    <x v="0"/>
    <s v="Neurologist"/>
    <x v="0"/>
    <n v="90"/>
    <n v="90"/>
    <n v="112.5"/>
    <n v="2250"/>
    <x v="12"/>
    <x v="0"/>
    <n v="0"/>
    <n v="1"/>
    <n v="0"/>
    <n v="0.85"/>
  </r>
  <r>
    <s v="APT-01562"/>
    <x v="177"/>
    <x v="7"/>
    <x v="4"/>
    <x v="2"/>
    <x v="1"/>
    <s v="Thrissur"/>
    <x v="2"/>
    <s v="PT-1333"/>
    <s v="Geriatric Rehab"/>
    <x v="4"/>
    <x v="2"/>
    <s v="Neurologist"/>
    <x v="1"/>
    <n v="90"/>
    <n v="0"/>
    <n v="105.4"/>
    <n v="2000"/>
    <x v="9"/>
    <x v="21"/>
    <n v="1"/>
    <n v="0"/>
    <n v="0"/>
    <n v="0.85"/>
  </r>
  <r>
    <s v="APT-01563"/>
    <x v="63"/>
    <x v="11"/>
    <x v="0"/>
    <x v="1"/>
    <x v="1"/>
    <s v="Thrissur"/>
    <x v="1"/>
    <s v="PT-1411"/>
    <s v="Sports Injury"/>
    <x v="5"/>
    <x v="3"/>
    <s v="Hospital Discharge"/>
    <x v="0"/>
    <n v="30"/>
    <n v="30"/>
    <n v="38.799999999999997"/>
    <n v="600"/>
    <x v="16"/>
    <x v="0"/>
    <n v="0"/>
    <n v="1"/>
    <n v="0"/>
    <n v="0.85"/>
  </r>
  <r>
    <s v="APT-01564"/>
    <x v="99"/>
    <x v="8"/>
    <x v="2"/>
    <x v="0"/>
    <x v="0"/>
    <s v="Palakkad"/>
    <x v="9"/>
    <s v="PT-1170"/>
    <s v="New Patient"/>
    <x v="0"/>
    <x v="0"/>
    <s v="Self Referral"/>
    <x v="0"/>
    <n v="90"/>
    <n v="90"/>
    <n v="98.9"/>
    <n v="2250"/>
    <x v="12"/>
    <x v="0"/>
    <n v="0"/>
    <n v="1"/>
    <n v="0"/>
    <n v="0.85"/>
  </r>
  <r>
    <s v="APT-01565"/>
    <x v="299"/>
    <x v="7"/>
    <x v="3"/>
    <x v="2"/>
    <x v="0"/>
    <s v="Palakkad"/>
    <x v="13"/>
    <s v="PT-1208"/>
    <s v="Follow-up"/>
    <x v="4"/>
    <x v="3"/>
    <s v="Corporate Wellness"/>
    <x v="0"/>
    <n v="30"/>
    <n v="30"/>
    <n v="36.4"/>
    <n v="600"/>
    <x v="16"/>
    <x v="0"/>
    <n v="0"/>
    <n v="1"/>
    <n v="0"/>
    <n v="0.85"/>
  </r>
  <r>
    <s v="APT-01566"/>
    <x v="100"/>
    <x v="1"/>
    <x v="4"/>
    <x v="1"/>
    <x v="1"/>
    <s v="Thrissur"/>
    <x v="1"/>
    <s v="PT-1398"/>
    <s v="Follow-up"/>
    <x v="0"/>
    <x v="2"/>
    <s v="Orthopedic Doctor"/>
    <x v="0"/>
    <n v="45"/>
    <n v="45"/>
    <n v="57.7"/>
    <n v="1000"/>
    <x v="13"/>
    <x v="0"/>
    <n v="0"/>
    <n v="1"/>
    <n v="0"/>
    <n v="0.85"/>
  </r>
  <r>
    <s v="APT-01567"/>
    <x v="36"/>
    <x v="2"/>
    <x v="1"/>
    <x v="0"/>
    <x v="0"/>
    <s v="Palakkad"/>
    <x v="9"/>
    <s v="PT-1065"/>
    <s v="Follow-up"/>
    <x v="3"/>
    <x v="3"/>
    <s v="Self Referral"/>
    <x v="0"/>
    <n v="45"/>
    <n v="45"/>
    <n v="52.8"/>
    <n v="850"/>
    <x v="23"/>
    <x v="0"/>
    <n v="0"/>
    <n v="1"/>
    <n v="0"/>
    <n v="0.85"/>
  </r>
  <r>
    <s v="APT-01568"/>
    <x v="7"/>
    <x v="3"/>
    <x v="1"/>
    <x v="1"/>
    <x v="1"/>
    <s v="Thrissur"/>
    <x v="10"/>
    <s v="PT-1267"/>
    <s v="Post-op Rehab"/>
    <x v="1"/>
    <x v="0"/>
    <s v="Orthopedic Doctor"/>
    <x v="0"/>
    <n v="75"/>
    <n v="75"/>
    <n v="86.5"/>
    <n v="1950"/>
    <x v="8"/>
    <x v="0"/>
    <n v="0"/>
    <n v="1"/>
    <n v="0"/>
    <n v="0.85"/>
  </r>
  <r>
    <s v="APT-01569"/>
    <x v="244"/>
    <x v="9"/>
    <x v="0"/>
    <x v="3"/>
    <x v="2"/>
    <s v="Ernakulam"/>
    <x v="8"/>
    <s v="PT-1515"/>
    <s v="Follow-up"/>
    <x v="5"/>
    <x v="1"/>
    <s v="Online Search"/>
    <x v="1"/>
    <n v="60"/>
    <n v="0"/>
    <n v="71.8"/>
    <n v="1300"/>
    <x v="9"/>
    <x v="1"/>
    <n v="1"/>
    <n v="0"/>
    <n v="0"/>
    <n v="0.85"/>
  </r>
  <r>
    <s v="APT-01570"/>
    <x v="17"/>
    <x v="0"/>
    <x v="1"/>
    <x v="0"/>
    <x v="1"/>
    <s v="Thrissur"/>
    <x v="7"/>
    <s v="PT-1158"/>
    <s v="Chronic Pain"/>
    <x v="5"/>
    <x v="2"/>
    <s v="Online Search"/>
    <x v="0"/>
    <n v="60"/>
    <n v="60"/>
    <n v="74.599999999999994"/>
    <n v="1350"/>
    <x v="14"/>
    <x v="0"/>
    <n v="0"/>
    <n v="1"/>
    <n v="0"/>
    <n v="0.85"/>
  </r>
  <r>
    <s v="APT-01571"/>
    <x v="200"/>
    <x v="1"/>
    <x v="0"/>
    <x v="0"/>
    <x v="0"/>
    <s v="Palakkad"/>
    <x v="6"/>
    <s v="PT-1095"/>
    <s v="Chronic Pain"/>
    <x v="3"/>
    <x v="0"/>
    <s v="Self Referral"/>
    <x v="2"/>
    <n v="60"/>
    <n v="0"/>
    <n v="79.099999999999994"/>
    <n v="1250"/>
    <x v="9"/>
    <x v="9"/>
    <n v="0"/>
    <n v="0"/>
    <n v="1"/>
    <n v="0.85"/>
  </r>
  <r>
    <s v="APT-01572"/>
    <x v="96"/>
    <x v="2"/>
    <x v="0"/>
    <x v="3"/>
    <x v="2"/>
    <s v="Ernakulam"/>
    <x v="14"/>
    <s v="PT-1606"/>
    <s v="Geriatric Rehab"/>
    <x v="2"/>
    <x v="3"/>
    <s v="Self Referral"/>
    <x v="0"/>
    <n v="45"/>
    <n v="45"/>
    <n v="55.6"/>
    <n v="1050"/>
    <x v="2"/>
    <x v="0"/>
    <n v="0"/>
    <n v="1"/>
    <n v="0"/>
    <n v="0.85"/>
  </r>
  <r>
    <s v="APT-01573"/>
    <x v="121"/>
    <x v="7"/>
    <x v="2"/>
    <x v="1"/>
    <x v="2"/>
    <s v="Ernakulam"/>
    <x v="8"/>
    <s v="PT-1398"/>
    <s v="New Patient"/>
    <x v="3"/>
    <x v="0"/>
    <s v="Hospital Discharge"/>
    <x v="0"/>
    <n v="60"/>
    <n v="60"/>
    <n v="68.099999999999994"/>
    <n v="1800"/>
    <x v="25"/>
    <x v="0"/>
    <n v="0"/>
    <n v="1"/>
    <n v="0"/>
    <n v="0.85"/>
  </r>
  <r>
    <s v="APT-01574"/>
    <x v="140"/>
    <x v="4"/>
    <x v="3"/>
    <x v="2"/>
    <x v="2"/>
    <s v="Ernakulam"/>
    <x v="14"/>
    <s v="PT-1024"/>
    <s v="Chronic Pain"/>
    <x v="1"/>
    <x v="2"/>
    <s v="Online Search"/>
    <x v="0"/>
    <n v="45"/>
    <n v="45"/>
    <n v="49.1"/>
    <n v="1100"/>
    <x v="20"/>
    <x v="0"/>
    <n v="0"/>
    <n v="1"/>
    <n v="0"/>
    <n v="0.85"/>
  </r>
  <r>
    <s v="APT-01575"/>
    <x v="243"/>
    <x v="9"/>
    <x v="5"/>
    <x v="2"/>
    <x v="2"/>
    <s v="Ernakulam"/>
    <x v="8"/>
    <s v="PT-1005"/>
    <s v="New Patient"/>
    <x v="5"/>
    <x v="0"/>
    <s v="Hospital Discharge"/>
    <x v="0"/>
    <n v="60"/>
    <n v="60"/>
    <n v="71.099999999999994"/>
    <n v="1800"/>
    <x v="25"/>
    <x v="0"/>
    <n v="0"/>
    <n v="1"/>
    <n v="0"/>
    <n v="0.85"/>
  </r>
  <r>
    <s v="APT-01576"/>
    <x v="284"/>
    <x v="7"/>
    <x v="5"/>
    <x v="1"/>
    <x v="0"/>
    <s v="Palakkad"/>
    <x v="0"/>
    <s v="PT-1081"/>
    <s v="Follow-up"/>
    <x v="5"/>
    <x v="0"/>
    <s v="Online Search"/>
    <x v="0"/>
    <n v="60"/>
    <n v="60"/>
    <n v="75.099999999999994"/>
    <n v="1250"/>
    <x v="5"/>
    <x v="0"/>
    <n v="0"/>
    <n v="1"/>
    <n v="0"/>
    <n v="0.85"/>
  </r>
  <r>
    <s v="APT-01577"/>
    <x v="139"/>
    <x v="10"/>
    <x v="1"/>
    <x v="3"/>
    <x v="1"/>
    <s v="Thrissur"/>
    <x v="10"/>
    <s v="PT-1366"/>
    <s v="Follow-up"/>
    <x v="3"/>
    <x v="0"/>
    <s v="Self Referral"/>
    <x v="0"/>
    <n v="75"/>
    <n v="75"/>
    <n v="91"/>
    <n v="1700"/>
    <x v="6"/>
    <x v="0"/>
    <n v="0"/>
    <n v="1"/>
    <n v="0"/>
    <n v="0.85"/>
  </r>
  <r>
    <s v="APT-01578"/>
    <x v="147"/>
    <x v="8"/>
    <x v="3"/>
    <x v="3"/>
    <x v="2"/>
    <s v="Ernakulam"/>
    <x v="8"/>
    <s v="PT-1494"/>
    <s v="Chronic Pain"/>
    <x v="2"/>
    <x v="1"/>
    <s v="Hospital Discharge"/>
    <x v="0"/>
    <n v="60"/>
    <n v="60"/>
    <n v="70.099999999999994"/>
    <n v="1300"/>
    <x v="22"/>
    <x v="0"/>
    <n v="0"/>
    <n v="1"/>
    <n v="0"/>
    <n v="0.85"/>
  </r>
  <r>
    <s v="APT-01579"/>
    <x v="192"/>
    <x v="0"/>
    <x v="1"/>
    <x v="3"/>
    <x v="0"/>
    <s v="Palakkad"/>
    <x v="9"/>
    <s v="PT-1326"/>
    <s v="Post-op Rehab"/>
    <x v="2"/>
    <x v="2"/>
    <s v="Corporate Wellness"/>
    <x v="0"/>
    <n v="30"/>
    <n v="30"/>
    <n v="34.799999999999997"/>
    <n v="700"/>
    <x v="19"/>
    <x v="0"/>
    <n v="0"/>
    <n v="1"/>
    <n v="0"/>
    <n v="0.85"/>
  </r>
  <r>
    <s v="APT-01580"/>
    <x v="39"/>
    <x v="6"/>
    <x v="5"/>
    <x v="1"/>
    <x v="2"/>
    <s v="Ernakulam"/>
    <x v="3"/>
    <s v="PT-1012"/>
    <s v="Follow-up"/>
    <x v="4"/>
    <x v="2"/>
    <s v="Neurologist"/>
    <x v="0"/>
    <n v="45"/>
    <n v="45"/>
    <n v="50.7"/>
    <n v="1100"/>
    <x v="20"/>
    <x v="0"/>
    <n v="0"/>
    <n v="1"/>
    <n v="0"/>
    <n v="0.85"/>
  </r>
  <r>
    <s v="APT-01581"/>
    <x v="312"/>
    <x v="5"/>
    <x v="6"/>
    <x v="3"/>
    <x v="1"/>
    <s v="Thrissur"/>
    <x v="2"/>
    <s v="PT-1299"/>
    <s v="Follow-up"/>
    <x v="2"/>
    <x v="0"/>
    <s v="Corporate Wellness"/>
    <x v="0"/>
    <n v="45"/>
    <n v="45"/>
    <n v="58.2"/>
    <n v="1000"/>
    <x v="13"/>
    <x v="0"/>
    <n v="0"/>
    <n v="1"/>
    <n v="0"/>
    <n v="0.85"/>
  </r>
  <r>
    <s v="APT-01582"/>
    <x v="154"/>
    <x v="10"/>
    <x v="5"/>
    <x v="3"/>
    <x v="1"/>
    <s v="Thrissur"/>
    <x v="5"/>
    <s v="PT-1343"/>
    <s v="Post-op Rehab"/>
    <x v="1"/>
    <x v="2"/>
    <s v="Corporate Wellness"/>
    <x v="3"/>
    <n v="60"/>
    <n v="0"/>
    <n v="76.7"/>
    <n v="1550"/>
    <x v="9"/>
    <x v="0"/>
    <n v="0"/>
    <n v="0"/>
    <n v="0"/>
    <n v="0.85"/>
  </r>
  <r>
    <s v="APT-01583"/>
    <x v="139"/>
    <x v="10"/>
    <x v="1"/>
    <x v="2"/>
    <x v="2"/>
    <s v="Ernakulam"/>
    <x v="12"/>
    <s v="PT-1161"/>
    <s v="Geriatric Rehab"/>
    <x v="1"/>
    <x v="0"/>
    <s v="Corporate Wellness"/>
    <x v="0"/>
    <n v="60"/>
    <n v="60"/>
    <n v="68.3"/>
    <n v="1500"/>
    <x v="3"/>
    <x v="0"/>
    <n v="0"/>
    <n v="1"/>
    <n v="0"/>
    <n v="0.85"/>
  </r>
  <r>
    <s v="APT-01584"/>
    <x v="270"/>
    <x v="5"/>
    <x v="1"/>
    <x v="0"/>
    <x v="2"/>
    <s v="Ernakulam"/>
    <x v="12"/>
    <s v="PT-1120"/>
    <s v="Geriatric Rehab"/>
    <x v="3"/>
    <x v="0"/>
    <s v="Online Search"/>
    <x v="0"/>
    <n v="75"/>
    <n v="75"/>
    <n v="82.3"/>
    <n v="1900"/>
    <x v="0"/>
    <x v="0"/>
    <n v="0"/>
    <n v="1"/>
    <n v="0"/>
    <n v="0.85"/>
  </r>
  <r>
    <s v="APT-01585"/>
    <x v="151"/>
    <x v="10"/>
    <x v="5"/>
    <x v="0"/>
    <x v="1"/>
    <s v="Thrissur"/>
    <x v="1"/>
    <s v="PT-1466"/>
    <s v="Post-op Rehab"/>
    <x v="2"/>
    <x v="0"/>
    <s v="Orthopedic Doctor"/>
    <x v="1"/>
    <n v="90"/>
    <n v="0"/>
    <n v="116.4"/>
    <n v="2350"/>
    <x v="9"/>
    <x v="32"/>
    <n v="1"/>
    <n v="0"/>
    <n v="0"/>
    <n v="0.85"/>
  </r>
  <r>
    <s v="APT-01586"/>
    <x v="106"/>
    <x v="3"/>
    <x v="4"/>
    <x v="0"/>
    <x v="1"/>
    <s v="Thrissur"/>
    <x v="7"/>
    <s v="PT-1564"/>
    <s v="Post-op Rehab"/>
    <x v="4"/>
    <x v="0"/>
    <s v="Hospital Discharge"/>
    <x v="0"/>
    <n v="45"/>
    <n v="45"/>
    <n v="57.1"/>
    <n v="1150"/>
    <x v="15"/>
    <x v="0"/>
    <n v="0"/>
    <n v="1"/>
    <n v="0"/>
    <n v="0.85"/>
  </r>
  <r>
    <s v="APT-01587"/>
    <x v="111"/>
    <x v="8"/>
    <x v="1"/>
    <x v="1"/>
    <x v="2"/>
    <s v="Ernakulam"/>
    <x v="14"/>
    <s v="PT-1591"/>
    <s v="Follow-up"/>
    <x v="1"/>
    <x v="2"/>
    <s v="Corporate Wellness"/>
    <x v="0"/>
    <n v="90"/>
    <n v="90"/>
    <n v="120.4"/>
    <n v="2250"/>
    <x v="12"/>
    <x v="0"/>
    <n v="0"/>
    <n v="1"/>
    <n v="0"/>
    <n v="0.85"/>
  </r>
  <r>
    <s v="APT-01588"/>
    <x v="190"/>
    <x v="5"/>
    <x v="1"/>
    <x v="3"/>
    <x v="0"/>
    <s v="Palakkad"/>
    <x v="6"/>
    <s v="PT-1484"/>
    <s v="New Patient"/>
    <x v="1"/>
    <x v="3"/>
    <s v="Neurologist"/>
    <x v="2"/>
    <n v="45"/>
    <n v="0"/>
    <n v="56.6"/>
    <n v="1050"/>
    <x v="9"/>
    <x v="15"/>
    <n v="0"/>
    <n v="0"/>
    <n v="1"/>
    <n v="0.85"/>
  </r>
  <r>
    <s v="APT-01589"/>
    <x v="84"/>
    <x v="6"/>
    <x v="0"/>
    <x v="0"/>
    <x v="1"/>
    <s v="Thrissur"/>
    <x v="2"/>
    <s v="PT-1321"/>
    <s v="New Patient"/>
    <x v="4"/>
    <x v="2"/>
    <s v="Hospital Discharge"/>
    <x v="0"/>
    <n v="75"/>
    <n v="75"/>
    <n v="94.7"/>
    <n v="2000"/>
    <x v="33"/>
    <x v="0"/>
    <n v="0"/>
    <n v="1"/>
    <n v="0"/>
    <n v="0.85"/>
  </r>
  <r>
    <s v="APT-01590"/>
    <x v="24"/>
    <x v="11"/>
    <x v="1"/>
    <x v="1"/>
    <x v="1"/>
    <s v="Thrissur"/>
    <x v="10"/>
    <s v="PT-1117"/>
    <s v="Follow-up"/>
    <x v="0"/>
    <x v="2"/>
    <s v="Orthopedic Doctor"/>
    <x v="0"/>
    <n v="30"/>
    <n v="30"/>
    <n v="34.700000000000003"/>
    <n v="700"/>
    <x v="19"/>
    <x v="0"/>
    <n v="0"/>
    <n v="1"/>
    <n v="0"/>
    <n v="0.85"/>
  </r>
  <r>
    <s v="APT-01591"/>
    <x v="42"/>
    <x v="7"/>
    <x v="1"/>
    <x v="0"/>
    <x v="1"/>
    <s v="Thrissur"/>
    <x v="7"/>
    <s v="PT-1131"/>
    <s v="Follow-up"/>
    <x v="0"/>
    <x v="0"/>
    <s v="Orthopedic Doctor"/>
    <x v="0"/>
    <n v="30"/>
    <n v="30"/>
    <n v="33.700000000000003"/>
    <n v="700"/>
    <x v="19"/>
    <x v="0"/>
    <n v="0"/>
    <n v="1"/>
    <n v="0"/>
    <n v="0.85"/>
  </r>
  <r>
    <s v="APT-01592"/>
    <x v="12"/>
    <x v="8"/>
    <x v="1"/>
    <x v="1"/>
    <x v="1"/>
    <s v="Thrissur"/>
    <x v="7"/>
    <s v="PT-1563"/>
    <s v="Post-op Rehab"/>
    <x v="0"/>
    <x v="3"/>
    <s v="Neurologist"/>
    <x v="0"/>
    <n v="30"/>
    <n v="30"/>
    <n v="39.5"/>
    <n v="700"/>
    <x v="19"/>
    <x v="0"/>
    <n v="0"/>
    <n v="1"/>
    <n v="0"/>
    <n v="0.85"/>
  </r>
  <r>
    <s v="APT-01593"/>
    <x v="94"/>
    <x v="2"/>
    <x v="3"/>
    <x v="0"/>
    <x v="2"/>
    <s v="Ernakulam"/>
    <x v="4"/>
    <s v="PT-1391"/>
    <s v="New Patient"/>
    <x v="5"/>
    <x v="0"/>
    <s v="Orthopedic Doctor"/>
    <x v="0"/>
    <n v="75"/>
    <n v="75"/>
    <n v="89.6"/>
    <n v="2250"/>
    <x v="12"/>
    <x v="0"/>
    <n v="0"/>
    <n v="1"/>
    <n v="0"/>
    <n v="0.85"/>
  </r>
  <r>
    <s v="APT-01594"/>
    <x v="66"/>
    <x v="7"/>
    <x v="1"/>
    <x v="2"/>
    <x v="2"/>
    <s v="Ernakulam"/>
    <x v="12"/>
    <s v="PT-1015"/>
    <s v="Follow-up"/>
    <x v="1"/>
    <x v="3"/>
    <s v="Neurologist"/>
    <x v="0"/>
    <n v="60"/>
    <n v="60"/>
    <n v="67.400000000000006"/>
    <n v="1400"/>
    <x v="21"/>
    <x v="0"/>
    <n v="0"/>
    <n v="1"/>
    <n v="0"/>
    <n v="0.85"/>
  </r>
  <r>
    <s v="APT-01595"/>
    <x v="163"/>
    <x v="8"/>
    <x v="0"/>
    <x v="3"/>
    <x v="0"/>
    <s v="Palakkad"/>
    <x v="0"/>
    <s v="PT-1319"/>
    <s v="Sports Injury"/>
    <x v="5"/>
    <x v="2"/>
    <s v="Corporate Wellness"/>
    <x v="0"/>
    <n v="75"/>
    <n v="75"/>
    <n v="90.6"/>
    <n v="1550"/>
    <x v="1"/>
    <x v="0"/>
    <n v="0"/>
    <n v="1"/>
    <n v="0"/>
    <n v="0.85"/>
  </r>
  <r>
    <s v="APT-01596"/>
    <x v="327"/>
    <x v="10"/>
    <x v="4"/>
    <x v="2"/>
    <x v="2"/>
    <s v="Ernakulam"/>
    <x v="12"/>
    <s v="PT-1230"/>
    <s v="Geriatric Rehab"/>
    <x v="1"/>
    <x v="1"/>
    <s v="Orthopedic Doctor"/>
    <x v="0"/>
    <n v="75"/>
    <n v="75"/>
    <n v="82"/>
    <n v="1600"/>
    <x v="11"/>
    <x v="0"/>
    <n v="0"/>
    <n v="1"/>
    <n v="0"/>
    <n v="0.85"/>
  </r>
  <r>
    <s v="APT-01597"/>
    <x v="278"/>
    <x v="4"/>
    <x v="5"/>
    <x v="0"/>
    <x v="2"/>
    <s v="Ernakulam"/>
    <x v="14"/>
    <s v="PT-1137"/>
    <s v="Geriatric Rehab"/>
    <x v="2"/>
    <x v="3"/>
    <s v="Hospital Discharge"/>
    <x v="0"/>
    <n v="60"/>
    <n v="60"/>
    <n v="74.599999999999994"/>
    <n v="1400"/>
    <x v="21"/>
    <x v="0"/>
    <n v="0"/>
    <n v="1"/>
    <n v="0"/>
    <n v="0.85"/>
  </r>
  <r>
    <s v="APT-01598"/>
    <x v="0"/>
    <x v="0"/>
    <x v="0"/>
    <x v="3"/>
    <x v="1"/>
    <s v="Thrissur"/>
    <x v="2"/>
    <s v="PT-1178"/>
    <s v="Follow-up"/>
    <x v="5"/>
    <x v="2"/>
    <s v="Corporate Wellness"/>
    <x v="1"/>
    <n v="60"/>
    <n v="0"/>
    <n v="68.8"/>
    <n v="1350"/>
    <x v="9"/>
    <x v="2"/>
    <n v="1"/>
    <n v="0"/>
    <n v="0"/>
    <n v="0.85"/>
  </r>
  <r>
    <s v="APT-01599"/>
    <x v="64"/>
    <x v="7"/>
    <x v="3"/>
    <x v="0"/>
    <x v="0"/>
    <s v="Palakkad"/>
    <x v="9"/>
    <s v="PT-1390"/>
    <s v="Sports Injury"/>
    <x v="1"/>
    <x v="0"/>
    <s v="Online Search"/>
    <x v="0"/>
    <n v="60"/>
    <n v="60"/>
    <n v="67.5"/>
    <n v="1250"/>
    <x v="5"/>
    <x v="0"/>
    <n v="0"/>
    <n v="1"/>
    <n v="0"/>
    <n v="0.85"/>
  </r>
  <r>
    <s v="APT-01600"/>
    <x v="107"/>
    <x v="1"/>
    <x v="4"/>
    <x v="1"/>
    <x v="2"/>
    <s v="Ernakulam"/>
    <x v="3"/>
    <s v="PT-1539"/>
    <s v="Post-op Rehab"/>
    <x v="0"/>
    <x v="3"/>
    <s v="Hospital Discharge"/>
    <x v="2"/>
    <n v="30"/>
    <n v="0"/>
    <n v="34"/>
    <n v="800"/>
    <x v="9"/>
    <x v="30"/>
    <n v="0"/>
    <n v="0"/>
    <n v="1"/>
    <n v="0.85"/>
  </r>
  <r>
    <s v="APT-01601"/>
    <x v="52"/>
    <x v="9"/>
    <x v="2"/>
    <x v="0"/>
    <x v="2"/>
    <s v="Ernakulam"/>
    <x v="3"/>
    <s v="PT-1207"/>
    <s v="Follow-up"/>
    <x v="0"/>
    <x v="0"/>
    <s v="Orthopedic Doctor"/>
    <x v="2"/>
    <n v="60"/>
    <n v="0"/>
    <n v="72"/>
    <n v="1500"/>
    <x v="9"/>
    <x v="12"/>
    <n v="0"/>
    <n v="0"/>
    <n v="1"/>
    <n v="0.85"/>
  </r>
  <r>
    <s v="APT-01602"/>
    <x v="250"/>
    <x v="4"/>
    <x v="1"/>
    <x v="1"/>
    <x v="2"/>
    <s v="Ernakulam"/>
    <x v="4"/>
    <s v="PT-1468"/>
    <s v="Follow-up"/>
    <x v="2"/>
    <x v="0"/>
    <s v="Self Referral"/>
    <x v="0"/>
    <n v="45"/>
    <n v="45"/>
    <n v="49.6"/>
    <n v="1100"/>
    <x v="20"/>
    <x v="0"/>
    <n v="0"/>
    <n v="1"/>
    <n v="0"/>
    <n v="0.85"/>
  </r>
  <r>
    <s v="APT-01603"/>
    <x v="118"/>
    <x v="0"/>
    <x v="4"/>
    <x v="3"/>
    <x v="2"/>
    <s v="Ernakulam"/>
    <x v="8"/>
    <s v="PT-1095"/>
    <s v="Sports Injury"/>
    <x v="4"/>
    <x v="1"/>
    <s v="Orthopedic Doctor"/>
    <x v="3"/>
    <n v="30"/>
    <n v="0"/>
    <n v="39.200000000000003"/>
    <n v="650"/>
    <x v="9"/>
    <x v="0"/>
    <n v="0"/>
    <n v="0"/>
    <n v="0"/>
    <n v="0.85"/>
  </r>
  <r>
    <s v="APT-01604"/>
    <x v="85"/>
    <x v="7"/>
    <x v="0"/>
    <x v="0"/>
    <x v="2"/>
    <s v="Ernakulam"/>
    <x v="8"/>
    <s v="PT-1226"/>
    <s v="Geriatric Rehab"/>
    <x v="3"/>
    <x v="0"/>
    <s v="Orthopedic Doctor"/>
    <x v="0"/>
    <n v="60"/>
    <n v="60"/>
    <n v="72.8"/>
    <n v="1500"/>
    <x v="3"/>
    <x v="0"/>
    <n v="0"/>
    <n v="1"/>
    <n v="0"/>
    <n v="0.85"/>
  </r>
  <r>
    <s v="APT-01605"/>
    <x v="26"/>
    <x v="3"/>
    <x v="4"/>
    <x v="2"/>
    <x v="2"/>
    <s v="Ernakulam"/>
    <x v="8"/>
    <s v="PT-1223"/>
    <s v="Follow-up"/>
    <x v="2"/>
    <x v="2"/>
    <s v="Corporate Wellness"/>
    <x v="0"/>
    <n v="75"/>
    <n v="75"/>
    <n v="93.6"/>
    <n v="1900"/>
    <x v="0"/>
    <x v="0"/>
    <n v="0"/>
    <n v="1"/>
    <n v="0"/>
    <n v="0.85"/>
  </r>
  <r>
    <s v="APT-01606"/>
    <x v="171"/>
    <x v="10"/>
    <x v="3"/>
    <x v="0"/>
    <x v="0"/>
    <s v="Palakkad"/>
    <x v="6"/>
    <s v="PT-1102"/>
    <s v="Chronic Pain"/>
    <x v="3"/>
    <x v="3"/>
    <s v="Corporate Wellness"/>
    <x v="0"/>
    <n v="90"/>
    <n v="90"/>
    <n v="101.2"/>
    <n v="1700"/>
    <x v="6"/>
    <x v="0"/>
    <n v="0"/>
    <n v="1"/>
    <n v="0"/>
    <n v="0.85"/>
  </r>
  <r>
    <s v="APT-01607"/>
    <x v="106"/>
    <x v="3"/>
    <x v="4"/>
    <x v="2"/>
    <x v="2"/>
    <s v="Ernakulam"/>
    <x v="12"/>
    <s v="PT-1573"/>
    <s v="New Patient"/>
    <x v="0"/>
    <x v="0"/>
    <s v="Neurologist"/>
    <x v="0"/>
    <n v="45"/>
    <n v="45"/>
    <n v="51.5"/>
    <n v="1350"/>
    <x v="14"/>
    <x v="0"/>
    <n v="0"/>
    <n v="1"/>
    <n v="0"/>
    <n v="0.85"/>
  </r>
  <r>
    <s v="APT-01608"/>
    <x v="8"/>
    <x v="0"/>
    <x v="4"/>
    <x v="0"/>
    <x v="0"/>
    <s v="Palakkad"/>
    <x v="0"/>
    <s v="PT-1358"/>
    <s v="Follow-up"/>
    <x v="0"/>
    <x v="2"/>
    <s v="Hospital Discharge"/>
    <x v="0"/>
    <n v="90"/>
    <n v="90"/>
    <n v="105.5"/>
    <n v="1900"/>
    <x v="0"/>
    <x v="0"/>
    <n v="0"/>
    <n v="1"/>
    <n v="0"/>
    <n v="0.85"/>
  </r>
  <r>
    <s v="APT-01609"/>
    <x v="142"/>
    <x v="11"/>
    <x v="3"/>
    <x v="1"/>
    <x v="1"/>
    <s v="Thrissur"/>
    <x v="1"/>
    <s v="PT-1249"/>
    <s v="Post-op Rehab"/>
    <x v="1"/>
    <x v="0"/>
    <s v="Orthopedic Doctor"/>
    <x v="0"/>
    <n v="75"/>
    <n v="75"/>
    <n v="83.7"/>
    <n v="1950"/>
    <x v="8"/>
    <x v="0"/>
    <n v="0"/>
    <n v="1"/>
    <n v="0"/>
    <n v="0.85"/>
  </r>
  <r>
    <s v="APT-01610"/>
    <x v="188"/>
    <x v="5"/>
    <x v="2"/>
    <x v="0"/>
    <x v="2"/>
    <s v="Ernakulam"/>
    <x v="8"/>
    <s v="PT-1308"/>
    <s v="New Patient"/>
    <x v="2"/>
    <x v="1"/>
    <s v="Hospital Discharge"/>
    <x v="0"/>
    <n v="45"/>
    <n v="45"/>
    <n v="51.2"/>
    <n v="1150"/>
    <x v="15"/>
    <x v="0"/>
    <n v="0"/>
    <n v="1"/>
    <n v="0"/>
    <n v="0.85"/>
  </r>
  <r>
    <s v="APT-01611"/>
    <x v="206"/>
    <x v="4"/>
    <x v="2"/>
    <x v="3"/>
    <x v="1"/>
    <s v="Thrissur"/>
    <x v="10"/>
    <s v="PT-1381"/>
    <s v="Post-op Rehab"/>
    <x v="2"/>
    <x v="2"/>
    <s v="Hospital Discharge"/>
    <x v="0"/>
    <n v="90"/>
    <n v="90"/>
    <n v="105.2"/>
    <n v="2350"/>
    <x v="35"/>
    <x v="0"/>
    <n v="0"/>
    <n v="1"/>
    <n v="0"/>
    <n v="0.85"/>
  </r>
  <r>
    <s v="APT-01612"/>
    <x v="328"/>
    <x v="1"/>
    <x v="6"/>
    <x v="1"/>
    <x v="0"/>
    <s v="Palakkad"/>
    <x v="13"/>
    <s v="PT-1610"/>
    <s v="Chronic Pain"/>
    <x v="4"/>
    <x v="0"/>
    <s v="Corporate Wellness"/>
    <x v="0"/>
    <n v="60"/>
    <n v="60"/>
    <n v="68.2"/>
    <n v="1250"/>
    <x v="5"/>
    <x v="0"/>
    <n v="0"/>
    <n v="1"/>
    <n v="0"/>
    <n v="0.85"/>
  </r>
  <r>
    <s v="APT-01613"/>
    <x v="292"/>
    <x v="4"/>
    <x v="1"/>
    <x v="2"/>
    <x v="1"/>
    <s v="Thrissur"/>
    <x v="10"/>
    <s v="PT-1659"/>
    <s v="Post-op Rehab"/>
    <x v="5"/>
    <x v="0"/>
    <s v="Corporate Wellness"/>
    <x v="0"/>
    <n v="60"/>
    <n v="60"/>
    <n v="67.400000000000006"/>
    <n v="1550"/>
    <x v="1"/>
    <x v="0"/>
    <n v="0"/>
    <n v="1"/>
    <n v="0"/>
    <n v="0.85"/>
  </r>
  <r>
    <s v="APT-01614"/>
    <x v="175"/>
    <x v="3"/>
    <x v="3"/>
    <x v="1"/>
    <x v="0"/>
    <s v="Palakkad"/>
    <x v="13"/>
    <s v="PT-1112"/>
    <s v="Follow-up"/>
    <x v="1"/>
    <x v="2"/>
    <s v="Hospital Discharge"/>
    <x v="0"/>
    <n v="60"/>
    <n v="60"/>
    <n v="68.7"/>
    <n v="1250"/>
    <x v="5"/>
    <x v="0"/>
    <n v="0"/>
    <n v="1"/>
    <n v="0"/>
    <n v="0.85"/>
  </r>
  <r>
    <s v="APT-01615"/>
    <x v="171"/>
    <x v="10"/>
    <x v="3"/>
    <x v="1"/>
    <x v="1"/>
    <s v="Thrissur"/>
    <x v="2"/>
    <s v="PT-1258"/>
    <s v="New Patient"/>
    <x v="4"/>
    <x v="0"/>
    <s v="Corporate Wellness"/>
    <x v="0"/>
    <n v="60"/>
    <n v="60"/>
    <n v="70.7"/>
    <n v="1600"/>
    <x v="11"/>
    <x v="0"/>
    <n v="0"/>
    <n v="1"/>
    <n v="0"/>
    <n v="0.85"/>
  </r>
  <r>
    <s v="APT-01616"/>
    <x v="169"/>
    <x v="3"/>
    <x v="0"/>
    <x v="3"/>
    <x v="0"/>
    <s v="Palakkad"/>
    <x v="9"/>
    <s v="PT-1420"/>
    <s v="Follow-up"/>
    <x v="2"/>
    <x v="0"/>
    <s v="Hospital Discharge"/>
    <x v="0"/>
    <n v="60"/>
    <n v="60"/>
    <n v="80.2"/>
    <n v="1250"/>
    <x v="5"/>
    <x v="0"/>
    <n v="0"/>
    <n v="1"/>
    <n v="0"/>
    <n v="0.85"/>
  </r>
  <r>
    <s v="APT-01617"/>
    <x v="128"/>
    <x v="9"/>
    <x v="3"/>
    <x v="0"/>
    <x v="1"/>
    <s v="Thrissur"/>
    <x v="2"/>
    <s v="PT-1310"/>
    <s v="Follow-up"/>
    <x v="5"/>
    <x v="2"/>
    <s v="Hospital Discharge"/>
    <x v="0"/>
    <n v="90"/>
    <n v="90"/>
    <n v="105.1"/>
    <n v="2000"/>
    <x v="33"/>
    <x v="0"/>
    <n v="0"/>
    <n v="1"/>
    <n v="0"/>
    <n v="0.85"/>
  </r>
  <r>
    <s v="APT-01618"/>
    <x v="49"/>
    <x v="9"/>
    <x v="1"/>
    <x v="3"/>
    <x v="2"/>
    <s v="Ernakulam"/>
    <x v="8"/>
    <s v="PT-1641"/>
    <s v="Sports Injury"/>
    <x v="1"/>
    <x v="2"/>
    <s v="Hospital Discharge"/>
    <x v="1"/>
    <n v="45"/>
    <n v="0"/>
    <n v="55.3"/>
    <n v="1100"/>
    <x v="9"/>
    <x v="6"/>
    <n v="1"/>
    <n v="0"/>
    <n v="0"/>
    <n v="0.85"/>
  </r>
  <r>
    <s v="APT-01619"/>
    <x v="146"/>
    <x v="8"/>
    <x v="1"/>
    <x v="2"/>
    <x v="0"/>
    <s v="Palakkad"/>
    <x v="13"/>
    <s v="PT-1137"/>
    <s v="Follow-up"/>
    <x v="1"/>
    <x v="0"/>
    <s v="Corporate Wellness"/>
    <x v="0"/>
    <n v="60"/>
    <n v="60"/>
    <n v="73.7"/>
    <n v="1250"/>
    <x v="5"/>
    <x v="0"/>
    <n v="0"/>
    <n v="1"/>
    <n v="0"/>
    <n v="0.85"/>
  </r>
  <r>
    <s v="APT-01620"/>
    <x v="251"/>
    <x v="7"/>
    <x v="4"/>
    <x v="2"/>
    <x v="2"/>
    <s v="Ernakulam"/>
    <x v="12"/>
    <s v="PT-1146"/>
    <s v="Follow-up"/>
    <x v="4"/>
    <x v="0"/>
    <s v="Self Referral"/>
    <x v="0"/>
    <n v="60"/>
    <n v="60"/>
    <n v="72"/>
    <n v="1500"/>
    <x v="3"/>
    <x v="0"/>
    <n v="0"/>
    <n v="1"/>
    <n v="0"/>
    <n v="0.85"/>
  </r>
  <r>
    <s v="APT-01621"/>
    <x v="183"/>
    <x v="10"/>
    <x v="1"/>
    <x v="2"/>
    <x v="0"/>
    <s v="Palakkad"/>
    <x v="9"/>
    <s v="PT-1146"/>
    <s v="Follow-up"/>
    <x v="5"/>
    <x v="2"/>
    <s v="Corporate Wellness"/>
    <x v="0"/>
    <n v="75"/>
    <n v="75"/>
    <n v="83.7"/>
    <n v="1550"/>
    <x v="1"/>
    <x v="0"/>
    <n v="0"/>
    <n v="1"/>
    <n v="0"/>
    <n v="0.85"/>
  </r>
  <r>
    <s v="APT-01622"/>
    <x v="214"/>
    <x v="5"/>
    <x v="5"/>
    <x v="3"/>
    <x v="0"/>
    <s v="Palakkad"/>
    <x v="6"/>
    <s v="PT-1139"/>
    <s v="New Patient"/>
    <x v="4"/>
    <x v="3"/>
    <s v="Neurologist"/>
    <x v="0"/>
    <n v="60"/>
    <n v="60"/>
    <n v="67.599999999999994"/>
    <n v="1400"/>
    <x v="21"/>
    <x v="0"/>
    <n v="0"/>
    <n v="1"/>
    <n v="0"/>
    <n v="0.85"/>
  </r>
  <r>
    <s v="APT-01623"/>
    <x v="36"/>
    <x v="2"/>
    <x v="1"/>
    <x v="1"/>
    <x v="0"/>
    <s v="Palakkad"/>
    <x v="9"/>
    <s v="PT-1313"/>
    <s v="Follow-up"/>
    <x v="4"/>
    <x v="0"/>
    <s v="Self Referral"/>
    <x v="1"/>
    <n v="45"/>
    <n v="0"/>
    <n v="52.1"/>
    <n v="950"/>
    <x v="9"/>
    <x v="19"/>
    <n v="1"/>
    <n v="0"/>
    <n v="0"/>
    <n v="0.85"/>
  </r>
  <r>
    <s v="APT-01624"/>
    <x v="11"/>
    <x v="7"/>
    <x v="0"/>
    <x v="0"/>
    <x v="0"/>
    <s v="Palakkad"/>
    <x v="13"/>
    <s v="PT-1344"/>
    <s v="Chronic Pain"/>
    <x v="1"/>
    <x v="0"/>
    <s v="Self Referral"/>
    <x v="1"/>
    <n v="45"/>
    <n v="0"/>
    <n v="59.7"/>
    <n v="950"/>
    <x v="9"/>
    <x v="19"/>
    <n v="1"/>
    <n v="0"/>
    <n v="0"/>
    <n v="0.85"/>
  </r>
  <r>
    <s v="APT-01625"/>
    <x v="4"/>
    <x v="4"/>
    <x v="2"/>
    <x v="2"/>
    <x v="0"/>
    <s v="Palakkad"/>
    <x v="9"/>
    <s v="PT-1588"/>
    <s v="Post-op Rehab"/>
    <x v="0"/>
    <x v="2"/>
    <s v="Corporate Wellness"/>
    <x v="1"/>
    <n v="60"/>
    <n v="0"/>
    <n v="80.400000000000006"/>
    <n v="1450"/>
    <x v="9"/>
    <x v="22"/>
    <n v="1"/>
    <n v="0"/>
    <n v="0"/>
    <n v="0.85"/>
  </r>
  <r>
    <s v="APT-01626"/>
    <x v="150"/>
    <x v="6"/>
    <x v="1"/>
    <x v="1"/>
    <x v="2"/>
    <s v="Ernakulam"/>
    <x v="8"/>
    <s v="PT-1063"/>
    <s v="Follow-up"/>
    <x v="4"/>
    <x v="2"/>
    <s v="Neurologist"/>
    <x v="0"/>
    <n v="75"/>
    <n v="75"/>
    <n v="83.2"/>
    <n v="1900"/>
    <x v="0"/>
    <x v="0"/>
    <n v="0"/>
    <n v="1"/>
    <n v="0"/>
    <n v="0.85"/>
  </r>
  <r>
    <s v="APT-01627"/>
    <x v="235"/>
    <x v="0"/>
    <x v="5"/>
    <x v="0"/>
    <x v="2"/>
    <s v="Ernakulam"/>
    <x v="4"/>
    <s v="PT-1264"/>
    <s v="New Patient"/>
    <x v="3"/>
    <x v="1"/>
    <s v="Hospital Discharge"/>
    <x v="2"/>
    <n v="60"/>
    <n v="0"/>
    <n v="66.400000000000006"/>
    <n v="1550"/>
    <x v="9"/>
    <x v="14"/>
    <n v="0"/>
    <n v="0"/>
    <n v="1"/>
    <n v="0.85"/>
  </r>
  <r>
    <s v="APT-01628"/>
    <x v="7"/>
    <x v="3"/>
    <x v="1"/>
    <x v="1"/>
    <x v="0"/>
    <s v="Palakkad"/>
    <x v="0"/>
    <s v="PT-1016"/>
    <s v="Follow-up"/>
    <x v="1"/>
    <x v="3"/>
    <s v="Online Search"/>
    <x v="0"/>
    <n v="45"/>
    <n v="45"/>
    <n v="49.4"/>
    <n v="850"/>
    <x v="23"/>
    <x v="0"/>
    <n v="0"/>
    <n v="1"/>
    <n v="0"/>
    <n v="0.85"/>
  </r>
  <r>
    <s v="APT-01629"/>
    <x v="23"/>
    <x v="5"/>
    <x v="1"/>
    <x v="3"/>
    <x v="1"/>
    <s v="Thrissur"/>
    <x v="5"/>
    <s v="PT-1485"/>
    <s v="Chronic Pain"/>
    <x v="3"/>
    <x v="1"/>
    <s v="Hospital Discharge"/>
    <x v="0"/>
    <n v="60"/>
    <n v="60"/>
    <n v="66.2"/>
    <n v="1150"/>
    <x v="15"/>
    <x v="0"/>
    <n v="0"/>
    <n v="1"/>
    <n v="0"/>
    <n v="0.85"/>
  </r>
  <r>
    <s v="APT-01630"/>
    <x v="60"/>
    <x v="9"/>
    <x v="1"/>
    <x v="3"/>
    <x v="2"/>
    <s v="Ernakulam"/>
    <x v="12"/>
    <s v="PT-1236"/>
    <s v="Follow-up"/>
    <x v="1"/>
    <x v="0"/>
    <s v="Corporate Wellness"/>
    <x v="2"/>
    <n v="75"/>
    <n v="0"/>
    <n v="90.1"/>
    <n v="1900"/>
    <x v="9"/>
    <x v="4"/>
    <n v="0"/>
    <n v="0"/>
    <n v="1"/>
    <n v="0.85"/>
  </r>
  <r>
    <s v="APT-01631"/>
    <x v="26"/>
    <x v="3"/>
    <x v="4"/>
    <x v="1"/>
    <x v="0"/>
    <s v="Palakkad"/>
    <x v="9"/>
    <s v="PT-1458"/>
    <s v="Post-op Rehab"/>
    <x v="1"/>
    <x v="1"/>
    <s v="Self Referral"/>
    <x v="0"/>
    <n v="30"/>
    <n v="30"/>
    <n v="32.700000000000003"/>
    <n v="600"/>
    <x v="16"/>
    <x v="0"/>
    <n v="0"/>
    <n v="1"/>
    <n v="0"/>
    <n v="0.85"/>
  </r>
  <r>
    <s v="APT-01632"/>
    <x v="115"/>
    <x v="7"/>
    <x v="0"/>
    <x v="2"/>
    <x v="1"/>
    <s v="Thrissur"/>
    <x v="5"/>
    <s v="PT-1550"/>
    <s v="Post-op Rehab"/>
    <x v="1"/>
    <x v="0"/>
    <s v="Corporate Wellness"/>
    <x v="0"/>
    <n v="45"/>
    <n v="45"/>
    <n v="50.1"/>
    <n v="1150"/>
    <x v="15"/>
    <x v="0"/>
    <n v="0"/>
    <n v="1"/>
    <n v="0"/>
    <n v="0.85"/>
  </r>
  <r>
    <s v="APT-01633"/>
    <x v="211"/>
    <x v="4"/>
    <x v="2"/>
    <x v="1"/>
    <x v="1"/>
    <s v="Thrissur"/>
    <x v="2"/>
    <s v="PT-1696"/>
    <s v="New Patient"/>
    <x v="0"/>
    <x v="3"/>
    <s v="Orthopedic Doctor"/>
    <x v="1"/>
    <n v="60"/>
    <n v="0"/>
    <n v="68.5"/>
    <n v="1500"/>
    <x v="9"/>
    <x v="12"/>
    <n v="1"/>
    <n v="0"/>
    <n v="0"/>
    <n v="0.85"/>
  </r>
  <r>
    <s v="APT-01634"/>
    <x v="106"/>
    <x v="3"/>
    <x v="4"/>
    <x v="1"/>
    <x v="1"/>
    <s v="Thrissur"/>
    <x v="5"/>
    <s v="PT-1048"/>
    <s v="Sports Injury"/>
    <x v="5"/>
    <x v="0"/>
    <s v="Self Referral"/>
    <x v="0"/>
    <n v="45"/>
    <n v="45"/>
    <n v="49.6"/>
    <n v="1000"/>
    <x v="13"/>
    <x v="0"/>
    <n v="0"/>
    <n v="1"/>
    <n v="0"/>
    <n v="0.85"/>
  </r>
  <r>
    <s v="APT-01635"/>
    <x v="195"/>
    <x v="8"/>
    <x v="4"/>
    <x v="3"/>
    <x v="1"/>
    <s v="Thrissur"/>
    <x v="10"/>
    <s v="PT-1557"/>
    <s v="Chronic Pain"/>
    <x v="1"/>
    <x v="0"/>
    <s v="Hospital Discharge"/>
    <x v="0"/>
    <n v="60"/>
    <n v="60"/>
    <n v="73.7"/>
    <n v="1350"/>
    <x v="14"/>
    <x v="0"/>
    <n v="0"/>
    <n v="1"/>
    <n v="0"/>
    <n v="0.85"/>
  </r>
  <r>
    <s v="APT-01636"/>
    <x v="208"/>
    <x v="3"/>
    <x v="1"/>
    <x v="3"/>
    <x v="1"/>
    <s v="Thrissur"/>
    <x v="7"/>
    <s v="PT-1224"/>
    <s v="New Patient"/>
    <x v="2"/>
    <x v="0"/>
    <s v="Hospital Discharge"/>
    <x v="0"/>
    <n v="30"/>
    <n v="30"/>
    <n v="39.1"/>
    <n v="800"/>
    <x v="18"/>
    <x v="0"/>
    <n v="0"/>
    <n v="1"/>
    <n v="0"/>
    <n v="0.85"/>
  </r>
  <r>
    <s v="APT-01637"/>
    <x v="310"/>
    <x v="5"/>
    <x v="5"/>
    <x v="1"/>
    <x v="1"/>
    <s v="Thrissur"/>
    <x v="5"/>
    <s v="PT-1001"/>
    <s v="Chronic Pain"/>
    <x v="5"/>
    <x v="3"/>
    <s v="Neurologist"/>
    <x v="0"/>
    <n v="75"/>
    <n v="75"/>
    <n v="88.2"/>
    <n v="1550"/>
    <x v="1"/>
    <x v="0"/>
    <n v="0"/>
    <n v="1"/>
    <n v="0"/>
    <n v="0.85"/>
  </r>
  <r>
    <s v="APT-01638"/>
    <x v="300"/>
    <x v="8"/>
    <x v="0"/>
    <x v="1"/>
    <x v="2"/>
    <s v="Ernakulam"/>
    <x v="4"/>
    <s v="PT-1276"/>
    <s v="Follow-up"/>
    <x v="2"/>
    <x v="0"/>
    <s v="Orthopedic Doctor"/>
    <x v="0"/>
    <n v="60"/>
    <n v="60"/>
    <n v="69.3"/>
    <n v="1500"/>
    <x v="3"/>
    <x v="0"/>
    <n v="0"/>
    <n v="1"/>
    <n v="0"/>
    <n v="0.85"/>
  </r>
  <r>
    <s v="APT-01639"/>
    <x v="78"/>
    <x v="0"/>
    <x v="1"/>
    <x v="1"/>
    <x v="2"/>
    <s v="Ernakulam"/>
    <x v="8"/>
    <s v="PT-1316"/>
    <s v="Chronic Pain"/>
    <x v="1"/>
    <x v="0"/>
    <s v="Corporate Wellness"/>
    <x v="1"/>
    <n v="30"/>
    <n v="0"/>
    <n v="33.6"/>
    <n v="750"/>
    <x v="9"/>
    <x v="31"/>
    <n v="1"/>
    <n v="0"/>
    <n v="0"/>
    <n v="0.85"/>
  </r>
  <r>
    <s v="APT-01640"/>
    <x v="219"/>
    <x v="3"/>
    <x v="5"/>
    <x v="2"/>
    <x v="2"/>
    <s v="Ernakulam"/>
    <x v="14"/>
    <s v="PT-1323"/>
    <s v="Follow-up"/>
    <x v="1"/>
    <x v="1"/>
    <s v="Self Referral"/>
    <x v="0"/>
    <n v="30"/>
    <n v="30"/>
    <n v="40.5"/>
    <n v="650"/>
    <x v="36"/>
    <x v="0"/>
    <n v="0"/>
    <n v="1"/>
    <n v="0"/>
    <n v="0.85"/>
  </r>
  <r>
    <s v="APT-01641"/>
    <x v="129"/>
    <x v="10"/>
    <x v="3"/>
    <x v="2"/>
    <x v="1"/>
    <s v="Thrissur"/>
    <x v="1"/>
    <s v="PT-1591"/>
    <s v="Follow-up"/>
    <x v="0"/>
    <x v="0"/>
    <s v="Online Search"/>
    <x v="0"/>
    <n v="60"/>
    <n v="60"/>
    <n v="67.599999999999994"/>
    <n v="1350"/>
    <x v="14"/>
    <x v="0"/>
    <n v="0"/>
    <n v="1"/>
    <n v="0"/>
    <n v="0.85"/>
  </r>
  <r>
    <s v="APT-01642"/>
    <x v="240"/>
    <x v="2"/>
    <x v="0"/>
    <x v="1"/>
    <x v="1"/>
    <s v="Thrissur"/>
    <x v="7"/>
    <s v="PT-1551"/>
    <s v="Follow-up"/>
    <x v="0"/>
    <x v="0"/>
    <s v="Hospital Discharge"/>
    <x v="0"/>
    <n v="60"/>
    <n v="60"/>
    <n v="69.7"/>
    <n v="1350"/>
    <x v="14"/>
    <x v="0"/>
    <n v="0"/>
    <n v="1"/>
    <n v="0"/>
    <n v="0.85"/>
  </r>
  <r>
    <s v="APT-01643"/>
    <x v="47"/>
    <x v="0"/>
    <x v="0"/>
    <x v="2"/>
    <x v="2"/>
    <s v="Ernakulam"/>
    <x v="8"/>
    <s v="PT-1336"/>
    <s v="Post-op Rehab"/>
    <x v="3"/>
    <x v="0"/>
    <s v="Online Search"/>
    <x v="0"/>
    <n v="75"/>
    <n v="75"/>
    <n v="100.2"/>
    <n v="2150"/>
    <x v="30"/>
    <x v="0"/>
    <n v="0"/>
    <n v="1"/>
    <n v="0"/>
    <n v="0.85"/>
  </r>
  <r>
    <s v="APT-01644"/>
    <x v="62"/>
    <x v="4"/>
    <x v="3"/>
    <x v="2"/>
    <x v="1"/>
    <s v="Thrissur"/>
    <x v="2"/>
    <s v="PT-1159"/>
    <s v="Follow-up"/>
    <x v="2"/>
    <x v="0"/>
    <s v="Neurologist"/>
    <x v="0"/>
    <n v="45"/>
    <n v="45"/>
    <n v="57.2"/>
    <n v="1000"/>
    <x v="13"/>
    <x v="0"/>
    <n v="0"/>
    <n v="1"/>
    <n v="0"/>
    <n v="0.85"/>
  </r>
  <r>
    <s v="APT-01645"/>
    <x v="300"/>
    <x v="8"/>
    <x v="0"/>
    <x v="0"/>
    <x v="1"/>
    <s v="Thrissur"/>
    <x v="1"/>
    <s v="PT-1489"/>
    <s v="Follow-up"/>
    <x v="0"/>
    <x v="0"/>
    <s v="Corporate Wellness"/>
    <x v="0"/>
    <n v="90"/>
    <n v="90"/>
    <n v="101.1"/>
    <n v="2000"/>
    <x v="33"/>
    <x v="0"/>
    <n v="0"/>
    <n v="1"/>
    <n v="0"/>
    <n v="0.85"/>
  </r>
  <r>
    <s v="APT-01646"/>
    <x v="124"/>
    <x v="0"/>
    <x v="5"/>
    <x v="3"/>
    <x v="1"/>
    <s v="Thrissur"/>
    <x v="5"/>
    <s v="PT-1405"/>
    <s v="Chronic Pain"/>
    <x v="5"/>
    <x v="0"/>
    <s v="Orthopedic Doctor"/>
    <x v="0"/>
    <n v="60"/>
    <n v="60"/>
    <n v="72"/>
    <n v="1350"/>
    <x v="14"/>
    <x v="0"/>
    <n v="0"/>
    <n v="1"/>
    <n v="0"/>
    <n v="0.85"/>
  </r>
  <r>
    <s v="APT-01647"/>
    <x v="59"/>
    <x v="5"/>
    <x v="0"/>
    <x v="2"/>
    <x v="2"/>
    <s v="Ernakulam"/>
    <x v="12"/>
    <s v="PT-1418"/>
    <s v="Post-op Rehab"/>
    <x v="3"/>
    <x v="2"/>
    <s v="Orthopedic Doctor"/>
    <x v="0"/>
    <n v="45"/>
    <n v="45"/>
    <n v="49.2"/>
    <n v="1300"/>
    <x v="22"/>
    <x v="0"/>
    <n v="0"/>
    <n v="1"/>
    <n v="0"/>
    <n v="0.85"/>
  </r>
  <r>
    <s v="APT-01648"/>
    <x v="183"/>
    <x v="10"/>
    <x v="1"/>
    <x v="2"/>
    <x v="1"/>
    <s v="Thrissur"/>
    <x v="2"/>
    <s v="PT-1246"/>
    <s v="New Patient"/>
    <x v="2"/>
    <x v="2"/>
    <s v="Hospital Discharge"/>
    <x v="1"/>
    <n v="60"/>
    <n v="0"/>
    <n v="69.900000000000006"/>
    <n v="1600"/>
    <x v="9"/>
    <x v="10"/>
    <n v="1"/>
    <n v="0"/>
    <n v="0"/>
    <n v="0.85"/>
  </r>
  <r>
    <s v="APT-01649"/>
    <x v="270"/>
    <x v="5"/>
    <x v="1"/>
    <x v="3"/>
    <x v="2"/>
    <s v="Ernakulam"/>
    <x v="14"/>
    <s v="PT-1287"/>
    <s v="New Patient"/>
    <x v="1"/>
    <x v="1"/>
    <s v="Hospital Discharge"/>
    <x v="0"/>
    <n v="45"/>
    <n v="45"/>
    <n v="53.4"/>
    <n v="1150"/>
    <x v="15"/>
    <x v="0"/>
    <n v="0"/>
    <n v="1"/>
    <n v="0"/>
    <n v="0.85"/>
  </r>
  <r>
    <s v="APT-01650"/>
    <x v="29"/>
    <x v="5"/>
    <x v="5"/>
    <x v="3"/>
    <x v="2"/>
    <s v="Ernakulam"/>
    <x v="14"/>
    <s v="PT-1622"/>
    <s v="Post-op Rehab"/>
    <x v="1"/>
    <x v="0"/>
    <s v="Corporate Wellness"/>
    <x v="0"/>
    <n v="60"/>
    <n v="60"/>
    <n v="71.5"/>
    <n v="1700"/>
    <x v="6"/>
    <x v="0"/>
    <n v="0"/>
    <n v="1"/>
    <n v="0"/>
    <n v="0.85"/>
  </r>
  <r>
    <s v="APT-01651"/>
    <x v="251"/>
    <x v="7"/>
    <x v="4"/>
    <x v="2"/>
    <x v="1"/>
    <s v="Thrissur"/>
    <x v="5"/>
    <s v="PT-1346"/>
    <s v="New Patient"/>
    <x v="5"/>
    <x v="3"/>
    <s v="Neurologist"/>
    <x v="0"/>
    <n v="60"/>
    <n v="60"/>
    <n v="74.599999999999994"/>
    <n v="1500"/>
    <x v="3"/>
    <x v="0"/>
    <n v="0"/>
    <n v="1"/>
    <n v="0"/>
    <n v="0.85"/>
  </r>
  <r>
    <s v="APT-01652"/>
    <x v="329"/>
    <x v="9"/>
    <x v="6"/>
    <x v="0"/>
    <x v="0"/>
    <s v="Palakkad"/>
    <x v="6"/>
    <s v="PT-1414"/>
    <s v="Follow-up"/>
    <x v="4"/>
    <x v="1"/>
    <s v="Corporate Wellness"/>
    <x v="0"/>
    <n v="30"/>
    <n v="30"/>
    <n v="36"/>
    <n v="550"/>
    <x v="29"/>
    <x v="0"/>
    <n v="0"/>
    <n v="1"/>
    <n v="0"/>
    <n v="0.85"/>
  </r>
  <r>
    <s v="APT-01653"/>
    <x v="34"/>
    <x v="10"/>
    <x v="2"/>
    <x v="0"/>
    <x v="2"/>
    <s v="Ernakulam"/>
    <x v="14"/>
    <s v="PT-1577"/>
    <s v="Post-op Rehab"/>
    <x v="2"/>
    <x v="2"/>
    <s v="Hospital Discharge"/>
    <x v="0"/>
    <n v="75"/>
    <n v="75"/>
    <n v="84.3"/>
    <n v="2150"/>
    <x v="30"/>
    <x v="0"/>
    <n v="0"/>
    <n v="1"/>
    <n v="0"/>
    <n v="0.85"/>
  </r>
  <r>
    <s v="APT-01654"/>
    <x v="260"/>
    <x v="11"/>
    <x v="4"/>
    <x v="1"/>
    <x v="0"/>
    <s v="Palakkad"/>
    <x v="11"/>
    <s v="PT-1462"/>
    <s v="Follow-up"/>
    <x v="5"/>
    <x v="0"/>
    <s v="Online Search"/>
    <x v="1"/>
    <n v="60"/>
    <n v="0"/>
    <n v="81"/>
    <n v="1250"/>
    <x v="9"/>
    <x v="9"/>
    <n v="1"/>
    <n v="0"/>
    <n v="0"/>
    <n v="0.85"/>
  </r>
  <r>
    <s v="APT-01655"/>
    <x v="170"/>
    <x v="6"/>
    <x v="1"/>
    <x v="1"/>
    <x v="2"/>
    <s v="Ernakulam"/>
    <x v="14"/>
    <s v="PT-1175"/>
    <s v="Sports Injury"/>
    <x v="3"/>
    <x v="0"/>
    <s v="Self Referral"/>
    <x v="0"/>
    <n v="45"/>
    <n v="45"/>
    <n v="53.1"/>
    <n v="1100"/>
    <x v="20"/>
    <x v="0"/>
    <n v="0"/>
    <n v="1"/>
    <n v="0"/>
    <n v="0.85"/>
  </r>
  <r>
    <s v="APT-01656"/>
    <x v="236"/>
    <x v="0"/>
    <x v="2"/>
    <x v="0"/>
    <x v="1"/>
    <s v="Thrissur"/>
    <x v="10"/>
    <s v="PT-1090"/>
    <s v="Follow-up"/>
    <x v="1"/>
    <x v="1"/>
    <s v="Online Search"/>
    <x v="0"/>
    <n v="60"/>
    <n v="60"/>
    <n v="71.5"/>
    <n v="1150"/>
    <x v="15"/>
    <x v="0"/>
    <n v="0"/>
    <n v="1"/>
    <n v="0"/>
    <n v="0.85"/>
  </r>
  <r>
    <s v="APT-01657"/>
    <x v="157"/>
    <x v="7"/>
    <x v="3"/>
    <x v="0"/>
    <x v="0"/>
    <s v="Palakkad"/>
    <x v="11"/>
    <s v="PT-1237"/>
    <s v="Follow-up"/>
    <x v="0"/>
    <x v="0"/>
    <s v="Neurologist"/>
    <x v="0"/>
    <n v="75"/>
    <n v="75"/>
    <n v="82.6"/>
    <n v="1550"/>
    <x v="1"/>
    <x v="0"/>
    <n v="0"/>
    <n v="1"/>
    <n v="0"/>
    <n v="0.85"/>
  </r>
  <r>
    <s v="APT-01658"/>
    <x v="221"/>
    <x v="1"/>
    <x v="3"/>
    <x v="2"/>
    <x v="2"/>
    <s v="Ernakulam"/>
    <x v="12"/>
    <s v="PT-1020"/>
    <s v="Post-op Rehab"/>
    <x v="3"/>
    <x v="2"/>
    <s v="Online Search"/>
    <x v="0"/>
    <n v="60"/>
    <n v="60"/>
    <n v="73.599999999999994"/>
    <n v="1700"/>
    <x v="6"/>
    <x v="0"/>
    <n v="0"/>
    <n v="1"/>
    <n v="0"/>
    <n v="0.85"/>
  </r>
  <r>
    <s v="APT-01659"/>
    <x v="180"/>
    <x v="2"/>
    <x v="4"/>
    <x v="3"/>
    <x v="2"/>
    <s v="Ernakulam"/>
    <x v="3"/>
    <s v="PT-1025"/>
    <s v="Follow-up"/>
    <x v="4"/>
    <x v="2"/>
    <s v="Neurologist"/>
    <x v="0"/>
    <n v="60"/>
    <n v="60"/>
    <n v="75.599999999999994"/>
    <n v="1500"/>
    <x v="3"/>
    <x v="0"/>
    <n v="0"/>
    <n v="1"/>
    <n v="0"/>
    <n v="0.85"/>
  </r>
  <r>
    <s v="APT-01660"/>
    <x v="204"/>
    <x v="3"/>
    <x v="2"/>
    <x v="2"/>
    <x v="2"/>
    <s v="Ernakulam"/>
    <x v="14"/>
    <s v="PT-1692"/>
    <s v="Post-op Rehab"/>
    <x v="0"/>
    <x v="0"/>
    <s v="Self Referral"/>
    <x v="2"/>
    <n v="60"/>
    <n v="0"/>
    <n v="77.8"/>
    <n v="1700"/>
    <x v="9"/>
    <x v="5"/>
    <n v="0"/>
    <n v="0"/>
    <n v="1"/>
    <n v="0.85"/>
  </r>
  <r>
    <s v="APT-01661"/>
    <x v="128"/>
    <x v="9"/>
    <x v="3"/>
    <x v="1"/>
    <x v="1"/>
    <s v="Thrissur"/>
    <x v="1"/>
    <s v="PT-1364"/>
    <s v="Geriatric Rehab"/>
    <x v="4"/>
    <x v="2"/>
    <s v="Online Search"/>
    <x v="0"/>
    <n v="30"/>
    <n v="30"/>
    <n v="36.200000000000003"/>
    <n v="700"/>
    <x v="19"/>
    <x v="0"/>
    <n v="0"/>
    <n v="1"/>
    <n v="0"/>
    <n v="0.85"/>
  </r>
  <r>
    <s v="APT-01662"/>
    <x v="162"/>
    <x v="0"/>
    <x v="3"/>
    <x v="0"/>
    <x v="1"/>
    <s v="Thrissur"/>
    <x v="5"/>
    <s v="PT-1077"/>
    <s v="Follow-up"/>
    <x v="1"/>
    <x v="3"/>
    <s v="Orthopedic Doctor"/>
    <x v="0"/>
    <n v="60"/>
    <n v="60"/>
    <n v="70.5"/>
    <n v="1250"/>
    <x v="5"/>
    <x v="0"/>
    <n v="0"/>
    <n v="1"/>
    <n v="0"/>
    <n v="0.85"/>
  </r>
  <r>
    <s v="APT-01663"/>
    <x v="314"/>
    <x v="4"/>
    <x v="4"/>
    <x v="2"/>
    <x v="1"/>
    <s v="Thrissur"/>
    <x v="1"/>
    <s v="PT-1610"/>
    <s v="New Patient"/>
    <x v="4"/>
    <x v="0"/>
    <s v="Orthopedic Doctor"/>
    <x v="1"/>
    <n v="60"/>
    <n v="0"/>
    <n v="72.3"/>
    <n v="1600"/>
    <x v="9"/>
    <x v="10"/>
    <n v="1"/>
    <n v="0"/>
    <n v="0"/>
    <n v="0.85"/>
  </r>
  <r>
    <s v="APT-01664"/>
    <x v="262"/>
    <x v="9"/>
    <x v="1"/>
    <x v="3"/>
    <x v="2"/>
    <s v="Ernakulam"/>
    <x v="8"/>
    <s v="PT-1538"/>
    <s v="Follow-up"/>
    <x v="2"/>
    <x v="3"/>
    <s v="Hospital Discharge"/>
    <x v="0"/>
    <n v="45"/>
    <n v="45"/>
    <n v="60"/>
    <n v="1050"/>
    <x v="2"/>
    <x v="0"/>
    <n v="0"/>
    <n v="1"/>
    <n v="0"/>
    <n v="0.85"/>
  </r>
  <r>
    <s v="APT-01665"/>
    <x v="285"/>
    <x v="6"/>
    <x v="2"/>
    <x v="3"/>
    <x v="1"/>
    <s v="Thrissur"/>
    <x v="2"/>
    <s v="PT-1611"/>
    <s v="Follow-up"/>
    <x v="5"/>
    <x v="0"/>
    <s v="Self Referral"/>
    <x v="0"/>
    <n v="60"/>
    <n v="60"/>
    <n v="66.3"/>
    <n v="1350"/>
    <x v="14"/>
    <x v="0"/>
    <n v="0"/>
    <n v="1"/>
    <n v="0"/>
    <n v="0.85"/>
  </r>
  <r>
    <s v="APT-01666"/>
    <x v="105"/>
    <x v="7"/>
    <x v="2"/>
    <x v="0"/>
    <x v="1"/>
    <s v="Thrissur"/>
    <x v="10"/>
    <s v="PT-1308"/>
    <s v="Follow-up"/>
    <x v="1"/>
    <x v="0"/>
    <s v="Orthopedic Doctor"/>
    <x v="0"/>
    <n v="60"/>
    <n v="60"/>
    <n v="65.7"/>
    <n v="1350"/>
    <x v="14"/>
    <x v="0"/>
    <n v="0"/>
    <n v="1"/>
    <n v="0"/>
    <n v="0.85"/>
  </r>
  <r>
    <s v="APT-01667"/>
    <x v="39"/>
    <x v="6"/>
    <x v="5"/>
    <x v="0"/>
    <x v="0"/>
    <s v="Palakkad"/>
    <x v="11"/>
    <s v="PT-1496"/>
    <s v="Post-op Rehab"/>
    <x v="0"/>
    <x v="3"/>
    <s v="Orthopedic Doctor"/>
    <x v="1"/>
    <n v="60"/>
    <n v="0"/>
    <n v="71.599999999999994"/>
    <n v="1300"/>
    <x v="9"/>
    <x v="1"/>
    <n v="1"/>
    <n v="0"/>
    <n v="0"/>
    <n v="0.85"/>
  </r>
  <r>
    <s v="APT-01668"/>
    <x v="2"/>
    <x v="2"/>
    <x v="2"/>
    <x v="3"/>
    <x v="0"/>
    <s v="Palakkad"/>
    <x v="9"/>
    <s v="PT-1304"/>
    <s v="Post-op Rehab"/>
    <x v="2"/>
    <x v="2"/>
    <s v="Corporate Wellness"/>
    <x v="0"/>
    <n v="45"/>
    <n v="45"/>
    <n v="50.9"/>
    <n v="1100"/>
    <x v="20"/>
    <x v="0"/>
    <n v="0"/>
    <n v="1"/>
    <n v="0"/>
    <n v="0.85"/>
  </r>
  <r>
    <s v="APT-01669"/>
    <x v="81"/>
    <x v="4"/>
    <x v="1"/>
    <x v="3"/>
    <x v="1"/>
    <s v="Thrissur"/>
    <x v="10"/>
    <s v="PT-1537"/>
    <s v="Sports Injury"/>
    <x v="2"/>
    <x v="3"/>
    <s v="Orthopedic Doctor"/>
    <x v="0"/>
    <n v="45"/>
    <n v="45"/>
    <n v="58"/>
    <n v="950"/>
    <x v="7"/>
    <x v="0"/>
    <n v="0"/>
    <n v="1"/>
    <n v="0"/>
    <n v="0.85"/>
  </r>
  <r>
    <s v="APT-01670"/>
    <x v="263"/>
    <x v="8"/>
    <x v="4"/>
    <x v="1"/>
    <x v="0"/>
    <s v="Palakkad"/>
    <x v="0"/>
    <s v="PT-1157"/>
    <s v="Follow-up"/>
    <x v="4"/>
    <x v="0"/>
    <s v="Neurologist"/>
    <x v="0"/>
    <n v="30"/>
    <n v="30"/>
    <n v="32.9"/>
    <n v="600"/>
    <x v="16"/>
    <x v="0"/>
    <n v="0"/>
    <n v="1"/>
    <n v="0"/>
    <n v="0.85"/>
  </r>
  <r>
    <s v="APT-01671"/>
    <x v="182"/>
    <x v="5"/>
    <x v="3"/>
    <x v="2"/>
    <x v="2"/>
    <s v="Ernakulam"/>
    <x v="12"/>
    <s v="PT-1659"/>
    <s v="Geriatric Rehab"/>
    <x v="4"/>
    <x v="2"/>
    <s v="Orthopedic Doctor"/>
    <x v="0"/>
    <n v="60"/>
    <n v="60"/>
    <n v="67.8"/>
    <n v="1500"/>
    <x v="3"/>
    <x v="0"/>
    <n v="0"/>
    <n v="1"/>
    <n v="0"/>
    <n v="0.85"/>
  </r>
  <r>
    <s v="APT-01672"/>
    <x v="170"/>
    <x v="6"/>
    <x v="1"/>
    <x v="0"/>
    <x v="0"/>
    <s v="Palakkad"/>
    <x v="6"/>
    <s v="PT-1026"/>
    <s v="Post-op Rehab"/>
    <x v="1"/>
    <x v="3"/>
    <s v="Neurologist"/>
    <x v="1"/>
    <n v="75"/>
    <n v="0"/>
    <n v="92.5"/>
    <n v="1650"/>
    <x v="9"/>
    <x v="26"/>
    <n v="1"/>
    <n v="0"/>
    <n v="0"/>
    <n v="0.85"/>
  </r>
  <r>
    <s v="APT-01673"/>
    <x v="157"/>
    <x v="7"/>
    <x v="3"/>
    <x v="2"/>
    <x v="1"/>
    <s v="Thrissur"/>
    <x v="1"/>
    <s v="PT-1048"/>
    <s v="Chronic Pain"/>
    <x v="2"/>
    <x v="2"/>
    <s v="Neurologist"/>
    <x v="0"/>
    <n v="60"/>
    <n v="60"/>
    <n v="68.8"/>
    <n v="1350"/>
    <x v="14"/>
    <x v="0"/>
    <n v="0"/>
    <n v="1"/>
    <n v="0"/>
    <n v="0.85"/>
  </r>
  <r>
    <s v="APT-01674"/>
    <x v="63"/>
    <x v="11"/>
    <x v="0"/>
    <x v="3"/>
    <x v="1"/>
    <s v="Thrissur"/>
    <x v="5"/>
    <s v="PT-1185"/>
    <s v="Follow-up"/>
    <x v="2"/>
    <x v="2"/>
    <s v="Hospital Discharge"/>
    <x v="0"/>
    <n v="45"/>
    <n v="45"/>
    <n v="53.9"/>
    <n v="1000"/>
    <x v="13"/>
    <x v="0"/>
    <n v="0"/>
    <n v="1"/>
    <n v="0"/>
    <n v="0.85"/>
  </r>
  <r>
    <s v="APT-01675"/>
    <x v="181"/>
    <x v="7"/>
    <x v="3"/>
    <x v="3"/>
    <x v="0"/>
    <s v="Palakkad"/>
    <x v="6"/>
    <s v="PT-1080"/>
    <s v="Post-op Rehab"/>
    <x v="1"/>
    <x v="0"/>
    <s v="Online Search"/>
    <x v="3"/>
    <n v="45"/>
    <n v="0"/>
    <n v="54.5"/>
    <n v="1100"/>
    <x v="9"/>
    <x v="0"/>
    <n v="0"/>
    <n v="0"/>
    <n v="0"/>
    <n v="0.85"/>
  </r>
  <r>
    <s v="APT-01676"/>
    <x v="132"/>
    <x v="8"/>
    <x v="3"/>
    <x v="2"/>
    <x v="0"/>
    <s v="Palakkad"/>
    <x v="13"/>
    <s v="PT-1462"/>
    <s v="Post-op Rehab"/>
    <x v="5"/>
    <x v="2"/>
    <s v="Hospital Discharge"/>
    <x v="0"/>
    <n v="45"/>
    <n v="45"/>
    <n v="60.8"/>
    <n v="1100"/>
    <x v="20"/>
    <x v="0"/>
    <n v="0"/>
    <n v="1"/>
    <n v="0"/>
    <n v="0.85"/>
  </r>
  <r>
    <s v="APT-01677"/>
    <x v="279"/>
    <x v="6"/>
    <x v="3"/>
    <x v="3"/>
    <x v="0"/>
    <s v="Palakkad"/>
    <x v="9"/>
    <s v="PT-1327"/>
    <s v="Post-op Rehab"/>
    <x v="1"/>
    <x v="3"/>
    <s v="Hospital Discharge"/>
    <x v="0"/>
    <n v="45"/>
    <n v="45"/>
    <n v="52.1"/>
    <n v="1000"/>
    <x v="13"/>
    <x v="0"/>
    <n v="0"/>
    <n v="1"/>
    <n v="0"/>
    <n v="0.85"/>
  </r>
  <r>
    <s v="APT-01678"/>
    <x v="34"/>
    <x v="10"/>
    <x v="2"/>
    <x v="1"/>
    <x v="2"/>
    <s v="Ernakulam"/>
    <x v="3"/>
    <s v="PT-1409"/>
    <s v="New Patient"/>
    <x v="1"/>
    <x v="0"/>
    <s v="Self Referral"/>
    <x v="0"/>
    <n v="30"/>
    <n v="30"/>
    <n v="33"/>
    <n v="900"/>
    <x v="17"/>
    <x v="0"/>
    <n v="0"/>
    <n v="1"/>
    <n v="0"/>
    <n v="0.85"/>
  </r>
  <r>
    <s v="APT-01679"/>
    <x v="139"/>
    <x v="10"/>
    <x v="1"/>
    <x v="2"/>
    <x v="1"/>
    <s v="Thrissur"/>
    <x v="2"/>
    <s v="PT-1171"/>
    <s v="Follow-up"/>
    <x v="0"/>
    <x v="0"/>
    <s v="Neurologist"/>
    <x v="0"/>
    <n v="30"/>
    <n v="30"/>
    <n v="37.299999999999997"/>
    <n v="700"/>
    <x v="19"/>
    <x v="0"/>
    <n v="0"/>
    <n v="1"/>
    <n v="0"/>
    <n v="0.85"/>
  </r>
  <r>
    <s v="APT-01680"/>
    <x v="313"/>
    <x v="0"/>
    <x v="0"/>
    <x v="1"/>
    <x v="0"/>
    <s v="Palakkad"/>
    <x v="0"/>
    <s v="PT-1494"/>
    <s v="Follow-up"/>
    <x v="5"/>
    <x v="2"/>
    <s v="Corporate Wellness"/>
    <x v="0"/>
    <n v="30"/>
    <n v="30"/>
    <n v="34"/>
    <n v="600"/>
    <x v="16"/>
    <x v="0"/>
    <n v="0"/>
    <n v="1"/>
    <n v="0"/>
    <n v="0.85"/>
  </r>
  <r>
    <s v="APT-01681"/>
    <x v="143"/>
    <x v="0"/>
    <x v="5"/>
    <x v="1"/>
    <x v="0"/>
    <s v="Palakkad"/>
    <x v="11"/>
    <s v="PT-1448"/>
    <s v="Follow-up"/>
    <x v="4"/>
    <x v="0"/>
    <s v="Neurologist"/>
    <x v="0"/>
    <n v="60"/>
    <n v="60"/>
    <n v="67.5"/>
    <n v="1250"/>
    <x v="5"/>
    <x v="0"/>
    <n v="0"/>
    <n v="1"/>
    <n v="0"/>
    <n v="0.85"/>
  </r>
  <r>
    <s v="APT-01682"/>
    <x v="1"/>
    <x v="1"/>
    <x v="1"/>
    <x v="3"/>
    <x v="0"/>
    <s v="Palakkad"/>
    <x v="11"/>
    <s v="PT-1266"/>
    <s v="Follow-up"/>
    <x v="2"/>
    <x v="0"/>
    <s v="Online Search"/>
    <x v="0"/>
    <n v="45"/>
    <n v="45"/>
    <n v="49.1"/>
    <n v="950"/>
    <x v="7"/>
    <x v="0"/>
    <n v="0"/>
    <n v="1"/>
    <n v="0"/>
    <n v="0.85"/>
  </r>
  <r>
    <s v="APT-01683"/>
    <x v="128"/>
    <x v="9"/>
    <x v="3"/>
    <x v="0"/>
    <x v="1"/>
    <s v="Thrissur"/>
    <x v="1"/>
    <s v="PT-1474"/>
    <s v="New Patient"/>
    <x v="2"/>
    <x v="1"/>
    <s v="Orthopedic Doctor"/>
    <x v="0"/>
    <n v="30"/>
    <n v="30"/>
    <n v="32.700000000000003"/>
    <n v="700"/>
    <x v="19"/>
    <x v="0"/>
    <n v="0"/>
    <n v="1"/>
    <n v="0"/>
    <n v="0.85"/>
  </r>
  <r>
    <s v="APT-01684"/>
    <x v="234"/>
    <x v="1"/>
    <x v="3"/>
    <x v="1"/>
    <x v="1"/>
    <s v="Thrissur"/>
    <x v="5"/>
    <s v="PT-1029"/>
    <s v="Geriatric Rehab"/>
    <x v="1"/>
    <x v="0"/>
    <s v="Neurologist"/>
    <x v="0"/>
    <n v="30"/>
    <n v="30"/>
    <n v="34.200000000000003"/>
    <n v="700"/>
    <x v="19"/>
    <x v="0"/>
    <n v="0"/>
    <n v="1"/>
    <n v="0"/>
    <n v="0.85"/>
  </r>
  <r>
    <s v="APT-01685"/>
    <x v="232"/>
    <x v="11"/>
    <x v="4"/>
    <x v="0"/>
    <x v="0"/>
    <s v="Palakkad"/>
    <x v="11"/>
    <s v="PT-1286"/>
    <s v="Geriatric Rehab"/>
    <x v="5"/>
    <x v="0"/>
    <s v="Online Search"/>
    <x v="1"/>
    <n v="60"/>
    <n v="0"/>
    <n v="78.900000000000006"/>
    <n v="1250"/>
    <x v="9"/>
    <x v="9"/>
    <n v="1"/>
    <n v="0"/>
    <n v="0"/>
    <n v="0.85"/>
  </r>
  <r>
    <s v="APT-01686"/>
    <x v="64"/>
    <x v="7"/>
    <x v="3"/>
    <x v="3"/>
    <x v="2"/>
    <s v="Ernakulam"/>
    <x v="8"/>
    <s v="PT-1191"/>
    <s v="Follow-up"/>
    <x v="1"/>
    <x v="2"/>
    <s v="Orthopedic Doctor"/>
    <x v="1"/>
    <n v="60"/>
    <n v="0"/>
    <n v="72.099999999999994"/>
    <n v="1500"/>
    <x v="9"/>
    <x v="12"/>
    <n v="1"/>
    <n v="0"/>
    <n v="0"/>
    <n v="0.85"/>
  </r>
  <r>
    <s v="APT-01687"/>
    <x v="292"/>
    <x v="4"/>
    <x v="1"/>
    <x v="0"/>
    <x v="1"/>
    <s v="Thrissur"/>
    <x v="7"/>
    <s v="PT-1385"/>
    <s v="New Patient"/>
    <x v="2"/>
    <x v="2"/>
    <s v="Corporate Wellness"/>
    <x v="0"/>
    <n v="75"/>
    <n v="75"/>
    <n v="87.4"/>
    <n v="2000"/>
    <x v="33"/>
    <x v="0"/>
    <n v="0"/>
    <n v="1"/>
    <n v="0"/>
    <n v="0.85"/>
  </r>
  <r>
    <s v="APT-01688"/>
    <x v="173"/>
    <x v="9"/>
    <x v="3"/>
    <x v="2"/>
    <x v="2"/>
    <s v="Ernakulam"/>
    <x v="14"/>
    <s v="PT-1251"/>
    <s v="New Patient"/>
    <x v="4"/>
    <x v="1"/>
    <s v="Hospital Discharge"/>
    <x v="3"/>
    <n v="45"/>
    <n v="0"/>
    <n v="55.3"/>
    <n v="1150"/>
    <x v="9"/>
    <x v="0"/>
    <n v="0"/>
    <n v="0"/>
    <n v="0"/>
    <n v="0.85"/>
  </r>
  <r>
    <s v="APT-01689"/>
    <x v="101"/>
    <x v="9"/>
    <x v="4"/>
    <x v="2"/>
    <x v="1"/>
    <s v="Thrissur"/>
    <x v="2"/>
    <s v="PT-1061"/>
    <s v="Post-op Rehab"/>
    <x v="3"/>
    <x v="2"/>
    <s v="Neurologist"/>
    <x v="0"/>
    <n v="60"/>
    <n v="60"/>
    <n v="80.400000000000006"/>
    <n v="1550"/>
    <x v="1"/>
    <x v="0"/>
    <n v="0"/>
    <n v="1"/>
    <n v="0"/>
    <n v="0.85"/>
  </r>
  <r>
    <s v="APT-01690"/>
    <x v="133"/>
    <x v="6"/>
    <x v="3"/>
    <x v="1"/>
    <x v="0"/>
    <s v="Palakkad"/>
    <x v="9"/>
    <s v="PT-1314"/>
    <s v="Geriatric Rehab"/>
    <x v="3"/>
    <x v="2"/>
    <s v="Online Search"/>
    <x v="0"/>
    <n v="60"/>
    <n v="60"/>
    <n v="69.400000000000006"/>
    <n v="1250"/>
    <x v="5"/>
    <x v="0"/>
    <n v="0"/>
    <n v="1"/>
    <n v="0"/>
    <n v="0.85"/>
  </r>
  <r>
    <s v="APT-01691"/>
    <x v="80"/>
    <x v="11"/>
    <x v="5"/>
    <x v="3"/>
    <x v="1"/>
    <s v="Thrissur"/>
    <x v="7"/>
    <s v="PT-1224"/>
    <s v="Chronic Pain"/>
    <x v="2"/>
    <x v="0"/>
    <s v="Orthopedic Doctor"/>
    <x v="0"/>
    <n v="60"/>
    <n v="60"/>
    <n v="69.400000000000006"/>
    <n v="1350"/>
    <x v="14"/>
    <x v="0"/>
    <n v="0"/>
    <n v="1"/>
    <n v="0"/>
    <n v="0.85"/>
  </r>
  <r>
    <s v="APT-01692"/>
    <x v="48"/>
    <x v="1"/>
    <x v="3"/>
    <x v="2"/>
    <x v="2"/>
    <s v="Ernakulam"/>
    <x v="12"/>
    <s v="PT-1297"/>
    <s v="New Patient"/>
    <x v="2"/>
    <x v="0"/>
    <s v="Hospital Discharge"/>
    <x v="0"/>
    <n v="60"/>
    <n v="60"/>
    <n v="66.400000000000006"/>
    <n v="1800"/>
    <x v="25"/>
    <x v="0"/>
    <n v="0"/>
    <n v="1"/>
    <n v="0"/>
    <n v="0.85"/>
  </r>
  <r>
    <s v="APT-01693"/>
    <x v="189"/>
    <x v="8"/>
    <x v="0"/>
    <x v="0"/>
    <x v="1"/>
    <s v="Thrissur"/>
    <x v="5"/>
    <s v="PT-1257"/>
    <s v="Post-op Rehab"/>
    <x v="3"/>
    <x v="0"/>
    <s v="Self Referral"/>
    <x v="0"/>
    <n v="45"/>
    <n v="45"/>
    <n v="56.7"/>
    <n v="1150"/>
    <x v="15"/>
    <x v="0"/>
    <n v="0"/>
    <n v="1"/>
    <n v="0"/>
    <n v="0.85"/>
  </r>
  <r>
    <s v="APT-01694"/>
    <x v="139"/>
    <x v="10"/>
    <x v="1"/>
    <x v="3"/>
    <x v="0"/>
    <s v="Palakkad"/>
    <x v="9"/>
    <s v="PT-1054"/>
    <s v="Chronic Pain"/>
    <x v="3"/>
    <x v="0"/>
    <s v="Corporate Wellness"/>
    <x v="0"/>
    <n v="60"/>
    <n v="60"/>
    <n v="74.7"/>
    <n v="1250"/>
    <x v="5"/>
    <x v="0"/>
    <n v="0"/>
    <n v="1"/>
    <n v="0"/>
    <n v="0.85"/>
  </r>
  <r>
    <s v="APT-01695"/>
    <x v="11"/>
    <x v="7"/>
    <x v="0"/>
    <x v="0"/>
    <x v="0"/>
    <s v="Palakkad"/>
    <x v="6"/>
    <s v="PT-1105"/>
    <s v="Sports Injury"/>
    <x v="4"/>
    <x v="0"/>
    <s v="Self Referral"/>
    <x v="0"/>
    <n v="60"/>
    <n v="60"/>
    <n v="69.5"/>
    <n v="1250"/>
    <x v="5"/>
    <x v="0"/>
    <n v="0"/>
    <n v="1"/>
    <n v="0"/>
    <n v="0.85"/>
  </r>
  <r>
    <s v="APT-01696"/>
    <x v="144"/>
    <x v="11"/>
    <x v="1"/>
    <x v="2"/>
    <x v="1"/>
    <s v="Thrissur"/>
    <x v="5"/>
    <s v="PT-1592"/>
    <s v="Chronic Pain"/>
    <x v="4"/>
    <x v="1"/>
    <s v="Corporate Wellness"/>
    <x v="1"/>
    <n v="90"/>
    <n v="0"/>
    <n v="103"/>
    <n v="1700"/>
    <x v="9"/>
    <x v="5"/>
    <n v="1"/>
    <n v="0"/>
    <n v="0"/>
    <n v="0.85"/>
  </r>
  <r>
    <s v="APT-01697"/>
    <x v="317"/>
    <x v="6"/>
    <x v="4"/>
    <x v="1"/>
    <x v="1"/>
    <s v="Thrissur"/>
    <x v="5"/>
    <s v="PT-1503"/>
    <s v="Follow-up"/>
    <x v="0"/>
    <x v="0"/>
    <s v="Self Referral"/>
    <x v="0"/>
    <n v="45"/>
    <n v="45"/>
    <n v="58.3"/>
    <n v="1000"/>
    <x v="13"/>
    <x v="0"/>
    <n v="0"/>
    <n v="1"/>
    <n v="0"/>
    <n v="0.85"/>
  </r>
  <r>
    <s v="APT-01698"/>
    <x v="186"/>
    <x v="3"/>
    <x v="1"/>
    <x v="3"/>
    <x v="0"/>
    <s v="Palakkad"/>
    <x v="9"/>
    <s v="PT-1470"/>
    <s v="New Patient"/>
    <x v="2"/>
    <x v="1"/>
    <s v="Self Referral"/>
    <x v="1"/>
    <n v="60"/>
    <n v="0"/>
    <n v="76"/>
    <n v="1300"/>
    <x v="9"/>
    <x v="1"/>
    <n v="1"/>
    <n v="0"/>
    <n v="0"/>
    <n v="0.85"/>
  </r>
  <r>
    <s v="APT-01699"/>
    <x v="230"/>
    <x v="6"/>
    <x v="1"/>
    <x v="2"/>
    <x v="0"/>
    <s v="Palakkad"/>
    <x v="0"/>
    <s v="PT-1083"/>
    <s v="Post-op Rehab"/>
    <x v="3"/>
    <x v="2"/>
    <s v="Online Search"/>
    <x v="1"/>
    <n v="60"/>
    <n v="0"/>
    <n v="78.400000000000006"/>
    <n v="1450"/>
    <x v="9"/>
    <x v="22"/>
    <n v="1"/>
    <n v="0"/>
    <n v="0"/>
    <n v="0.85"/>
  </r>
  <r>
    <s v="APT-01700"/>
    <x v="325"/>
    <x v="3"/>
    <x v="2"/>
    <x v="0"/>
    <x v="2"/>
    <s v="Ernakulam"/>
    <x v="8"/>
    <s v="PT-1319"/>
    <s v="Geriatric Rehab"/>
    <x v="2"/>
    <x v="0"/>
    <s v="Orthopedic Doctor"/>
    <x v="0"/>
    <n v="90"/>
    <n v="90"/>
    <n v="101.5"/>
    <n v="2250"/>
    <x v="12"/>
    <x v="0"/>
    <n v="0"/>
    <n v="1"/>
    <n v="0"/>
    <n v="0.85"/>
  </r>
  <r>
    <s v="APT-01701"/>
    <x v="9"/>
    <x v="1"/>
    <x v="5"/>
    <x v="3"/>
    <x v="0"/>
    <s v="Palakkad"/>
    <x v="6"/>
    <s v="PT-1222"/>
    <s v="New Patient"/>
    <x v="4"/>
    <x v="0"/>
    <s v="Self Referral"/>
    <x v="1"/>
    <n v="30"/>
    <n v="0"/>
    <n v="34.5"/>
    <n v="750"/>
    <x v="9"/>
    <x v="31"/>
    <n v="1"/>
    <n v="0"/>
    <n v="0"/>
    <n v="0.85"/>
  </r>
  <r>
    <s v="APT-01702"/>
    <x v="138"/>
    <x v="8"/>
    <x v="1"/>
    <x v="1"/>
    <x v="1"/>
    <s v="Thrissur"/>
    <x v="10"/>
    <s v="PT-1381"/>
    <s v="New Patient"/>
    <x v="0"/>
    <x v="2"/>
    <s v="Orthopedic Doctor"/>
    <x v="0"/>
    <n v="60"/>
    <n v="60"/>
    <n v="65.3"/>
    <n v="1600"/>
    <x v="11"/>
    <x v="0"/>
    <n v="0"/>
    <n v="1"/>
    <n v="0"/>
    <n v="0.85"/>
  </r>
  <r>
    <s v="APT-01703"/>
    <x v="268"/>
    <x v="2"/>
    <x v="1"/>
    <x v="0"/>
    <x v="1"/>
    <s v="Thrissur"/>
    <x v="2"/>
    <s v="PT-1068"/>
    <s v="Geriatric Rehab"/>
    <x v="1"/>
    <x v="2"/>
    <s v="Orthopedic Doctor"/>
    <x v="0"/>
    <n v="60"/>
    <n v="60"/>
    <n v="75.099999999999994"/>
    <n v="1350"/>
    <x v="14"/>
    <x v="0"/>
    <n v="0"/>
    <n v="1"/>
    <n v="0"/>
    <n v="0.85"/>
  </r>
  <r>
    <s v="APT-01704"/>
    <x v="113"/>
    <x v="2"/>
    <x v="2"/>
    <x v="2"/>
    <x v="0"/>
    <s v="Palakkad"/>
    <x v="11"/>
    <s v="PT-1268"/>
    <s v="Follow-up"/>
    <x v="2"/>
    <x v="3"/>
    <s v="Orthopedic Doctor"/>
    <x v="0"/>
    <n v="60"/>
    <n v="60"/>
    <n v="73.2"/>
    <n v="1150"/>
    <x v="15"/>
    <x v="0"/>
    <n v="0"/>
    <n v="1"/>
    <n v="0"/>
    <n v="0.85"/>
  </r>
  <r>
    <s v="APT-01705"/>
    <x v="86"/>
    <x v="2"/>
    <x v="4"/>
    <x v="2"/>
    <x v="1"/>
    <s v="Thrissur"/>
    <x v="7"/>
    <s v="PT-1585"/>
    <s v="Chronic Pain"/>
    <x v="1"/>
    <x v="2"/>
    <s v="Self Referral"/>
    <x v="1"/>
    <n v="90"/>
    <n v="0"/>
    <n v="107.2"/>
    <n v="2000"/>
    <x v="9"/>
    <x v="21"/>
    <n v="1"/>
    <n v="0"/>
    <n v="0"/>
    <n v="0.85"/>
  </r>
  <r>
    <s v="APT-01706"/>
    <x v="64"/>
    <x v="7"/>
    <x v="3"/>
    <x v="2"/>
    <x v="1"/>
    <s v="Thrissur"/>
    <x v="10"/>
    <s v="PT-1094"/>
    <s v="New Patient"/>
    <x v="4"/>
    <x v="2"/>
    <s v="Corporate Wellness"/>
    <x v="0"/>
    <n v="45"/>
    <n v="45"/>
    <n v="49.9"/>
    <n v="1200"/>
    <x v="26"/>
    <x v="0"/>
    <n v="0"/>
    <n v="1"/>
    <n v="0"/>
    <n v="0.85"/>
  </r>
  <r>
    <s v="APT-01707"/>
    <x v="288"/>
    <x v="10"/>
    <x v="3"/>
    <x v="1"/>
    <x v="1"/>
    <s v="Thrissur"/>
    <x v="10"/>
    <s v="PT-1569"/>
    <s v="Follow-up"/>
    <x v="2"/>
    <x v="1"/>
    <s v="Neurologist"/>
    <x v="0"/>
    <n v="30"/>
    <n v="30"/>
    <n v="34.299999999999997"/>
    <n v="550"/>
    <x v="29"/>
    <x v="0"/>
    <n v="0"/>
    <n v="1"/>
    <n v="0"/>
    <n v="0.85"/>
  </r>
  <r>
    <s v="APT-01708"/>
    <x v="231"/>
    <x v="4"/>
    <x v="5"/>
    <x v="3"/>
    <x v="0"/>
    <s v="Palakkad"/>
    <x v="9"/>
    <s v="PT-1238"/>
    <s v="New Patient"/>
    <x v="4"/>
    <x v="0"/>
    <s v="Self Referral"/>
    <x v="0"/>
    <n v="45"/>
    <n v="45"/>
    <n v="57.2"/>
    <n v="1100"/>
    <x v="20"/>
    <x v="0"/>
    <n v="0"/>
    <n v="1"/>
    <n v="0"/>
    <n v="0.85"/>
  </r>
  <r>
    <s v="APT-01709"/>
    <x v="146"/>
    <x v="8"/>
    <x v="1"/>
    <x v="1"/>
    <x v="2"/>
    <s v="Ernakulam"/>
    <x v="8"/>
    <s v="PT-1183"/>
    <s v="Chronic Pain"/>
    <x v="4"/>
    <x v="2"/>
    <s v="Self Referral"/>
    <x v="1"/>
    <n v="60"/>
    <n v="0"/>
    <n v="73.5"/>
    <n v="1500"/>
    <x v="9"/>
    <x v="12"/>
    <n v="1"/>
    <n v="0"/>
    <n v="0"/>
    <n v="0.85"/>
  </r>
  <r>
    <s v="APT-01710"/>
    <x v="256"/>
    <x v="0"/>
    <x v="3"/>
    <x v="3"/>
    <x v="0"/>
    <s v="Palakkad"/>
    <x v="6"/>
    <s v="PT-1147"/>
    <s v="Follow-up"/>
    <x v="4"/>
    <x v="2"/>
    <s v="Online Search"/>
    <x v="0"/>
    <n v="60"/>
    <n v="60"/>
    <n v="81"/>
    <n v="1250"/>
    <x v="5"/>
    <x v="0"/>
    <n v="0"/>
    <n v="1"/>
    <n v="0"/>
    <n v="0.85"/>
  </r>
  <r>
    <s v="APT-01711"/>
    <x v="114"/>
    <x v="3"/>
    <x v="5"/>
    <x v="0"/>
    <x v="1"/>
    <s v="Thrissur"/>
    <x v="2"/>
    <s v="PT-1153"/>
    <s v="Post-op Rehab"/>
    <x v="5"/>
    <x v="0"/>
    <s v="Hospital Discharge"/>
    <x v="1"/>
    <n v="30"/>
    <n v="0"/>
    <n v="34.4"/>
    <n v="800"/>
    <x v="9"/>
    <x v="30"/>
    <n v="1"/>
    <n v="0"/>
    <n v="0"/>
    <n v="0.85"/>
  </r>
  <r>
    <s v="APT-01712"/>
    <x v="89"/>
    <x v="8"/>
    <x v="5"/>
    <x v="1"/>
    <x v="2"/>
    <s v="Ernakulam"/>
    <x v="4"/>
    <s v="PT-1295"/>
    <s v="Follow-up"/>
    <x v="5"/>
    <x v="0"/>
    <s v="Corporate Wellness"/>
    <x v="1"/>
    <n v="60"/>
    <n v="0"/>
    <n v="74.099999999999994"/>
    <n v="1500"/>
    <x v="9"/>
    <x v="12"/>
    <n v="1"/>
    <n v="0"/>
    <n v="0"/>
    <n v="0.85"/>
  </r>
  <r>
    <s v="APT-01713"/>
    <x v="98"/>
    <x v="3"/>
    <x v="0"/>
    <x v="3"/>
    <x v="0"/>
    <s v="Palakkad"/>
    <x v="6"/>
    <s v="PT-1154"/>
    <s v="Follow-up"/>
    <x v="2"/>
    <x v="0"/>
    <s v="Neurologist"/>
    <x v="1"/>
    <n v="45"/>
    <n v="0"/>
    <n v="50"/>
    <n v="950"/>
    <x v="9"/>
    <x v="19"/>
    <n v="1"/>
    <n v="0"/>
    <n v="0"/>
    <n v="0.85"/>
  </r>
  <r>
    <s v="APT-01714"/>
    <x v="274"/>
    <x v="9"/>
    <x v="0"/>
    <x v="1"/>
    <x v="0"/>
    <s v="Palakkad"/>
    <x v="11"/>
    <s v="PT-1369"/>
    <s v="Post-op Rehab"/>
    <x v="5"/>
    <x v="3"/>
    <s v="Online Search"/>
    <x v="0"/>
    <n v="60"/>
    <n v="60"/>
    <n v="70.099999999999994"/>
    <n v="1300"/>
    <x v="22"/>
    <x v="0"/>
    <n v="0"/>
    <n v="1"/>
    <n v="0"/>
    <n v="0.85"/>
  </r>
  <r>
    <s v="APT-01715"/>
    <x v="172"/>
    <x v="7"/>
    <x v="1"/>
    <x v="1"/>
    <x v="1"/>
    <s v="Thrissur"/>
    <x v="5"/>
    <s v="PT-1640"/>
    <s v="Chronic Pain"/>
    <x v="4"/>
    <x v="0"/>
    <s v="Online Search"/>
    <x v="0"/>
    <n v="60"/>
    <n v="60"/>
    <n v="66.8"/>
    <n v="1350"/>
    <x v="14"/>
    <x v="0"/>
    <n v="0"/>
    <n v="1"/>
    <n v="0"/>
    <n v="0.85"/>
  </r>
  <r>
    <s v="APT-01716"/>
    <x v="297"/>
    <x v="2"/>
    <x v="3"/>
    <x v="2"/>
    <x v="2"/>
    <s v="Ernakulam"/>
    <x v="14"/>
    <s v="PT-1075"/>
    <s v="Sports Injury"/>
    <x v="2"/>
    <x v="1"/>
    <s v="Online Search"/>
    <x v="0"/>
    <n v="30"/>
    <n v="30"/>
    <n v="35.4"/>
    <n v="650"/>
    <x v="36"/>
    <x v="0"/>
    <n v="0"/>
    <n v="1"/>
    <n v="0"/>
    <n v="0.85"/>
  </r>
  <r>
    <s v="APT-01717"/>
    <x v="214"/>
    <x v="5"/>
    <x v="5"/>
    <x v="3"/>
    <x v="1"/>
    <s v="Thrissur"/>
    <x v="10"/>
    <s v="PT-1286"/>
    <s v="Follow-up"/>
    <x v="3"/>
    <x v="2"/>
    <s v="Neurologist"/>
    <x v="0"/>
    <n v="60"/>
    <n v="60"/>
    <n v="79.599999999999994"/>
    <n v="1350"/>
    <x v="14"/>
    <x v="0"/>
    <n v="0"/>
    <n v="1"/>
    <n v="0"/>
    <n v="0.85"/>
  </r>
  <r>
    <s v="APT-01718"/>
    <x v="23"/>
    <x v="5"/>
    <x v="1"/>
    <x v="3"/>
    <x v="1"/>
    <s v="Thrissur"/>
    <x v="10"/>
    <s v="PT-1632"/>
    <s v="New Patient"/>
    <x v="5"/>
    <x v="0"/>
    <s v="Online Search"/>
    <x v="1"/>
    <n v="30"/>
    <n v="0"/>
    <n v="40"/>
    <n v="800"/>
    <x v="9"/>
    <x v="30"/>
    <n v="1"/>
    <n v="0"/>
    <n v="0"/>
    <n v="0.85"/>
  </r>
  <r>
    <s v="APT-01719"/>
    <x v="17"/>
    <x v="0"/>
    <x v="1"/>
    <x v="1"/>
    <x v="1"/>
    <s v="Thrissur"/>
    <x v="1"/>
    <s v="PT-1364"/>
    <s v="Follow-up"/>
    <x v="5"/>
    <x v="0"/>
    <s v="Online Search"/>
    <x v="0"/>
    <n v="60"/>
    <n v="60"/>
    <n v="80.599999999999994"/>
    <n v="1350"/>
    <x v="14"/>
    <x v="0"/>
    <n v="0"/>
    <n v="1"/>
    <n v="0"/>
    <n v="0.85"/>
  </r>
  <r>
    <s v="APT-01720"/>
    <x v="26"/>
    <x v="3"/>
    <x v="4"/>
    <x v="2"/>
    <x v="2"/>
    <s v="Ernakulam"/>
    <x v="12"/>
    <s v="PT-1651"/>
    <s v="Follow-up"/>
    <x v="3"/>
    <x v="0"/>
    <s v="Online Search"/>
    <x v="0"/>
    <n v="60"/>
    <n v="60"/>
    <n v="76.099999999999994"/>
    <n v="1500"/>
    <x v="3"/>
    <x v="0"/>
    <n v="0"/>
    <n v="1"/>
    <n v="0"/>
    <n v="0.85"/>
  </r>
  <r>
    <s v="APT-01721"/>
    <x v="11"/>
    <x v="7"/>
    <x v="0"/>
    <x v="1"/>
    <x v="0"/>
    <s v="Palakkad"/>
    <x v="6"/>
    <s v="PT-1490"/>
    <s v="Post-op Rehab"/>
    <x v="1"/>
    <x v="0"/>
    <s v="Neurologist"/>
    <x v="0"/>
    <n v="45"/>
    <n v="45"/>
    <n v="59.2"/>
    <n v="1100"/>
    <x v="20"/>
    <x v="0"/>
    <n v="0"/>
    <n v="1"/>
    <n v="0"/>
    <n v="0.85"/>
  </r>
  <r>
    <s v="APT-01722"/>
    <x v="25"/>
    <x v="11"/>
    <x v="0"/>
    <x v="2"/>
    <x v="0"/>
    <s v="Palakkad"/>
    <x v="11"/>
    <s v="PT-1571"/>
    <s v="Follow-up"/>
    <x v="1"/>
    <x v="3"/>
    <s v="Self Referral"/>
    <x v="0"/>
    <n v="30"/>
    <n v="30"/>
    <n v="38"/>
    <n v="600"/>
    <x v="16"/>
    <x v="0"/>
    <n v="0"/>
    <n v="1"/>
    <n v="0"/>
    <n v="0.85"/>
  </r>
  <r>
    <s v="APT-01723"/>
    <x v="256"/>
    <x v="0"/>
    <x v="3"/>
    <x v="0"/>
    <x v="2"/>
    <s v="Ernakulam"/>
    <x v="8"/>
    <s v="PT-1438"/>
    <s v="Follow-up"/>
    <x v="1"/>
    <x v="1"/>
    <s v="Self Referral"/>
    <x v="0"/>
    <n v="60"/>
    <n v="60"/>
    <n v="79.2"/>
    <n v="1300"/>
    <x v="22"/>
    <x v="0"/>
    <n v="0"/>
    <n v="1"/>
    <n v="0"/>
    <n v="0.85"/>
  </r>
  <r>
    <s v="APT-01724"/>
    <x v="36"/>
    <x v="2"/>
    <x v="1"/>
    <x v="0"/>
    <x v="0"/>
    <s v="Palakkad"/>
    <x v="13"/>
    <s v="PT-1541"/>
    <s v="Post-op Rehab"/>
    <x v="4"/>
    <x v="1"/>
    <s v="Online Search"/>
    <x v="0"/>
    <n v="60"/>
    <n v="60"/>
    <n v="73.099999999999994"/>
    <n v="1200"/>
    <x v="26"/>
    <x v="0"/>
    <n v="0"/>
    <n v="1"/>
    <n v="0"/>
    <n v="0.85"/>
  </r>
  <r>
    <s v="APT-01725"/>
    <x v="166"/>
    <x v="10"/>
    <x v="1"/>
    <x v="3"/>
    <x v="0"/>
    <s v="Palakkad"/>
    <x v="0"/>
    <s v="PT-1491"/>
    <s v="New Patient"/>
    <x v="1"/>
    <x v="1"/>
    <s v="Online Search"/>
    <x v="1"/>
    <n v="30"/>
    <n v="0"/>
    <n v="37.5"/>
    <n v="650"/>
    <x v="9"/>
    <x v="20"/>
    <n v="1"/>
    <n v="0"/>
    <n v="0"/>
    <n v="0.85"/>
  </r>
  <r>
    <s v="APT-01726"/>
    <x v="165"/>
    <x v="9"/>
    <x v="2"/>
    <x v="2"/>
    <x v="0"/>
    <s v="Palakkad"/>
    <x v="9"/>
    <s v="PT-1003"/>
    <s v="Post-op Rehab"/>
    <x v="4"/>
    <x v="0"/>
    <s v="Corporate Wellness"/>
    <x v="1"/>
    <n v="45"/>
    <n v="0"/>
    <n v="56.8"/>
    <n v="1100"/>
    <x v="9"/>
    <x v="6"/>
    <n v="1"/>
    <n v="0"/>
    <n v="0"/>
    <n v="0.85"/>
  </r>
  <r>
    <s v="APT-01727"/>
    <x v="81"/>
    <x v="4"/>
    <x v="1"/>
    <x v="2"/>
    <x v="1"/>
    <s v="Thrissur"/>
    <x v="1"/>
    <s v="PT-1136"/>
    <s v="New Patient"/>
    <x v="2"/>
    <x v="2"/>
    <s v="Self Referral"/>
    <x v="0"/>
    <n v="45"/>
    <n v="45"/>
    <n v="55.6"/>
    <n v="1200"/>
    <x v="26"/>
    <x v="0"/>
    <n v="0"/>
    <n v="1"/>
    <n v="0"/>
    <n v="0.85"/>
  </r>
  <r>
    <s v="APT-01728"/>
    <x v="19"/>
    <x v="4"/>
    <x v="0"/>
    <x v="3"/>
    <x v="1"/>
    <s v="Thrissur"/>
    <x v="7"/>
    <s v="PT-1055"/>
    <s v="Chronic Pain"/>
    <x v="5"/>
    <x v="1"/>
    <s v="Online Search"/>
    <x v="0"/>
    <n v="60"/>
    <n v="60"/>
    <n v="70.400000000000006"/>
    <n v="1150"/>
    <x v="15"/>
    <x v="0"/>
    <n v="0"/>
    <n v="1"/>
    <n v="0"/>
    <n v="0.85"/>
  </r>
  <r>
    <s v="APT-01729"/>
    <x v="240"/>
    <x v="2"/>
    <x v="0"/>
    <x v="0"/>
    <x v="1"/>
    <s v="Thrissur"/>
    <x v="10"/>
    <s v="PT-1234"/>
    <s v="Sports Injury"/>
    <x v="2"/>
    <x v="2"/>
    <s v="Corporate Wellness"/>
    <x v="0"/>
    <n v="45"/>
    <n v="45"/>
    <n v="50.7"/>
    <n v="1000"/>
    <x v="13"/>
    <x v="0"/>
    <n v="0"/>
    <n v="1"/>
    <n v="0"/>
    <n v="0.85"/>
  </r>
  <r>
    <s v="APT-01730"/>
    <x v="113"/>
    <x v="2"/>
    <x v="2"/>
    <x v="3"/>
    <x v="0"/>
    <s v="Palakkad"/>
    <x v="13"/>
    <s v="PT-1133"/>
    <s v="Post-op Rehab"/>
    <x v="2"/>
    <x v="0"/>
    <s v="Hospital Discharge"/>
    <x v="0"/>
    <n v="60"/>
    <n v="60"/>
    <n v="72"/>
    <n v="1450"/>
    <x v="10"/>
    <x v="0"/>
    <n v="0"/>
    <n v="1"/>
    <n v="0"/>
    <n v="0.85"/>
  </r>
  <r>
    <s v="APT-01731"/>
    <x v="278"/>
    <x v="4"/>
    <x v="5"/>
    <x v="0"/>
    <x v="2"/>
    <s v="Ernakulam"/>
    <x v="3"/>
    <s v="PT-1646"/>
    <s v="Sports Injury"/>
    <x v="5"/>
    <x v="2"/>
    <s v="Online Search"/>
    <x v="0"/>
    <n v="45"/>
    <n v="45"/>
    <n v="49.5"/>
    <n v="1100"/>
    <x v="20"/>
    <x v="0"/>
    <n v="0"/>
    <n v="1"/>
    <n v="0"/>
    <n v="0.85"/>
  </r>
  <r>
    <s v="APT-01732"/>
    <x v="72"/>
    <x v="10"/>
    <x v="2"/>
    <x v="0"/>
    <x v="2"/>
    <s v="Ernakulam"/>
    <x v="8"/>
    <s v="PT-1430"/>
    <s v="Sports Injury"/>
    <x v="5"/>
    <x v="0"/>
    <s v="Online Search"/>
    <x v="0"/>
    <n v="30"/>
    <n v="30"/>
    <n v="38.6"/>
    <n v="750"/>
    <x v="27"/>
    <x v="0"/>
    <n v="0"/>
    <n v="1"/>
    <n v="0"/>
    <n v="0.85"/>
  </r>
  <r>
    <s v="APT-01733"/>
    <x v="165"/>
    <x v="9"/>
    <x v="2"/>
    <x v="2"/>
    <x v="1"/>
    <s v="Thrissur"/>
    <x v="2"/>
    <s v="PT-1126"/>
    <s v="Geriatric Rehab"/>
    <x v="5"/>
    <x v="0"/>
    <s v="Self Referral"/>
    <x v="1"/>
    <n v="60"/>
    <n v="0"/>
    <n v="71.8"/>
    <n v="1350"/>
    <x v="9"/>
    <x v="2"/>
    <n v="1"/>
    <n v="0"/>
    <n v="0"/>
    <n v="0.85"/>
  </r>
  <r>
    <s v="APT-01734"/>
    <x v="35"/>
    <x v="3"/>
    <x v="1"/>
    <x v="2"/>
    <x v="0"/>
    <s v="Palakkad"/>
    <x v="11"/>
    <s v="PT-1268"/>
    <s v="Chronic Pain"/>
    <x v="2"/>
    <x v="1"/>
    <s v="Online Search"/>
    <x v="0"/>
    <n v="45"/>
    <n v="45"/>
    <n v="49.5"/>
    <n v="800"/>
    <x v="18"/>
    <x v="0"/>
    <n v="0"/>
    <n v="1"/>
    <n v="0"/>
    <n v="0.85"/>
  </r>
  <r>
    <s v="APT-01735"/>
    <x v="124"/>
    <x v="0"/>
    <x v="5"/>
    <x v="2"/>
    <x v="2"/>
    <s v="Ernakulam"/>
    <x v="4"/>
    <s v="PT-1535"/>
    <s v="Follow-up"/>
    <x v="0"/>
    <x v="0"/>
    <s v="Online Search"/>
    <x v="0"/>
    <n v="75"/>
    <n v="75"/>
    <n v="88.2"/>
    <n v="1900"/>
    <x v="0"/>
    <x v="0"/>
    <n v="0"/>
    <n v="1"/>
    <n v="0"/>
    <n v="0.85"/>
  </r>
  <r>
    <s v="APT-01736"/>
    <x v="188"/>
    <x v="5"/>
    <x v="2"/>
    <x v="1"/>
    <x v="1"/>
    <s v="Thrissur"/>
    <x v="2"/>
    <s v="PT-1043"/>
    <s v="Sports Injury"/>
    <x v="4"/>
    <x v="1"/>
    <s v="Online Search"/>
    <x v="3"/>
    <n v="90"/>
    <n v="0"/>
    <n v="98.9"/>
    <n v="1700"/>
    <x v="9"/>
    <x v="0"/>
    <n v="0"/>
    <n v="0"/>
    <n v="0"/>
    <n v="0.85"/>
  </r>
  <r>
    <s v="APT-01737"/>
    <x v="84"/>
    <x v="6"/>
    <x v="0"/>
    <x v="3"/>
    <x v="0"/>
    <s v="Palakkad"/>
    <x v="0"/>
    <s v="PT-1659"/>
    <s v="Follow-up"/>
    <x v="4"/>
    <x v="3"/>
    <s v="Corporate Wellness"/>
    <x v="0"/>
    <n v="75"/>
    <n v="75"/>
    <n v="91.1"/>
    <n v="1450"/>
    <x v="10"/>
    <x v="0"/>
    <n v="0"/>
    <n v="1"/>
    <n v="0"/>
    <n v="0.85"/>
  </r>
  <r>
    <s v="APT-01738"/>
    <x v="209"/>
    <x v="4"/>
    <x v="4"/>
    <x v="2"/>
    <x v="2"/>
    <s v="Ernakulam"/>
    <x v="14"/>
    <s v="PT-1334"/>
    <s v="Follow-up"/>
    <x v="2"/>
    <x v="0"/>
    <s v="Self Referral"/>
    <x v="0"/>
    <n v="30"/>
    <n v="30"/>
    <n v="35.1"/>
    <n v="750"/>
    <x v="27"/>
    <x v="0"/>
    <n v="0"/>
    <n v="1"/>
    <n v="0"/>
    <n v="0.85"/>
  </r>
  <r>
    <s v="APT-01739"/>
    <x v="78"/>
    <x v="0"/>
    <x v="1"/>
    <x v="2"/>
    <x v="2"/>
    <s v="Ernakulam"/>
    <x v="3"/>
    <s v="PT-1537"/>
    <s v="Post-op Rehab"/>
    <x v="0"/>
    <x v="3"/>
    <s v="Orthopedic Doctor"/>
    <x v="0"/>
    <n v="60"/>
    <n v="60"/>
    <n v="71"/>
    <n v="1600"/>
    <x v="11"/>
    <x v="0"/>
    <n v="0"/>
    <n v="1"/>
    <n v="0"/>
    <n v="0.85"/>
  </r>
  <r>
    <s v="APT-01740"/>
    <x v="101"/>
    <x v="9"/>
    <x v="4"/>
    <x v="2"/>
    <x v="1"/>
    <s v="Thrissur"/>
    <x v="2"/>
    <s v="PT-1068"/>
    <s v="New Patient"/>
    <x v="2"/>
    <x v="0"/>
    <s v="Neurologist"/>
    <x v="0"/>
    <n v="30"/>
    <n v="30"/>
    <n v="36.799999999999997"/>
    <n v="800"/>
    <x v="18"/>
    <x v="0"/>
    <n v="0"/>
    <n v="1"/>
    <n v="0"/>
    <n v="0.85"/>
  </r>
  <r>
    <s v="APT-01741"/>
    <x v="259"/>
    <x v="0"/>
    <x v="2"/>
    <x v="3"/>
    <x v="2"/>
    <s v="Ernakulam"/>
    <x v="4"/>
    <s v="PT-1309"/>
    <s v="Sports Injury"/>
    <x v="2"/>
    <x v="2"/>
    <s v="Corporate Wellness"/>
    <x v="0"/>
    <n v="30"/>
    <n v="30"/>
    <n v="34.200000000000003"/>
    <n v="750"/>
    <x v="27"/>
    <x v="0"/>
    <n v="0"/>
    <n v="1"/>
    <n v="0"/>
    <n v="0.85"/>
  </r>
  <r>
    <s v="APT-01742"/>
    <x v="285"/>
    <x v="6"/>
    <x v="2"/>
    <x v="1"/>
    <x v="2"/>
    <s v="Ernakulam"/>
    <x v="3"/>
    <s v="PT-1211"/>
    <s v="Chronic Pain"/>
    <x v="0"/>
    <x v="2"/>
    <s v="Self Referral"/>
    <x v="0"/>
    <n v="45"/>
    <n v="45"/>
    <n v="54.9"/>
    <n v="1100"/>
    <x v="20"/>
    <x v="0"/>
    <n v="0"/>
    <n v="1"/>
    <n v="0"/>
    <n v="0.85"/>
  </r>
  <r>
    <s v="APT-01743"/>
    <x v="128"/>
    <x v="9"/>
    <x v="3"/>
    <x v="0"/>
    <x v="1"/>
    <s v="Thrissur"/>
    <x v="5"/>
    <s v="PT-1346"/>
    <s v="Follow-up"/>
    <x v="3"/>
    <x v="2"/>
    <s v="Orthopedic Doctor"/>
    <x v="3"/>
    <n v="45"/>
    <n v="0"/>
    <n v="57.2"/>
    <n v="1000"/>
    <x v="9"/>
    <x v="0"/>
    <n v="0"/>
    <n v="0"/>
    <n v="0"/>
    <n v="0.85"/>
  </r>
  <r>
    <s v="APT-01744"/>
    <x v="159"/>
    <x v="5"/>
    <x v="1"/>
    <x v="1"/>
    <x v="0"/>
    <s v="Palakkad"/>
    <x v="11"/>
    <s v="PT-1161"/>
    <s v="Follow-up"/>
    <x v="3"/>
    <x v="0"/>
    <s v="Online Search"/>
    <x v="0"/>
    <n v="75"/>
    <n v="75"/>
    <n v="82.8"/>
    <n v="1550"/>
    <x v="1"/>
    <x v="0"/>
    <n v="0"/>
    <n v="1"/>
    <n v="0"/>
    <n v="0.85"/>
  </r>
  <r>
    <s v="APT-01745"/>
    <x v="192"/>
    <x v="0"/>
    <x v="1"/>
    <x v="3"/>
    <x v="1"/>
    <s v="Thrissur"/>
    <x v="5"/>
    <s v="PT-1059"/>
    <s v="Chronic Pain"/>
    <x v="4"/>
    <x v="2"/>
    <s v="Online Search"/>
    <x v="0"/>
    <n v="45"/>
    <n v="45"/>
    <n v="53.1"/>
    <n v="1000"/>
    <x v="13"/>
    <x v="0"/>
    <n v="0"/>
    <n v="1"/>
    <n v="0"/>
    <n v="0.85"/>
  </r>
  <r>
    <s v="APT-01746"/>
    <x v="275"/>
    <x v="6"/>
    <x v="4"/>
    <x v="0"/>
    <x v="1"/>
    <s v="Thrissur"/>
    <x v="1"/>
    <s v="PT-1478"/>
    <s v="Sports Injury"/>
    <x v="5"/>
    <x v="2"/>
    <s v="Orthopedic Doctor"/>
    <x v="0"/>
    <n v="45"/>
    <n v="45"/>
    <n v="50.8"/>
    <n v="1000"/>
    <x v="13"/>
    <x v="0"/>
    <n v="0"/>
    <n v="1"/>
    <n v="0"/>
    <n v="0.85"/>
  </r>
  <r>
    <s v="APT-01747"/>
    <x v="69"/>
    <x v="4"/>
    <x v="0"/>
    <x v="3"/>
    <x v="2"/>
    <s v="Ernakulam"/>
    <x v="8"/>
    <s v="PT-1147"/>
    <s v="Follow-up"/>
    <x v="0"/>
    <x v="0"/>
    <s v="Orthopedic Doctor"/>
    <x v="0"/>
    <n v="30"/>
    <n v="30"/>
    <n v="35"/>
    <n v="750"/>
    <x v="27"/>
    <x v="0"/>
    <n v="0"/>
    <n v="1"/>
    <n v="0"/>
    <n v="0.85"/>
  </r>
  <r>
    <s v="APT-01748"/>
    <x v="56"/>
    <x v="6"/>
    <x v="4"/>
    <x v="2"/>
    <x v="2"/>
    <s v="Ernakulam"/>
    <x v="14"/>
    <s v="PT-1526"/>
    <s v="Follow-up"/>
    <x v="5"/>
    <x v="0"/>
    <s v="Hospital Discharge"/>
    <x v="2"/>
    <n v="30"/>
    <n v="0"/>
    <n v="34.6"/>
    <n v="750"/>
    <x v="9"/>
    <x v="31"/>
    <n v="0"/>
    <n v="0"/>
    <n v="1"/>
    <n v="0.85"/>
  </r>
  <r>
    <s v="APT-01749"/>
    <x v="240"/>
    <x v="2"/>
    <x v="0"/>
    <x v="1"/>
    <x v="2"/>
    <s v="Ernakulam"/>
    <x v="8"/>
    <s v="PT-1242"/>
    <s v="Follow-up"/>
    <x v="4"/>
    <x v="0"/>
    <s v="Hospital Discharge"/>
    <x v="0"/>
    <n v="60"/>
    <n v="60"/>
    <n v="68.7"/>
    <n v="1500"/>
    <x v="3"/>
    <x v="0"/>
    <n v="0"/>
    <n v="1"/>
    <n v="0"/>
    <n v="0.85"/>
  </r>
  <r>
    <s v="APT-01750"/>
    <x v="276"/>
    <x v="5"/>
    <x v="0"/>
    <x v="2"/>
    <x v="0"/>
    <s v="Palakkad"/>
    <x v="9"/>
    <s v="PT-1505"/>
    <s v="Follow-up"/>
    <x v="3"/>
    <x v="0"/>
    <s v="Neurologist"/>
    <x v="0"/>
    <n v="90"/>
    <n v="90"/>
    <n v="110.4"/>
    <n v="1900"/>
    <x v="0"/>
    <x v="0"/>
    <n v="0"/>
    <n v="1"/>
    <n v="0"/>
    <n v="0.85"/>
  </r>
  <r>
    <s v="APT-01751"/>
    <x v="42"/>
    <x v="7"/>
    <x v="1"/>
    <x v="3"/>
    <x v="0"/>
    <s v="Palakkad"/>
    <x v="0"/>
    <s v="PT-1463"/>
    <s v="Follow-up"/>
    <x v="5"/>
    <x v="1"/>
    <s v="Neurologist"/>
    <x v="2"/>
    <n v="45"/>
    <n v="0"/>
    <n v="51.5"/>
    <n v="800"/>
    <x v="9"/>
    <x v="30"/>
    <n v="0"/>
    <n v="0"/>
    <n v="1"/>
    <n v="0.85"/>
  </r>
  <r>
    <s v="APT-01752"/>
    <x v="143"/>
    <x v="0"/>
    <x v="5"/>
    <x v="3"/>
    <x v="2"/>
    <s v="Ernakulam"/>
    <x v="12"/>
    <s v="PT-1281"/>
    <s v="Chronic Pain"/>
    <x v="4"/>
    <x v="2"/>
    <s v="Self Referral"/>
    <x v="1"/>
    <n v="30"/>
    <n v="0"/>
    <n v="34.799999999999997"/>
    <n v="750"/>
    <x v="9"/>
    <x v="31"/>
    <n v="1"/>
    <n v="0"/>
    <n v="0"/>
    <n v="0.85"/>
  </r>
  <r>
    <s v="APT-01753"/>
    <x v="45"/>
    <x v="9"/>
    <x v="4"/>
    <x v="3"/>
    <x v="0"/>
    <s v="Palakkad"/>
    <x v="6"/>
    <s v="PT-1489"/>
    <s v="Sports Injury"/>
    <x v="0"/>
    <x v="0"/>
    <s v="Corporate Wellness"/>
    <x v="0"/>
    <n v="60"/>
    <n v="60"/>
    <n v="66.400000000000006"/>
    <n v="1250"/>
    <x v="5"/>
    <x v="0"/>
    <n v="0"/>
    <n v="1"/>
    <n v="0"/>
    <n v="0.85"/>
  </r>
  <r>
    <s v="APT-01754"/>
    <x v="6"/>
    <x v="5"/>
    <x v="3"/>
    <x v="3"/>
    <x v="2"/>
    <s v="Ernakulam"/>
    <x v="4"/>
    <s v="PT-1645"/>
    <s v="Chronic Pain"/>
    <x v="3"/>
    <x v="0"/>
    <s v="Orthopedic Doctor"/>
    <x v="0"/>
    <n v="45"/>
    <n v="45"/>
    <n v="52.4"/>
    <n v="1100"/>
    <x v="20"/>
    <x v="0"/>
    <n v="0"/>
    <n v="1"/>
    <n v="0"/>
    <n v="0.85"/>
  </r>
  <r>
    <s v="APT-01755"/>
    <x v="72"/>
    <x v="10"/>
    <x v="2"/>
    <x v="1"/>
    <x v="1"/>
    <s v="Thrissur"/>
    <x v="10"/>
    <s v="PT-1386"/>
    <s v="Post-op Rehab"/>
    <x v="4"/>
    <x v="0"/>
    <s v="Self Referral"/>
    <x v="0"/>
    <n v="45"/>
    <n v="45"/>
    <n v="53.4"/>
    <n v="1150"/>
    <x v="15"/>
    <x v="0"/>
    <n v="0"/>
    <n v="1"/>
    <n v="0"/>
    <n v="0.85"/>
  </r>
  <r>
    <s v="APT-01756"/>
    <x v="48"/>
    <x v="1"/>
    <x v="3"/>
    <x v="0"/>
    <x v="0"/>
    <s v="Palakkad"/>
    <x v="0"/>
    <s v="PT-1205"/>
    <s v="Sports Injury"/>
    <x v="3"/>
    <x v="3"/>
    <s v="Online Search"/>
    <x v="0"/>
    <n v="90"/>
    <n v="90"/>
    <n v="108.8"/>
    <n v="1700"/>
    <x v="6"/>
    <x v="0"/>
    <n v="0"/>
    <n v="1"/>
    <n v="0"/>
    <n v="0.85"/>
  </r>
  <r>
    <s v="APT-01757"/>
    <x v="158"/>
    <x v="4"/>
    <x v="4"/>
    <x v="0"/>
    <x v="2"/>
    <s v="Ernakulam"/>
    <x v="3"/>
    <s v="PT-1410"/>
    <s v="Follow-up"/>
    <x v="4"/>
    <x v="3"/>
    <s v="Orthopedic Doctor"/>
    <x v="0"/>
    <n v="60"/>
    <n v="60"/>
    <n v="78.900000000000006"/>
    <n v="1400"/>
    <x v="21"/>
    <x v="0"/>
    <n v="0"/>
    <n v="1"/>
    <n v="0"/>
    <n v="0.85"/>
  </r>
  <r>
    <s v="APT-01758"/>
    <x v="199"/>
    <x v="4"/>
    <x v="1"/>
    <x v="0"/>
    <x v="1"/>
    <s v="Thrissur"/>
    <x v="10"/>
    <s v="PT-1191"/>
    <s v="New Patient"/>
    <x v="5"/>
    <x v="3"/>
    <s v="Hospital Discharge"/>
    <x v="0"/>
    <n v="90"/>
    <n v="90"/>
    <n v="110.4"/>
    <n v="2250"/>
    <x v="12"/>
    <x v="0"/>
    <n v="0"/>
    <n v="1"/>
    <n v="0"/>
    <n v="0.85"/>
  </r>
  <r>
    <s v="APT-01759"/>
    <x v="105"/>
    <x v="7"/>
    <x v="2"/>
    <x v="2"/>
    <x v="1"/>
    <s v="Thrissur"/>
    <x v="7"/>
    <s v="PT-1237"/>
    <s v="Follow-up"/>
    <x v="5"/>
    <x v="2"/>
    <s v="Self Referral"/>
    <x v="2"/>
    <n v="90"/>
    <n v="0"/>
    <n v="118.1"/>
    <n v="2000"/>
    <x v="9"/>
    <x v="21"/>
    <n v="0"/>
    <n v="0"/>
    <n v="1"/>
    <n v="0.85"/>
  </r>
  <r>
    <s v="APT-01760"/>
    <x v="285"/>
    <x v="6"/>
    <x v="2"/>
    <x v="3"/>
    <x v="1"/>
    <s v="Thrissur"/>
    <x v="5"/>
    <s v="PT-1101"/>
    <s v="Sports Injury"/>
    <x v="5"/>
    <x v="2"/>
    <s v="Self Referral"/>
    <x v="0"/>
    <n v="45"/>
    <n v="45"/>
    <n v="57.3"/>
    <n v="1000"/>
    <x v="13"/>
    <x v="0"/>
    <n v="0"/>
    <n v="1"/>
    <n v="0"/>
    <n v="0.85"/>
  </r>
  <r>
    <s v="APT-01761"/>
    <x v="293"/>
    <x v="11"/>
    <x v="3"/>
    <x v="1"/>
    <x v="0"/>
    <s v="Palakkad"/>
    <x v="11"/>
    <s v="PT-1505"/>
    <s v="Follow-up"/>
    <x v="2"/>
    <x v="3"/>
    <s v="Self Referral"/>
    <x v="0"/>
    <n v="45"/>
    <n v="45"/>
    <n v="50.8"/>
    <n v="850"/>
    <x v="23"/>
    <x v="0"/>
    <n v="0"/>
    <n v="1"/>
    <n v="0"/>
    <n v="0.85"/>
  </r>
  <r>
    <s v="APT-01762"/>
    <x v="30"/>
    <x v="9"/>
    <x v="3"/>
    <x v="0"/>
    <x v="0"/>
    <s v="Palakkad"/>
    <x v="9"/>
    <s v="PT-1393"/>
    <s v="Post-op Rehab"/>
    <x v="5"/>
    <x v="1"/>
    <s v="Hospital Discharge"/>
    <x v="0"/>
    <n v="30"/>
    <n v="30"/>
    <n v="37.5"/>
    <n v="600"/>
    <x v="16"/>
    <x v="0"/>
    <n v="0"/>
    <n v="1"/>
    <n v="0"/>
    <n v="0.85"/>
  </r>
  <r>
    <s v="APT-01763"/>
    <x v="284"/>
    <x v="7"/>
    <x v="5"/>
    <x v="2"/>
    <x v="2"/>
    <s v="Ernakulam"/>
    <x v="3"/>
    <s v="PT-1675"/>
    <s v="New Patient"/>
    <x v="4"/>
    <x v="2"/>
    <s v="Self Referral"/>
    <x v="0"/>
    <n v="90"/>
    <n v="90"/>
    <n v="115.7"/>
    <n v="2700"/>
    <x v="34"/>
    <x v="0"/>
    <n v="0"/>
    <n v="1"/>
    <n v="0"/>
    <n v="0.85"/>
  </r>
  <r>
    <s v="APT-01764"/>
    <x v="280"/>
    <x v="7"/>
    <x v="4"/>
    <x v="2"/>
    <x v="2"/>
    <s v="Ernakulam"/>
    <x v="8"/>
    <s v="PT-1431"/>
    <s v="Follow-up"/>
    <x v="3"/>
    <x v="1"/>
    <s v="Online Search"/>
    <x v="0"/>
    <n v="30"/>
    <n v="30"/>
    <n v="37.700000000000003"/>
    <n v="650"/>
    <x v="36"/>
    <x v="0"/>
    <n v="0"/>
    <n v="1"/>
    <n v="0"/>
    <n v="0.85"/>
  </r>
  <r>
    <s v="APT-01765"/>
    <x v="35"/>
    <x v="3"/>
    <x v="1"/>
    <x v="3"/>
    <x v="0"/>
    <s v="Palakkad"/>
    <x v="6"/>
    <s v="PT-1534"/>
    <s v="Post-op Rehab"/>
    <x v="5"/>
    <x v="0"/>
    <s v="Online Search"/>
    <x v="0"/>
    <n v="30"/>
    <n v="30"/>
    <n v="37.1"/>
    <n v="700"/>
    <x v="19"/>
    <x v="0"/>
    <n v="0"/>
    <n v="1"/>
    <n v="0"/>
    <n v="0.85"/>
  </r>
  <r>
    <s v="APT-01766"/>
    <x v="38"/>
    <x v="6"/>
    <x v="4"/>
    <x v="2"/>
    <x v="2"/>
    <s v="Ernakulam"/>
    <x v="4"/>
    <s v="PT-1018"/>
    <s v="Sports Injury"/>
    <x v="3"/>
    <x v="0"/>
    <s v="Online Search"/>
    <x v="3"/>
    <n v="45"/>
    <n v="0"/>
    <n v="52.3"/>
    <n v="1100"/>
    <x v="9"/>
    <x v="0"/>
    <n v="0"/>
    <n v="0"/>
    <n v="0"/>
    <n v="0.85"/>
  </r>
  <r>
    <s v="APT-01767"/>
    <x v="258"/>
    <x v="11"/>
    <x v="3"/>
    <x v="2"/>
    <x v="2"/>
    <s v="Ernakulam"/>
    <x v="8"/>
    <s v="PT-1396"/>
    <s v="New Patient"/>
    <x v="5"/>
    <x v="0"/>
    <s v="Self Referral"/>
    <x v="0"/>
    <n v="30"/>
    <n v="30"/>
    <n v="35.6"/>
    <n v="900"/>
    <x v="17"/>
    <x v="0"/>
    <n v="0"/>
    <n v="1"/>
    <n v="0"/>
    <n v="0.85"/>
  </r>
  <r>
    <s v="APT-01768"/>
    <x v="34"/>
    <x v="10"/>
    <x v="2"/>
    <x v="1"/>
    <x v="1"/>
    <s v="Thrissur"/>
    <x v="5"/>
    <s v="PT-1162"/>
    <s v="New Patient"/>
    <x v="5"/>
    <x v="0"/>
    <s v="Neurologist"/>
    <x v="0"/>
    <n v="60"/>
    <n v="60"/>
    <n v="72.599999999999994"/>
    <n v="1600"/>
    <x v="11"/>
    <x v="0"/>
    <n v="0"/>
    <n v="1"/>
    <n v="0"/>
    <n v="0.85"/>
  </r>
  <r>
    <s v="APT-01769"/>
    <x v="197"/>
    <x v="3"/>
    <x v="1"/>
    <x v="0"/>
    <x v="0"/>
    <s v="Palakkad"/>
    <x v="11"/>
    <s v="PT-1185"/>
    <s v="Chronic Pain"/>
    <x v="2"/>
    <x v="0"/>
    <s v="Neurologist"/>
    <x v="0"/>
    <n v="45"/>
    <n v="45"/>
    <n v="56.7"/>
    <n v="950"/>
    <x v="7"/>
    <x v="0"/>
    <n v="0"/>
    <n v="1"/>
    <n v="0"/>
    <n v="0.85"/>
  </r>
  <r>
    <s v="APT-01770"/>
    <x v="60"/>
    <x v="9"/>
    <x v="1"/>
    <x v="2"/>
    <x v="2"/>
    <s v="Ernakulam"/>
    <x v="4"/>
    <s v="PT-1018"/>
    <s v="Follow-up"/>
    <x v="4"/>
    <x v="0"/>
    <s v="Corporate Wellness"/>
    <x v="0"/>
    <n v="45"/>
    <n v="45"/>
    <n v="50.8"/>
    <n v="1100"/>
    <x v="20"/>
    <x v="0"/>
    <n v="0"/>
    <n v="1"/>
    <n v="0"/>
    <n v="0.85"/>
  </r>
  <r>
    <s v="APT-01771"/>
    <x v="253"/>
    <x v="5"/>
    <x v="2"/>
    <x v="0"/>
    <x v="1"/>
    <s v="Thrissur"/>
    <x v="5"/>
    <s v="PT-1496"/>
    <s v="Follow-up"/>
    <x v="3"/>
    <x v="0"/>
    <s v="Neurologist"/>
    <x v="0"/>
    <n v="60"/>
    <n v="60"/>
    <n v="72.099999999999994"/>
    <n v="1350"/>
    <x v="14"/>
    <x v="0"/>
    <n v="0"/>
    <n v="1"/>
    <n v="0"/>
    <n v="0.85"/>
  </r>
  <r>
    <s v="APT-01772"/>
    <x v="306"/>
    <x v="2"/>
    <x v="5"/>
    <x v="0"/>
    <x v="2"/>
    <s v="Ernakulam"/>
    <x v="3"/>
    <s v="PT-1025"/>
    <s v="New Patient"/>
    <x v="2"/>
    <x v="0"/>
    <s v="Orthopedic Doctor"/>
    <x v="0"/>
    <n v="60"/>
    <n v="60"/>
    <n v="69.900000000000006"/>
    <n v="1800"/>
    <x v="25"/>
    <x v="0"/>
    <n v="0"/>
    <n v="1"/>
    <n v="0"/>
    <n v="0.85"/>
  </r>
  <r>
    <s v="APT-01773"/>
    <x v="171"/>
    <x v="10"/>
    <x v="3"/>
    <x v="1"/>
    <x v="2"/>
    <s v="Ernakulam"/>
    <x v="12"/>
    <s v="PT-1235"/>
    <s v="Follow-up"/>
    <x v="3"/>
    <x v="1"/>
    <s v="Neurologist"/>
    <x v="3"/>
    <n v="60"/>
    <n v="0"/>
    <n v="66.900000000000006"/>
    <n v="1300"/>
    <x v="9"/>
    <x v="0"/>
    <n v="0"/>
    <n v="0"/>
    <n v="0"/>
    <n v="0.85"/>
  </r>
  <r>
    <s v="APT-01774"/>
    <x v="209"/>
    <x v="4"/>
    <x v="4"/>
    <x v="0"/>
    <x v="1"/>
    <s v="Thrissur"/>
    <x v="5"/>
    <s v="PT-1251"/>
    <s v="Geriatric Rehab"/>
    <x v="3"/>
    <x v="0"/>
    <s v="Hospital Discharge"/>
    <x v="0"/>
    <n v="75"/>
    <n v="75"/>
    <n v="84.3"/>
    <n v="1700"/>
    <x v="6"/>
    <x v="0"/>
    <n v="0"/>
    <n v="1"/>
    <n v="0"/>
    <n v="0.85"/>
  </r>
  <r>
    <s v="APT-01775"/>
    <x v="79"/>
    <x v="2"/>
    <x v="1"/>
    <x v="1"/>
    <x v="0"/>
    <s v="Palakkad"/>
    <x v="0"/>
    <s v="PT-1049"/>
    <s v="New Patient"/>
    <x v="5"/>
    <x v="0"/>
    <s v="Self Referral"/>
    <x v="1"/>
    <n v="60"/>
    <n v="0"/>
    <n v="75.8"/>
    <n v="1500"/>
    <x v="9"/>
    <x v="12"/>
    <n v="1"/>
    <n v="0"/>
    <n v="0"/>
    <n v="0.85"/>
  </r>
  <r>
    <s v="APT-01776"/>
    <x v="21"/>
    <x v="10"/>
    <x v="1"/>
    <x v="0"/>
    <x v="0"/>
    <s v="Palakkad"/>
    <x v="9"/>
    <s v="PT-1407"/>
    <s v="Follow-up"/>
    <x v="1"/>
    <x v="0"/>
    <s v="Online Search"/>
    <x v="0"/>
    <n v="60"/>
    <n v="60"/>
    <n v="66.5"/>
    <n v="1250"/>
    <x v="5"/>
    <x v="0"/>
    <n v="0"/>
    <n v="1"/>
    <n v="0"/>
    <n v="0.85"/>
  </r>
  <r>
    <s v="APT-01777"/>
    <x v="256"/>
    <x v="0"/>
    <x v="3"/>
    <x v="2"/>
    <x v="2"/>
    <s v="Ernakulam"/>
    <x v="14"/>
    <s v="PT-1451"/>
    <s v="New Patient"/>
    <x v="3"/>
    <x v="0"/>
    <s v="Corporate Wellness"/>
    <x v="0"/>
    <n v="45"/>
    <n v="45"/>
    <n v="50.7"/>
    <n v="1350"/>
    <x v="14"/>
    <x v="0"/>
    <n v="0"/>
    <n v="1"/>
    <n v="0"/>
    <n v="0.85"/>
  </r>
  <r>
    <s v="APT-01778"/>
    <x v="272"/>
    <x v="9"/>
    <x v="5"/>
    <x v="0"/>
    <x v="0"/>
    <s v="Palakkad"/>
    <x v="9"/>
    <s v="PT-1251"/>
    <s v="Follow-up"/>
    <x v="5"/>
    <x v="0"/>
    <s v="Orthopedic Doctor"/>
    <x v="1"/>
    <n v="60"/>
    <n v="0"/>
    <n v="75.2"/>
    <n v="1250"/>
    <x v="9"/>
    <x v="9"/>
    <n v="1"/>
    <n v="0"/>
    <n v="0"/>
    <n v="0.85"/>
  </r>
  <r>
    <s v="APT-01779"/>
    <x v="294"/>
    <x v="5"/>
    <x v="5"/>
    <x v="0"/>
    <x v="0"/>
    <s v="Palakkad"/>
    <x v="6"/>
    <s v="PT-1331"/>
    <s v="Geriatric Rehab"/>
    <x v="1"/>
    <x v="2"/>
    <s v="Hospital Discharge"/>
    <x v="0"/>
    <n v="75"/>
    <n v="75"/>
    <n v="84.7"/>
    <n v="1550"/>
    <x v="1"/>
    <x v="0"/>
    <n v="0"/>
    <n v="1"/>
    <n v="0"/>
    <n v="0.85"/>
  </r>
  <r>
    <s v="APT-01780"/>
    <x v="152"/>
    <x v="11"/>
    <x v="4"/>
    <x v="3"/>
    <x v="1"/>
    <s v="Thrissur"/>
    <x v="5"/>
    <s v="PT-1185"/>
    <s v="Post-op Rehab"/>
    <x v="3"/>
    <x v="0"/>
    <s v="Orthopedic Doctor"/>
    <x v="0"/>
    <n v="30"/>
    <n v="30"/>
    <n v="37.4"/>
    <n v="800"/>
    <x v="18"/>
    <x v="0"/>
    <n v="0"/>
    <n v="1"/>
    <n v="0"/>
    <n v="0.85"/>
  </r>
  <r>
    <s v="APT-01781"/>
    <x v="152"/>
    <x v="11"/>
    <x v="4"/>
    <x v="2"/>
    <x v="1"/>
    <s v="Thrissur"/>
    <x v="1"/>
    <s v="PT-1690"/>
    <s v="Sports Injury"/>
    <x v="3"/>
    <x v="0"/>
    <s v="Corporate Wellness"/>
    <x v="0"/>
    <n v="90"/>
    <n v="90"/>
    <n v="112.9"/>
    <n v="2000"/>
    <x v="33"/>
    <x v="0"/>
    <n v="0"/>
    <n v="1"/>
    <n v="0"/>
    <n v="0.85"/>
  </r>
  <r>
    <s v="APT-01782"/>
    <x v="270"/>
    <x v="5"/>
    <x v="1"/>
    <x v="2"/>
    <x v="1"/>
    <s v="Thrissur"/>
    <x v="1"/>
    <s v="PT-1182"/>
    <s v="New Patient"/>
    <x v="3"/>
    <x v="2"/>
    <s v="Neurologist"/>
    <x v="2"/>
    <n v="45"/>
    <n v="0"/>
    <n v="51.4"/>
    <n v="1200"/>
    <x v="9"/>
    <x v="27"/>
    <n v="0"/>
    <n v="0"/>
    <n v="1"/>
    <n v="0.85"/>
  </r>
  <r>
    <s v="APT-01783"/>
    <x v="143"/>
    <x v="0"/>
    <x v="5"/>
    <x v="0"/>
    <x v="1"/>
    <s v="Thrissur"/>
    <x v="2"/>
    <s v="PT-1544"/>
    <s v="New Patient"/>
    <x v="1"/>
    <x v="2"/>
    <s v="Self Referral"/>
    <x v="0"/>
    <n v="30"/>
    <n v="30"/>
    <n v="35.799999999999997"/>
    <n v="800"/>
    <x v="18"/>
    <x v="0"/>
    <n v="0"/>
    <n v="1"/>
    <n v="0"/>
    <n v="0.85"/>
  </r>
  <r>
    <s v="APT-01784"/>
    <x v="284"/>
    <x v="7"/>
    <x v="5"/>
    <x v="0"/>
    <x v="1"/>
    <s v="Thrissur"/>
    <x v="2"/>
    <s v="PT-1329"/>
    <s v="Follow-up"/>
    <x v="4"/>
    <x v="1"/>
    <s v="Online Search"/>
    <x v="0"/>
    <n v="75"/>
    <n v="75"/>
    <n v="85.1"/>
    <n v="1450"/>
    <x v="10"/>
    <x v="0"/>
    <n v="0"/>
    <n v="1"/>
    <n v="0"/>
    <n v="0.85"/>
  </r>
  <r>
    <s v="APT-01785"/>
    <x v="160"/>
    <x v="0"/>
    <x v="3"/>
    <x v="3"/>
    <x v="0"/>
    <s v="Palakkad"/>
    <x v="13"/>
    <s v="PT-1097"/>
    <s v="Sports Injury"/>
    <x v="1"/>
    <x v="3"/>
    <s v="Self Referral"/>
    <x v="0"/>
    <n v="60"/>
    <n v="60"/>
    <n v="75.900000000000006"/>
    <n v="1150"/>
    <x v="15"/>
    <x v="0"/>
    <n v="0"/>
    <n v="1"/>
    <n v="0"/>
    <n v="0.85"/>
  </r>
  <r>
    <s v="APT-01786"/>
    <x v="7"/>
    <x v="3"/>
    <x v="1"/>
    <x v="3"/>
    <x v="0"/>
    <s v="Palakkad"/>
    <x v="9"/>
    <s v="PT-1114"/>
    <s v="Post-op Rehab"/>
    <x v="1"/>
    <x v="0"/>
    <s v="Neurologist"/>
    <x v="1"/>
    <n v="90"/>
    <n v="0"/>
    <n v="104.2"/>
    <n v="2150"/>
    <x v="9"/>
    <x v="8"/>
    <n v="1"/>
    <n v="0"/>
    <n v="0"/>
    <n v="0.85"/>
  </r>
  <r>
    <s v="APT-01787"/>
    <x v="78"/>
    <x v="0"/>
    <x v="1"/>
    <x v="0"/>
    <x v="1"/>
    <s v="Thrissur"/>
    <x v="1"/>
    <s v="PT-1525"/>
    <s v="Follow-up"/>
    <x v="5"/>
    <x v="3"/>
    <s v="Corporate Wellness"/>
    <x v="0"/>
    <n v="60"/>
    <n v="60"/>
    <n v="72.400000000000006"/>
    <n v="1250"/>
    <x v="5"/>
    <x v="0"/>
    <n v="0"/>
    <n v="1"/>
    <n v="0"/>
    <n v="0.85"/>
  </r>
  <r>
    <s v="APT-01788"/>
    <x v="1"/>
    <x v="1"/>
    <x v="1"/>
    <x v="3"/>
    <x v="1"/>
    <s v="Thrissur"/>
    <x v="10"/>
    <s v="PT-1694"/>
    <s v="Sports Injury"/>
    <x v="1"/>
    <x v="2"/>
    <s v="Self Referral"/>
    <x v="0"/>
    <n v="45"/>
    <n v="45"/>
    <n v="58.9"/>
    <n v="1000"/>
    <x v="13"/>
    <x v="0"/>
    <n v="0"/>
    <n v="1"/>
    <n v="0"/>
    <n v="0.85"/>
  </r>
  <r>
    <s v="APT-01789"/>
    <x v="149"/>
    <x v="10"/>
    <x v="5"/>
    <x v="2"/>
    <x v="1"/>
    <s v="Thrissur"/>
    <x v="1"/>
    <s v="PT-1144"/>
    <s v="New Patient"/>
    <x v="2"/>
    <x v="2"/>
    <s v="Neurologist"/>
    <x v="0"/>
    <n v="45"/>
    <n v="45"/>
    <n v="57.4"/>
    <n v="1200"/>
    <x v="26"/>
    <x v="0"/>
    <n v="0"/>
    <n v="1"/>
    <n v="0"/>
    <n v="0.85"/>
  </r>
  <r>
    <s v="APT-01790"/>
    <x v="327"/>
    <x v="10"/>
    <x v="4"/>
    <x v="2"/>
    <x v="1"/>
    <s v="Thrissur"/>
    <x v="7"/>
    <s v="PT-1562"/>
    <s v="Post-op Rehab"/>
    <x v="2"/>
    <x v="3"/>
    <s v="Neurologist"/>
    <x v="0"/>
    <n v="75"/>
    <n v="75"/>
    <n v="88.8"/>
    <n v="1800"/>
    <x v="25"/>
    <x v="0"/>
    <n v="0"/>
    <n v="1"/>
    <n v="0"/>
    <n v="0.85"/>
  </r>
  <r>
    <s v="APT-01791"/>
    <x v="149"/>
    <x v="10"/>
    <x v="5"/>
    <x v="3"/>
    <x v="1"/>
    <s v="Thrissur"/>
    <x v="1"/>
    <s v="PT-1263"/>
    <s v="Post-op Rehab"/>
    <x v="1"/>
    <x v="0"/>
    <s v="Hospital Discharge"/>
    <x v="0"/>
    <n v="60"/>
    <n v="60"/>
    <n v="65.900000000000006"/>
    <n v="1550"/>
    <x v="1"/>
    <x v="0"/>
    <n v="0"/>
    <n v="1"/>
    <n v="0"/>
    <n v="0.85"/>
  </r>
  <r>
    <s v="APT-01792"/>
    <x v="99"/>
    <x v="8"/>
    <x v="2"/>
    <x v="0"/>
    <x v="1"/>
    <s v="Thrissur"/>
    <x v="1"/>
    <s v="PT-1664"/>
    <s v="New Patient"/>
    <x v="3"/>
    <x v="0"/>
    <s v="Hospital Discharge"/>
    <x v="0"/>
    <n v="60"/>
    <n v="60"/>
    <n v="77.900000000000006"/>
    <n v="1600"/>
    <x v="11"/>
    <x v="0"/>
    <n v="0"/>
    <n v="1"/>
    <n v="0"/>
    <n v="0.85"/>
  </r>
  <r>
    <s v="APT-01793"/>
    <x v="283"/>
    <x v="6"/>
    <x v="3"/>
    <x v="2"/>
    <x v="2"/>
    <s v="Ernakulam"/>
    <x v="8"/>
    <s v="PT-1060"/>
    <s v="Sports Injury"/>
    <x v="4"/>
    <x v="0"/>
    <s v="Online Search"/>
    <x v="0"/>
    <n v="90"/>
    <n v="90"/>
    <n v="107.4"/>
    <n v="2250"/>
    <x v="12"/>
    <x v="0"/>
    <n v="0"/>
    <n v="1"/>
    <n v="0"/>
    <n v="0.85"/>
  </r>
  <r>
    <s v="APT-01794"/>
    <x v="51"/>
    <x v="6"/>
    <x v="0"/>
    <x v="2"/>
    <x v="1"/>
    <s v="Thrissur"/>
    <x v="7"/>
    <s v="PT-1119"/>
    <s v="Sports Injury"/>
    <x v="5"/>
    <x v="2"/>
    <s v="Corporate Wellness"/>
    <x v="0"/>
    <n v="45"/>
    <n v="45"/>
    <n v="58.1"/>
    <n v="1000"/>
    <x v="13"/>
    <x v="0"/>
    <n v="0"/>
    <n v="1"/>
    <n v="0"/>
    <n v="0.85"/>
  </r>
  <r>
    <s v="APT-01795"/>
    <x v="12"/>
    <x v="8"/>
    <x v="1"/>
    <x v="1"/>
    <x v="0"/>
    <s v="Palakkad"/>
    <x v="6"/>
    <s v="PT-1445"/>
    <s v="Post-op Rehab"/>
    <x v="5"/>
    <x v="3"/>
    <s v="Neurologist"/>
    <x v="1"/>
    <n v="60"/>
    <n v="0"/>
    <n v="73.8"/>
    <n v="1300"/>
    <x v="9"/>
    <x v="1"/>
    <n v="1"/>
    <n v="0"/>
    <n v="0"/>
    <n v="0.85"/>
  </r>
  <r>
    <s v="APT-01796"/>
    <x v="201"/>
    <x v="8"/>
    <x v="3"/>
    <x v="1"/>
    <x v="0"/>
    <s v="Palakkad"/>
    <x v="13"/>
    <s v="PT-1512"/>
    <s v="New Patient"/>
    <x v="1"/>
    <x v="0"/>
    <s v="Online Search"/>
    <x v="0"/>
    <n v="45"/>
    <n v="45"/>
    <n v="49.6"/>
    <n v="1100"/>
    <x v="20"/>
    <x v="0"/>
    <n v="0"/>
    <n v="1"/>
    <n v="0"/>
    <n v="0.85"/>
  </r>
  <r>
    <s v="APT-01797"/>
    <x v="211"/>
    <x v="4"/>
    <x v="2"/>
    <x v="3"/>
    <x v="0"/>
    <s v="Palakkad"/>
    <x v="13"/>
    <s v="PT-1015"/>
    <s v="Geriatric Rehab"/>
    <x v="3"/>
    <x v="1"/>
    <s v="Neurologist"/>
    <x v="0"/>
    <n v="45"/>
    <n v="45"/>
    <n v="49.4"/>
    <n v="800"/>
    <x v="18"/>
    <x v="0"/>
    <n v="0"/>
    <n v="1"/>
    <n v="0"/>
    <n v="0.85"/>
  </r>
  <r>
    <s v="APT-01798"/>
    <x v="157"/>
    <x v="7"/>
    <x v="3"/>
    <x v="1"/>
    <x v="2"/>
    <s v="Ernakulam"/>
    <x v="14"/>
    <s v="PT-1004"/>
    <s v="New Patient"/>
    <x v="4"/>
    <x v="2"/>
    <s v="Online Search"/>
    <x v="0"/>
    <n v="60"/>
    <n v="60"/>
    <n v="80.8"/>
    <n v="1800"/>
    <x v="25"/>
    <x v="0"/>
    <n v="0"/>
    <n v="1"/>
    <n v="0"/>
    <n v="0.85"/>
  </r>
  <r>
    <s v="APT-01799"/>
    <x v="109"/>
    <x v="0"/>
    <x v="1"/>
    <x v="3"/>
    <x v="0"/>
    <s v="Palakkad"/>
    <x v="13"/>
    <s v="PT-1204"/>
    <s v="Follow-up"/>
    <x v="3"/>
    <x v="1"/>
    <s v="Orthopedic Doctor"/>
    <x v="0"/>
    <n v="60"/>
    <n v="60"/>
    <n v="75"/>
    <n v="1050"/>
    <x v="2"/>
    <x v="0"/>
    <n v="0"/>
    <n v="1"/>
    <n v="0"/>
    <n v="0.85"/>
  </r>
  <r>
    <s v="APT-01800"/>
    <x v="204"/>
    <x v="3"/>
    <x v="2"/>
    <x v="3"/>
    <x v="2"/>
    <s v="Ernakulam"/>
    <x v="3"/>
    <s v="PT-1665"/>
    <s v="Chronic Pain"/>
    <x v="5"/>
    <x v="0"/>
    <s v="Online Search"/>
    <x v="0"/>
    <n v="30"/>
    <n v="30"/>
    <n v="34.4"/>
    <n v="750"/>
    <x v="27"/>
    <x v="0"/>
    <n v="0"/>
    <n v="1"/>
    <n v="0"/>
    <n v="0.85"/>
  </r>
  <r>
    <s v="APT-01801"/>
    <x v="249"/>
    <x v="7"/>
    <x v="5"/>
    <x v="2"/>
    <x v="1"/>
    <s v="Thrissur"/>
    <x v="2"/>
    <s v="PT-1227"/>
    <s v="Follow-up"/>
    <x v="0"/>
    <x v="0"/>
    <s v="Orthopedic Doctor"/>
    <x v="0"/>
    <n v="60"/>
    <n v="60"/>
    <n v="67.099999999999994"/>
    <n v="1350"/>
    <x v="14"/>
    <x v="0"/>
    <n v="0"/>
    <n v="1"/>
    <n v="0"/>
    <n v="0.85"/>
  </r>
  <r>
    <s v="APT-01802"/>
    <x v="239"/>
    <x v="8"/>
    <x v="5"/>
    <x v="3"/>
    <x v="0"/>
    <s v="Palakkad"/>
    <x v="9"/>
    <s v="PT-1350"/>
    <s v="Post-op Rehab"/>
    <x v="1"/>
    <x v="0"/>
    <s v="Corporate Wellness"/>
    <x v="0"/>
    <n v="60"/>
    <n v="60"/>
    <n v="68.2"/>
    <n v="1450"/>
    <x v="10"/>
    <x v="0"/>
    <n v="0"/>
    <n v="1"/>
    <n v="0"/>
    <n v="0.85"/>
  </r>
  <r>
    <s v="APT-01803"/>
    <x v="75"/>
    <x v="10"/>
    <x v="2"/>
    <x v="0"/>
    <x v="1"/>
    <s v="Thrissur"/>
    <x v="1"/>
    <s v="PT-1580"/>
    <s v="New Patient"/>
    <x v="0"/>
    <x v="1"/>
    <s v="Orthopedic Doctor"/>
    <x v="1"/>
    <n v="60"/>
    <n v="0"/>
    <n v="70.099999999999994"/>
    <n v="1400"/>
    <x v="9"/>
    <x v="23"/>
    <n v="1"/>
    <n v="0"/>
    <n v="0"/>
    <n v="0.85"/>
  </r>
  <r>
    <s v="APT-01804"/>
    <x v="134"/>
    <x v="2"/>
    <x v="1"/>
    <x v="3"/>
    <x v="2"/>
    <s v="Ernakulam"/>
    <x v="14"/>
    <s v="PT-1328"/>
    <s v="Chronic Pain"/>
    <x v="4"/>
    <x v="1"/>
    <s v="Neurologist"/>
    <x v="0"/>
    <n v="45"/>
    <n v="45"/>
    <n v="59.2"/>
    <n v="950"/>
    <x v="7"/>
    <x v="0"/>
    <n v="0"/>
    <n v="1"/>
    <n v="0"/>
    <n v="0.85"/>
  </r>
  <r>
    <s v="APT-01805"/>
    <x v="199"/>
    <x v="4"/>
    <x v="1"/>
    <x v="1"/>
    <x v="1"/>
    <s v="Thrissur"/>
    <x v="10"/>
    <s v="PT-1445"/>
    <s v="Post-op Rehab"/>
    <x v="4"/>
    <x v="3"/>
    <s v="Orthopedic Doctor"/>
    <x v="0"/>
    <n v="60"/>
    <n v="60"/>
    <n v="76.400000000000006"/>
    <n v="1450"/>
    <x v="10"/>
    <x v="0"/>
    <n v="0"/>
    <n v="1"/>
    <n v="0"/>
    <n v="0.85"/>
  </r>
  <r>
    <s v="APT-01806"/>
    <x v="171"/>
    <x v="10"/>
    <x v="3"/>
    <x v="2"/>
    <x v="1"/>
    <s v="Thrissur"/>
    <x v="2"/>
    <s v="PT-1108"/>
    <s v="Follow-up"/>
    <x v="5"/>
    <x v="0"/>
    <s v="Online Search"/>
    <x v="0"/>
    <n v="60"/>
    <n v="60"/>
    <n v="75.8"/>
    <n v="1350"/>
    <x v="14"/>
    <x v="0"/>
    <n v="0"/>
    <n v="1"/>
    <n v="0"/>
    <n v="0.85"/>
  </r>
  <r>
    <s v="APT-01807"/>
    <x v="130"/>
    <x v="3"/>
    <x v="2"/>
    <x v="2"/>
    <x v="2"/>
    <s v="Ernakulam"/>
    <x v="8"/>
    <s v="PT-1667"/>
    <s v="New Patient"/>
    <x v="0"/>
    <x v="0"/>
    <s v="Hospital Discharge"/>
    <x v="0"/>
    <n v="45"/>
    <n v="45"/>
    <n v="52.5"/>
    <n v="1350"/>
    <x v="14"/>
    <x v="0"/>
    <n v="0"/>
    <n v="1"/>
    <n v="0"/>
    <n v="0.85"/>
  </r>
  <r>
    <s v="APT-01808"/>
    <x v="194"/>
    <x v="8"/>
    <x v="4"/>
    <x v="0"/>
    <x v="0"/>
    <s v="Palakkad"/>
    <x v="13"/>
    <s v="PT-1265"/>
    <s v="Follow-up"/>
    <x v="2"/>
    <x v="0"/>
    <s v="Hospital Discharge"/>
    <x v="0"/>
    <n v="60"/>
    <n v="60"/>
    <n v="78"/>
    <n v="1250"/>
    <x v="5"/>
    <x v="0"/>
    <n v="0"/>
    <n v="1"/>
    <n v="0"/>
    <n v="0.85"/>
  </r>
  <r>
    <s v="APT-01809"/>
    <x v="49"/>
    <x v="9"/>
    <x v="1"/>
    <x v="0"/>
    <x v="1"/>
    <s v="Thrissur"/>
    <x v="10"/>
    <s v="PT-1345"/>
    <s v="Post-op Rehab"/>
    <x v="1"/>
    <x v="3"/>
    <s v="Orthopedic Doctor"/>
    <x v="0"/>
    <n v="60"/>
    <n v="60"/>
    <n v="74.7"/>
    <n v="1450"/>
    <x v="10"/>
    <x v="0"/>
    <n v="0"/>
    <n v="1"/>
    <n v="0"/>
    <n v="0.85"/>
  </r>
  <r>
    <s v="APT-01810"/>
    <x v="49"/>
    <x v="9"/>
    <x v="1"/>
    <x v="0"/>
    <x v="2"/>
    <s v="Ernakulam"/>
    <x v="8"/>
    <s v="PT-1466"/>
    <s v="Chronic Pain"/>
    <x v="3"/>
    <x v="2"/>
    <s v="Corporate Wellness"/>
    <x v="0"/>
    <n v="45"/>
    <n v="45"/>
    <n v="52.9"/>
    <n v="1100"/>
    <x v="20"/>
    <x v="0"/>
    <n v="0"/>
    <n v="1"/>
    <n v="0"/>
    <n v="0.85"/>
  </r>
  <r>
    <s v="APT-01811"/>
    <x v="235"/>
    <x v="0"/>
    <x v="5"/>
    <x v="2"/>
    <x v="0"/>
    <s v="Palakkad"/>
    <x v="6"/>
    <s v="PT-1302"/>
    <s v="Post-op Rehab"/>
    <x v="4"/>
    <x v="0"/>
    <s v="Hospital Discharge"/>
    <x v="1"/>
    <n v="60"/>
    <n v="0"/>
    <n v="68.400000000000006"/>
    <n v="1450"/>
    <x v="9"/>
    <x v="22"/>
    <n v="1"/>
    <n v="0"/>
    <n v="0"/>
    <n v="0.85"/>
  </r>
  <r>
    <s v="APT-01812"/>
    <x v="170"/>
    <x v="6"/>
    <x v="1"/>
    <x v="0"/>
    <x v="1"/>
    <s v="Thrissur"/>
    <x v="10"/>
    <s v="PT-1445"/>
    <s v="Sports Injury"/>
    <x v="2"/>
    <x v="2"/>
    <s v="Orthopedic Doctor"/>
    <x v="0"/>
    <n v="60"/>
    <n v="60"/>
    <n v="69.400000000000006"/>
    <n v="1350"/>
    <x v="14"/>
    <x v="0"/>
    <n v="0"/>
    <n v="1"/>
    <n v="0"/>
    <n v="0.85"/>
  </r>
  <r>
    <s v="APT-01813"/>
    <x v="121"/>
    <x v="7"/>
    <x v="2"/>
    <x v="1"/>
    <x v="0"/>
    <s v="Palakkad"/>
    <x v="6"/>
    <s v="PT-1314"/>
    <s v="Follow-up"/>
    <x v="5"/>
    <x v="1"/>
    <s v="Online Search"/>
    <x v="0"/>
    <n v="30"/>
    <n v="30"/>
    <n v="38.700000000000003"/>
    <n v="550"/>
    <x v="29"/>
    <x v="0"/>
    <n v="0"/>
    <n v="1"/>
    <n v="0"/>
    <n v="0.85"/>
  </r>
  <r>
    <s v="APT-01814"/>
    <x v="330"/>
    <x v="5"/>
    <x v="6"/>
    <x v="3"/>
    <x v="0"/>
    <s v="Palakkad"/>
    <x v="11"/>
    <s v="PT-1204"/>
    <s v="New Patient"/>
    <x v="2"/>
    <x v="2"/>
    <s v="Orthopedic Doctor"/>
    <x v="1"/>
    <n v="90"/>
    <n v="0"/>
    <n v="99.9"/>
    <n v="2250"/>
    <x v="9"/>
    <x v="7"/>
    <n v="1"/>
    <n v="0"/>
    <n v="0"/>
    <n v="0.85"/>
  </r>
  <r>
    <s v="APT-01815"/>
    <x v="239"/>
    <x v="8"/>
    <x v="5"/>
    <x v="1"/>
    <x v="0"/>
    <s v="Palakkad"/>
    <x v="11"/>
    <s v="PT-1488"/>
    <s v="Chronic Pain"/>
    <x v="3"/>
    <x v="1"/>
    <s v="Neurologist"/>
    <x v="0"/>
    <n v="60"/>
    <n v="60"/>
    <n v="71.7"/>
    <n v="1050"/>
    <x v="2"/>
    <x v="0"/>
    <n v="0"/>
    <n v="1"/>
    <n v="0"/>
    <n v="0.85"/>
  </r>
  <r>
    <s v="APT-01816"/>
    <x v="331"/>
    <x v="0"/>
    <x v="6"/>
    <x v="2"/>
    <x v="0"/>
    <s v="Palakkad"/>
    <x v="0"/>
    <s v="PT-1160"/>
    <s v="Post-op Rehab"/>
    <x v="5"/>
    <x v="3"/>
    <s v="Neurologist"/>
    <x v="0"/>
    <n v="30"/>
    <n v="30"/>
    <n v="39.700000000000003"/>
    <n v="650"/>
    <x v="36"/>
    <x v="0"/>
    <n v="0"/>
    <n v="1"/>
    <n v="0"/>
    <n v="0.85"/>
  </r>
  <r>
    <s v="APT-01817"/>
    <x v="31"/>
    <x v="11"/>
    <x v="4"/>
    <x v="3"/>
    <x v="2"/>
    <s v="Ernakulam"/>
    <x v="4"/>
    <s v="PT-1344"/>
    <s v="Post-op Rehab"/>
    <x v="0"/>
    <x v="2"/>
    <s v="Orthopedic Doctor"/>
    <x v="0"/>
    <n v="60"/>
    <n v="60"/>
    <n v="67.8"/>
    <n v="1700"/>
    <x v="6"/>
    <x v="0"/>
    <n v="0"/>
    <n v="1"/>
    <n v="0"/>
    <n v="0.85"/>
  </r>
  <r>
    <s v="APT-01818"/>
    <x v="198"/>
    <x v="0"/>
    <x v="4"/>
    <x v="0"/>
    <x v="0"/>
    <s v="Palakkad"/>
    <x v="0"/>
    <s v="PT-1508"/>
    <s v="Post-op Rehab"/>
    <x v="1"/>
    <x v="2"/>
    <s v="Corporate Wellness"/>
    <x v="0"/>
    <n v="60"/>
    <n v="60"/>
    <n v="68.099999999999994"/>
    <n v="1450"/>
    <x v="10"/>
    <x v="0"/>
    <n v="0"/>
    <n v="1"/>
    <n v="0"/>
    <n v="0.85"/>
  </r>
  <r>
    <s v="APT-01819"/>
    <x v="183"/>
    <x v="10"/>
    <x v="1"/>
    <x v="3"/>
    <x v="2"/>
    <s v="Ernakulam"/>
    <x v="4"/>
    <s v="PT-1539"/>
    <s v="Follow-up"/>
    <x v="2"/>
    <x v="2"/>
    <s v="Hospital Discharge"/>
    <x v="0"/>
    <n v="45"/>
    <n v="45"/>
    <n v="55"/>
    <n v="1100"/>
    <x v="20"/>
    <x v="0"/>
    <n v="0"/>
    <n v="1"/>
    <n v="0"/>
    <n v="0.85"/>
  </r>
  <r>
    <s v="APT-01820"/>
    <x v="28"/>
    <x v="5"/>
    <x v="2"/>
    <x v="1"/>
    <x v="0"/>
    <s v="Palakkad"/>
    <x v="9"/>
    <s v="PT-1277"/>
    <s v="Follow-up"/>
    <x v="5"/>
    <x v="3"/>
    <s v="Neurologist"/>
    <x v="0"/>
    <n v="60"/>
    <n v="60"/>
    <n v="77.400000000000006"/>
    <n v="1150"/>
    <x v="15"/>
    <x v="0"/>
    <n v="0"/>
    <n v="1"/>
    <n v="0"/>
    <n v="0.85"/>
  </r>
  <r>
    <s v="APT-01821"/>
    <x v="156"/>
    <x v="9"/>
    <x v="4"/>
    <x v="0"/>
    <x v="1"/>
    <s v="Thrissur"/>
    <x v="7"/>
    <s v="PT-1406"/>
    <s v="Sports Injury"/>
    <x v="2"/>
    <x v="0"/>
    <s v="Online Search"/>
    <x v="0"/>
    <n v="45"/>
    <n v="45"/>
    <n v="60.7"/>
    <n v="1000"/>
    <x v="13"/>
    <x v="0"/>
    <n v="0"/>
    <n v="1"/>
    <n v="0"/>
    <n v="0.85"/>
  </r>
  <r>
    <s v="APT-01822"/>
    <x v="107"/>
    <x v="1"/>
    <x v="4"/>
    <x v="3"/>
    <x v="1"/>
    <s v="Thrissur"/>
    <x v="10"/>
    <s v="PT-1602"/>
    <s v="Chronic Pain"/>
    <x v="0"/>
    <x v="2"/>
    <s v="Neurologist"/>
    <x v="0"/>
    <n v="75"/>
    <n v="75"/>
    <n v="87.5"/>
    <n v="1700"/>
    <x v="6"/>
    <x v="0"/>
    <n v="0"/>
    <n v="1"/>
    <n v="0"/>
    <n v="0.85"/>
  </r>
  <r>
    <s v="APT-01823"/>
    <x v="190"/>
    <x v="5"/>
    <x v="1"/>
    <x v="3"/>
    <x v="1"/>
    <s v="Thrissur"/>
    <x v="1"/>
    <s v="PT-1253"/>
    <s v="Follow-up"/>
    <x v="5"/>
    <x v="1"/>
    <s v="Hospital Discharge"/>
    <x v="0"/>
    <n v="60"/>
    <n v="60"/>
    <n v="72.400000000000006"/>
    <n v="1150"/>
    <x v="15"/>
    <x v="0"/>
    <n v="0"/>
    <n v="1"/>
    <n v="0"/>
    <n v="0.85"/>
  </r>
  <r>
    <s v="APT-01824"/>
    <x v="92"/>
    <x v="3"/>
    <x v="2"/>
    <x v="0"/>
    <x v="1"/>
    <s v="Thrissur"/>
    <x v="10"/>
    <s v="PT-1582"/>
    <s v="Post-op Rehab"/>
    <x v="0"/>
    <x v="2"/>
    <s v="Neurologist"/>
    <x v="0"/>
    <n v="60"/>
    <n v="60"/>
    <n v="79.400000000000006"/>
    <n v="1550"/>
    <x v="1"/>
    <x v="0"/>
    <n v="0"/>
    <n v="1"/>
    <n v="0"/>
    <n v="0.85"/>
  </r>
  <r>
    <s v="APT-01825"/>
    <x v="179"/>
    <x v="3"/>
    <x v="4"/>
    <x v="2"/>
    <x v="0"/>
    <s v="Palakkad"/>
    <x v="0"/>
    <s v="PT-1130"/>
    <s v="New Patient"/>
    <x v="1"/>
    <x v="1"/>
    <s v="Hospital Discharge"/>
    <x v="0"/>
    <n v="60"/>
    <n v="60"/>
    <n v="70.099999999999994"/>
    <n v="1300"/>
    <x v="22"/>
    <x v="0"/>
    <n v="0"/>
    <n v="1"/>
    <n v="0"/>
    <n v="0.85"/>
  </r>
  <r>
    <s v="APT-01826"/>
    <x v="144"/>
    <x v="11"/>
    <x v="1"/>
    <x v="0"/>
    <x v="2"/>
    <s v="Ernakulam"/>
    <x v="8"/>
    <s v="PT-1120"/>
    <s v="Post-op Rehab"/>
    <x v="1"/>
    <x v="0"/>
    <s v="Self Referral"/>
    <x v="0"/>
    <n v="45"/>
    <n v="45"/>
    <n v="59.6"/>
    <n v="1300"/>
    <x v="22"/>
    <x v="0"/>
    <n v="0"/>
    <n v="1"/>
    <n v="0"/>
    <n v="0.85"/>
  </r>
  <r>
    <s v="APT-01827"/>
    <x v="332"/>
    <x v="6"/>
    <x v="5"/>
    <x v="2"/>
    <x v="0"/>
    <s v="Palakkad"/>
    <x v="13"/>
    <s v="PT-1253"/>
    <s v="Follow-up"/>
    <x v="1"/>
    <x v="1"/>
    <s v="Corporate Wellness"/>
    <x v="0"/>
    <n v="30"/>
    <n v="30"/>
    <n v="37.6"/>
    <n v="550"/>
    <x v="29"/>
    <x v="0"/>
    <n v="0"/>
    <n v="1"/>
    <n v="0"/>
    <n v="0.85"/>
  </r>
  <r>
    <s v="APT-01828"/>
    <x v="1"/>
    <x v="1"/>
    <x v="1"/>
    <x v="3"/>
    <x v="0"/>
    <s v="Palakkad"/>
    <x v="0"/>
    <s v="PT-1507"/>
    <s v="Sports Injury"/>
    <x v="3"/>
    <x v="0"/>
    <s v="Hospital Discharge"/>
    <x v="0"/>
    <n v="30"/>
    <n v="30"/>
    <n v="36.1"/>
    <n v="600"/>
    <x v="16"/>
    <x v="0"/>
    <n v="0"/>
    <n v="1"/>
    <n v="0"/>
    <n v="0.85"/>
  </r>
  <r>
    <s v="APT-01829"/>
    <x v="333"/>
    <x v="10"/>
    <x v="0"/>
    <x v="0"/>
    <x v="2"/>
    <s v="Ernakulam"/>
    <x v="3"/>
    <s v="PT-1399"/>
    <s v="Follow-up"/>
    <x v="4"/>
    <x v="2"/>
    <s v="Hospital Discharge"/>
    <x v="0"/>
    <n v="60"/>
    <n v="60"/>
    <n v="72.599999999999994"/>
    <n v="1500"/>
    <x v="3"/>
    <x v="0"/>
    <n v="0"/>
    <n v="1"/>
    <n v="0"/>
    <n v="0.85"/>
  </r>
  <r>
    <s v="APT-01830"/>
    <x v="142"/>
    <x v="11"/>
    <x v="3"/>
    <x v="3"/>
    <x v="2"/>
    <s v="Ernakulam"/>
    <x v="4"/>
    <s v="PT-1366"/>
    <s v="Follow-up"/>
    <x v="1"/>
    <x v="0"/>
    <s v="Hospital Discharge"/>
    <x v="1"/>
    <n v="60"/>
    <n v="0"/>
    <n v="71.5"/>
    <n v="1500"/>
    <x v="9"/>
    <x v="12"/>
    <n v="1"/>
    <n v="0"/>
    <n v="0"/>
    <n v="0.85"/>
  </r>
  <r>
    <s v="APT-01831"/>
    <x v="250"/>
    <x v="4"/>
    <x v="1"/>
    <x v="2"/>
    <x v="1"/>
    <s v="Thrissur"/>
    <x v="1"/>
    <s v="PT-1032"/>
    <s v="Follow-up"/>
    <x v="4"/>
    <x v="2"/>
    <s v="Self Referral"/>
    <x v="0"/>
    <n v="90"/>
    <n v="90"/>
    <n v="115"/>
    <n v="2000"/>
    <x v="33"/>
    <x v="0"/>
    <n v="0"/>
    <n v="1"/>
    <n v="0"/>
    <n v="0.85"/>
  </r>
  <r>
    <s v="APT-01832"/>
    <x v="287"/>
    <x v="9"/>
    <x v="0"/>
    <x v="3"/>
    <x v="0"/>
    <s v="Palakkad"/>
    <x v="0"/>
    <s v="PT-1069"/>
    <s v="New Patient"/>
    <x v="0"/>
    <x v="2"/>
    <s v="Online Search"/>
    <x v="0"/>
    <n v="45"/>
    <n v="45"/>
    <n v="54.1"/>
    <n v="1100"/>
    <x v="20"/>
    <x v="0"/>
    <n v="0"/>
    <n v="1"/>
    <n v="0"/>
    <n v="0.85"/>
  </r>
  <r>
    <s v="APT-01833"/>
    <x v="36"/>
    <x v="2"/>
    <x v="1"/>
    <x v="2"/>
    <x v="0"/>
    <s v="Palakkad"/>
    <x v="6"/>
    <s v="PT-1410"/>
    <s v="New Patient"/>
    <x v="4"/>
    <x v="3"/>
    <s v="Neurologist"/>
    <x v="2"/>
    <n v="45"/>
    <n v="0"/>
    <n v="55.6"/>
    <n v="1050"/>
    <x v="9"/>
    <x v="15"/>
    <n v="0"/>
    <n v="0"/>
    <n v="1"/>
    <n v="0.85"/>
  </r>
  <r>
    <s v="APT-01834"/>
    <x v="188"/>
    <x v="5"/>
    <x v="2"/>
    <x v="2"/>
    <x v="1"/>
    <s v="Thrissur"/>
    <x v="10"/>
    <s v="PT-1336"/>
    <s v="Sports Injury"/>
    <x v="2"/>
    <x v="0"/>
    <s v="Orthopedic Doctor"/>
    <x v="0"/>
    <n v="90"/>
    <n v="90"/>
    <n v="108.3"/>
    <n v="2000"/>
    <x v="33"/>
    <x v="0"/>
    <n v="0"/>
    <n v="1"/>
    <n v="0"/>
    <n v="0.85"/>
  </r>
  <r>
    <s v="APT-01835"/>
    <x v="88"/>
    <x v="6"/>
    <x v="5"/>
    <x v="3"/>
    <x v="1"/>
    <s v="Thrissur"/>
    <x v="10"/>
    <s v="PT-1687"/>
    <s v="Chronic Pain"/>
    <x v="0"/>
    <x v="3"/>
    <s v="Self Referral"/>
    <x v="1"/>
    <n v="90"/>
    <n v="0"/>
    <n v="98.2"/>
    <n v="1850"/>
    <x v="9"/>
    <x v="34"/>
    <n v="1"/>
    <n v="0"/>
    <n v="0"/>
    <n v="0.85"/>
  </r>
  <r>
    <s v="APT-01836"/>
    <x v="101"/>
    <x v="9"/>
    <x v="4"/>
    <x v="2"/>
    <x v="2"/>
    <s v="Ernakulam"/>
    <x v="4"/>
    <s v="PT-1557"/>
    <s v="Post-op Rehab"/>
    <x v="1"/>
    <x v="2"/>
    <s v="Neurologist"/>
    <x v="0"/>
    <n v="75"/>
    <n v="75"/>
    <n v="85.7"/>
    <n v="2150"/>
    <x v="30"/>
    <x v="0"/>
    <n v="0"/>
    <n v="1"/>
    <n v="0"/>
    <n v="0.85"/>
  </r>
  <r>
    <s v="APT-01837"/>
    <x v="72"/>
    <x v="10"/>
    <x v="2"/>
    <x v="0"/>
    <x v="1"/>
    <s v="Thrissur"/>
    <x v="2"/>
    <s v="PT-1417"/>
    <s v="New Patient"/>
    <x v="0"/>
    <x v="0"/>
    <s v="Orthopedic Doctor"/>
    <x v="3"/>
    <n v="60"/>
    <n v="0"/>
    <n v="68.7"/>
    <n v="1600"/>
    <x v="9"/>
    <x v="0"/>
    <n v="0"/>
    <n v="0"/>
    <n v="0"/>
    <n v="0.85"/>
  </r>
  <r>
    <s v="APT-01838"/>
    <x v="56"/>
    <x v="6"/>
    <x v="4"/>
    <x v="0"/>
    <x v="1"/>
    <s v="Thrissur"/>
    <x v="1"/>
    <s v="PT-1679"/>
    <s v="Follow-up"/>
    <x v="3"/>
    <x v="2"/>
    <s v="Online Search"/>
    <x v="0"/>
    <n v="75"/>
    <n v="75"/>
    <n v="83.8"/>
    <n v="1700"/>
    <x v="6"/>
    <x v="0"/>
    <n v="0"/>
    <n v="1"/>
    <n v="0"/>
    <n v="0.85"/>
  </r>
  <r>
    <s v="APT-01839"/>
    <x v="189"/>
    <x v="8"/>
    <x v="0"/>
    <x v="0"/>
    <x v="1"/>
    <s v="Thrissur"/>
    <x v="10"/>
    <s v="PT-1586"/>
    <s v="Post-op Rehab"/>
    <x v="4"/>
    <x v="2"/>
    <s v="Corporate Wellness"/>
    <x v="0"/>
    <n v="60"/>
    <n v="60"/>
    <n v="72"/>
    <n v="1550"/>
    <x v="1"/>
    <x v="0"/>
    <n v="0"/>
    <n v="1"/>
    <n v="0"/>
    <n v="0.85"/>
  </r>
  <r>
    <s v="APT-01840"/>
    <x v="154"/>
    <x v="10"/>
    <x v="5"/>
    <x v="0"/>
    <x v="1"/>
    <s v="Thrissur"/>
    <x v="10"/>
    <s v="PT-1679"/>
    <s v="Follow-up"/>
    <x v="3"/>
    <x v="0"/>
    <s v="Self Referral"/>
    <x v="0"/>
    <n v="60"/>
    <n v="60"/>
    <n v="68.900000000000006"/>
    <n v="1350"/>
    <x v="14"/>
    <x v="0"/>
    <n v="0"/>
    <n v="1"/>
    <n v="0"/>
    <n v="0.85"/>
  </r>
  <r>
    <s v="APT-01841"/>
    <x v="291"/>
    <x v="2"/>
    <x v="2"/>
    <x v="2"/>
    <x v="1"/>
    <s v="Thrissur"/>
    <x v="10"/>
    <s v="PT-1375"/>
    <s v="Follow-up"/>
    <x v="2"/>
    <x v="0"/>
    <s v="Orthopedic Doctor"/>
    <x v="0"/>
    <n v="60"/>
    <n v="60"/>
    <n v="76.599999999999994"/>
    <n v="1350"/>
    <x v="14"/>
    <x v="0"/>
    <n v="0"/>
    <n v="1"/>
    <n v="0"/>
    <n v="0.85"/>
  </r>
  <r>
    <s v="APT-01842"/>
    <x v="305"/>
    <x v="4"/>
    <x v="5"/>
    <x v="0"/>
    <x v="1"/>
    <s v="Thrissur"/>
    <x v="7"/>
    <s v="PT-1683"/>
    <s v="Follow-up"/>
    <x v="2"/>
    <x v="2"/>
    <s v="Neurologist"/>
    <x v="0"/>
    <n v="45"/>
    <n v="45"/>
    <n v="58.3"/>
    <n v="1000"/>
    <x v="13"/>
    <x v="0"/>
    <n v="0"/>
    <n v="1"/>
    <n v="0"/>
    <n v="0.85"/>
  </r>
  <r>
    <s v="APT-01843"/>
    <x v="183"/>
    <x v="10"/>
    <x v="1"/>
    <x v="1"/>
    <x v="2"/>
    <s v="Ernakulam"/>
    <x v="4"/>
    <s v="PT-1382"/>
    <s v="Chronic Pain"/>
    <x v="0"/>
    <x v="2"/>
    <s v="Online Search"/>
    <x v="2"/>
    <n v="30"/>
    <n v="0"/>
    <n v="35.5"/>
    <n v="750"/>
    <x v="9"/>
    <x v="31"/>
    <n v="0"/>
    <n v="0"/>
    <n v="1"/>
    <n v="0.85"/>
  </r>
  <r>
    <s v="APT-01844"/>
    <x v="193"/>
    <x v="3"/>
    <x v="5"/>
    <x v="0"/>
    <x v="0"/>
    <s v="Palakkad"/>
    <x v="6"/>
    <s v="PT-1666"/>
    <s v="Chronic Pain"/>
    <x v="2"/>
    <x v="0"/>
    <s v="Hospital Discharge"/>
    <x v="0"/>
    <n v="45"/>
    <n v="45"/>
    <n v="55.6"/>
    <n v="950"/>
    <x v="7"/>
    <x v="0"/>
    <n v="0"/>
    <n v="1"/>
    <n v="0"/>
    <n v="0.85"/>
  </r>
  <r>
    <s v="APT-01845"/>
    <x v="207"/>
    <x v="2"/>
    <x v="5"/>
    <x v="0"/>
    <x v="1"/>
    <s v="Thrissur"/>
    <x v="7"/>
    <s v="PT-1162"/>
    <s v="New Patient"/>
    <x v="0"/>
    <x v="0"/>
    <s v="Online Search"/>
    <x v="0"/>
    <n v="45"/>
    <n v="45"/>
    <n v="55.7"/>
    <n v="1200"/>
    <x v="26"/>
    <x v="0"/>
    <n v="0"/>
    <n v="1"/>
    <n v="0"/>
    <n v="0.85"/>
  </r>
  <r>
    <s v="APT-01846"/>
    <x v="53"/>
    <x v="10"/>
    <x v="4"/>
    <x v="3"/>
    <x v="1"/>
    <s v="Thrissur"/>
    <x v="5"/>
    <s v="PT-1573"/>
    <s v="Follow-up"/>
    <x v="5"/>
    <x v="0"/>
    <s v="Orthopedic Doctor"/>
    <x v="0"/>
    <n v="45"/>
    <n v="45"/>
    <n v="54.3"/>
    <n v="1000"/>
    <x v="13"/>
    <x v="0"/>
    <n v="0"/>
    <n v="1"/>
    <n v="0"/>
    <n v="0.85"/>
  </r>
  <r>
    <s v="APT-01847"/>
    <x v="58"/>
    <x v="11"/>
    <x v="2"/>
    <x v="0"/>
    <x v="2"/>
    <s v="Ernakulam"/>
    <x v="14"/>
    <s v="PT-1504"/>
    <s v="Sports Injury"/>
    <x v="4"/>
    <x v="0"/>
    <s v="Orthopedic Doctor"/>
    <x v="0"/>
    <n v="45"/>
    <n v="45"/>
    <n v="58.6"/>
    <n v="1100"/>
    <x v="20"/>
    <x v="0"/>
    <n v="0"/>
    <n v="1"/>
    <n v="0"/>
    <n v="0.85"/>
  </r>
  <r>
    <s v="APT-01848"/>
    <x v="194"/>
    <x v="8"/>
    <x v="4"/>
    <x v="3"/>
    <x v="2"/>
    <s v="Ernakulam"/>
    <x v="4"/>
    <s v="PT-1673"/>
    <s v="Post-op Rehab"/>
    <x v="5"/>
    <x v="0"/>
    <s v="Corporate Wellness"/>
    <x v="0"/>
    <n v="75"/>
    <n v="75"/>
    <n v="82.5"/>
    <n v="2150"/>
    <x v="30"/>
    <x v="0"/>
    <n v="0"/>
    <n v="1"/>
    <n v="0"/>
    <n v="0.85"/>
  </r>
  <r>
    <s v="APT-01849"/>
    <x v="179"/>
    <x v="3"/>
    <x v="4"/>
    <x v="0"/>
    <x v="2"/>
    <s v="Ernakulam"/>
    <x v="12"/>
    <s v="PT-1193"/>
    <s v="Follow-up"/>
    <x v="1"/>
    <x v="2"/>
    <s v="Orthopedic Doctor"/>
    <x v="2"/>
    <n v="45"/>
    <n v="0"/>
    <n v="55"/>
    <n v="1100"/>
    <x v="9"/>
    <x v="6"/>
    <n v="0"/>
    <n v="0"/>
    <n v="1"/>
    <n v="0.85"/>
  </r>
  <r>
    <s v="APT-01850"/>
    <x v="223"/>
    <x v="3"/>
    <x v="3"/>
    <x v="2"/>
    <x v="0"/>
    <s v="Palakkad"/>
    <x v="0"/>
    <s v="PT-1263"/>
    <s v="Geriatric Rehab"/>
    <x v="3"/>
    <x v="0"/>
    <s v="Neurologist"/>
    <x v="0"/>
    <n v="45"/>
    <n v="45"/>
    <n v="60.2"/>
    <n v="950"/>
    <x v="7"/>
    <x v="0"/>
    <n v="0"/>
    <n v="1"/>
    <n v="0"/>
    <n v="0.85"/>
  </r>
  <r>
    <s v="APT-01851"/>
    <x v="171"/>
    <x v="10"/>
    <x v="3"/>
    <x v="0"/>
    <x v="0"/>
    <s v="Palakkad"/>
    <x v="13"/>
    <s v="PT-1074"/>
    <s v="Sports Injury"/>
    <x v="3"/>
    <x v="0"/>
    <s v="Orthopedic Doctor"/>
    <x v="0"/>
    <n v="45"/>
    <n v="45"/>
    <n v="55"/>
    <n v="950"/>
    <x v="7"/>
    <x v="0"/>
    <n v="0"/>
    <n v="1"/>
    <n v="0"/>
    <n v="0.85"/>
  </r>
  <r>
    <s v="APT-01852"/>
    <x v="132"/>
    <x v="8"/>
    <x v="3"/>
    <x v="0"/>
    <x v="1"/>
    <s v="Thrissur"/>
    <x v="10"/>
    <s v="PT-1345"/>
    <s v="Follow-up"/>
    <x v="5"/>
    <x v="0"/>
    <s v="Corporate Wellness"/>
    <x v="0"/>
    <n v="60"/>
    <n v="60"/>
    <n v="65.599999999999994"/>
    <n v="1350"/>
    <x v="14"/>
    <x v="0"/>
    <n v="0"/>
    <n v="1"/>
    <n v="0"/>
    <n v="0.85"/>
  </r>
  <r>
    <s v="APT-01853"/>
    <x v="144"/>
    <x v="11"/>
    <x v="1"/>
    <x v="2"/>
    <x v="0"/>
    <s v="Palakkad"/>
    <x v="0"/>
    <s v="PT-1376"/>
    <s v="Follow-up"/>
    <x v="2"/>
    <x v="2"/>
    <s v="Self Referral"/>
    <x v="0"/>
    <n v="60"/>
    <n v="60"/>
    <n v="65.3"/>
    <n v="1250"/>
    <x v="5"/>
    <x v="0"/>
    <n v="0"/>
    <n v="1"/>
    <n v="0"/>
    <n v="0.85"/>
  </r>
  <r>
    <s v="APT-01854"/>
    <x v="101"/>
    <x v="9"/>
    <x v="4"/>
    <x v="2"/>
    <x v="2"/>
    <s v="Ernakulam"/>
    <x v="3"/>
    <s v="PT-1345"/>
    <s v="Follow-up"/>
    <x v="3"/>
    <x v="0"/>
    <s v="Online Search"/>
    <x v="0"/>
    <n v="60"/>
    <n v="60"/>
    <n v="80.2"/>
    <n v="1500"/>
    <x v="3"/>
    <x v="0"/>
    <n v="0"/>
    <n v="1"/>
    <n v="0"/>
    <n v="0.85"/>
  </r>
  <r>
    <s v="APT-01855"/>
    <x v="222"/>
    <x v="2"/>
    <x v="4"/>
    <x v="3"/>
    <x v="0"/>
    <s v="Palakkad"/>
    <x v="13"/>
    <s v="PT-1580"/>
    <s v="Follow-up"/>
    <x v="3"/>
    <x v="1"/>
    <s v="Neurologist"/>
    <x v="0"/>
    <n v="45"/>
    <n v="45"/>
    <n v="60.5"/>
    <n v="800"/>
    <x v="18"/>
    <x v="0"/>
    <n v="0"/>
    <n v="1"/>
    <n v="0"/>
    <n v="0.85"/>
  </r>
  <r>
    <s v="APT-01856"/>
    <x v="333"/>
    <x v="10"/>
    <x v="0"/>
    <x v="3"/>
    <x v="1"/>
    <s v="Thrissur"/>
    <x v="10"/>
    <s v="PT-1226"/>
    <s v="Follow-up"/>
    <x v="0"/>
    <x v="2"/>
    <s v="Online Search"/>
    <x v="1"/>
    <n v="60"/>
    <n v="0"/>
    <n v="80.7"/>
    <n v="1350"/>
    <x v="9"/>
    <x v="2"/>
    <n v="1"/>
    <n v="0"/>
    <n v="0"/>
    <n v="0.85"/>
  </r>
  <r>
    <s v="APT-01857"/>
    <x v="232"/>
    <x v="11"/>
    <x v="4"/>
    <x v="2"/>
    <x v="1"/>
    <s v="Thrissur"/>
    <x v="2"/>
    <s v="PT-1357"/>
    <s v="Geriatric Rehab"/>
    <x v="1"/>
    <x v="0"/>
    <s v="Corporate Wellness"/>
    <x v="1"/>
    <n v="60"/>
    <n v="0"/>
    <n v="76.8"/>
    <n v="1350"/>
    <x v="9"/>
    <x v="2"/>
    <n v="1"/>
    <n v="0"/>
    <n v="0"/>
    <n v="0.85"/>
  </r>
  <r>
    <s v="APT-01858"/>
    <x v="242"/>
    <x v="2"/>
    <x v="3"/>
    <x v="3"/>
    <x v="1"/>
    <s v="Thrissur"/>
    <x v="2"/>
    <s v="PT-1354"/>
    <s v="New Patient"/>
    <x v="4"/>
    <x v="0"/>
    <s v="Self Referral"/>
    <x v="0"/>
    <n v="60"/>
    <n v="60"/>
    <n v="68.3"/>
    <n v="1600"/>
    <x v="11"/>
    <x v="0"/>
    <n v="0"/>
    <n v="1"/>
    <n v="0"/>
    <n v="0.85"/>
  </r>
  <r>
    <s v="APT-01859"/>
    <x v="67"/>
    <x v="11"/>
    <x v="2"/>
    <x v="1"/>
    <x v="1"/>
    <s v="Thrissur"/>
    <x v="5"/>
    <s v="PT-1219"/>
    <s v="New Patient"/>
    <x v="5"/>
    <x v="0"/>
    <s v="Orthopedic Doctor"/>
    <x v="0"/>
    <n v="60"/>
    <n v="60"/>
    <n v="67"/>
    <n v="1600"/>
    <x v="11"/>
    <x v="0"/>
    <n v="0"/>
    <n v="1"/>
    <n v="0"/>
    <n v="0.85"/>
  </r>
  <r>
    <s v="APT-01860"/>
    <x v="180"/>
    <x v="2"/>
    <x v="4"/>
    <x v="2"/>
    <x v="2"/>
    <s v="Ernakulam"/>
    <x v="3"/>
    <s v="PT-1369"/>
    <s v="Follow-up"/>
    <x v="2"/>
    <x v="2"/>
    <s v="Corporate Wellness"/>
    <x v="0"/>
    <n v="60"/>
    <n v="60"/>
    <n v="76.900000000000006"/>
    <n v="1500"/>
    <x v="3"/>
    <x v="0"/>
    <n v="0"/>
    <n v="1"/>
    <n v="0"/>
    <n v="0.85"/>
  </r>
  <r>
    <s v="APT-01861"/>
    <x v="231"/>
    <x v="4"/>
    <x v="5"/>
    <x v="3"/>
    <x v="0"/>
    <s v="Palakkad"/>
    <x v="9"/>
    <s v="PT-1611"/>
    <s v="Chronic Pain"/>
    <x v="1"/>
    <x v="2"/>
    <s v="Neurologist"/>
    <x v="0"/>
    <n v="60"/>
    <n v="60"/>
    <n v="74.2"/>
    <n v="1250"/>
    <x v="5"/>
    <x v="0"/>
    <n v="0"/>
    <n v="1"/>
    <n v="0"/>
    <n v="0.85"/>
  </r>
  <r>
    <s v="APT-01862"/>
    <x v="193"/>
    <x v="3"/>
    <x v="5"/>
    <x v="0"/>
    <x v="0"/>
    <s v="Palakkad"/>
    <x v="11"/>
    <s v="PT-1595"/>
    <s v="Follow-up"/>
    <x v="4"/>
    <x v="0"/>
    <s v="Online Search"/>
    <x v="0"/>
    <n v="30"/>
    <n v="30"/>
    <n v="35.200000000000003"/>
    <n v="600"/>
    <x v="16"/>
    <x v="0"/>
    <n v="0"/>
    <n v="1"/>
    <n v="0"/>
    <n v="0.85"/>
  </r>
  <r>
    <s v="APT-01863"/>
    <x v="145"/>
    <x v="1"/>
    <x v="1"/>
    <x v="2"/>
    <x v="1"/>
    <s v="Thrissur"/>
    <x v="10"/>
    <s v="PT-1060"/>
    <s v="Sports Injury"/>
    <x v="5"/>
    <x v="0"/>
    <s v="Corporate Wellness"/>
    <x v="0"/>
    <n v="90"/>
    <n v="90"/>
    <n v="112.5"/>
    <n v="2000"/>
    <x v="33"/>
    <x v="0"/>
    <n v="0"/>
    <n v="1"/>
    <n v="0"/>
    <n v="0.85"/>
  </r>
  <r>
    <s v="APT-01864"/>
    <x v="262"/>
    <x v="9"/>
    <x v="1"/>
    <x v="3"/>
    <x v="0"/>
    <s v="Palakkad"/>
    <x v="11"/>
    <s v="PT-1548"/>
    <s v="Chronic Pain"/>
    <x v="2"/>
    <x v="0"/>
    <s v="Online Search"/>
    <x v="1"/>
    <n v="60"/>
    <n v="0"/>
    <n v="75.900000000000006"/>
    <n v="1250"/>
    <x v="9"/>
    <x v="9"/>
    <n v="1"/>
    <n v="0"/>
    <n v="0"/>
    <n v="0.85"/>
  </r>
  <r>
    <s v="APT-01865"/>
    <x v="311"/>
    <x v="1"/>
    <x v="0"/>
    <x v="3"/>
    <x v="2"/>
    <s v="Ernakulam"/>
    <x v="12"/>
    <s v="PT-1286"/>
    <s v="Chronic Pain"/>
    <x v="5"/>
    <x v="0"/>
    <s v="Self Referral"/>
    <x v="0"/>
    <n v="45"/>
    <n v="45"/>
    <n v="60.7"/>
    <n v="1100"/>
    <x v="20"/>
    <x v="0"/>
    <n v="0"/>
    <n v="1"/>
    <n v="0"/>
    <n v="0.85"/>
  </r>
  <r>
    <s v="APT-01866"/>
    <x v="190"/>
    <x v="5"/>
    <x v="1"/>
    <x v="3"/>
    <x v="1"/>
    <s v="Thrissur"/>
    <x v="10"/>
    <s v="PT-1118"/>
    <s v="Follow-up"/>
    <x v="5"/>
    <x v="1"/>
    <s v="Neurologist"/>
    <x v="2"/>
    <n v="60"/>
    <n v="0"/>
    <n v="79.3"/>
    <n v="1150"/>
    <x v="9"/>
    <x v="11"/>
    <n v="0"/>
    <n v="0"/>
    <n v="1"/>
    <n v="0.85"/>
  </r>
  <r>
    <s v="APT-01867"/>
    <x v="310"/>
    <x v="5"/>
    <x v="5"/>
    <x v="3"/>
    <x v="1"/>
    <s v="Thrissur"/>
    <x v="5"/>
    <s v="PT-1016"/>
    <s v="New Patient"/>
    <x v="3"/>
    <x v="1"/>
    <s v="Self Referral"/>
    <x v="0"/>
    <n v="30"/>
    <n v="30"/>
    <n v="33.700000000000003"/>
    <n v="700"/>
    <x v="19"/>
    <x v="0"/>
    <n v="0"/>
    <n v="1"/>
    <n v="0"/>
    <n v="0.85"/>
  </r>
  <r>
    <s v="APT-01868"/>
    <x v="27"/>
    <x v="9"/>
    <x v="4"/>
    <x v="0"/>
    <x v="1"/>
    <s v="Thrissur"/>
    <x v="5"/>
    <s v="PT-1448"/>
    <s v="Post-op Rehab"/>
    <x v="2"/>
    <x v="2"/>
    <s v="Online Search"/>
    <x v="2"/>
    <n v="75"/>
    <n v="0"/>
    <n v="100.4"/>
    <n v="1950"/>
    <x v="9"/>
    <x v="17"/>
    <n v="0"/>
    <n v="0"/>
    <n v="1"/>
    <n v="0.85"/>
  </r>
  <r>
    <s v="APT-01869"/>
    <x v="167"/>
    <x v="4"/>
    <x v="2"/>
    <x v="0"/>
    <x v="2"/>
    <s v="Ernakulam"/>
    <x v="3"/>
    <s v="PT-1169"/>
    <s v="Sports Injury"/>
    <x v="1"/>
    <x v="2"/>
    <s v="Hospital Discharge"/>
    <x v="0"/>
    <n v="45"/>
    <n v="45"/>
    <n v="53.6"/>
    <n v="1100"/>
    <x v="20"/>
    <x v="0"/>
    <n v="0"/>
    <n v="1"/>
    <n v="0"/>
    <n v="0.85"/>
  </r>
  <r>
    <s v="APT-01870"/>
    <x v="57"/>
    <x v="3"/>
    <x v="5"/>
    <x v="1"/>
    <x v="0"/>
    <s v="Palakkad"/>
    <x v="11"/>
    <s v="PT-1514"/>
    <s v="Post-op Rehab"/>
    <x v="0"/>
    <x v="0"/>
    <s v="Self Referral"/>
    <x v="0"/>
    <n v="90"/>
    <n v="90"/>
    <n v="99.9"/>
    <n v="2150"/>
    <x v="30"/>
    <x v="0"/>
    <n v="0"/>
    <n v="1"/>
    <n v="0"/>
    <n v="0.85"/>
  </r>
  <r>
    <s v="APT-01871"/>
    <x v="219"/>
    <x v="3"/>
    <x v="5"/>
    <x v="1"/>
    <x v="1"/>
    <s v="Thrissur"/>
    <x v="5"/>
    <s v="PT-1357"/>
    <s v="Follow-up"/>
    <x v="1"/>
    <x v="2"/>
    <s v="Self Referral"/>
    <x v="0"/>
    <n v="60"/>
    <n v="60"/>
    <n v="65.7"/>
    <n v="1350"/>
    <x v="14"/>
    <x v="0"/>
    <n v="0"/>
    <n v="1"/>
    <n v="0"/>
    <n v="0.85"/>
  </r>
  <r>
    <s v="APT-01872"/>
    <x v="81"/>
    <x v="4"/>
    <x v="1"/>
    <x v="1"/>
    <x v="0"/>
    <s v="Palakkad"/>
    <x v="11"/>
    <s v="PT-1539"/>
    <s v="Geriatric Rehab"/>
    <x v="1"/>
    <x v="0"/>
    <s v="Neurologist"/>
    <x v="1"/>
    <n v="45"/>
    <n v="0"/>
    <n v="56.5"/>
    <n v="950"/>
    <x v="9"/>
    <x v="19"/>
    <n v="1"/>
    <n v="0"/>
    <n v="0"/>
    <n v="0.85"/>
  </r>
  <r>
    <s v="APT-01873"/>
    <x v="105"/>
    <x v="7"/>
    <x v="2"/>
    <x v="1"/>
    <x v="0"/>
    <s v="Palakkad"/>
    <x v="6"/>
    <s v="PT-1698"/>
    <s v="Chronic Pain"/>
    <x v="1"/>
    <x v="0"/>
    <s v="Online Search"/>
    <x v="0"/>
    <n v="45"/>
    <n v="45"/>
    <n v="57.9"/>
    <n v="950"/>
    <x v="7"/>
    <x v="0"/>
    <n v="0"/>
    <n v="1"/>
    <n v="0"/>
    <n v="0.85"/>
  </r>
  <r>
    <s v="APT-01874"/>
    <x v="306"/>
    <x v="2"/>
    <x v="5"/>
    <x v="0"/>
    <x v="1"/>
    <s v="Thrissur"/>
    <x v="2"/>
    <s v="PT-1131"/>
    <s v="New Patient"/>
    <x v="2"/>
    <x v="1"/>
    <s v="Neurologist"/>
    <x v="0"/>
    <n v="60"/>
    <n v="60"/>
    <n v="67.2"/>
    <n v="1400"/>
    <x v="21"/>
    <x v="0"/>
    <n v="0"/>
    <n v="1"/>
    <n v="0"/>
    <n v="0.85"/>
  </r>
  <r>
    <s v="APT-01875"/>
    <x v="17"/>
    <x v="0"/>
    <x v="1"/>
    <x v="3"/>
    <x v="2"/>
    <s v="Ernakulam"/>
    <x v="14"/>
    <s v="PT-1609"/>
    <s v="Follow-up"/>
    <x v="4"/>
    <x v="3"/>
    <s v="Corporate Wellness"/>
    <x v="0"/>
    <n v="30"/>
    <n v="30"/>
    <n v="38.799999999999997"/>
    <n v="700"/>
    <x v="19"/>
    <x v="0"/>
    <n v="0"/>
    <n v="1"/>
    <n v="0"/>
    <n v="0.85"/>
  </r>
  <r>
    <s v="APT-01876"/>
    <x v="37"/>
    <x v="5"/>
    <x v="0"/>
    <x v="2"/>
    <x v="1"/>
    <s v="Thrissur"/>
    <x v="2"/>
    <s v="PT-1250"/>
    <s v="Geriatric Rehab"/>
    <x v="2"/>
    <x v="2"/>
    <s v="Corporate Wellness"/>
    <x v="0"/>
    <n v="45"/>
    <n v="45"/>
    <n v="57.2"/>
    <n v="1000"/>
    <x v="13"/>
    <x v="0"/>
    <n v="0"/>
    <n v="1"/>
    <n v="0"/>
    <n v="0.85"/>
  </r>
  <r>
    <s v="APT-01877"/>
    <x v="90"/>
    <x v="0"/>
    <x v="2"/>
    <x v="0"/>
    <x v="1"/>
    <s v="Thrissur"/>
    <x v="1"/>
    <s v="PT-1565"/>
    <s v="Follow-up"/>
    <x v="2"/>
    <x v="2"/>
    <s v="Online Search"/>
    <x v="0"/>
    <n v="60"/>
    <n v="60"/>
    <n v="67.599999999999994"/>
    <n v="1350"/>
    <x v="14"/>
    <x v="0"/>
    <n v="0"/>
    <n v="1"/>
    <n v="0"/>
    <n v="0.85"/>
  </r>
  <r>
    <s v="APT-01878"/>
    <x v="53"/>
    <x v="10"/>
    <x v="4"/>
    <x v="2"/>
    <x v="1"/>
    <s v="Thrissur"/>
    <x v="10"/>
    <s v="PT-1659"/>
    <s v="New Patient"/>
    <x v="4"/>
    <x v="0"/>
    <s v="Online Search"/>
    <x v="0"/>
    <n v="75"/>
    <n v="75"/>
    <n v="97.7"/>
    <n v="2000"/>
    <x v="33"/>
    <x v="0"/>
    <n v="0"/>
    <n v="1"/>
    <n v="0"/>
    <n v="0.85"/>
  </r>
  <r>
    <s v="APT-01879"/>
    <x v="291"/>
    <x v="2"/>
    <x v="2"/>
    <x v="3"/>
    <x v="1"/>
    <s v="Thrissur"/>
    <x v="7"/>
    <s v="PT-1094"/>
    <s v="Follow-up"/>
    <x v="1"/>
    <x v="0"/>
    <s v="Orthopedic Doctor"/>
    <x v="0"/>
    <n v="60"/>
    <n v="60"/>
    <n v="73.599999999999994"/>
    <n v="1350"/>
    <x v="14"/>
    <x v="0"/>
    <n v="0"/>
    <n v="1"/>
    <n v="0"/>
    <n v="0.85"/>
  </r>
  <r>
    <s v="APT-01880"/>
    <x v="35"/>
    <x v="3"/>
    <x v="1"/>
    <x v="3"/>
    <x v="0"/>
    <s v="Palakkad"/>
    <x v="9"/>
    <s v="PT-1009"/>
    <s v="Post-op Rehab"/>
    <x v="0"/>
    <x v="0"/>
    <s v="Orthopedic Doctor"/>
    <x v="1"/>
    <n v="60"/>
    <n v="0"/>
    <n v="81"/>
    <n v="1450"/>
    <x v="9"/>
    <x v="22"/>
    <n v="1"/>
    <n v="0"/>
    <n v="0"/>
    <n v="0.85"/>
  </r>
  <r>
    <s v="APT-01881"/>
    <x v="186"/>
    <x v="3"/>
    <x v="1"/>
    <x v="0"/>
    <x v="0"/>
    <s v="Palakkad"/>
    <x v="6"/>
    <s v="PT-1596"/>
    <s v="Follow-up"/>
    <x v="2"/>
    <x v="0"/>
    <s v="Online Search"/>
    <x v="0"/>
    <n v="45"/>
    <n v="45"/>
    <n v="50.5"/>
    <n v="950"/>
    <x v="7"/>
    <x v="0"/>
    <n v="0"/>
    <n v="1"/>
    <n v="0"/>
    <n v="0.85"/>
  </r>
  <r>
    <s v="APT-01882"/>
    <x v="323"/>
    <x v="8"/>
    <x v="3"/>
    <x v="0"/>
    <x v="0"/>
    <s v="Palakkad"/>
    <x v="0"/>
    <s v="PT-1301"/>
    <s v="Follow-up"/>
    <x v="1"/>
    <x v="0"/>
    <s v="Self Referral"/>
    <x v="2"/>
    <n v="60"/>
    <n v="0"/>
    <n v="66.7"/>
    <n v="1250"/>
    <x v="9"/>
    <x v="9"/>
    <n v="0"/>
    <n v="0"/>
    <n v="1"/>
    <n v="0.85"/>
  </r>
  <r>
    <s v="APT-01883"/>
    <x v="274"/>
    <x v="9"/>
    <x v="0"/>
    <x v="2"/>
    <x v="1"/>
    <s v="Thrissur"/>
    <x v="5"/>
    <s v="PT-1442"/>
    <s v="Geriatric Rehab"/>
    <x v="0"/>
    <x v="2"/>
    <s v="Online Search"/>
    <x v="0"/>
    <n v="60"/>
    <n v="60"/>
    <n v="68.2"/>
    <n v="1350"/>
    <x v="14"/>
    <x v="0"/>
    <n v="0"/>
    <n v="1"/>
    <n v="0"/>
    <n v="0.85"/>
  </r>
  <r>
    <s v="APT-01884"/>
    <x v="108"/>
    <x v="11"/>
    <x v="3"/>
    <x v="3"/>
    <x v="0"/>
    <s v="Palakkad"/>
    <x v="11"/>
    <s v="PT-1652"/>
    <s v="Chronic Pain"/>
    <x v="2"/>
    <x v="0"/>
    <s v="Orthopedic Doctor"/>
    <x v="0"/>
    <n v="60"/>
    <n v="60"/>
    <n v="78.3"/>
    <n v="1250"/>
    <x v="5"/>
    <x v="0"/>
    <n v="0"/>
    <n v="1"/>
    <n v="0"/>
    <n v="0.85"/>
  </r>
  <r>
    <s v="APT-01885"/>
    <x v="177"/>
    <x v="7"/>
    <x v="4"/>
    <x v="0"/>
    <x v="1"/>
    <s v="Thrissur"/>
    <x v="5"/>
    <s v="PT-1413"/>
    <s v="Sports Injury"/>
    <x v="3"/>
    <x v="0"/>
    <s v="Corporate Wellness"/>
    <x v="0"/>
    <n v="60"/>
    <n v="60"/>
    <n v="80.099999999999994"/>
    <n v="1350"/>
    <x v="14"/>
    <x v="0"/>
    <n v="0"/>
    <n v="1"/>
    <n v="0"/>
    <n v="0.85"/>
  </r>
  <r>
    <s v="APT-01886"/>
    <x v="204"/>
    <x v="3"/>
    <x v="2"/>
    <x v="0"/>
    <x v="1"/>
    <s v="Thrissur"/>
    <x v="5"/>
    <s v="PT-1666"/>
    <s v="New Patient"/>
    <x v="4"/>
    <x v="1"/>
    <s v="Orthopedic Doctor"/>
    <x v="0"/>
    <n v="75"/>
    <n v="75"/>
    <n v="82.1"/>
    <n v="1700"/>
    <x v="6"/>
    <x v="0"/>
    <n v="0"/>
    <n v="1"/>
    <n v="0"/>
    <n v="0.85"/>
  </r>
  <r>
    <s v="APT-01887"/>
    <x v="73"/>
    <x v="10"/>
    <x v="0"/>
    <x v="2"/>
    <x v="1"/>
    <s v="Thrissur"/>
    <x v="2"/>
    <s v="PT-1096"/>
    <s v="Follow-up"/>
    <x v="5"/>
    <x v="2"/>
    <s v="Corporate Wellness"/>
    <x v="0"/>
    <n v="60"/>
    <n v="60"/>
    <n v="66"/>
    <n v="1350"/>
    <x v="14"/>
    <x v="0"/>
    <n v="0"/>
    <n v="1"/>
    <n v="0"/>
    <n v="0.85"/>
  </r>
  <r>
    <s v="APT-01888"/>
    <x v="19"/>
    <x v="4"/>
    <x v="0"/>
    <x v="0"/>
    <x v="2"/>
    <s v="Ernakulam"/>
    <x v="4"/>
    <s v="PT-1264"/>
    <s v="New Patient"/>
    <x v="4"/>
    <x v="0"/>
    <s v="Online Search"/>
    <x v="0"/>
    <n v="30"/>
    <n v="30"/>
    <n v="32.799999999999997"/>
    <n v="900"/>
    <x v="17"/>
    <x v="0"/>
    <n v="0"/>
    <n v="1"/>
    <n v="0"/>
    <n v="0.85"/>
  </r>
  <r>
    <s v="APT-01889"/>
    <x v="65"/>
    <x v="7"/>
    <x v="4"/>
    <x v="2"/>
    <x v="0"/>
    <s v="Palakkad"/>
    <x v="9"/>
    <s v="PT-1487"/>
    <s v="Follow-up"/>
    <x v="1"/>
    <x v="0"/>
    <s v="Corporate Wellness"/>
    <x v="0"/>
    <n v="60"/>
    <n v="60"/>
    <n v="79.599999999999994"/>
    <n v="1250"/>
    <x v="5"/>
    <x v="0"/>
    <n v="0"/>
    <n v="1"/>
    <n v="0"/>
    <n v="0.85"/>
  </r>
  <r>
    <s v="APT-01890"/>
    <x v="42"/>
    <x v="7"/>
    <x v="1"/>
    <x v="2"/>
    <x v="2"/>
    <s v="Ernakulam"/>
    <x v="12"/>
    <s v="PT-1080"/>
    <s v="Follow-up"/>
    <x v="5"/>
    <x v="2"/>
    <s v="Orthopedic Doctor"/>
    <x v="0"/>
    <n v="60"/>
    <n v="60"/>
    <n v="73.400000000000006"/>
    <n v="1500"/>
    <x v="3"/>
    <x v="0"/>
    <n v="0"/>
    <n v="1"/>
    <n v="0"/>
    <n v="0.85"/>
  </r>
  <r>
    <s v="APT-01891"/>
    <x v="189"/>
    <x v="8"/>
    <x v="0"/>
    <x v="3"/>
    <x v="1"/>
    <s v="Thrissur"/>
    <x v="5"/>
    <s v="PT-1419"/>
    <s v="New Patient"/>
    <x v="5"/>
    <x v="2"/>
    <s v="Orthopedic Doctor"/>
    <x v="0"/>
    <n v="60"/>
    <n v="60"/>
    <n v="70.400000000000006"/>
    <n v="1600"/>
    <x v="11"/>
    <x v="0"/>
    <n v="0"/>
    <n v="1"/>
    <n v="0"/>
    <n v="0.85"/>
  </r>
  <r>
    <s v="APT-01892"/>
    <x v="102"/>
    <x v="1"/>
    <x v="1"/>
    <x v="3"/>
    <x v="0"/>
    <s v="Palakkad"/>
    <x v="11"/>
    <s v="PT-1645"/>
    <s v="Sports Injury"/>
    <x v="1"/>
    <x v="2"/>
    <s v="Corporate Wellness"/>
    <x v="0"/>
    <n v="30"/>
    <n v="30"/>
    <n v="34.799999999999997"/>
    <n v="600"/>
    <x v="16"/>
    <x v="0"/>
    <n v="0"/>
    <n v="1"/>
    <n v="0"/>
    <n v="0.85"/>
  </r>
  <r>
    <s v="APT-01893"/>
    <x v="163"/>
    <x v="8"/>
    <x v="0"/>
    <x v="3"/>
    <x v="2"/>
    <s v="Ernakulam"/>
    <x v="12"/>
    <s v="PT-1350"/>
    <s v="Sports Injury"/>
    <x v="0"/>
    <x v="2"/>
    <s v="Corporate Wellness"/>
    <x v="0"/>
    <n v="60"/>
    <n v="60"/>
    <n v="76.900000000000006"/>
    <n v="1500"/>
    <x v="3"/>
    <x v="0"/>
    <n v="0"/>
    <n v="1"/>
    <n v="0"/>
    <n v="0.85"/>
  </r>
  <r>
    <s v="APT-01894"/>
    <x v="323"/>
    <x v="8"/>
    <x v="3"/>
    <x v="3"/>
    <x v="2"/>
    <s v="Ernakulam"/>
    <x v="14"/>
    <s v="PT-1099"/>
    <s v="New Patient"/>
    <x v="2"/>
    <x v="1"/>
    <s v="Self Referral"/>
    <x v="0"/>
    <n v="60"/>
    <n v="60"/>
    <n v="68.3"/>
    <n v="1550"/>
    <x v="1"/>
    <x v="0"/>
    <n v="0"/>
    <n v="1"/>
    <n v="0"/>
    <n v="0.85"/>
  </r>
  <r>
    <s v="APT-01895"/>
    <x v="61"/>
    <x v="10"/>
    <x v="5"/>
    <x v="3"/>
    <x v="0"/>
    <s v="Palakkad"/>
    <x v="0"/>
    <s v="PT-1154"/>
    <s v="New Patient"/>
    <x v="1"/>
    <x v="1"/>
    <s v="Orthopedic Doctor"/>
    <x v="0"/>
    <n v="60"/>
    <n v="60"/>
    <n v="66.7"/>
    <n v="1300"/>
    <x v="22"/>
    <x v="0"/>
    <n v="0"/>
    <n v="1"/>
    <n v="0"/>
    <n v="0.85"/>
  </r>
  <r>
    <s v="APT-01896"/>
    <x v="243"/>
    <x v="9"/>
    <x v="5"/>
    <x v="0"/>
    <x v="1"/>
    <s v="Thrissur"/>
    <x v="10"/>
    <s v="PT-1639"/>
    <s v="New Patient"/>
    <x v="3"/>
    <x v="0"/>
    <s v="Neurologist"/>
    <x v="0"/>
    <n v="30"/>
    <n v="30"/>
    <n v="39.1"/>
    <n v="800"/>
    <x v="18"/>
    <x v="0"/>
    <n v="0"/>
    <n v="1"/>
    <n v="0"/>
    <n v="0.85"/>
  </r>
  <r>
    <s v="APT-01897"/>
    <x v="305"/>
    <x v="4"/>
    <x v="5"/>
    <x v="3"/>
    <x v="1"/>
    <s v="Thrissur"/>
    <x v="1"/>
    <s v="PT-1569"/>
    <s v="Chronic Pain"/>
    <x v="5"/>
    <x v="1"/>
    <s v="Online Search"/>
    <x v="0"/>
    <n v="45"/>
    <n v="45"/>
    <n v="56"/>
    <n v="850"/>
    <x v="23"/>
    <x v="0"/>
    <n v="0"/>
    <n v="1"/>
    <n v="0"/>
    <n v="0.85"/>
  </r>
  <r>
    <s v="APT-01898"/>
    <x v="292"/>
    <x v="4"/>
    <x v="1"/>
    <x v="2"/>
    <x v="1"/>
    <s v="Thrissur"/>
    <x v="10"/>
    <s v="PT-1585"/>
    <s v="New Patient"/>
    <x v="2"/>
    <x v="3"/>
    <s v="Neurologist"/>
    <x v="0"/>
    <n v="60"/>
    <n v="60"/>
    <n v="80.2"/>
    <n v="1500"/>
    <x v="3"/>
    <x v="0"/>
    <n v="0"/>
    <n v="1"/>
    <n v="0"/>
    <n v="0.85"/>
  </r>
  <r>
    <s v="APT-01899"/>
    <x v="48"/>
    <x v="1"/>
    <x v="3"/>
    <x v="2"/>
    <x v="2"/>
    <s v="Ernakulam"/>
    <x v="12"/>
    <s v="PT-1433"/>
    <s v="Sports Injury"/>
    <x v="3"/>
    <x v="0"/>
    <s v="Hospital Discharge"/>
    <x v="0"/>
    <n v="60"/>
    <n v="60"/>
    <n v="69.400000000000006"/>
    <n v="1500"/>
    <x v="3"/>
    <x v="0"/>
    <n v="0"/>
    <n v="1"/>
    <n v="0"/>
    <n v="0.85"/>
  </r>
  <r>
    <s v="APT-01900"/>
    <x v="17"/>
    <x v="0"/>
    <x v="1"/>
    <x v="3"/>
    <x v="0"/>
    <s v="Palakkad"/>
    <x v="6"/>
    <s v="PT-1697"/>
    <s v="Follow-up"/>
    <x v="0"/>
    <x v="0"/>
    <s v="Hospital Discharge"/>
    <x v="0"/>
    <n v="60"/>
    <n v="60"/>
    <n v="78.2"/>
    <n v="1250"/>
    <x v="5"/>
    <x v="0"/>
    <n v="0"/>
    <n v="1"/>
    <n v="0"/>
    <n v="0.85"/>
  </r>
  <r>
    <s v="APT-01901"/>
    <x v="22"/>
    <x v="11"/>
    <x v="1"/>
    <x v="3"/>
    <x v="2"/>
    <s v="Ernakulam"/>
    <x v="4"/>
    <s v="PT-1037"/>
    <s v="Follow-up"/>
    <x v="2"/>
    <x v="2"/>
    <s v="Orthopedic Doctor"/>
    <x v="0"/>
    <n v="75"/>
    <n v="75"/>
    <n v="101.3"/>
    <n v="1900"/>
    <x v="0"/>
    <x v="0"/>
    <n v="0"/>
    <n v="1"/>
    <n v="0"/>
    <n v="0.85"/>
  </r>
  <r>
    <s v="APT-01902"/>
    <x v="39"/>
    <x v="6"/>
    <x v="5"/>
    <x v="2"/>
    <x v="2"/>
    <s v="Ernakulam"/>
    <x v="4"/>
    <s v="PT-1151"/>
    <s v="Sports Injury"/>
    <x v="5"/>
    <x v="0"/>
    <s v="Self Referral"/>
    <x v="0"/>
    <n v="45"/>
    <n v="45"/>
    <n v="60.1"/>
    <n v="1100"/>
    <x v="20"/>
    <x v="0"/>
    <n v="0"/>
    <n v="1"/>
    <n v="0"/>
    <n v="0.85"/>
  </r>
  <r>
    <s v="APT-01903"/>
    <x v="275"/>
    <x v="6"/>
    <x v="4"/>
    <x v="2"/>
    <x v="1"/>
    <s v="Thrissur"/>
    <x v="7"/>
    <s v="PT-1417"/>
    <s v="Follow-up"/>
    <x v="0"/>
    <x v="0"/>
    <s v="Online Search"/>
    <x v="0"/>
    <n v="45"/>
    <n v="45"/>
    <n v="55.1"/>
    <n v="1000"/>
    <x v="13"/>
    <x v="0"/>
    <n v="0"/>
    <n v="1"/>
    <n v="0"/>
    <n v="0.85"/>
  </r>
  <r>
    <s v="APT-01904"/>
    <x v="110"/>
    <x v="5"/>
    <x v="4"/>
    <x v="2"/>
    <x v="0"/>
    <s v="Palakkad"/>
    <x v="11"/>
    <s v="PT-1239"/>
    <s v="Sports Injury"/>
    <x v="5"/>
    <x v="0"/>
    <s v="Neurologist"/>
    <x v="0"/>
    <n v="30"/>
    <n v="30"/>
    <n v="35"/>
    <n v="600"/>
    <x v="16"/>
    <x v="0"/>
    <n v="0"/>
    <n v="1"/>
    <n v="0"/>
    <n v="0.85"/>
  </r>
  <r>
    <s v="APT-01905"/>
    <x v="127"/>
    <x v="4"/>
    <x v="5"/>
    <x v="2"/>
    <x v="2"/>
    <s v="Ernakulam"/>
    <x v="3"/>
    <s v="PT-1096"/>
    <s v="Follow-up"/>
    <x v="0"/>
    <x v="2"/>
    <s v="Online Search"/>
    <x v="0"/>
    <n v="90"/>
    <n v="90"/>
    <n v="98"/>
    <n v="2250"/>
    <x v="12"/>
    <x v="0"/>
    <n v="0"/>
    <n v="1"/>
    <n v="0"/>
    <n v="0.85"/>
  </r>
  <r>
    <s v="APT-01906"/>
    <x v="18"/>
    <x v="4"/>
    <x v="3"/>
    <x v="0"/>
    <x v="2"/>
    <s v="Ernakulam"/>
    <x v="12"/>
    <s v="PT-1227"/>
    <s v="Follow-up"/>
    <x v="2"/>
    <x v="1"/>
    <s v="Neurologist"/>
    <x v="0"/>
    <n v="60"/>
    <n v="60"/>
    <n v="75.8"/>
    <n v="1300"/>
    <x v="22"/>
    <x v="0"/>
    <n v="0"/>
    <n v="1"/>
    <n v="0"/>
    <n v="0.85"/>
  </r>
  <r>
    <s v="APT-01907"/>
    <x v="150"/>
    <x v="6"/>
    <x v="1"/>
    <x v="2"/>
    <x v="1"/>
    <s v="Thrissur"/>
    <x v="10"/>
    <s v="PT-1268"/>
    <s v="Sports Injury"/>
    <x v="4"/>
    <x v="0"/>
    <s v="Self Referral"/>
    <x v="0"/>
    <n v="45"/>
    <n v="45"/>
    <n v="58.9"/>
    <n v="1000"/>
    <x v="13"/>
    <x v="0"/>
    <n v="0"/>
    <n v="1"/>
    <n v="0"/>
    <n v="0.85"/>
  </r>
  <r>
    <s v="APT-01908"/>
    <x v="185"/>
    <x v="1"/>
    <x v="0"/>
    <x v="3"/>
    <x v="2"/>
    <s v="Ernakulam"/>
    <x v="8"/>
    <s v="PT-1623"/>
    <s v="New Patient"/>
    <x v="1"/>
    <x v="2"/>
    <s v="Online Search"/>
    <x v="1"/>
    <n v="60"/>
    <n v="0"/>
    <n v="76.400000000000006"/>
    <n v="1800"/>
    <x v="9"/>
    <x v="13"/>
    <n v="1"/>
    <n v="0"/>
    <n v="0"/>
    <n v="0.85"/>
  </r>
  <r>
    <s v="APT-01909"/>
    <x v="20"/>
    <x v="6"/>
    <x v="2"/>
    <x v="2"/>
    <x v="1"/>
    <s v="Thrissur"/>
    <x v="2"/>
    <s v="PT-1195"/>
    <s v="Follow-up"/>
    <x v="5"/>
    <x v="1"/>
    <s v="Hospital Discharge"/>
    <x v="0"/>
    <n v="60"/>
    <n v="60"/>
    <n v="77.7"/>
    <n v="1150"/>
    <x v="15"/>
    <x v="0"/>
    <n v="0"/>
    <n v="1"/>
    <n v="0"/>
    <n v="0.85"/>
  </r>
  <r>
    <s v="APT-01910"/>
    <x v="2"/>
    <x v="2"/>
    <x v="2"/>
    <x v="2"/>
    <x v="2"/>
    <s v="Ernakulam"/>
    <x v="8"/>
    <s v="PT-1126"/>
    <s v="Post-op Rehab"/>
    <x v="1"/>
    <x v="2"/>
    <s v="Self Referral"/>
    <x v="2"/>
    <n v="60"/>
    <n v="0"/>
    <n v="66.8"/>
    <n v="1700"/>
    <x v="9"/>
    <x v="5"/>
    <n v="0"/>
    <n v="0"/>
    <n v="1"/>
    <n v="0.85"/>
  </r>
  <r>
    <s v="APT-01911"/>
    <x v="135"/>
    <x v="1"/>
    <x v="5"/>
    <x v="0"/>
    <x v="1"/>
    <s v="Thrissur"/>
    <x v="5"/>
    <s v="PT-1679"/>
    <s v="Geriatric Rehab"/>
    <x v="2"/>
    <x v="2"/>
    <s v="Online Search"/>
    <x v="0"/>
    <n v="60"/>
    <n v="60"/>
    <n v="65.3"/>
    <n v="1350"/>
    <x v="14"/>
    <x v="0"/>
    <n v="0"/>
    <n v="1"/>
    <n v="0"/>
    <n v="0.85"/>
  </r>
  <r>
    <s v="APT-01912"/>
    <x v="119"/>
    <x v="1"/>
    <x v="4"/>
    <x v="1"/>
    <x v="2"/>
    <s v="Ernakulam"/>
    <x v="14"/>
    <s v="PT-1693"/>
    <s v="Post-op Rehab"/>
    <x v="2"/>
    <x v="2"/>
    <s v="Corporate Wellness"/>
    <x v="0"/>
    <n v="45"/>
    <n v="45"/>
    <n v="50.3"/>
    <n v="1300"/>
    <x v="22"/>
    <x v="0"/>
    <n v="0"/>
    <n v="1"/>
    <n v="0"/>
    <n v="0.85"/>
  </r>
  <r>
    <s v="APT-01913"/>
    <x v="37"/>
    <x v="5"/>
    <x v="0"/>
    <x v="2"/>
    <x v="1"/>
    <s v="Thrissur"/>
    <x v="1"/>
    <s v="PT-1557"/>
    <s v="Follow-up"/>
    <x v="2"/>
    <x v="2"/>
    <s v="Corporate Wellness"/>
    <x v="0"/>
    <n v="75"/>
    <n v="75"/>
    <n v="92.4"/>
    <n v="1700"/>
    <x v="6"/>
    <x v="0"/>
    <n v="0"/>
    <n v="1"/>
    <n v="0"/>
    <n v="0.85"/>
  </r>
  <r>
    <s v="APT-01914"/>
    <x v="316"/>
    <x v="6"/>
    <x v="3"/>
    <x v="0"/>
    <x v="0"/>
    <s v="Palakkad"/>
    <x v="9"/>
    <s v="PT-1444"/>
    <s v="Geriatric Rehab"/>
    <x v="1"/>
    <x v="0"/>
    <s v="Hospital Discharge"/>
    <x v="0"/>
    <n v="60"/>
    <n v="60"/>
    <n v="68.3"/>
    <n v="1250"/>
    <x v="5"/>
    <x v="0"/>
    <n v="0"/>
    <n v="1"/>
    <n v="0"/>
    <n v="0.85"/>
  </r>
  <r>
    <s v="APT-01915"/>
    <x v="147"/>
    <x v="8"/>
    <x v="3"/>
    <x v="1"/>
    <x v="0"/>
    <s v="Palakkad"/>
    <x v="9"/>
    <s v="PT-1303"/>
    <s v="Follow-up"/>
    <x v="5"/>
    <x v="2"/>
    <s v="Hospital Discharge"/>
    <x v="0"/>
    <n v="45"/>
    <n v="45"/>
    <n v="58.6"/>
    <n v="950"/>
    <x v="7"/>
    <x v="0"/>
    <n v="0"/>
    <n v="1"/>
    <n v="0"/>
    <n v="0.85"/>
  </r>
  <r>
    <s v="APT-01916"/>
    <x v="198"/>
    <x v="0"/>
    <x v="4"/>
    <x v="2"/>
    <x v="1"/>
    <s v="Thrissur"/>
    <x v="2"/>
    <s v="PT-1177"/>
    <s v="Follow-up"/>
    <x v="0"/>
    <x v="2"/>
    <s v="Orthopedic Doctor"/>
    <x v="0"/>
    <n v="45"/>
    <n v="45"/>
    <n v="52"/>
    <n v="1000"/>
    <x v="13"/>
    <x v="0"/>
    <n v="0"/>
    <n v="1"/>
    <n v="0"/>
    <n v="0.85"/>
  </r>
  <r>
    <s v="APT-01917"/>
    <x v="276"/>
    <x v="5"/>
    <x v="0"/>
    <x v="0"/>
    <x v="1"/>
    <s v="Thrissur"/>
    <x v="7"/>
    <s v="PT-1642"/>
    <s v="New Patient"/>
    <x v="1"/>
    <x v="0"/>
    <s v="Online Search"/>
    <x v="1"/>
    <n v="60"/>
    <n v="0"/>
    <n v="68"/>
    <n v="1600"/>
    <x v="9"/>
    <x v="10"/>
    <n v="1"/>
    <n v="0"/>
    <n v="0"/>
    <n v="0.85"/>
  </r>
  <r>
    <s v="APT-01918"/>
    <x v="3"/>
    <x v="3"/>
    <x v="3"/>
    <x v="0"/>
    <x v="0"/>
    <s v="Palakkad"/>
    <x v="13"/>
    <s v="PT-1658"/>
    <s v="Geriatric Rehab"/>
    <x v="1"/>
    <x v="2"/>
    <s v="Neurologist"/>
    <x v="0"/>
    <n v="60"/>
    <n v="60"/>
    <n v="67.400000000000006"/>
    <n v="1250"/>
    <x v="5"/>
    <x v="0"/>
    <n v="0"/>
    <n v="1"/>
    <n v="0"/>
    <n v="0.85"/>
  </r>
  <r>
    <s v="APT-01919"/>
    <x v="143"/>
    <x v="0"/>
    <x v="5"/>
    <x v="0"/>
    <x v="0"/>
    <s v="Palakkad"/>
    <x v="9"/>
    <s v="PT-1347"/>
    <s v="Sports Injury"/>
    <x v="4"/>
    <x v="2"/>
    <s v="Online Search"/>
    <x v="0"/>
    <n v="45"/>
    <n v="45"/>
    <n v="53.2"/>
    <n v="950"/>
    <x v="7"/>
    <x v="0"/>
    <n v="0"/>
    <n v="1"/>
    <n v="0"/>
    <n v="0.85"/>
  </r>
  <r>
    <s v="APT-01920"/>
    <x v="105"/>
    <x v="7"/>
    <x v="2"/>
    <x v="1"/>
    <x v="1"/>
    <s v="Thrissur"/>
    <x v="2"/>
    <s v="PT-1164"/>
    <s v="Follow-up"/>
    <x v="0"/>
    <x v="0"/>
    <s v="Corporate Wellness"/>
    <x v="0"/>
    <n v="60"/>
    <n v="60"/>
    <n v="71.400000000000006"/>
    <n v="1350"/>
    <x v="14"/>
    <x v="0"/>
    <n v="0"/>
    <n v="1"/>
    <n v="0"/>
    <n v="0.85"/>
  </r>
  <r>
    <s v="APT-01921"/>
    <x v="69"/>
    <x v="4"/>
    <x v="0"/>
    <x v="0"/>
    <x v="2"/>
    <s v="Ernakulam"/>
    <x v="4"/>
    <s v="PT-1495"/>
    <s v="Post-op Rehab"/>
    <x v="2"/>
    <x v="3"/>
    <s v="Online Search"/>
    <x v="0"/>
    <n v="75"/>
    <n v="75"/>
    <n v="88"/>
    <n v="2000"/>
    <x v="33"/>
    <x v="0"/>
    <n v="0"/>
    <n v="1"/>
    <n v="0"/>
    <n v="0.85"/>
  </r>
  <r>
    <s v="APT-01922"/>
    <x v="333"/>
    <x v="10"/>
    <x v="0"/>
    <x v="2"/>
    <x v="2"/>
    <s v="Ernakulam"/>
    <x v="14"/>
    <s v="PT-1431"/>
    <s v="Follow-up"/>
    <x v="4"/>
    <x v="0"/>
    <s v="Online Search"/>
    <x v="0"/>
    <n v="60"/>
    <n v="60"/>
    <n v="76.900000000000006"/>
    <n v="1500"/>
    <x v="3"/>
    <x v="0"/>
    <n v="0"/>
    <n v="1"/>
    <n v="0"/>
    <n v="0.85"/>
  </r>
  <r>
    <s v="APT-01923"/>
    <x v="119"/>
    <x v="1"/>
    <x v="4"/>
    <x v="0"/>
    <x v="0"/>
    <s v="Palakkad"/>
    <x v="11"/>
    <s v="PT-1672"/>
    <s v="New Patient"/>
    <x v="3"/>
    <x v="0"/>
    <s v="Hospital Discharge"/>
    <x v="2"/>
    <n v="75"/>
    <n v="0"/>
    <n v="94.1"/>
    <n v="1900"/>
    <x v="9"/>
    <x v="4"/>
    <n v="0"/>
    <n v="0"/>
    <n v="1"/>
    <n v="0.85"/>
  </r>
  <r>
    <s v="APT-01924"/>
    <x v="170"/>
    <x v="6"/>
    <x v="1"/>
    <x v="1"/>
    <x v="0"/>
    <s v="Palakkad"/>
    <x v="6"/>
    <s v="PT-1682"/>
    <s v="Chronic Pain"/>
    <x v="3"/>
    <x v="2"/>
    <s v="Hospital Discharge"/>
    <x v="0"/>
    <n v="45"/>
    <n v="45"/>
    <n v="54.3"/>
    <n v="950"/>
    <x v="7"/>
    <x v="0"/>
    <n v="0"/>
    <n v="1"/>
    <n v="0"/>
    <n v="0.85"/>
  </r>
  <r>
    <s v="APT-01925"/>
    <x v="94"/>
    <x v="2"/>
    <x v="3"/>
    <x v="3"/>
    <x v="1"/>
    <s v="Thrissur"/>
    <x v="7"/>
    <s v="PT-1321"/>
    <s v="Post-op Rehab"/>
    <x v="0"/>
    <x v="0"/>
    <s v="Neurologist"/>
    <x v="3"/>
    <n v="45"/>
    <n v="0"/>
    <n v="58.5"/>
    <n v="1150"/>
    <x v="9"/>
    <x v="0"/>
    <n v="0"/>
    <n v="0"/>
    <n v="0"/>
    <n v="0.85"/>
  </r>
  <r>
    <s v="APT-01926"/>
    <x v="178"/>
    <x v="7"/>
    <x v="2"/>
    <x v="0"/>
    <x v="0"/>
    <s v="Palakkad"/>
    <x v="0"/>
    <s v="PT-1234"/>
    <s v="Geriatric Rehab"/>
    <x v="1"/>
    <x v="2"/>
    <s v="Online Search"/>
    <x v="0"/>
    <n v="45"/>
    <n v="45"/>
    <n v="50.4"/>
    <n v="950"/>
    <x v="7"/>
    <x v="0"/>
    <n v="0"/>
    <n v="1"/>
    <n v="0"/>
    <n v="0.85"/>
  </r>
  <r>
    <s v="APT-01927"/>
    <x v="276"/>
    <x v="5"/>
    <x v="0"/>
    <x v="3"/>
    <x v="2"/>
    <s v="Ernakulam"/>
    <x v="4"/>
    <s v="PT-1298"/>
    <s v="Chronic Pain"/>
    <x v="5"/>
    <x v="2"/>
    <s v="Online Search"/>
    <x v="0"/>
    <n v="75"/>
    <n v="75"/>
    <n v="82.1"/>
    <n v="1900"/>
    <x v="0"/>
    <x v="0"/>
    <n v="0"/>
    <n v="1"/>
    <n v="0"/>
    <n v="0.85"/>
  </r>
  <r>
    <s v="APT-01928"/>
    <x v="63"/>
    <x v="11"/>
    <x v="0"/>
    <x v="0"/>
    <x v="2"/>
    <s v="Ernakulam"/>
    <x v="14"/>
    <s v="PT-1683"/>
    <s v="Chronic Pain"/>
    <x v="5"/>
    <x v="0"/>
    <s v="Self Referral"/>
    <x v="1"/>
    <n v="45"/>
    <n v="0"/>
    <n v="57.2"/>
    <n v="1100"/>
    <x v="9"/>
    <x v="6"/>
    <n v="1"/>
    <n v="0"/>
    <n v="0"/>
    <n v="0.85"/>
  </r>
  <r>
    <s v="APT-01929"/>
    <x v="302"/>
    <x v="9"/>
    <x v="5"/>
    <x v="3"/>
    <x v="2"/>
    <s v="Ernakulam"/>
    <x v="4"/>
    <s v="PT-1477"/>
    <s v="Sports Injury"/>
    <x v="1"/>
    <x v="2"/>
    <s v="Self Referral"/>
    <x v="1"/>
    <n v="30"/>
    <n v="0"/>
    <n v="32.6"/>
    <n v="750"/>
    <x v="9"/>
    <x v="31"/>
    <n v="1"/>
    <n v="0"/>
    <n v="0"/>
    <n v="0.85"/>
  </r>
  <r>
    <s v="APT-01930"/>
    <x v="266"/>
    <x v="10"/>
    <x v="2"/>
    <x v="0"/>
    <x v="2"/>
    <s v="Ernakulam"/>
    <x v="4"/>
    <s v="PT-1216"/>
    <s v="Chronic Pain"/>
    <x v="3"/>
    <x v="2"/>
    <s v="Online Search"/>
    <x v="0"/>
    <n v="60"/>
    <n v="60"/>
    <n v="77.7"/>
    <n v="1500"/>
    <x v="3"/>
    <x v="0"/>
    <n v="0"/>
    <n v="1"/>
    <n v="0"/>
    <n v="0.85"/>
  </r>
  <r>
    <s v="APT-01931"/>
    <x v="183"/>
    <x v="10"/>
    <x v="1"/>
    <x v="3"/>
    <x v="2"/>
    <s v="Ernakulam"/>
    <x v="14"/>
    <s v="PT-1546"/>
    <s v="Follow-up"/>
    <x v="4"/>
    <x v="2"/>
    <s v="Orthopedic Doctor"/>
    <x v="0"/>
    <n v="45"/>
    <n v="45"/>
    <n v="56"/>
    <n v="1100"/>
    <x v="20"/>
    <x v="0"/>
    <n v="0"/>
    <n v="1"/>
    <n v="0"/>
    <n v="0.85"/>
  </r>
  <r>
    <s v="APT-01932"/>
    <x v="251"/>
    <x v="7"/>
    <x v="4"/>
    <x v="1"/>
    <x v="2"/>
    <s v="Ernakulam"/>
    <x v="14"/>
    <s v="PT-1112"/>
    <s v="Follow-up"/>
    <x v="5"/>
    <x v="2"/>
    <s v="Neurologist"/>
    <x v="0"/>
    <n v="45"/>
    <n v="45"/>
    <n v="57.2"/>
    <n v="1100"/>
    <x v="20"/>
    <x v="0"/>
    <n v="0"/>
    <n v="1"/>
    <n v="0"/>
    <n v="0.85"/>
  </r>
  <r>
    <s v="APT-01933"/>
    <x v="190"/>
    <x v="5"/>
    <x v="1"/>
    <x v="0"/>
    <x v="1"/>
    <s v="Thrissur"/>
    <x v="10"/>
    <s v="PT-1144"/>
    <s v="Post-op Rehab"/>
    <x v="4"/>
    <x v="3"/>
    <s v="Orthopedic Doctor"/>
    <x v="0"/>
    <n v="45"/>
    <n v="45"/>
    <n v="53"/>
    <n v="1050"/>
    <x v="2"/>
    <x v="0"/>
    <n v="0"/>
    <n v="1"/>
    <n v="0"/>
    <n v="0.85"/>
  </r>
  <r>
    <s v="APT-01934"/>
    <x v="254"/>
    <x v="11"/>
    <x v="5"/>
    <x v="3"/>
    <x v="0"/>
    <s v="Palakkad"/>
    <x v="0"/>
    <s v="PT-1525"/>
    <s v="Chronic Pain"/>
    <x v="5"/>
    <x v="0"/>
    <s v="Neurologist"/>
    <x v="0"/>
    <n v="60"/>
    <n v="60"/>
    <n v="75.400000000000006"/>
    <n v="1250"/>
    <x v="5"/>
    <x v="0"/>
    <n v="0"/>
    <n v="1"/>
    <n v="0"/>
    <n v="0.85"/>
  </r>
  <r>
    <s v="APT-01935"/>
    <x v="226"/>
    <x v="1"/>
    <x v="2"/>
    <x v="3"/>
    <x v="1"/>
    <s v="Thrissur"/>
    <x v="5"/>
    <s v="PT-1106"/>
    <s v="Follow-up"/>
    <x v="1"/>
    <x v="2"/>
    <s v="Online Search"/>
    <x v="0"/>
    <n v="45"/>
    <n v="45"/>
    <n v="56.5"/>
    <n v="1000"/>
    <x v="13"/>
    <x v="0"/>
    <n v="0"/>
    <n v="1"/>
    <n v="0"/>
    <n v="0.85"/>
  </r>
  <r>
    <s v="APT-01936"/>
    <x v="194"/>
    <x v="8"/>
    <x v="4"/>
    <x v="1"/>
    <x v="2"/>
    <s v="Ernakulam"/>
    <x v="12"/>
    <s v="PT-1662"/>
    <s v="Post-op Rehab"/>
    <x v="3"/>
    <x v="3"/>
    <s v="Hospital Discharge"/>
    <x v="0"/>
    <n v="30"/>
    <n v="30"/>
    <n v="38.299999999999997"/>
    <n v="800"/>
    <x v="18"/>
    <x v="0"/>
    <n v="0"/>
    <n v="1"/>
    <n v="0"/>
    <n v="0.85"/>
  </r>
  <r>
    <s v="APT-01937"/>
    <x v="171"/>
    <x v="10"/>
    <x v="3"/>
    <x v="0"/>
    <x v="2"/>
    <s v="Ernakulam"/>
    <x v="8"/>
    <s v="PT-1233"/>
    <s v="Geriatric Rehab"/>
    <x v="2"/>
    <x v="3"/>
    <s v="Orthopedic Doctor"/>
    <x v="0"/>
    <n v="45"/>
    <n v="45"/>
    <n v="57.6"/>
    <n v="1050"/>
    <x v="2"/>
    <x v="0"/>
    <n v="0"/>
    <n v="1"/>
    <n v="0"/>
    <n v="0.85"/>
  </r>
  <r>
    <s v="APT-01938"/>
    <x v="293"/>
    <x v="11"/>
    <x v="3"/>
    <x v="0"/>
    <x v="2"/>
    <s v="Ernakulam"/>
    <x v="14"/>
    <s v="PT-1406"/>
    <s v="Sports Injury"/>
    <x v="5"/>
    <x v="2"/>
    <s v="Online Search"/>
    <x v="1"/>
    <n v="45"/>
    <n v="0"/>
    <n v="57.2"/>
    <n v="1100"/>
    <x v="9"/>
    <x v="6"/>
    <n v="1"/>
    <n v="0"/>
    <n v="0"/>
    <n v="0.85"/>
  </r>
  <r>
    <s v="APT-01939"/>
    <x v="47"/>
    <x v="0"/>
    <x v="0"/>
    <x v="0"/>
    <x v="1"/>
    <s v="Thrissur"/>
    <x v="2"/>
    <s v="PT-1591"/>
    <s v="Follow-up"/>
    <x v="5"/>
    <x v="0"/>
    <s v="Corporate Wellness"/>
    <x v="1"/>
    <n v="45"/>
    <n v="0"/>
    <n v="53.7"/>
    <n v="1000"/>
    <x v="9"/>
    <x v="16"/>
    <n v="1"/>
    <n v="0"/>
    <n v="0"/>
    <n v="0.85"/>
  </r>
  <r>
    <s v="APT-01940"/>
    <x v="214"/>
    <x v="5"/>
    <x v="5"/>
    <x v="3"/>
    <x v="1"/>
    <s v="Thrissur"/>
    <x v="1"/>
    <s v="PT-1382"/>
    <s v="Post-op Rehab"/>
    <x v="4"/>
    <x v="2"/>
    <s v="Orthopedic Doctor"/>
    <x v="0"/>
    <n v="75"/>
    <n v="75"/>
    <n v="84"/>
    <n v="1950"/>
    <x v="8"/>
    <x v="0"/>
    <n v="0"/>
    <n v="1"/>
    <n v="0"/>
    <n v="0.85"/>
  </r>
  <r>
    <s v="APT-01941"/>
    <x v="38"/>
    <x v="6"/>
    <x v="4"/>
    <x v="1"/>
    <x v="1"/>
    <s v="Thrissur"/>
    <x v="5"/>
    <s v="PT-1011"/>
    <s v="Post-op Rehab"/>
    <x v="4"/>
    <x v="0"/>
    <s v="Self Referral"/>
    <x v="0"/>
    <n v="60"/>
    <n v="60"/>
    <n v="71.8"/>
    <n v="1550"/>
    <x v="1"/>
    <x v="0"/>
    <n v="0"/>
    <n v="1"/>
    <n v="0"/>
    <n v="0.85"/>
  </r>
  <r>
    <s v="APT-01942"/>
    <x v="134"/>
    <x v="2"/>
    <x v="1"/>
    <x v="2"/>
    <x v="0"/>
    <s v="Palakkad"/>
    <x v="0"/>
    <s v="PT-1331"/>
    <s v="Post-op Rehab"/>
    <x v="3"/>
    <x v="3"/>
    <s v="Neurologist"/>
    <x v="0"/>
    <n v="75"/>
    <n v="75"/>
    <n v="96.3"/>
    <n v="1650"/>
    <x v="32"/>
    <x v="0"/>
    <n v="0"/>
    <n v="1"/>
    <n v="0"/>
    <n v="0.85"/>
  </r>
  <r>
    <s v="APT-01943"/>
    <x v="274"/>
    <x v="9"/>
    <x v="0"/>
    <x v="0"/>
    <x v="1"/>
    <s v="Thrissur"/>
    <x v="10"/>
    <s v="PT-1653"/>
    <s v="New Patient"/>
    <x v="2"/>
    <x v="2"/>
    <s v="Online Search"/>
    <x v="0"/>
    <n v="30"/>
    <n v="30"/>
    <n v="37.9"/>
    <n v="800"/>
    <x v="18"/>
    <x v="0"/>
    <n v="0"/>
    <n v="1"/>
    <n v="0"/>
    <n v="0.85"/>
  </r>
  <r>
    <s v="APT-01944"/>
    <x v="293"/>
    <x v="11"/>
    <x v="3"/>
    <x v="3"/>
    <x v="0"/>
    <s v="Palakkad"/>
    <x v="6"/>
    <s v="PT-1106"/>
    <s v="Follow-up"/>
    <x v="1"/>
    <x v="0"/>
    <s v="Corporate Wellness"/>
    <x v="0"/>
    <n v="45"/>
    <n v="45"/>
    <n v="59.2"/>
    <n v="950"/>
    <x v="7"/>
    <x v="0"/>
    <n v="0"/>
    <n v="1"/>
    <n v="0"/>
    <n v="0.85"/>
  </r>
  <r>
    <s v="APT-01945"/>
    <x v="297"/>
    <x v="2"/>
    <x v="3"/>
    <x v="0"/>
    <x v="1"/>
    <s v="Thrissur"/>
    <x v="2"/>
    <s v="PT-1072"/>
    <s v="Chronic Pain"/>
    <x v="4"/>
    <x v="2"/>
    <s v="Hospital Discharge"/>
    <x v="0"/>
    <n v="60"/>
    <n v="60"/>
    <n v="77.900000000000006"/>
    <n v="1350"/>
    <x v="14"/>
    <x v="0"/>
    <n v="0"/>
    <n v="1"/>
    <n v="0"/>
    <n v="0.85"/>
  </r>
  <r>
    <s v="APT-01946"/>
    <x v="189"/>
    <x v="8"/>
    <x v="0"/>
    <x v="3"/>
    <x v="1"/>
    <s v="Thrissur"/>
    <x v="7"/>
    <s v="PT-1591"/>
    <s v="Follow-up"/>
    <x v="4"/>
    <x v="1"/>
    <s v="Online Search"/>
    <x v="0"/>
    <n v="45"/>
    <n v="45"/>
    <n v="60.3"/>
    <n v="850"/>
    <x v="23"/>
    <x v="0"/>
    <n v="0"/>
    <n v="1"/>
    <n v="0"/>
    <n v="0.85"/>
  </r>
  <r>
    <s v="APT-01947"/>
    <x v="13"/>
    <x v="4"/>
    <x v="0"/>
    <x v="2"/>
    <x v="1"/>
    <s v="Thrissur"/>
    <x v="5"/>
    <s v="PT-1243"/>
    <s v="Follow-up"/>
    <x v="3"/>
    <x v="3"/>
    <s v="Self Referral"/>
    <x v="2"/>
    <n v="90"/>
    <n v="0"/>
    <n v="100.8"/>
    <n v="1850"/>
    <x v="9"/>
    <x v="34"/>
    <n v="0"/>
    <n v="0"/>
    <n v="1"/>
    <n v="0.85"/>
  </r>
  <r>
    <s v="APT-01948"/>
    <x v="223"/>
    <x v="3"/>
    <x v="3"/>
    <x v="0"/>
    <x v="2"/>
    <s v="Ernakulam"/>
    <x v="4"/>
    <s v="PT-1258"/>
    <s v="Chronic Pain"/>
    <x v="0"/>
    <x v="0"/>
    <s v="Online Search"/>
    <x v="0"/>
    <n v="60"/>
    <n v="60"/>
    <n v="70.7"/>
    <n v="1500"/>
    <x v="3"/>
    <x v="0"/>
    <n v="0"/>
    <n v="1"/>
    <n v="0"/>
    <n v="0.85"/>
  </r>
  <r>
    <s v="APT-01949"/>
    <x v="8"/>
    <x v="0"/>
    <x v="4"/>
    <x v="2"/>
    <x v="2"/>
    <s v="Ernakulam"/>
    <x v="12"/>
    <s v="PT-1583"/>
    <s v="New Patient"/>
    <x v="3"/>
    <x v="2"/>
    <s v="Self Referral"/>
    <x v="0"/>
    <n v="60"/>
    <n v="60"/>
    <n v="65.3"/>
    <n v="1800"/>
    <x v="25"/>
    <x v="0"/>
    <n v="0"/>
    <n v="1"/>
    <n v="0"/>
    <n v="0.85"/>
  </r>
  <r>
    <s v="APT-01950"/>
    <x v="123"/>
    <x v="1"/>
    <x v="0"/>
    <x v="2"/>
    <x v="0"/>
    <s v="Palakkad"/>
    <x v="11"/>
    <s v="PT-1187"/>
    <s v="Post-op Rehab"/>
    <x v="5"/>
    <x v="0"/>
    <s v="Hospital Discharge"/>
    <x v="1"/>
    <n v="45"/>
    <n v="0"/>
    <n v="54.5"/>
    <n v="1100"/>
    <x v="9"/>
    <x v="6"/>
    <n v="1"/>
    <n v="0"/>
    <n v="0"/>
    <n v="0.85"/>
  </r>
  <r>
    <s v="APT-01951"/>
    <x v="40"/>
    <x v="5"/>
    <x v="4"/>
    <x v="0"/>
    <x v="0"/>
    <s v="Palakkad"/>
    <x v="9"/>
    <s v="PT-1607"/>
    <s v="Chronic Pain"/>
    <x v="0"/>
    <x v="0"/>
    <s v="Hospital Discharge"/>
    <x v="0"/>
    <n v="45"/>
    <n v="45"/>
    <n v="59.8"/>
    <n v="950"/>
    <x v="7"/>
    <x v="0"/>
    <n v="0"/>
    <n v="1"/>
    <n v="0"/>
    <n v="0.85"/>
  </r>
  <r>
    <s v="APT-01952"/>
    <x v="66"/>
    <x v="7"/>
    <x v="1"/>
    <x v="0"/>
    <x v="1"/>
    <s v="Thrissur"/>
    <x v="1"/>
    <s v="PT-1326"/>
    <s v="New Patient"/>
    <x v="3"/>
    <x v="2"/>
    <s v="Neurologist"/>
    <x v="0"/>
    <n v="75"/>
    <n v="75"/>
    <n v="92.9"/>
    <n v="2000"/>
    <x v="33"/>
    <x v="0"/>
    <n v="0"/>
    <n v="1"/>
    <n v="0"/>
    <n v="0.85"/>
  </r>
  <r>
    <s v="APT-01953"/>
    <x v="320"/>
    <x v="7"/>
    <x v="6"/>
    <x v="2"/>
    <x v="2"/>
    <s v="Ernakulam"/>
    <x v="3"/>
    <s v="PT-1132"/>
    <s v="Post-op Rehab"/>
    <x v="3"/>
    <x v="1"/>
    <s v="Online Search"/>
    <x v="0"/>
    <n v="75"/>
    <n v="75"/>
    <n v="81.900000000000006"/>
    <n v="1850"/>
    <x v="24"/>
    <x v="0"/>
    <n v="0"/>
    <n v="1"/>
    <n v="0"/>
    <n v="0.85"/>
  </r>
  <r>
    <s v="APT-01954"/>
    <x v="327"/>
    <x v="10"/>
    <x v="4"/>
    <x v="2"/>
    <x v="0"/>
    <s v="Palakkad"/>
    <x v="13"/>
    <s v="PT-1141"/>
    <s v="New Patient"/>
    <x v="1"/>
    <x v="1"/>
    <s v="Neurologist"/>
    <x v="0"/>
    <n v="60"/>
    <n v="60"/>
    <n v="79.3"/>
    <n v="1300"/>
    <x v="22"/>
    <x v="0"/>
    <n v="0"/>
    <n v="1"/>
    <n v="0"/>
    <n v="0.85"/>
  </r>
  <r>
    <s v="APT-01955"/>
    <x v="269"/>
    <x v="8"/>
    <x v="2"/>
    <x v="2"/>
    <x v="0"/>
    <s v="Palakkad"/>
    <x v="6"/>
    <s v="PT-1445"/>
    <s v="Geriatric Rehab"/>
    <x v="2"/>
    <x v="2"/>
    <s v="Orthopedic Doctor"/>
    <x v="0"/>
    <n v="45"/>
    <n v="45"/>
    <n v="55.7"/>
    <n v="950"/>
    <x v="7"/>
    <x v="0"/>
    <n v="0"/>
    <n v="1"/>
    <n v="0"/>
    <n v="0.85"/>
  </r>
  <r>
    <s v="APT-01956"/>
    <x v="18"/>
    <x v="4"/>
    <x v="3"/>
    <x v="3"/>
    <x v="1"/>
    <s v="Thrissur"/>
    <x v="1"/>
    <s v="PT-1636"/>
    <s v="Post-op Rehab"/>
    <x v="2"/>
    <x v="0"/>
    <s v="Self Referral"/>
    <x v="1"/>
    <n v="60"/>
    <n v="0"/>
    <n v="67.2"/>
    <n v="1550"/>
    <x v="9"/>
    <x v="14"/>
    <n v="1"/>
    <n v="0"/>
    <n v="0"/>
    <n v="0.85"/>
  </r>
  <r>
    <s v="APT-01957"/>
    <x v="114"/>
    <x v="3"/>
    <x v="5"/>
    <x v="2"/>
    <x v="1"/>
    <s v="Thrissur"/>
    <x v="7"/>
    <s v="PT-1117"/>
    <s v="Chronic Pain"/>
    <x v="2"/>
    <x v="2"/>
    <s v="Corporate Wellness"/>
    <x v="3"/>
    <n v="60"/>
    <n v="0"/>
    <n v="80.7"/>
    <n v="1350"/>
    <x v="9"/>
    <x v="0"/>
    <n v="0"/>
    <n v="0"/>
    <n v="0"/>
    <n v="0.85"/>
  </r>
  <r>
    <s v="APT-01958"/>
    <x v="333"/>
    <x v="10"/>
    <x v="0"/>
    <x v="0"/>
    <x v="2"/>
    <s v="Ernakulam"/>
    <x v="4"/>
    <s v="PT-1338"/>
    <s v="Post-op Rehab"/>
    <x v="2"/>
    <x v="2"/>
    <s v="Hospital Discharge"/>
    <x v="0"/>
    <n v="45"/>
    <n v="45"/>
    <n v="57.9"/>
    <n v="1300"/>
    <x v="22"/>
    <x v="0"/>
    <n v="0"/>
    <n v="1"/>
    <n v="0"/>
    <n v="0.85"/>
  </r>
  <r>
    <s v="APT-01959"/>
    <x v="211"/>
    <x v="4"/>
    <x v="2"/>
    <x v="3"/>
    <x v="2"/>
    <s v="Ernakulam"/>
    <x v="14"/>
    <s v="PT-1461"/>
    <s v="Post-op Rehab"/>
    <x v="5"/>
    <x v="2"/>
    <s v="Neurologist"/>
    <x v="0"/>
    <n v="60"/>
    <n v="60"/>
    <n v="74"/>
    <n v="1700"/>
    <x v="6"/>
    <x v="0"/>
    <n v="0"/>
    <n v="1"/>
    <n v="0"/>
    <n v="0.85"/>
  </r>
  <r>
    <s v="APT-01960"/>
    <x v="81"/>
    <x v="4"/>
    <x v="1"/>
    <x v="1"/>
    <x v="0"/>
    <s v="Palakkad"/>
    <x v="13"/>
    <s v="PT-1245"/>
    <s v="Chronic Pain"/>
    <x v="5"/>
    <x v="0"/>
    <s v="Neurologist"/>
    <x v="1"/>
    <n v="75"/>
    <n v="0"/>
    <n v="83.8"/>
    <n v="1550"/>
    <x v="9"/>
    <x v="14"/>
    <n v="1"/>
    <n v="0"/>
    <n v="0"/>
    <n v="0.85"/>
  </r>
  <r>
    <s v="APT-01961"/>
    <x v="14"/>
    <x v="1"/>
    <x v="4"/>
    <x v="2"/>
    <x v="0"/>
    <s v="Palakkad"/>
    <x v="0"/>
    <s v="PT-1346"/>
    <s v="Chronic Pain"/>
    <x v="5"/>
    <x v="0"/>
    <s v="Corporate Wellness"/>
    <x v="2"/>
    <n v="90"/>
    <n v="0"/>
    <n v="109.4"/>
    <n v="1900"/>
    <x v="9"/>
    <x v="4"/>
    <n v="0"/>
    <n v="0"/>
    <n v="1"/>
    <n v="0.85"/>
  </r>
  <r>
    <s v="APT-01962"/>
    <x v="306"/>
    <x v="2"/>
    <x v="5"/>
    <x v="3"/>
    <x v="1"/>
    <s v="Thrissur"/>
    <x v="5"/>
    <s v="PT-1515"/>
    <s v="Sports Injury"/>
    <x v="2"/>
    <x v="0"/>
    <s v="Corporate Wellness"/>
    <x v="0"/>
    <n v="90"/>
    <n v="90"/>
    <n v="99.4"/>
    <n v="2000"/>
    <x v="33"/>
    <x v="0"/>
    <n v="0"/>
    <n v="1"/>
    <n v="0"/>
    <n v="0.85"/>
  </r>
  <r>
    <s v="APT-01963"/>
    <x v="121"/>
    <x v="7"/>
    <x v="2"/>
    <x v="3"/>
    <x v="0"/>
    <s v="Palakkad"/>
    <x v="11"/>
    <s v="PT-1071"/>
    <s v="Chronic Pain"/>
    <x v="1"/>
    <x v="0"/>
    <s v="Online Search"/>
    <x v="0"/>
    <n v="60"/>
    <n v="60"/>
    <n v="69.3"/>
    <n v="1250"/>
    <x v="5"/>
    <x v="0"/>
    <n v="0"/>
    <n v="1"/>
    <n v="0"/>
    <n v="0.85"/>
  </r>
  <r>
    <s v="APT-01964"/>
    <x v="90"/>
    <x v="0"/>
    <x v="2"/>
    <x v="1"/>
    <x v="1"/>
    <s v="Thrissur"/>
    <x v="10"/>
    <s v="PT-1523"/>
    <s v="Follow-up"/>
    <x v="3"/>
    <x v="0"/>
    <s v="Hospital Discharge"/>
    <x v="0"/>
    <n v="75"/>
    <n v="75"/>
    <n v="100"/>
    <n v="1700"/>
    <x v="6"/>
    <x v="0"/>
    <n v="0"/>
    <n v="1"/>
    <n v="0"/>
    <n v="0.85"/>
  </r>
  <r>
    <s v="APT-01965"/>
    <x v="247"/>
    <x v="0"/>
    <x v="4"/>
    <x v="1"/>
    <x v="2"/>
    <s v="Ernakulam"/>
    <x v="8"/>
    <s v="PT-1215"/>
    <s v="Post-op Rehab"/>
    <x v="1"/>
    <x v="2"/>
    <s v="Self Referral"/>
    <x v="0"/>
    <n v="60"/>
    <n v="60"/>
    <n v="74.599999999999994"/>
    <n v="1700"/>
    <x v="6"/>
    <x v="0"/>
    <n v="0"/>
    <n v="1"/>
    <n v="0"/>
    <n v="0.85"/>
  </r>
  <r>
    <s v="APT-01966"/>
    <x v="115"/>
    <x v="7"/>
    <x v="0"/>
    <x v="3"/>
    <x v="0"/>
    <s v="Palakkad"/>
    <x v="13"/>
    <s v="PT-1265"/>
    <s v="Follow-up"/>
    <x v="0"/>
    <x v="3"/>
    <s v="Neurologist"/>
    <x v="0"/>
    <n v="60"/>
    <n v="60"/>
    <n v="66.5"/>
    <n v="1150"/>
    <x v="15"/>
    <x v="0"/>
    <n v="0"/>
    <n v="1"/>
    <n v="0"/>
    <n v="0.85"/>
  </r>
  <r>
    <s v="APT-01967"/>
    <x v="168"/>
    <x v="7"/>
    <x v="1"/>
    <x v="0"/>
    <x v="1"/>
    <s v="Thrissur"/>
    <x v="7"/>
    <s v="PT-1647"/>
    <s v="Post-op Rehab"/>
    <x v="2"/>
    <x v="2"/>
    <s v="Hospital Discharge"/>
    <x v="2"/>
    <n v="60"/>
    <n v="0"/>
    <n v="65.599999999999994"/>
    <n v="1550"/>
    <x v="9"/>
    <x v="14"/>
    <n v="0"/>
    <n v="0"/>
    <n v="1"/>
    <n v="0.85"/>
  </r>
  <r>
    <s v="APT-01968"/>
    <x v="132"/>
    <x v="8"/>
    <x v="3"/>
    <x v="1"/>
    <x v="2"/>
    <s v="Ernakulam"/>
    <x v="8"/>
    <s v="PT-1079"/>
    <s v="Follow-up"/>
    <x v="2"/>
    <x v="2"/>
    <s v="Neurologist"/>
    <x v="0"/>
    <n v="75"/>
    <n v="75"/>
    <n v="84"/>
    <n v="1900"/>
    <x v="0"/>
    <x v="0"/>
    <n v="0"/>
    <n v="1"/>
    <n v="0"/>
    <n v="0.85"/>
  </r>
  <r>
    <s v="APT-01969"/>
    <x v="108"/>
    <x v="11"/>
    <x v="3"/>
    <x v="3"/>
    <x v="1"/>
    <s v="Thrissur"/>
    <x v="10"/>
    <s v="PT-1590"/>
    <s v="New Patient"/>
    <x v="4"/>
    <x v="2"/>
    <s v="Hospital Discharge"/>
    <x v="0"/>
    <n v="75"/>
    <n v="75"/>
    <n v="90.2"/>
    <n v="2000"/>
    <x v="33"/>
    <x v="0"/>
    <n v="0"/>
    <n v="1"/>
    <n v="0"/>
    <n v="0.85"/>
  </r>
  <r>
    <s v="APT-01970"/>
    <x v="79"/>
    <x v="2"/>
    <x v="1"/>
    <x v="2"/>
    <x v="1"/>
    <s v="Thrissur"/>
    <x v="2"/>
    <s v="PT-1255"/>
    <s v="New Patient"/>
    <x v="1"/>
    <x v="0"/>
    <s v="Corporate Wellness"/>
    <x v="3"/>
    <n v="45"/>
    <n v="0"/>
    <n v="58.6"/>
    <n v="1200"/>
    <x v="9"/>
    <x v="0"/>
    <n v="0"/>
    <n v="0"/>
    <n v="0"/>
    <n v="0.85"/>
  </r>
  <r>
    <s v="APT-01971"/>
    <x v="290"/>
    <x v="8"/>
    <x v="3"/>
    <x v="1"/>
    <x v="1"/>
    <s v="Thrissur"/>
    <x v="1"/>
    <s v="PT-1115"/>
    <s v="New Patient"/>
    <x v="4"/>
    <x v="2"/>
    <s v="Hospital Discharge"/>
    <x v="0"/>
    <n v="90"/>
    <n v="90"/>
    <n v="109.4"/>
    <n v="2450"/>
    <x v="28"/>
    <x v="0"/>
    <n v="0"/>
    <n v="1"/>
    <n v="0"/>
    <n v="0.85"/>
  </r>
  <r>
    <s v="APT-01972"/>
    <x v="140"/>
    <x v="4"/>
    <x v="3"/>
    <x v="0"/>
    <x v="1"/>
    <s v="Thrissur"/>
    <x v="2"/>
    <s v="PT-1002"/>
    <s v="Follow-up"/>
    <x v="1"/>
    <x v="3"/>
    <s v="Hospital Discharge"/>
    <x v="0"/>
    <n v="90"/>
    <n v="90"/>
    <n v="116.5"/>
    <n v="1850"/>
    <x v="24"/>
    <x v="0"/>
    <n v="0"/>
    <n v="1"/>
    <n v="0"/>
    <n v="0.85"/>
  </r>
  <r>
    <s v="APT-01973"/>
    <x v="49"/>
    <x v="9"/>
    <x v="1"/>
    <x v="0"/>
    <x v="2"/>
    <s v="Ernakulam"/>
    <x v="14"/>
    <s v="PT-1161"/>
    <s v="Follow-up"/>
    <x v="4"/>
    <x v="3"/>
    <s v="Hospital Discharge"/>
    <x v="2"/>
    <n v="90"/>
    <n v="0"/>
    <n v="103.4"/>
    <n v="2050"/>
    <x v="9"/>
    <x v="28"/>
    <n v="0"/>
    <n v="0"/>
    <n v="1"/>
    <n v="0.85"/>
  </r>
  <r>
    <s v="APT-01974"/>
    <x v="310"/>
    <x v="5"/>
    <x v="5"/>
    <x v="3"/>
    <x v="2"/>
    <s v="Ernakulam"/>
    <x v="4"/>
    <s v="PT-1614"/>
    <s v="Sports Injury"/>
    <x v="1"/>
    <x v="3"/>
    <s v="Online Search"/>
    <x v="0"/>
    <n v="30"/>
    <n v="30"/>
    <n v="37.700000000000003"/>
    <n v="700"/>
    <x v="19"/>
    <x v="0"/>
    <n v="0"/>
    <n v="1"/>
    <n v="0"/>
    <n v="0.85"/>
  </r>
  <r>
    <s v="APT-01975"/>
    <x v="86"/>
    <x v="2"/>
    <x v="4"/>
    <x v="2"/>
    <x v="2"/>
    <s v="Ernakulam"/>
    <x v="3"/>
    <s v="PT-1435"/>
    <s v="Follow-up"/>
    <x v="0"/>
    <x v="1"/>
    <s v="Hospital Discharge"/>
    <x v="0"/>
    <n v="60"/>
    <n v="60"/>
    <n v="71.099999999999994"/>
    <n v="1300"/>
    <x v="22"/>
    <x v="0"/>
    <n v="0"/>
    <n v="1"/>
    <n v="0"/>
    <n v="0.85"/>
  </r>
  <r>
    <s v="APT-01976"/>
    <x v="31"/>
    <x v="11"/>
    <x v="4"/>
    <x v="3"/>
    <x v="2"/>
    <s v="Ernakulam"/>
    <x v="4"/>
    <s v="PT-1160"/>
    <s v="Chronic Pain"/>
    <x v="0"/>
    <x v="0"/>
    <s v="Neurologist"/>
    <x v="0"/>
    <n v="30"/>
    <n v="30"/>
    <n v="35.799999999999997"/>
    <n v="750"/>
    <x v="27"/>
    <x v="0"/>
    <n v="0"/>
    <n v="1"/>
    <n v="0"/>
    <n v="0.85"/>
  </r>
  <r>
    <s v="APT-01977"/>
    <x v="146"/>
    <x v="8"/>
    <x v="1"/>
    <x v="1"/>
    <x v="2"/>
    <s v="Ernakulam"/>
    <x v="3"/>
    <s v="PT-1095"/>
    <s v="Geriatric Rehab"/>
    <x v="4"/>
    <x v="3"/>
    <s v="Online Search"/>
    <x v="0"/>
    <n v="60"/>
    <n v="60"/>
    <n v="65.5"/>
    <n v="1400"/>
    <x v="21"/>
    <x v="0"/>
    <n v="0"/>
    <n v="1"/>
    <n v="0"/>
    <n v="0.85"/>
  </r>
  <r>
    <s v="APT-01978"/>
    <x v="154"/>
    <x v="10"/>
    <x v="5"/>
    <x v="0"/>
    <x v="1"/>
    <s v="Thrissur"/>
    <x v="5"/>
    <s v="PT-1238"/>
    <s v="Post-op Rehab"/>
    <x v="4"/>
    <x v="0"/>
    <s v="Hospital Discharge"/>
    <x v="0"/>
    <n v="75"/>
    <n v="75"/>
    <n v="83"/>
    <n v="1950"/>
    <x v="8"/>
    <x v="0"/>
    <n v="0"/>
    <n v="1"/>
    <n v="0"/>
    <n v="0.85"/>
  </r>
  <r>
    <s v="APT-01979"/>
    <x v="53"/>
    <x v="10"/>
    <x v="4"/>
    <x v="0"/>
    <x v="2"/>
    <s v="Ernakulam"/>
    <x v="8"/>
    <s v="PT-1107"/>
    <s v="Post-op Rehab"/>
    <x v="2"/>
    <x v="2"/>
    <s v="Neurologist"/>
    <x v="0"/>
    <n v="60"/>
    <n v="60"/>
    <n v="80.599999999999994"/>
    <n v="1700"/>
    <x v="6"/>
    <x v="0"/>
    <n v="0"/>
    <n v="1"/>
    <n v="0"/>
    <n v="0.85"/>
  </r>
  <r>
    <s v="APT-01980"/>
    <x v="192"/>
    <x v="0"/>
    <x v="1"/>
    <x v="0"/>
    <x v="2"/>
    <s v="Ernakulam"/>
    <x v="3"/>
    <s v="PT-1173"/>
    <s v="Chronic Pain"/>
    <x v="2"/>
    <x v="0"/>
    <s v="Neurologist"/>
    <x v="0"/>
    <n v="60"/>
    <n v="60"/>
    <n v="67.3"/>
    <n v="1500"/>
    <x v="3"/>
    <x v="0"/>
    <n v="0"/>
    <n v="1"/>
    <n v="0"/>
    <n v="0.85"/>
  </r>
  <r>
    <s v="APT-01981"/>
    <x v="111"/>
    <x v="8"/>
    <x v="1"/>
    <x v="2"/>
    <x v="0"/>
    <s v="Palakkad"/>
    <x v="9"/>
    <s v="PT-1204"/>
    <s v="Follow-up"/>
    <x v="5"/>
    <x v="2"/>
    <s v="Self Referral"/>
    <x v="1"/>
    <n v="45"/>
    <n v="0"/>
    <n v="53.6"/>
    <n v="950"/>
    <x v="9"/>
    <x v="19"/>
    <n v="1"/>
    <n v="0"/>
    <n v="0"/>
    <n v="0.85"/>
  </r>
  <r>
    <s v="APT-01982"/>
    <x v="262"/>
    <x v="9"/>
    <x v="1"/>
    <x v="0"/>
    <x v="0"/>
    <s v="Palakkad"/>
    <x v="0"/>
    <s v="PT-1387"/>
    <s v="New Patient"/>
    <x v="4"/>
    <x v="0"/>
    <s v="Online Search"/>
    <x v="0"/>
    <n v="45"/>
    <n v="45"/>
    <n v="49.3"/>
    <n v="1100"/>
    <x v="20"/>
    <x v="0"/>
    <n v="0"/>
    <n v="1"/>
    <n v="0"/>
    <n v="0.85"/>
  </r>
  <r>
    <s v="APT-01983"/>
    <x v="173"/>
    <x v="9"/>
    <x v="3"/>
    <x v="3"/>
    <x v="2"/>
    <s v="Ernakulam"/>
    <x v="3"/>
    <s v="PT-1307"/>
    <s v="Geriatric Rehab"/>
    <x v="0"/>
    <x v="0"/>
    <s v="Orthopedic Doctor"/>
    <x v="0"/>
    <n v="45"/>
    <n v="45"/>
    <n v="50.9"/>
    <n v="1100"/>
    <x v="20"/>
    <x v="0"/>
    <n v="0"/>
    <n v="1"/>
    <n v="0"/>
    <n v="0.85"/>
  </r>
  <r>
    <s v="APT-01984"/>
    <x v="119"/>
    <x v="1"/>
    <x v="4"/>
    <x v="3"/>
    <x v="2"/>
    <s v="Ernakulam"/>
    <x v="12"/>
    <s v="PT-1038"/>
    <s v="New Patient"/>
    <x v="1"/>
    <x v="0"/>
    <s v="Hospital Discharge"/>
    <x v="1"/>
    <n v="60"/>
    <n v="0"/>
    <n v="70.900000000000006"/>
    <n v="1800"/>
    <x v="9"/>
    <x v="13"/>
    <n v="1"/>
    <n v="0"/>
    <n v="0"/>
    <n v="0.85"/>
  </r>
  <r>
    <s v="APT-01985"/>
    <x v="114"/>
    <x v="3"/>
    <x v="5"/>
    <x v="0"/>
    <x v="2"/>
    <s v="Ernakulam"/>
    <x v="3"/>
    <s v="PT-1572"/>
    <s v="Sports Injury"/>
    <x v="5"/>
    <x v="0"/>
    <s v="Self Referral"/>
    <x v="0"/>
    <n v="30"/>
    <n v="30"/>
    <n v="33"/>
    <n v="750"/>
    <x v="27"/>
    <x v="0"/>
    <n v="0"/>
    <n v="1"/>
    <n v="0"/>
    <n v="0.85"/>
  </r>
  <r>
    <s v="APT-01986"/>
    <x v="22"/>
    <x v="11"/>
    <x v="1"/>
    <x v="3"/>
    <x v="1"/>
    <s v="Thrissur"/>
    <x v="1"/>
    <s v="PT-1369"/>
    <s v="New Patient"/>
    <x v="4"/>
    <x v="3"/>
    <s v="Hospital Discharge"/>
    <x v="0"/>
    <n v="45"/>
    <n v="45"/>
    <n v="60"/>
    <n v="1100"/>
    <x v="20"/>
    <x v="0"/>
    <n v="0"/>
    <n v="1"/>
    <n v="0"/>
    <n v="0.85"/>
  </r>
  <r>
    <s v="APT-01987"/>
    <x v="222"/>
    <x v="2"/>
    <x v="4"/>
    <x v="0"/>
    <x v="2"/>
    <s v="Ernakulam"/>
    <x v="8"/>
    <s v="PT-1511"/>
    <s v="Follow-up"/>
    <x v="0"/>
    <x v="0"/>
    <s v="Hospital Discharge"/>
    <x v="0"/>
    <n v="30"/>
    <n v="30"/>
    <n v="39.200000000000003"/>
    <n v="750"/>
    <x v="27"/>
    <x v="0"/>
    <n v="0"/>
    <n v="1"/>
    <n v="0"/>
    <n v="0.85"/>
  </r>
  <r>
    <s v="APT-01988"/>
    <x v="137"/>
    <x v="7"/>
    <x v="5"/>
    <x v="0"/>
    <x v="1"/>
    <s v="Thrissur"/>
    <x v="7"/>
    <s v="PT-1071"/>
    <s v="Post-op Rehab"/>
    <x v="1"/>
    <x v="0"/>
    <s v="Neurologist"/>
    <x v="1"/>
    <n v="60"/>
    <n v="0"/>
    <n v="72.8"/>
    <n v="1550"/>
    <x v="9"/>
    <x v="14"/>
    <n v="1"/>
    <n v="0"/>
    <n v="0"/>
    <n v="0.85"/>
  </r>
  <r>
    <s v="APT-01989"/>
    <x v="119"/>
    <x v="1"/>
    <x v="4"/>
    <x v="0"/>
    <x v="1"/>
    <s v="Thrissur"/>
    <x v="5"/>
    <s v="PT-1027"/>
    <s v="Follow-up"/>
    <x v="2"/>
    <x v="3"/>
    <s v="Orthopedic Doctor"/>
    <x v="0"/>
    <n v="30"/>
    <n v="30"/>
    <n v="34.9"/>
    <n v="600"/>
    <x v="16"/>
    <x v="0"/>
    <n v="0"/>
    <n v="1"/>
    <n v="0"/>
    <n v="0.85"/>
  </r>
  <r>
    <s v="APT-01990"/>
    <x v="53"/>
    <x v="10"/>
    <x v="4"/>
    <x v="3"/>
    <x v="0"/>
    <s v="Palakkad"/>
    <x v="9"/>
    <s v="PT-1284"/>
    <s v="Follow-up"/>
    <x v="2"/>
    <x v="2"/>
    <s v="Neurologist"/>
    <x v="0"/>
    <n v="45"/>
    <n v="45"/>
    <n v="50.7"/>
    <n v="950"/>
    <x v="7"/>
    <x v="0"/>
    <n v="0"/>
    <n v="1"/>
    <n v="0"/>
    <n v="0.85"/>
  </r>
  <r>
    <s v="APT-01991"/>
    <x v="254"/>
    <x v="11"/>
    <x v="5"/>
    <x v="2"/>
    <x v="1"/>
    <s v="Thrissur"/>
    <x v="5"/>
    <s v="PT-1592"/>
    <s v="New Patient"/>
    <x v="4"/>
    <x v="0"/>
    <s v="Neurologist"/>
    <x v="0"/>
    <n v="45"/>
    <n v="45"/>
    <n v="53.6"/>
    <n v="1200"/>
    <x v="26"/>
    <x v="0"/>
    <n v="0"/>
    <n v="1"/>
    <n v="0"/>
    <n v="0.85"/>
  </r>
  <r>
    <s v="APT-01992"/>
    <x v="89"/>
    <x v="8"/>
    <x v="5"/>
    <x v="0"/>
    <x v="2"/>
    <s v="Ernakulam"/>
    <x v="8"/>
    <s v="PT-1230"/>
    <s v="Follow-up"/>
    <x v="2"/>
    <x v="2"/>
    <s v="Neurologist"/>
    <x v="2"/>
    <n v="30"/>
    <n v="0"/>
    <n v="36.9"/>
    <n v="750"/>
    <x v="9"/>
    <x v="31"/>
    <n v="0"/>
    <n v="0"/>
    <n v="1"/>
    <n v="0.85"/>
  </r>
  <r>
    <s v="APT-01993"/>
    <x v="116"/>
    <x v="6"/>
    <x v="2"/>
    <x v="1"/>
    <x v="2"/>
    <s v="Ernakulam"/>
    <x v="4"/>
    <s v="PT-1133"/>
    <s v="Follow-up"/>
    <x v="4"/>
    <x v="2"/>
    <s v="Online Search"/>
    <x v="0"/>
    <n v="30"/>
    <n v="30"/>
    <n v="39.200000000000003"/>
    <n v="750"/>
    <x v="27"/>
    <x v="0"/>
    <n v="0"/>
    <n v="1"/>
    <n v="0"/>
    <n v="0.85"/>
  </r>
  <r>
    <s v="APT-01994"/>
    <x v="211"/>
    <x v="4"/>
    <x v="2"/>
    <x v="2"/>
    <x v="1"/>
    <s v="Thrissur"/>
    <x v="10"/>
    <s v="PT-1540"/>
    <s v="Chronic Pain"/>
    <x v="0"/>
    <x v="0"/>
    <s v="Neurologist"/>
    <x v="0"/>
    <n v="60"/>
    <n v="60"/>
    <n v="74.2"/>
    <n v="1350"/>
    <x v="14"/>
    <x v="0"/>
    <n v="0"/>
    <n v="1"/>
    <n v="0"/>
    <n v="0.85"/>
  </r>
  <r>
    <s v="APT-01995"/>
    <x v="2"/>
    <x v="2"/>
    <x v="2"/>
    <x v="1"/>
    <x v="2"/>
    <s v="Ernakulam"/>
    <x v="12"/>
    <s v="PT-1637"/>
    <s v="Post-op Rehab"/>
    <x v="4"/>
    <x v="0"/>
    <s v="Online Search"/>
    <x v="0"/>
    <n v="30"/>
    <n v="30"/>
    <n v="37.700000000000003"/>
    <n v="850"/>
    <x v="23"/>
    <x v="0"/>
    <n v="0"/>
    <n v="1"/>
    <n v="0"/>
    <n v="0.85"/>
  </r>
  <r>
    <s v="APT-01996"/>
    <x v="22"/>
    <x v="11"/>
    <x v="1"/>
    <x v="2"/>
    <x v="2"/>
    <s v="Ernakulam"/>
    <x v="3"/>
    <s v="PT-1172"/>
    <s v="Follow-up"/>
    <x v="5"/>
    <x v="2"/>
    <s v="Neurologist"/>
    <x v="0"/>
    <n v="90"/>
    <n v="90"/>
    <n v="119.7"/>
    <n v="2250"/>
    <x v="12"/>
    <x v="0"/>
    <n v="0"/>
    <n v="1"/>
    <n v="0"/>
    <n v="0.85"/>
  </r>
  <r>
    <s v="APT-01997"/>
    <x v="27"/>
    <x v="9"/>
    <x v="4"/>
    <x v="1"/>
    <x v="2"/>
    <s v="Ernakulam"/>
    <x v="14"/>
    <s v="PT-1209"/>
    <s v="Follow-up"/>
    <x v="2"/>
    <x v="2"/>
    <s v="Online Search"/>
    <x v="0"/>
    <n v="60"/>
    <n v="60"/>
    <n v="78.900000000000006"/>
    <n v="1500"/>
    <x v="3"/>
    <x v="0"/>
    <n v="0"/>
    <n v="1"/>
    <n v="0"/>
    <n v="0.85"/>
  </r>
  <r>
    <s v="APT-01998"/>
    <x v="59"/>
    <x v="5"/>
    <x v="0"/>
    <x v="1"/>
    <x v="0"/>
    <s v="Palakkad"/>
    <x v="9"/>
    <s v="PT-1012"/>
    <s v="Chronic Pain"/>
    <x v="5"/>
    <x v="3"/>
    <s v="Neurologist"/>
    <x v="0"/>
    <n v="45"/>
    <n v="45"/>
    <n v="50.5"/>
    <n v="850"/>
    <x v="23"/>
    <x v="0"/>
    <n v="0"/>
    <n v="1"/>
    <n v="0"/>
    <n v="0.85"/>
  </r>
  <r>
    <s v="APT-01999"/>
    <x v="212"/>
    <x v="11"/>
    <x v="5"/>
    <x v="1"/>
    <x v="2"/>
    <s v="Ernakulam"/>
    <x v="12"/>
    <s v="PT-1502"/>
    <s v="Follow-up"/>
    <x v="0"/>
    <x v="2"/>
    <s v="Neurologist"/>
    <x v="0"/>
    <n v="45"/>
    <n v="45"/>
    <n v="52.3"/>
    <n v="1100"/>
    <x v="20"/>
    <x v="0"/>
    <n v="0"/>
    <n v="1"/>
    <n v="0"/>
    <n v="0.85"/>
  </r>
  <r>
    <s v="APT-02000"/>
    <x v="169"/>
    <x v="3"/>
    <x v="0"/>
    <x v="1"/>
    <x v="1"/>
    <s v="Thrissur"/>
    <x v="5"/>
    <s v="PT-1465"/>
    <s v="Chronic Pain"/>
    <x v="5"/>
    <x v="0"/>
    <s v="Corporate Wellness"/>
    <x v="0"/>
    <n v="30"/>
    <n v="30"/>
    <n v="35.799999999999997"/>
    <n v="700"/>
    <x v="19"/>
    <x v="0"/>
    <n v="0"/>
    <n v="1"/>
    <n v="0"/>
    <n v="0.8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APT-00001"/>
    <d v="2025-12-23T00:00:00"/>
    <x v="0"/>
    <x v="0"/>
    <s v="Evening"/>
    <x v="0"/>
    <s v="Palakkad"/>
    <x v="0"/>
    <s v="PT-1019"/>
    <s v="Chronic Pain"/>
    <x v="0"/>
    <s v="Self Pay"/>
    <s v="Corporate Wellness"/>
    <x v="0"/>
    <n v="90"/>
    <n v="90"/>
    <n v="118.8"/>
    <n v="1900"/>
    <n v="1900"/>
    <n v="0"/>
    <n v="0"/>
    <n v="1"/>
    <n v="0"/>
    <n v="0.85"/>
  </r>
  <r>
    <s v="APT-00002"/>
    <d v="2025-11-17T00:00:00"/>
    <x v="1"/>
    <x v="1"/>
    <s v="Morning"/>
    <x v="1"/>
    <s v="Thrissur"/>
    <x v="1"/>
    <s v="PT-1157"/>
    <s v="Post-op Rehab"/>
    <x v="1"/>
    <s v="Self Pay"/>
    <s v="Neurologist"/>
    <x v="0"/>
    <n v="60"/>
    <n v="60"/>
    <n v="67.2"/>
    <n v="1550"/>
    <n v="1550"/>
    <n v="0"/>
    <n v="0"/>
    <n v="1"/>
    <n v="0"/>
    <n v="0.85"/>
  </r>
  <r>
    <s v="APT-00003"/>
    <d v="2025-09-11T00:00:00"/>
    <x v="2"/>
    <x v="2"/>
    <s v="Morning"/>
    <x v="1"/>
    <s v="Thrissur"/>
    <x v="2"/>
    <s v="PT-1593"/>
    <s v="New Patient"/>
    <x v="1"/>
    <s v="Government Scheme"/>
    <s v="Neurologist"/>
    <x v="0"/>
    <n v="45"/>
    <n v="45"/>
    <n v="58.2"/>
    <n v="1050"/>
    <n v="1050"/>
    <n v="0"/>
    <n v="0"/>
    <n v="1"/>
    <n v="0"/>
    <n v="0.85"/>
  </r>
  <r>
    <s v="APT-00004"/>
    <d v="2025-03-26T00:00:00"/>
    <x v="3"/>
    <x v="3"/>
    <s v="Morning"/>
    <x v="2"/>
    <s v="Ernakulam"/>
    <x v="3"/>
    <s v="PT-1637"/>
    <s v="Follow-up"/>
    <x v="2"/>
    <s v="Private Insurance"/>
    <s v="Online Search"/>
    <x v="0"/>
    <n v="75"/>
    <n v="75"/>
    <n v="83.9"/>
    <n v="1900"/>
    <n v="1900"/>
    <n v="0"/>
    <n v="0"/>
    <n v="1"/>
    <n v="0"/>
    <n v="0.85"/>
  </r>
  <r>
    <s v="APT-00005"/>
    <d v="2025-06-19T00:00:00"/>
    <x v="4"/>
    <x v="2"/>
    <s v="Afternoon"/>
    <x v="2"/>
    <s v="Ernakulam"/>
    <x v="3"/>
    <s v="PT-1605"/>
    <s v="Follow-up"/>
    <x v="3"/>
    <s v="Self Pay"/>
    <s v="Self Referral"/>
    <x v="0"/>
    <n v="60"/>
    <n v="60"/>
    <n v="79.5"/>
    <n v="1500"/>
    <n v="1500"/>
    <n v="0"/>
    <n v="0"/>
    <n v="1"/>
    <n v="0"/>
    <n v="0.85"/>
  </r>
  <r>
    <s v="APT-00006"/>
    <d v="2025-12-11T00:00:00"/>
    <x v="0"/>
    <x v="2"/>
    <s v="Afternoon"/>
    <x v="2"/>
    <s v="Ernakulam"/>
    <x v="4"/>
    <s v="PT-1042"/>
    <s v="Post-op Rehab"/>
    <x v="2"/>
    <s v="Private Insurance"/>
    <s v="Corporate Wellness"/>
    <x v="0"/>
    <n v="90"/>
    <n v="90"/>
    <n v="108.6"/>
    <n v="2600"/>
    <n v="2600"/>
    <n v="0"/>
    <n v="0"/>
    <n v="1"/>
    <n v="0"/>
    <n v="0.85"/>
  </r>
  <r>
    <s v="APT-00007"/>
    <d v="2025-02-12T00:00:00"/>
    <x v="5"/>
    <x v="3"/>
    <s v="Afternoon"/>
    <x v="1"/>
    <s v="Thrissur"/>
    <x v="2"/>
    <s v="PT-1548"/>
    <s v="Follow-up"/>
    <x v="2"/>
    <s v="Corporate Tie-up"/>
    <s v="Corporate Wellness"/>
    <x v="0"/>
    <n v="60"/>
    <n v="60"/>
    <n v="71.099999999999994"/>
    <n v="1250"/>
    <n v="1250"/>
    <n v="0"/>
    <n v="0"/>
    <n v="1"/>
    <n v="0"/>
    <n v="0.85"/>
  </r>
  <r>
    <s v="APT-00008"/>
    <d v="2025-03-17T00:00:00"/>
    <x v="3"/>
    <x v="1"/>
    <s v="Afternoon"/>
    <x v="1"/>
    <s v="Thrissur"/>
    <x v="2"/>
    <s v="PT-1545"/>
    <s v="New Patient"/>
    <x v="2"/>
    <s v="Government Scheme"/>
    <s v="Self Referral"/>
    <x v="0"/>
    <n v="75"/>
    <n v="75"/>
    <n v="86"/>
    <n v="1700"/>
    <n v="1700"/>
    <n v="0"/>
    <n v="0"/>
    <n v="1"/>
    <n v="0"/>
    <n v="0.85"/>
  </r>
  <r>
    <s v="APT-00009"/>
    <d v="2025-12-26T00:00:00"/>
    <x v="0"/>
    <x v="4"/>
    <s v="Midday"/>
    <x v="2"/>
    <s v="Ernakulam"/>
    <x v="4"/>
    <s v="PT-1198"/>
    <s v="Follow-up"/>
    <x v="4"/>
    <s v="Government Scheme"/>
    <s v="Hospital Discharge"/>
    <x v="0"/>
    <n v="45"/>
    <n v="45"/>
    <n v="60.3"/>
    <n v="950"/>
    <n v="950"/>
    <n v="0"/>
    <n v="0"/>
    <n v="1"/>
    <n v="0"/>
    <n v="0.85"/>
  </r>
  <r>
    <s v="APT-00010"/>
    <d v="2025-11-01T00:00:00"/>
    <x v="1"/>
    <x v="5"/>
    <s v="Midday"/>
    <x v="1"/>
    <s v="Thrissur"/>
    <x v="5"/>
    <s v="PT-1052"/>
    <s v="Post-op Rehab"/>
    <x v="4"/>
    <s v="Self Pay"/>
    <s v="Neurologist"/>
    <x v="0"/>
    <n v="75"/>
    <n v="75"/>
    <n v="97"/>
    <n v="1950"/>
    <n v="1950"/>
    <n v="0"/>
    <n v="0"/>
    <n v="1"/>
    <n v="0"/>
    <n v="0.85"/>
  </r>
  <r>
    <s v="APT-00011"/>
    <d v="2025-04-24T00:00:00"/>
    <x v="6"/>
    <x v="2"/>
    <s v="Morning"/>
    <x v="2"/>
    <s v="Ernakulam"/>
    <x v="4"/>
    <s v="PT-1513"/>
    <s v="Follow-up"/>
    <x v="1"/>
    <s v="Government Scheme"/>
    <s v="Orthopedic Doctor"/>
    <x v="1"/>
    <n v="60"/>
    <n v="0"/>
    <n v="74.099999999999994"/>
    <n v="1300"/>
    <n v="0"/>
    <n v="1300"/>
    <n v="1"/>
    <n v="0"/>
    <n v="0"/>
    <n v="0.85"/>
  </r>
  <r>
    <s v="APT-00012"/>
    <d v="2025-10-07T00:00:00"/>
    <x v="7"/>
    <x v="0"/>
    <s v="Morning"/>
    <x v="0"/>
    <s v="Palakkad"/>
    <x v="0"/>
    <s v="PT-1353"/>
    <s v="Sports Injury"/>
    <x v="3"/>
    <s v="Corporate Tie-up"/>
    <s v="Neurologist"/>
    <x v="0"/>
    <n v="75"/>
    <n v="75"/>
    <n v="90.3"/>
    <n v="1450"/>
    <n v="1450"/>
    <n v="0"/>
    <n v="0"/>
    <n v="1"/>
    <n v="0"/>
    <n v="0.85"/>
  </r>
  <r>
    <s v="APT-00013"/>
    <d v="2025-07-21T00:00:00"/>
    <x v="8"/>
    <x v="1"/>
    <s v="Evening"/>
    <x v="0"/>
    <s v="Palakkad"/>
    <x v="6"/>
    <s v="PT-1015"/>
    <s v="New Patient"/>
    <x v="5"/>
    <s v="Self Pay"/>
    <s v="Corporate Wellness"/>
    <x v="0"/>
    <n v="60"/>
    <n v="60"/>
    <n v="77.3"/>
    <n v="1500"/>
    <n v="1500"/>
    <n v="0"/>
    <n v="0"/>
    <n v="1"/>
    <n v="0"/>
    <n v="0.85"/>
  </r>
  <r>
    <s v="APT-00014"/>
    <d v="2025-06-10T00:00:00"/>
    <x v="4"/>
    <x v="0"/>
    <s v="Morning"/>
    <x v="0"/>
    <s v="Palakkad"/>
    <x v="6"/>
    <s v="PT-1274"/>
    <s v="Follow-up"/>
    <x v="2"/>
    <s v="Private Insurance"/>
    <s v="Online Search"/>
    <x v="0"/>
    <n v="45"/>
    <n v="45"/>
    <n v="58"/>
    <n v="950"/>
    <n v="950"/>
    <n v="0"/>
    <n v="0"/>
    <n v="1"/>
    <n v="0"/>
    <n v="0.85"/>
  </r>
  <r>
    <s v="APT-00015"/>
    <d v="2025-11-28T00:00:00"/>
    <x v="1"/>
    <x v="4"/>
    <s v="Midday"/>
    <x v="2"/>
    <s v="Ernakulam"/>
    <x v="4"/>
    <s v="PT-1655"/>
    <s v="Chronic Pain"/>
    <x v="5"/>
    <s v="Self Pay"/>
    <s v="Self Referral"/>
    <x v="0"/>
    <n v="60"/>
    <n v="60"/>
    <n v="80.900000000000006"/>
    <n v="1500"/>
    <n v="1500"/>
    <n v="0"/>
    <n v="0"/>
    <n v="1"/>
    <n v="0"/>
    <n v="0.85"/>
  </r>
  <r>
    <s v="APT-00016"/>
    <d v="2025-08-16T00:00:00"/>
    <x v="9"/>
    <x v="5"/>
    <s v="Evening"/>
    <x v="1"/>
    <s v="Thrissur"/>
    <x v="7"/>
    <s v="PT-1624"/>
    <s v="Follow-up"/>
    <x v="2"/>
    <s v="Self Pay"/>
    <s v="Online Search"/>
    <x v="2"/>
    <n v="60"/>
    <n v="0"/>
    <n v="68.5"/>
    <n v="1350"/>
    <n v="0"/>
    <n v="1350"/>
    <n v="0"/>
    <n v="0"/>
    <n v="1"/>
    <n v="0.85"/>
  </r>
  <r>
    <s v="APT-00017"/>
    <d v="2025-10-22T00:00:00"/>
    <x v="7"/>
    <x v="3"/>
    <s v="Morning"/>
    <x v="1"/>
    <s v="Thrissur"/>
    <x v="2"/>
    <s v="PT-1653"/>
    <s v="New Patient"/>
    <x v="4"/>
    <s v="Private Insurance"/>
    <s v="Orthopedic Doctor"/>
    <x v="0"/>
    <n v="60"/>
    <n v="60"/>
    <n v="78.2"/>
    <n v="1600"/>
    <n v="1600"/>
    <n v="0"/>
    <n v="0"/>
    <n v="1"/>
    <n v="0"/>
    <n v="0.85"/>
  </r>
  <r>
    <s v="APT-00018"/>
    <d v="2025-12-01T00:00:00"/>
    <x v="0"/>
    <x v="1"/>
    <s v="Afternoon"/>
    <x v="2"/>
    <s v="Ernakulam"/>
    <x v="8"/>
    <s v="PT-1497"/>
    <s v="Follow-up"/>
    <x v="2"/>
    <s v="Private Insurance"/>
    <s v="Corporate Wellness"/>
    <x v="0"/>
    <n v="90"/>
    <n v="90"/>
    <n v="108"/>
    <n v="2250"/>
    <n v="2250"/>
    <n v="0"/>
    <n v="0"/>
    <n v="1"/>
    <n v="0"/>
    <n v="0.85"/>
  </r>
  <r>
    <s v="APT-00019"/>
    <d v="2025-06-25T00:00:00"/>
    <x v="4"/>
    <x v="3"/>
    <s v="Afternoon"/>
    <x v="0"/>
    <s v="Palakkad"/>
    <x v="9"/>
    <s v="PT-1103"/>
    <s v="Follow-up"/>
    <x v="2"/>
    <s v="Private Insurance"/>
    <s v="Online Search"/>
    <x v="0"/>
    <n v="60"/>
    <n v="60"/>
    <n v="75.2"/>
    <n v="1250"/>
    <n v="1250"/>
    <n v="0"/>
    <n v="0"/>
    <n v="1"/>
    <n v="0"/>
    <n v="0.85"/>
  </r>
  <r>
    <s v="APT-00020"/>
    <d v="2025-06-17T00:00:00"/>
    <x v="4"/>
    <x v="0"/>
    <s v="Evening"/>
    <x v="2"/>
    <s v="Ernakulam"/>
    <x v="8"/>
    <s v="PT-1607"/>
    <s v="Follow-up"/>
    <x v="3"/>
    <s v="Self Pay"/>
    <s v="Hospital Discharge"/>
    <x v="0"/>
    <n v="60"/>
    <n v="60"/>
    <n v="74.3"/>
    <n v="1500"/>
    <n v="1500"/>
    <n v="0"/>
    <n v="0"/>
    <n v="1"/>
    <n v="0"/>
    <n v="0.85"/>
  </r>
  <r>
    <s v="APT-00021"/>
    <d v="2025-04-03T00:00:00"/>
    <x v="6"/>
    <x v="2"/>
    <s v="Midday"/>
    <x v="1"/>
    <s v="Thrissur"/>
    <x v="10"/>
    <s v="PT-1511"/>
    <s v="Follow-up"/>
    <x v="2"/>
    <s v="Self Pay"/>
    <s v="Hospital Discharge"/>
    <x v="0"/>
    <n v="45"/>
    <n v="45"/>
    <n v="52.1"/>
    <n v="1000"/>
    <n v="1000"/>
    <n v="0"/>
    <n v="0"/>
    <n v="1"/>
    <n v="0"/>
    <n v="0.85"/>
  </r>
  <r>
    <s v="APT-00022"/>
    <d v="2025-05-12T00:00:00"/>
    <x v="10"/>
    <x v="1"/>
    <s v="Afternoon"/>
    <x v="0"/>
    <s v="Palakkad"/>
    <x v="6"/>
    <s v="PT-1157"/>
    <s v="New Patient"/>
    <x v="0"/>
    <s v="Self Pay"/>
    <s v="Online Search"/>
    <x v="0"/>
    <n v="60"/>
    <n v="60"/>
    <n v="73.3"/>
    <n v="1500"/>
    <n v="1500"/>
    <n v="0"/>
    <n v="0"/>
    <n v="1"/>
    <n v="0"/>
    <n v="0.85"/>
  </r>
  <r>
    <s v="APT-00023"/>
    <d v="2025-01-27T00:00:00"/>
    <x v="11"/>
    <x v="1"/>
    <s v="Morning"/>
    <x v="1"/>
    <s v="Thrissur"/>
    <x v="2"/>
    <s v="PT-1691"/>
    <s v="Follow-up"/>
    <x v="4"/>
    <s v="Private Insurance"/>
    <s v="Corporate Wellness"/>
    <x v="0"/>
    <n v="60"/>
    <n v="60"/>
    <n v="70"/>
    <n v="1350"/>
    <n v="1350"/>
    <n v="0"/>
    <n v="0"/>
    <n v="1"/>
    <n v="0"/>
    <n v="0.85"/>
  </r>
  <r>
    <s v="APT-00024"/>
    <d v="2025-02-10T00:00:00"/>
    <x v="5"/>
    <x v="1"/>
    <s v="Evening"/>
    <x v="1"/>
    <s v="Thrissur"/>
    <x v="5"/>
    <s v="PT-1190"/>
    <s v="Post-op Rehab"/>
    <x v="3"/>
    <s v="Private Insurance"/>
    <s v="Orthopedic Doctor"/>
    <x v="0"/>
    <n v="45"/>
    <n v="45"/>
    <n v="53.7"/>
    <n v="1150"/>
    <n v="1150"/>
    <n v="0"/>
    <n v="0"/>
    <n v="1"/>
    <n v="0"/>
    <n v="0.85"/>
  </r>
  <r>
    <s v="APT-00025"/>
    <d v="2025-06-19T00:00:00"/>
    <x v="4"/>
    <x v="2"/>
    <s v="Afternoon"/>
    <x v="0"/>
    <s v="Palakkad"/>
    <x v="11"/>
    <s v="PT-1332"/>
    <s v="Geriatric Rehab"/>
    <x v="1"/>
    <s v="Private Insurance"/>
    <s v="Corporate Wellness"/>
    <x v="0"/>
    <n v="30"/>
    <n v="30"/>
    <n v="40.299999999999997"/>
    <n v="600"/>
    <n v="600"/>
    <n v="0"/>
    <n v="0"/>
    <n v="1"/>
    <n v="0"/>
    <n v="0.85"/>
  </r>
  <r>
    <s v="APT-00026"/>
    <d v="2025-01-06T00:00:00"/>
    <x v="11"/>
    <x v="1"/>
    <s v="Midday"/>
    <x v="1"/>
    <s v="Thrissur"/>
    <x v="2"/>
    <s v="PT-1406"/>
    <s v="Post-op Rehab"/>
    <x v="1"/>
    <s v="Corporate Tie-up"/>
    <s v="Orthopedic Doctor"/>
    <x v="2"/>
    <n v="30"/>
    <n v="0"/>
    <n v="35.299999999999997"/>
    <n v="700"/>
    <n v="0"/>
    <n v="700"/>
    <n v="0"/>
    <n v="0"/>
    <n v="1"/>
    <n v="0.85"/>
  </r>
  <r>
    <s v="APT-00027"/>
    <d v="2025-01-14T00:00:00"/>
    <x v="11"/>
    <x v="0"/>
    <s v="Midday"/>
    <x v="0"/>
    <s v="Palakkad"/>
    <x v="9"/>
    <s v="PT-1284"/>
    <s v="New Patient"/>
    <x v="2"/>
    <s v="Private Insurance"/>
    <s v="Hospital Discharge"/>
    <x v="1"/>
    <n v="75"/>
    <n v="0"/>
    <n v="87.4"/>
    <n v="1900"/>
    <n v="0"/>
    <n v="1900"/>
    <n v="1"/>
    <n v="0"/>
    <n v="0"/>
    <n v="0.85"/>
  </r>
  <r>
    <s v="APT-00028"/>
    <d v="2025-03-28T00:00:00"/>
    <x v="3"/>
    <x v="4"/>
    <s v="Evening"/>
    <x v="0"/>
    <s v="Palakkad"/>
    <x v="9"/>
    <s v="PT-1470"/>
    <s v="Post-op Rehab"/>
    <x v="3"/>
    <s v="Corporate Tie-up"/>
    <s v="Hospital Discharge"/>
    <x v="0"/>
    <n v="45"/>
    <n v="45"/>
    <n v="52.8"/>
    <n v="1000"/>
    <n v="1000"/>
    <n v="0"/>
    <n v="0"/>
    <n v="1"/>
    <n v="0"/>
    <n v="0.85"/>
  </r>
  <r>
    <s v="APT-00029"/>
    <d v="2025-08-15T00:00:00"/>
    <x v="9"/>
    <x v="4"/>
    <s v="Midday"/>
    <x v="2"/>
    <s v="Ernakulam"/>
    <x v="4"/>
    <s v="PT-1033"/>
    <s v="Follow-up"/>
    <x v="0"/>
    <s v="Private Insurance"/>
    <s v="Neurologist"/>
    <x v="0"/>
    <n v="75"/>
    <n v="75"/>
    <n v="84.6"/>
    <n v="1900"/>
    <n v="1900"/>
    <n v="0"/>
    <n v="0"/>
    <n v="1"/>
    <n v="0"/>
    <n v="0.85"/>
  </r>
  <r>
    <s v="APT-00030"/>
    <d v="2025-02-27T00:00:00"/>
    <x v="5"/>
    <x v="2"/>
    <s v="Evening"/>
    <x v="2"/>
    <s v="Ernakulam"/>
    <x v="8"/>
    <s v="PT-1508"/>
    <s v="New Patient"/>
    <x v="1"/>
    <s v="Self Pay"/>
    <s v="Neurologist"/>
    <x v="0"/>
    <n v="30"/>
    <n v="30"/>
    <n v="33.799999999999997"/>
    <n v="900"/>
    <n v="900"/>
    <n v="0"/>
    <n v="0"/>
    <n v="1"/>
    <n v="0"/>
    <n v="0.85"/>
  </r>
  <r>
    <s v="APT-00031"/>
    <d v="2025-02-22T00:00:00"/>
    <x v="5"/>
    <x v="5"/>
    <s v="Evening"/>
    <x v="0"/>
    <s v="Palakkad"/>
    <x v="6"/>
    <s v="PT-1696"/>
    <s v="Follow-up"/>
    <x v="1"/>
    <s v="Government Scheme"/>
    <s v="Neurologist"/>
    <x v="0"/>
    <n v="45"/>
    <n v="45"/>
    <n v="52.4"/>
    <n v="800"/>
    <n v="800"/>
    <n v="0"/>
    <n v="0"/>
    <n v="1"/>
    <n v="0"/>
    <n v="0.85"/>
  </r>
  <r>
    <s v="APT-00032"/>
    <d v="2025-02-22T00:00:00"/>
    <x v="5"/>
    <x v="5"/>
    <s v="Afternoon"/>
    <x v="2"/>
    <s v="Ernakulam"/>
    <x v="12"/>
    <s v="PT-1289"/>
    <s v="Post-op Rehab"/>
    <x v="4"/>
    <s v="Corporate Tie-up"/>
    <s v="Corporate Wellness"/>
    <x v="3"/>
    <n v="90"/>
    <n v="0"/>
    <n v="111.9"/>
    <n v="2400"/>
    <n v="0"/>
    <n v="0"/>
    <n v="0"/>
    <n v="0"/>
    <n v="0"/>
    <n v="0.85"/>
  </r>
  <r>
    <s v="APT-00033"/>
    <d v="2025-08-13T00:00:00"/>
    <x v="9"/>
    <x v="3"/>
    <s v="Afternoon"/>
    <x v="1"/>
    <s v="Thrissur"/>
    <x v="7"/>
    <s v="PT-1305"/>
    <s v="Chronic Pain"/>
    <x v="1"/>
    <s v="Private Insurance"/>
    <s v="Self Referral"/>
    <x v="0"/>
    <n v="30"/>
    <n v="30"/>
    <n v="36.700000000000003"/>
    <n v="700"/>
    <n v="700"/>
    <n v="0"/>
    <n v="0"/>
    <n v="1"/>
    <n v="0"/>
    <n v="0.85"/>
  </r>
  <r>
    <s v="APT-00034"/>
    <d v="2025-01-17T00:00:00"/>
    <x v="11"/>
    <x v="4"/>
    <s v="Afternoon"/>
    <x v="1"/>
    <s v="Thrissur"/>
    <x v="2"/>
    <s v="PT-1221"/>
    <s v="New Patient"/>
    <x v="0"/>
    <s v="Self Pay"/>
    <s v="Orthopedic Doctor"/>
    <x v="0"/>
    <n v="60"/>
    <n v="60"/>
    <n v="75.400000000000006"/>
    <n v="1600"/>
    <n v="1600"/>
    <n v="0"/>
    <n v="0"/>
    <n v="1"/>
    <n v="0"/>
    <n v="0.85"/>
  </r>
  <r>
    <s v="APT-00035"/>
    <d v="2025-07-04T00:00:00"/>
    <x v="8"/>
    <x v="4"/>
    <s v="Morning"/>
    <x v="1"/>
    <s v="Thrissur"/>
    <x v="1"/>
    <s v="PT-1434"/>
    <s v="Post-op Rehab"/>
    <x v="2"/>
    <s v="Self Pay"/>
    <s v="Corporate Wellness"/>
    <x v="0"/>
    <n v="45"/>
    <n v="45"/>
    <n v="49.3"/>
    <n v="1150"/>
    <n v="1150"/>
    <n v="0"/>
    <n v="0"/>
    <n v="1"/>
    <n v="0"/>
    <n v="0.85"/>
  </r>
  <r>
    <s v="APT-00036"/>
    <d v="2025-12-10T00:00:00"/>
    <x v="0"/>
    <x v="3"/>
    <s v="Afternoon"/>
    <x v="0"/>
    <s v="Palakkad"/>
    <x v="9"/>
    <s v="PT-1110"/>
    <s v="Post-op Rehab"/>
    <x v="0"/>
    <s v="Private Insurance"/>
    <s v="Hospital Discharge"/>
    <x v="0"/>
    <n v="45"/>
    <n v="45"/>
    <n v="49.2"/>
    <n v="1100"/>
    <n v="1100"/>
    <n v="0"/>
    <n v="0"/>
    <n v="1"/>
    <n v="0"/>
    <n v="0.85"/>
  </r>
  <r>
    <s v="APT-00037"/>
    <d v="2025-08-13T00:00:00"/>
    <x v="9"/>
    <x v="3"/>
    <s v="Evening"/>
    <x v="1"/>
    <s v="Thrissur"/>
    <x v="1"/>
    <s v="PT-1036"/>
    <s v="Chronic Pain"/>
    <x v="1"/>
    <s v="Private Insurance"/>
    <s v="Online Search"/>
    <x v="1"/>
    <n v="75"/>
    <n v="0"/>
    <n v="87.3"/>
    <n v="1700"/>
    <n v="0"/>
    <n v="1700"/>
    <n v="1"/>
    <n v="0"/>
    <n v="0"/>
    <n v="0.85"/>
  </r>
  <r>
    <s v="APT-00038"/>
    <d v="2025-03-28T00:00:00"/>
    <x v="3"/>
    <x v="4"/>
    <s v="Evening"/>
    <x v="2"/>
    <s v="Ernakulam"/>
    <x v="4"/>
    <s v="PT-1593"/>
    <s v="Follow-up"/>
    <x v="1"/>
    <s v="Corporate Tie-up"/>
    <s v="Self Referral"/>
    <x v="0"/>
    <n v="60"/>
    <n v="60"/>
    <n v="78.099999999999994"/>
    <n v="1400"/>
    <n v="1400"/>
    <n v="0"/>
    <n v="0"/>
    <n v="1"/>
    <n v="0"/>
    <n v="0.85"/>
  </r>
  <r>
    <s v="APT-00039"/>
    <d v="2025-05-08T00:00:00"/>
    <x v="10"/>
    <x v="2"/>
    <s v="Midday"/>
    <x v="2"/>
    <s v="Ernakulam"/>
    <x v="3"/>
    <s v="PT-1314"/>
    <s v="Post-op Rehab"/>
    <x v="4"/>
    <s v="Private Insurance"/>
    <s v="Neurologist"/>
    <x v="0"/>
    <n v="45"/>
    <n v="45"/>
    <n v="49"/>
    <n v="1300"/>
    <n v="1300"/>
    <n v="0"/>
    <n v="0"/>
    <n v="1"/>
    <n v="0"/>
    <n v="0.85"/>
  </r>
  <r>
    <s v="APT-00040"/>
    <d v="2025-03-03T00:00:00"/>
    <x v="3"/>
    <x v="1"/>
    <s v="Morning"/>
    <x v="2"/>
    <s v="Ernakulam"/>
    <x v="12"/>
    <s v="PT-1269"/>
    <s v="Follow-up"/>
    <x v="5"/>
    <s v="Self Pay"/>
    <s v="Hospital Discharge"/>
    <x v="0"/>
    <n v="60"/>
    <n v="60"/>
    <n v="80.5"/>
    <n v="1500"/>
    <n v="1500"/>
    <n v="0"/>
    <n v="0"/>
    <n v="1"/>
    <n v="0"/>
    <n v="0.85"/>
  </r>
  <r>
    <s v="APT-00041"/>
    <d v="2025-09-15T00:00:00"/>
    <x v="2"/>
    <x v="1"/>
    <s v="Afternoon"/>
    <x v="1"/>
    <s v="Thrissur"/>
    <x v="2"/>
    <s v="PT-1380"/>
    <s v="Geriatric Rehab"/>
    <x v="0"/>
    <s v="Self Pay"/>
    <s v="Corporate Wellness"/>
    <x v="0"/>
    <n v="30"/>
    <n v="30"/>
    <n v="35.4"/>
    <n v="700"/>
    <n v="700"/>
    <n v="0"/>
    <n v="0"/>
    <n v="1"/>
    <n v="0"/>
    <n v="0.85"/>
  </r>
  <r>
    <s v="APT-00042"/>
    <d v="2025-02-11T00:00:00"/>
    <x v="5"/>
    <x v="0"/>
    <s v="Evening"/>
    <x v="2"/>
    <s v="Ernakulam"/>
    <x v="12"/>
    <s v="PT-1356"/>
    <s v="Post-op Rehab"/>
    <x v="3"/>
    <s v="Self Pay"/>
    <s v="Orthopedic Doctor"/>
    <x v="0"/>
    <n v="60"/>
    <n v="60"/>
    <n v="78.599999999999994"/>
    <n v="1700"/>
    <n v="1700"/>
    <n v="0"/>
    <n v="0"/>
    <n v="1"/>
    <n v="0"/>
    <n v="0.85"/>
  </r>
  <r>
    <s v="APT-00043"/>
    <d v="2025-11-17T00:00:00"/>
    <x v="1"/>
    <x v="1"/>
    <s v="Afternoon"/>
    <x v="1"/>
    <s v="Thrissur"/>
    <x v="10"/>
    <s v="PT-1594"/>
    <s v="Geriatric Rehab"/>
    <x v="1"/>
    <s v="Private Insurance"/>
    <s v="Neurologist"/>
    <x v="3"/>
    <n v="60"/>
    <n v="0"/>
    <n v="66.3"/>
    <n v="1350"/>
    <n v="0"/>
    <n v="0"/>
    <n v="0"/>
    <n v="0"/>
    <n v="0"/>
    <n v="0.85"/>
  </r>
  <r>
    <s v="APT-00044"/>
    <d v="2025-04-04T00:00:00"/>
    <x v="6"/>
    <x v="4"/>
    <s v="Morning"/>
    <x v="2"/>
    <s v="Ernakulam"/>
    <x v="4"/>
    <s v="PT-1342"/>
    <s v="Sports Injury"/>
    <x v="3"/>
    <s v="Private Insurance"/>
    <s v="Hospital Discharge"/>
    <x v="1"/>
    <n v="45"/>
    <n v="0"/>
    <n v="54.9"/>
    <n v="1100"/>
    <n v="0"/>
    <n v="1100"/>
    <n v="1"/>
    <n v="0"/>
    <n v="0"/>
    <n v="0.85"/>
  </r>
  <r>
    <s v="APT-00045"/>
    <d v="2025-04-12T00:00:00"/>
    <x v="6"/>
    <x v="5"/>
    <s v="Afternoon"/>
    <x v="0"/>
    <s v="Palakkad"/>
    <x v="11"/>
    <s v="PT-1499"/>
    <s v="Follow-up"/>
    <x v="1"/>
    <s v="Self Pay"/>
    <s v="Self Referral"/>
    <x v="0"/>
    <n v="60"/>
    <n v="60"/>
    <n v="70.3"/>
    <n v="1250"/>
    <n v="1250"/>
    <n v="0"/>
    <n v="0"/>
    <n v="1"/>
    <n v="0"/>
    <n v="0.85"/>
  </r>
  <r>
    <s v="APT-00046"/>
    <d v="2025-02-28T00:00:00"/>
    <x v="5"/>
    <x v="4"/>
    <s v="Afternoon"/>
    <x v="0"/>
    <s v="Palakkad"/>
    <x v="11"/>
    <s v="PT-1289"/>
    <s v="Sports Injury"/>
    <x v="1"/>
    <s v="Self Pay"/>
    <s v="Corporate Wellness"/>
    <x v="0"/>
    <n v="60"/>
    <n v="60"/>
    <n v="75.7"/>
    <n v="1250"/>
    <n v="1250"/>
    <n v="0"/>
    <n v="0"/>
    <n v="1"/>
    <n v="0"/>
    <n v="0.85"/>
  </r>
  <r>
    <s v="APT-00047"/>
    <d v="2025-01-20T00:00:00"/>
    <x v="11"/>
    <x v="1"/>
    <s v="Morning"/>
    <x v="1"/>
    <s v="Thrissur"/>
    <x v="5"/>
    <s v="PT-1691"/>
    <s v="Chronic Pain"/>
    <x v="5"/>
    <s v="Corporate Tie-up"/>
    <s v="Orthopedic Doctor"/>
    <x v="0"/>
    <n v="45"/>
    <n v="45"/>
    <n v="55.4"/>
    <n v="950"/>
    <n v="950"/>
    <n v="0"/>
    <n v="0"/>
    <n v="1"/>
    <n v="0"/>
    <n v="0.85"/>
  </r>
  <r>
    <s v="APT-00048"/>
    <d v="2025-10-20T00:00:00"/>
    <x v="7"/>
    <x v="1"/>
    <s v="Evening"/>
    <x v="2"/>
    <s v="Ernakulam"/>
    <x v="3"/>
    <s v="PT-1232"/>
    <s v="Follow-up"/>
    <x v="3"/>
    <s v="Self Pay"/>
    <s v="Online Search"/>
    <x v="1"/>
    <n v="90"/>
    <n v="0"/>
    <n v="101.6"/>
    <n v="2250"/>
    <n v="0"/>
    <n v="2250"/>
    <n v="1"/>
    <n v="0"/>
    <n v="0"/>
    <n v="0.85"/>
  </r>
  <r>
    <s v="APT-00049"/>
    <d v="2025-09-06T00:00:00"/>
    <x v="2"/>
    <x v="5"/>
    <s v="Afternoon"/>
    <x v="2"/>
    <s v="Ernakulam"/>
    <x v="3"/>
    <s v="PT-1445"/>
    <s v="Post-op Rehab"/>
    <x v="3"/>
    <s v="Private Insurance"/>
    <s v="Neurologist"/>
    <x v="1"/>
    <n v="75"/>
    <n v="0"/>
    <n v="93.3"/>
    <n v="2150"/>
    <n v="0"/>
    <n v="2150"/>
    <n v="1"/>
    <n v="0"/>
    <n v="0"/>
    <n v="0.85"/>
  </r>
  <r>
    <s v="APT-00050"/>
    <d v="2025-06-30T00:00:00"/>
    <x v="4"/>
    <x v="1"/>
    <s v="Morning"/>
    <x v="2"/>
    <s v="Ernakulam"/>
    <x v="8"/>
    <s v="PT-1096"/>
    <s v="Post-op Rehab"/>
    <x v="2"/>
    <s v="Corporate Tie-up"/>
    <s v="Self Referral"/>
    <x v="0"/>
    <n v="60"/>
    <n v="60"/>
    <n v="70.099999999999994"/>
    <n v="1600"/>
    <n v="1600"/>
    <n v="0"/>
    <n v="0"/>
    <n v="1"/>
    <n v="0"/>
    <n v="0.85"/>
  </r>
  <r>
    <s v="APT-00051"/>
    <d v="2025-08-22T00:00:00"/>
    <x v="9"/>
    <x v="4"/>
    <s v="Morning"/>
    <x v="0"/>
    <s v="Palakkad"/>
    <x v="9"/>
    <s v="PT-1168"/>
    <s v="Chronic Pain"/>
    <x v="1"/>
    <s v="Private Insurance"/>
    <s v="Corporate Wellness"/>
    <x v="1"/>
    <n v="60"/>
    <n v="0"/>
    <n v="72.099999999999994"/>
    <n v="1250"/>
    <n v="0"/>
    <n v="1250"/>
    <n v="1"/>
    <n v="0"/>
    <n v="0"/>
    <n v="0.85"/>
  </r>
  <r>
    <s v="APT-00052"/>
    <d v="2025-01-09T00:00:00"/>
    <x v="11"/>
    <x v="2"/>
    <s v="Morning"/>
    <x v="0"/>
    <s v="Palakkad"/>
    <x v="6"/>
    <s v="PT-1465"/>
    <s v="Post-op Rehab"/>
    <x v="4"/>
    <s v="Self Pay"/>
    <s v="Orthopedic Doctor"/>
    <x v="0"/>
    <n v="60"/>
    <n v="60"/>
    <n v="72.8"/>
    <n v="1450"/>
    <n v="1450"/>
    <n v="0"/>
    <n v="0"/>
    <n v="1"/>
    <n v="0"/>
    <n v="0.85"/>
  </r>
  <r>
    <s v="APT-00053"/>
    <d v="2025-12-30T00:00:00"/>
    <x v="0"/>
    <x v="0"/>
    <s v="Afternoon"/>
    <x v="1"/>
    <s v="Thrissur"/>
    <x v="5"/>
    <s v="PT-1261"/>
    <s v="Post-op Rehab"/>
    <x v="2"/>
    <s v="Private Insurance"/>
    <s v="Online Search"/>
    <x v="0"/>
    <n v="60"/>
    <n v="60"/>
    <n v="78.400000000000006"/>
    <n v="1550"/>
    <n v="1550"/>
    <n v="0"/>
    <n v="0"/>
    <n v="1"/>
    <n v="0"/>
    <n v="0.85"/>
  </r>
  <r>
    <s v="APT-00054"/>
    <d v="2025-11-12T00:00:00"/>
    <x v="1"/>
    <x v="3"/>
    <s v="Afternoon"/>
    <x v="1"/>
    <s v="Thrissur"/>
    <x v="10"/>
    <s v="PT-1654"/>
    <s v="Post-op Rehab"/>
    <x v="5"/>
    <s v="Private Insurance"/>
    <s v="Self Referral"/>
    <x v="0"/>
    <n v="60"/>
    <n v="60"/>
    <n v="79.099999999999994"/>
    <n v="1550"/>
    <n v="1550"/>
    <n v="0"/>
    <n v="0"/>
    <n v="1"/>
    <n v="0"/>
    <n v="0.85"/>
  </r>
  <r>
    <s v="APT-00055"/>
    <d v="2025-08-25T00:00:00"/>
    <x v="9"/>
    <x v="1"/>
    <s v="Morning"/>
    <x v="1"/>
    <s v="Thrissur"/>
    <x v="7"/>
    <s v="PT-1446"/>
    <s v="Geriatric Rehab"/>
    <x v="1"/>
    <s v="Corporate Tie-up"/>
    <s v="Orthopedic Doctor"/>
    <x v="3"/>
    <n v="60"/>
    <n v="0"/>
    <n v="78.099999999999994"/>
    <n v="1250"/>
    <n v="0"/>
    <n v="0"/>
    <n v="0"/>
    <n v="0"/>
    <n v="0"/>
    <n v="0.85"/>
  </r>
  <r>
    <s v="APT-00056"/>
    <d v="2025-02-26T00:00:00"/>
    <x v="5"/>
    <x v="3"/>
    <s v="Midday"/>
    <x v="1"/>
    <s v="Thrissur"/>
    <x v="5"/>
    <s v="PT-1634"/>
    <s v="Chronic Pain"/>
    <x v="2"/>
    <s v="Self Pay"/>
    <s v="Hospital Discharge"/>
    <x v="0"/>
    <n v="60"/>
    <n v="60"/>
    <n v="73"/>
    <n v="1350"/>
    <n v="1350"/>
    <n v="0"/>
    <n v="0"/>
    <n v="1"/>
    <n v="0"/>
    <n v="0.85"/>
  </r>
  <r>
    <s v="APT-00057"/>
    <d v="2025-04-01T00:00:00"/>
    <x v="6"/>
    <x v="0"/>
    <s v="Afternoon"/>
    <x v="0"/>
    <s v="Palakkad"/>
    <x v="9"/>
    <s v="PT-1687"/>
    <s v="Follow-up"/>
    <x v="2"/>
    <s v="Self Pay"/>
    <s v="Self Referral"/>
    <x v="0"/>
    <n v="45"/>
    <n v="45"/>
    <n v="50.6"/>
    <n v="950"/>
    <n v="950"/>
    <n v="0"/>
    <n v="0"/>
    <n v="1"/>
    <n v="0"/>
    <n v="0.85"/>
  </r>
  <r>
    <s v="APT-00058"/>
    <d v="2025-08-21T00:00:00"/>
    <x v="9"/>
    <x v="2"/>
    <s v="Morning"/>
    <x v="1"/>
    <s v="Thrissur"/>
    <x v="7"/>
    <s v="PT-1231"/>
    <s v="Follow-up"/>
    <x v="3"/>
    <s v="Corporate Tie-up"/>
    <s v="Hospital Discharge"/>
    <x v="0"/>
    <n v="45"/>
    <n v="45"/>
    <n v="56.7"/>
    <n v="950"/>
    <n v="950"/>
    <n v="0"/>
    <n v="0"/>
    <n v="1"/>
    <n v="0"/>
    <n v="0.85"/>
  </r>
  <r>
    <s v="APT-00059"/>
    <d v="2025-05-23T00:00:00"/>
    <x v="10"/>
    <x v="4"/>
    <s v="Midday"/>
    <x v="0"/>
    <s v="Palakkad"/>
    <x v="9"/>
    <s v="PT-1621"/>
    <s v="Chronic Pain"/>
    <x v="0"/>
    <s v="Government Scheme"/>
    <s v="Corporate Wellness"/>
    <x v="1"/>
    <n v="90"/>
    <n v="0"/>
    <n v="118.1"/>
    <n v="1600"/>
    <n v="0"/>
    <n v="1600"/>
    <n v="1"/>
    <n v="0"/>
    <n v="0"/>
    <n v="0.85"/>
  </r>
  <r>
    <s v="APT-00060"/>
    <d v="2025-05-16T00:00:00"/>
    <x v="10"/>
    <x v="4"/>
    <s v="Afternoon"/>
    <x v="0"/>
    <s v="Palakkad"/>
    <x v="0"/>
    <s v="PT-1218"/>
    <s v="Sports Injury"/>
    <x v="3"/>
    <s v="Self Pay"/>
    <s v="Corporate Wellness"/>
    <x v="0"/>
    <n v="30"/>
    <n v="30"/>
    <n v="38.200000000000003"/>
    <n v="600"/>
    <n v="600"/>
    <n v="0"/>
    <n v="0"/>
    <n v="1"/>
    <n v="0"/>
    <n v="0.85"/>
  </r>
  <r>
    <s v="APT-00061"/>
    <d v="2025-12-27T00:00:00"/>
    <x v="0"/>
    <x v="5"/>
    <s v="Morning"/>
    <x v="2"/>
    <s v="Ernakulam"/>
    <x v="3"/>
    <s v="PT-1475"/>
    <s v="Post-op Rehab"/>
    <x v="2"/>
    <s v="Self Pay"/>
    <s v="Self Referral"/>
    <x v="0"/>
    <n v="30"/>
    <n v="30"/>
    <n v="36.700000000000003"/>
    <n v="850"/>
    <n v="850"/>
    <n v="0"/>
    <n v="0"/>
    <n v="1"/>
    <n v="0"/>
    <n v="0.85"/>
  </r>
  <r>
    <s v="APT-00062"/>
    <d v="2025-04-11T00:00:00"/>
    <x v="6"/>
    <x v="4"/>
    <s v="Afternoon"/>
    <x v="0"/>
    <s v="Palakkad"/>
    <x v="13"/>
    <s v="PT-1215"/>
    <s v="Follow-up"/>
    <x v="5"/>
    <s v="Private Insurance"/>
    <s v="Orthopedic Doctor"/>
    <x v="0"/>
    <n v="75"/>
    <n v="75"/>
    <n v="87.2"/>
    <n v="1550"/>
    <n v="1550"/>
    <n v="0"/>
    <n v="0"/>
    <n v="1"/>
    <n v="0"/>
    <n v="0.85"/>
  </r>
  <r>
    <s v="APT-00063"/>
    <d v="2025-03-01T00:00:00"/>
    <x v="3"/>
    <x v="5"/>
    <s v="Afternoon"/>
    <x v="0"/>
    <s v="Palakkad"/>
    <x v="11"/>
    <s v="PT-1235"/>
    <s v="Follow-up"/>
    <x v="3"/>
    <s v="Private Insurance"/>
    <s v="Orthopedic Doctor"/>
    <x v="0"/>
    <n v="60"/>
    <n v="60"/>
    <n v="68.5"/>
    <n v="1250"/>
    <n v="1250"/>
    <n v="0"/>
    <n v="0"/>
    <n v="1"/>
    <n v="0"/>
    <n v="0.85"/>
  </r>
  <r>
    <s v="APT-00064"/>
    <d v="2025-01-23T00:00:00"/>
    <x v="11"/>
    <x v="2"/>
    <s v="Afternoon"/>
    <x v="1"/>
    <s v="Thrissur"/>
    <x v="5"/>
    <s v="PT-1473"/>
    <s v="Follow-up"/>
    <x v="1"/>
    <s v="Self Pay"/>
    <s v="Orthopedic Doctor"/>
    <x v="1"/>
    <n v="60"/>
    <n v="0"/>
    <n v="70"/>
    <n v="1350"/>
    <n v="0"/>
    <n v="1350"/>
    <n v="1"/>
    <n v="0"/>
    <n v="0"/>
    <n v="0.85"/>
  </r>
  <r>
    <s v="APT-00065"/>
    <d v="2025-03-01T00:00:00"/>
    <x v="3"/>
    <x v="5"/>
    <s v="Midday"/>
    <x v="0"/>
    <s v="Palakkad"/>
    <x v="0"/>
    <s v="PT-1019"/>
    <s v="New Patient"/>
    <x v="0"/>
    <s v="Private Insurance"/>
    <s v="Self Referral"/>
    <x v="0"/>
    <n v="45"/>
    <n v="45"/>
    <n v="54.8"/>
    <n v="1100"/>
    <n v="1100"/>
    <n v="0"/>
    <n v="0"/>
    <n v="1"/>
    <n v="0"/>
    <n v="0.85"/>
  </r>
  <r>
    <s v="APT-00066"/>
    <d v="2025-02-25T00:00:00"/>
    <x v="5"/>
    <x v="0"/>
    <s v="Afternoon"/>
    <x v="2"/>
    <s v="Ernakulam"/>
    <x v="8"/>
    <s v="PT-1228"/>
    <s v="Follow-up"/>
    <x v="3"/>
    <s v="Self Pay"/>
    <s v="Self Referral"/>
    <x v="3"/>
    <n v="60"/>
    <n v="0"/>
    <n v="66.3"/>
    <n v="1500"/>
    <n v="0"/>
    <n v="0"/>
    <n v="0"/>
    <n v="0"/>
    <n v="0"/>
    <n v="0.85"/>
  </r>
  <r>
    <s v="APT-00067"/>
    <d v="2025-08-11T00:00:00"/>
    <x v="9"/>
    <x v="1"/>
    <s v="Afternoon"/>
    <x v="1"/>
    <s v="Thrissur"/>
    <x v="7"/>
    <s v="PT-1360"/>
    <s v="New Patient"/>
    <x v="2"/>
    <s v="Self Pay"/>
    <s v="Corporate Wellness"/>
    <x v="0"/>
    <n v="30"/>
    <n v="30"/>
    <n v="36.200000000000003"/>
    <n v="800"/>
    <n v="800"/>
    <n v="0"/>
    <n v="0"/>
    <n v="1"/>
    <n v="0"/>
    <n v="0.85"/>
  </r>
  <r>
    <s v="APT-00068"/>
    <d v="2025-05-31T00:00:00"/>
    <x v="10"/>
    <x v="5"/>
    <s v="Evening"/>
    <x v="1"/>
    <s v="Thrissur"/>
    <x v="7"/>
    <s v="PT-1604"/>
    <s v="New Patient"/>
    <x v="1"/>
    <s v="Private Insurance"/>
    <s v="Orthopedic Doctor"/>
    <x v="1"/>
    <n v="60"/>
    <n v="0"/>
    <n v="71"/>
    <n v="1600"/>
    <n v="0"/>
    <n v="1600"/>
    <n v="1"/>
    <n v="0"/>
    <n v="0"/>
    <n v="0.85"/>
  </r>
  <r>
    <s v="APT-00069"/>
    <d v="2025-06-04T00:00:00"/>
    <x v="4"/>
    <x v="3"/>
    <s v="Afternoon"/>
    <x v="0"/>
    <s v="Palakkad"/>
    <x v="9"/>
    <s v="PT-1083"/>
    <s v="Follow-up"/>
    <x v="4"/>
    <s v="Private Insurance"/>
    <s v="Hospital Discharge"/>
    <x v="0"/>
    <n v="75"/>
    <n v="75"/>
    <n v="99.4"/>
    <n v="1550"/>
    <n v="1550"/>
    <n v="0"/>
    <n v="0"/>
    <n v="1"/>
    <n v="0"/>
    <n v="0.85"/>
  </r>
  <r>
    <s v="APT-00070"/>
    <d v="2025-12-30T00:00:00"/>
    <x v="0"/>
    <x v="0"/>
    <s v="Midday"/>
    <x v="2"/>
    <s v="Ernakulam"/>
    <x v="12"/>
    <s v="PT-1023"/>
    <s v="New Patient"/>
    <x v="1"/>
    <s v="Self Pay"/>
    <s v="Orthopedic Doctor"/>
    <x v="0"/>
    <n v="45"/>
    <n v="45"/>
    <n v="49.3"/>
    <n v="1350"/>
    <n v="1350"/>
    <n v="0"/>
    <n v="0"/>
    <n v="1"/>
    <n v="0"/>
    <n v="0.85"/>
  </r>
  <r>
    <s v="APT-00071"/>
    <d v="2025-12-27T00:00:00"/>
    <x v="0"/>
    <x v="5"/>
    <s v="Midday"/>
    <x v="0"/>
    <s v="Palakkad"/>
    <x v="0"/>
    <s v="PT-1190"/>
    <s v="Follow-up"/>
    <x v="4"/>
    <s v="Corporate Tie-up"/>
    <s v="Online Search"/>
    <x v="2"/>
    <n v="60"/>
    <n v="0"/>
    <n v="67.3"/>
    <n v="1150"/>
    <n v="0"/>
    <n v="1150"/>
    <n v="0"/>
    <n v="0"/>
    <n v="1"/>
    <n v="0.85"/>
  </r>
  <r>
    <s v="APT-00072"/>
    <d v="2025-01-07T00:00:00"/>
    <x v="11"/>
    <x v="0"/>
    <s v="Afternoon"/>
    <x v="0"/>
    <s v="Palakkad"/>
    <x v="9"/>
    <s v="PT-1525"/>
    <s v="Sports Injury"/>
    <x v="1"/>
    <s v="Private Insurance"/>
    <s v="Hospital Discharge"/>
    <x v="3"/>
    <n v="60"/>
    <n v="0"/>
    <n v="75.7"/>
    <n v="1250"/>
    <n v="0"/>
    <n v="0"/>
    <n v="0"/>
    <n v="0"/>
    <n v="0"/>
    <n v="0.85"/>
  </r>
  <r>
    <s v="APT-00073"/>
    <d v="2025-03-17T00:00:00"/>
    <x v="3"/>
    <x v="1"/>
    <s v="Morning"/>
    <x v="1"/>
    <s v="Thrissur"/>
    <x v="7"/>
    <s v="PT-1051"/>
    <s v="New Patient"/>
    <x v="2"/>
    <s v="Corporate Tie-up"/>
    <s v="Orthopedic Doctor"/>
    <x v="0"/>
    <n v="60"/>
    <n v="60"/>
    <n v="78.7"/>
    <n v="1500"/>
    <n v="1500"/>
    <n v="0"/>
    <n v="0"/>
    <n v="1"/>
    <n v="0"/>
    <n v="0.85"/>
  </r>
  <r>
    <s v="APT-00074"/>
    <d v="2025-02-27T00:00:00"/>
    <x v="5"/>
    <x v="2"/>
    <s v="Afternoon"/>
    <x v="1"/>
    <s v="Thrissur"/>
    <x v="5"/>
    <s v="PT-1087"/>
    <s v="New Patient"/>
    <x v="2"/>
    <s v="Self Pay"/>
    <s v="Neurologist"/>
    <x v="0"/>
    <n v="60"/>
    <n v="60"/>
    <n v="77.7"/>
    <n v="1600"/>
    <n v="1600"/>
    <n v="0"/>
    <n v="0"/>
    <n v="1"/>
    <n v="0"/>
    <n v="0.85"/>
  </r>
  <r>
    <s v="APT-00075"/>
    <d v="2025-10-08T00:00:00"/>
    <x v="7"/>
    <x v="3"/>
    <s v="Midday"/>
    <x v="2"/>
    <s v="Ernakulam"/>
    <x v="4"/>
    <s v="PT-1385"/>
    <s v="Follow-up"/>
    <x v="1"/>
    <s v="Private Insurance"/>
    <s v="Self Referral"/>
    <x v="0"/>
    <n v="75"/>
    <n v="75"/>
    <n v="87.2"/>
    <n v="1900"/>
    <n v="1900"/>
    <n v="0"/>
    <n v="0"/>
    <n v="1"/>
    <n v="0"/>
    <n v="0.85"/>
  </r>
  <r>
    <s v="APT-00076"/>
    <d v="2025-10-31T00:00:00"/>
    <x v="7"/>
    <x v="4"/>
    <s v="Afternoon"/>
    <x v="0"/>
    <s v="Palakkad"/>
    <x v="6"/>
    <s v="PT-1110"/>
    <s v="Follow-up"/>
    <x v="5"/>
    <s v="Private Insurance"/>
    <s v="Corporate Wellness"/>
    <x v="0"/>
    <n v="45"/>
    <n v="45"/>
    <n v="49.6"/>
    <n v="950"/>
    <n v="950"/>
    <n v="0"/>
    <n v="0"/>
    <n v="1"/>
    <n v="0"/>
    <n v="0.85"/>
  </r>
  <r>
    <s v="APT-00077"/>
    <d v="2025-02-26T00:00:00"/>
    <x v="5"/>
    <x v="3"/>
    <s v="Morning"/>
    <x v="1"/>
    <s v="Thrissur"/>
    <x v="7"/>
    <s v="PT-1555"/>
    <s v="Follow-up"/>
    <x v="2"/>
    <s v="Corporate Tie-up"/>
    <s v="Self Referral"/>
    <x v="0"/>
    <n v="90"/>
    <n v="90"/>
    <n v="106.4"/>
    <n v="1850"/>
    <n v="1850"/>
    <n v="0"/>
    <n v="0"/>
    <n v="1"/>
    <n v="0"/>
    <n v="0.85"/>
  </r>
  <r>
    <s v="APT-00078"/>
    <d v="2025-10-06T00:00:00"/>
    <x v="7"/>
    <x v="1"/>
    <s v="Morning"/>
    <x v="0"/>
    <s v="Palakkad"/>
    <x v="9"/>
    <s v="PT-1353"/>
    <s v="Sports Injury"/>
    <x v="4"/>
    <s v="Self Pay"/>
    <s v="Self Referral"/>
    <x v="0"/>
    <n v="45"/>
    <n v="45"/>
    <n v="53.4"/>
    <n v="950"/>
    <n v="950"/>
    <n v="0"/>
    <n v="0"/>
    <n v="1"/>
    <n v="0"/>
    <n v="0.85"/>
  </r>
  <r>
    <s v="APT-00079"/>
    <d v="2025-01-16T00:00:00"/>
    <x v="11"/>
    <x v="2"/>
    <s v="Evening"/>
    <x v="2"/>
    <s v="Ernakulam"/>
    <x v="3"/>
    <s v="PT-1392"/>
    <s v="Geriatric Rehab"/>
    <x v="1"/>
    <s v="Self Pay"/>
    <s v="Neurologist"/>
    <x v="2"/>
    <n v="60"/>
    <n v="0"/>
    <n v="73.400000000000006"/>
    <n v="1500"/>
    <n v="0"/>
    <n v="1500"/>
    <n v="0"/>
    <n v="0"/>
    <n v="1"/>
    <n v="0.85"/>
  </r>
  <r>
    <s v="APT-00080"/>
    <d v="2025-03-01T00:00:00"/>
    <x v="3"/>
    <x v="5"/>
    <s v="Evening"/>
    <x v="0"/>
    <s v="Palakkad"/>
    <x v="13"/>
    <s v="PT-1196"/>
    <s v="Post-op Rehab"/>
    <x v="1"/>
    <s v="Private Insurance"/>
    <s v="Self Referral"/>
    <x v="1"/>
    <n v="30"/>
    <n v="0"/>
    <n v="36.6"/>
    <n v="700"/>
    <n v="0"/>
    <n v="700"/>
    <n v="1"/>
    <n v="0"/>
    <n v="0"/>
    <n v="0.85"/>
  </r>
  <r>
    <s v="APT-00081"/>
    <d v="2025-02-07T00:00:00"/>
    <x v="5"/>
    <x v="4"/>
    <s v="Morning"/>
    <x v="1"/>
    <s v="Thrissur"/>
    <x v="10"/>
    <s v="PT-1680"/>
    <s v="Follow-up"/>
    <x v="1"/>
    <s v="Self Pay"/>
    <s v="Self Referral"/>
    <x v="0"/>
    <n v="60"/>
    <n v="60"/>
    <n v="73.2"/>
    <n v="1350"/>
    <n v="1350"/>
    <n v="0"/>
    <n v="0"/>
    <n v="1"/>
    <n v="0"/>
    <n v="0.85"/>
  </r>
  <r>
    <s v="APT-00082"/>
    <d v="2025-06-03T00:00:00"/>
    <x v="4"/>
    <x v="0"/>
    <s v="Afternoon"/>
    <x v="0"/>
    <s v="Palakkad"/>
    <x v="13"/>
    <s v="PT-1091"/>
    <s v="Follow-up"/>
    <x v="4"/>
    <s v="Self Pay"/>
    <s v="Hospital Discharge"/>
    <x v="0"/>
    <n v="60"/>
    <n v="60"/>
    <n v="71.099999999999994"/>
    <n v="1250"/>
    <n v="1250"/>
    <n v="0"/>
    <n v="0"/>
    <n v="1"/>
    <n v="0"/>
    <n v="0.85"/>
  </r>
  <r>
    <s v="APT-00083"/>
    <d v="2025-03-08T00:00:00"/>
    <x v="3"/>
    <x v="5"/>
    <s v="Midday"/>
    <x v="1"/>
    <s v="Thrissur"/>
    <x v="7"/>
    <s v="PT-1551"/>
    <s v="Follow-up"/>
    <x v="5"/>
    <s v="Government Scheme"/>
    <s v="Neurologist"/>
    <x v="0"/>
    <n v="60"/>
    <n v="60"/>
    <n v="73.400000000000006"/>
    <n v="1150"/>
    <n v="1150"/>
    <n v="0"/>
    <n v="0"/>
    <n v="1"/>
    <n v="0"/>
    <n v="0.85"/>
  </r>
  <r>
    <s v="APT-00084"/>
    <d v="2025-09-08T00:00:00"/>
    <x v="2"/>
    <x v="1"/>
    <s v="Morning"/>
    <x v="2"/>
    <s v="Ernakulam"/>
    <x v="12"/>
    <s v="PT-1679"/>
    <s v="Geriatric Rehab"/>
    <x v="4"/>
    <s v="Self Pay"/>
    <s v="Corporate Wellness"/>
    <x v="1"/>
    <n v="60"/>
    <n v="0"/>
    <n v="80.099999999999994"/>
    <n v="1500"/>
    <n v="0"/>
    <n v="1500"/>
    <n v="1"/>
    <n v="0"/>
    <n v="0"/>
    <n v="0.85"/>
  </r>
  <r>
    <s v="APT-00085"/>
    <d v="2025-05-15T00:00:00"/>
    <x v="10"/>
    <x v="2"/>
    <s v="Morning"/>
    <x v="2"/>
    <s v="Ernakulam"/>
    <x v="12"/>
    <s v="PT-1450"/>
    <s v="New Patient"/>
    <x v="2"/>
    <s v="Self Pay"/>
    <s v="Online Search"/>
    <x v="0"/>
    <n v="60"/>
    <n v="60"/>
    <n v="74.3"/>
    <n v="1800"/>
    <n v="1800"/>
    <n v="0"/>
    <n v="0"/>
    <n v="1"/>
    <n v="0"/>
    <n v="0.85"/>
  </r>
  <r>
    <s v="APT-00086"/>
    <d v="2025-05-06T00:00:00"/>
    <x v="10"/>
    <x v="0"/>
    <s v="Evening"/>
    <x v="0"/>
    <s v="Palakkad"/>
    <x v="13"/>
    <s v="PT-1629"/>
    <s v="Post-op Rehab"/>
    <x v="3"/>
    <s v="Private Insurance"/>
    <s v="Corporate Wellness"/>
    <x v="0"/>
    <n v="60"/>
    <n v="60"/>
    <n v="71.900000000000006"/>
    <n v="1450"/>
    <n v="1450"/>
    <n v="0"/>
    <n v="0"/>
    <n v="1"/>
    <n v="0"/>
    <n v="0.85"/>
  </r>
  <r>
    <s v="APT-00087"/>
    <d v="2025-05-14T00:00:00"/>
    <x v="10"/>
    <x v="3"/>
    <s v="Afternoon"/>
    <x v="1"/>
    <s v="Thrissur"/>
    <x v="2"/>
    <s v="PT-1236"/>
    <s v="Follow-up"/>
    <x v="1"/>
    <s v="Self Pay"/>
    <s v="Hospital Discharge"/>
    <x v="0"/>
    <n v="60"/>
    <n v="60"/>
    <n v="65.5"/>
    <n v="1350"/>
    <n v="1350"/>
    <n v="0"/>
    <n v="0"/>
    <n v="1"/>
    <n v="0"/>
    <n v="0.85"/>
  </r>
  <r>
    <s v="APT-00088"/>
    <d v="2025-05-22T00:00:00"/>
    <x v="10"/>
    <x v="2"/>
    <s v="Evening"/>
    <x v="1"/>
    <s v="Thrissur"/>
    <x v="10"/>
    <s v="PT-1507"/>
    <s v="Sports Injury"/>
    <x v="3"/>
    <s v="Private Insurance"/>
    <s v="Online Search"/>
    <x v="0"/>
    <n v="60"/>
    <n v="60"/>
    <n v="68.7"/>
    <n v="1350"/>
    <n v="1350"/>
    <n v="0"/>
    <n v="0"/>
    <n v="1"/>
    <n v="0"/>
    <n v="0.85"/>
  </r>
  <r>
    <s v="APT-00089"/>
    <d v="2025-09-02T00:00:00"/>
    <x v="2"/>
    <x v="0"/>
    <s v="Evening"/>
    <x v="1"/>
    <s v="Thrissur"/>
    <x v="10"/>
    <s v="PT-1364"/>
    <s v="Sports Injury"/>
    <x v="5"/>
    <s v="Private Insurance"/>
    <s v="Self Referral"/>
    <x v="0"/>
    <n v="30"/>
    <n v="30"/>
    <n v="35.200000000000003"/>
    <n v="700"/>
    <n v="700"/>
    <n v="0"/>
    <n v="0"/>
    <n v="1"/>
    <n v="0"/>
    <n v="0.85"/>
  </r>
  <r>
    <s v="APT-00090"/>
    <d v="2025-02-04T00:00:00"/>
    <x v="5"/>
    <x v="0"/>
    <s v="Evening"/>
    <x v="0"/>
    <s v="Palakkad"/>
    <x v="6"/>
    <s v="PT-1618"/>
    <s v="Geriatric Rehab"/>
    <x v="4"/>
    <s v="Self Pay"/>
    <s v="Orthopedic Doctor"/>
    <x v="0"/>
    <n v="30"/>
    <n v="30"/>
    <n v="32.9"/>
    <n v="600"/>
    <n v="600"/>
    <n v="0"/>
    <n v="0"/>
    <n v="1"/>
    <n v="0"/>
    <n v="0.85"/>
  </r>
  <r>
    <s v="APT-00091"/>
    <d v="2025-12-22T00:00:00"/>
    <x v="0"/>
    <x v="1"/>
    <s v="Afternoon"/>
    <x v="1"/>
    <s v="Thrissur"/>
    <x v="5"/>
    <s v="PT-1273"/>
    <s v="Follow-up"/>
    <x v="3"/>
    <s v="Corporate Tie-up"/>
    <s v="Online Search"/>
    <x v="0"/>
    <n v="75"/>
    <n v="75"/>
    <n v="94.8"/>
    <n v="1550"/>
    <n v="1550"/>
    <n v="0"/>
    <n v="0"/>
    <n v="1"/>
    <n v="0"/>
    <n v="0.85"/>
  </r>
  <r>
    <s v="APT-00092"/>
    <d v="2025-09-29T00:00:00"/>
    <x v="2"/>
    <x v="1"/>
    <s v="Afternoon"/>
    <x v="1"/>
    <s v="Thrissur"/>
    <x v="1"/>
    <s v="PT-1337"/>
    <s v="Follow-up"/>
    <x v="1"/>
    <s v="Self Pay"/>
    <s v="Orthopedic Doctor"/>
    <x v="3"/>
    <n v="60"/>
    <n v="0"/>
    <n v="67.2"/>
    <n v="1350"/>
    <n v="0"/>
    <n v="0"/>
    <n v="0"/>
    <n v="0"/>
    <n v="0"/>
    <n v="0.85"/>
  </r>
  <r>
    <s v="APT-00093"/>
    <d v="2025-01-11T00:00:00"/>
    <x v="11"/>
    <x v="5"/>
    <s v="Morning"/>
    <x v="2"/>
    <s v="Ernakulam"/>
    <x v="8"/>
    <s v="PT-1433"/>
    <s v="New Patient"/>
    <x v="4"/>
    <s v="Self Pay"/>
    <s v="Neurologist"/>
    <x v="2"/>
    <n v="60"/>
    <n v="0"/>
    <n v="65.8"/>
    <n v="1800"/>
    <n v="0"/>
    <n v="1800"/>
    <n v="0"/>
    <n v="0"/>
    <n v="1"/>
    <n v="0.85"/>
  </r>
  <r>
    <s v="APT-00094"/>
    <d v="2025-06-09T00:00:00"/>
    <x v="4"/>
    <x v="1"/>
    <s v="Midday"/>
    <x v="1"/>
    <s v="Thrissur"/>
    <x v="10"/>
    <s v="PT-1348"/>
    <s v="Chronic Pain"/>
    <x v="2"/>
    <s v="Corporate Tie-up"/>
    <s v="Hospital Discharge"/>
    <x v="2"/>
    <n v="75"/>
    <n v="0"/>
    <n v="91.1"/>
    <n v="1550"/>
    <n v="0"/>
    <n v="1550"/>
    <n v="0"/>
    <n v="0"/>
    <n v="1"/>
    <n v="0.85"/>
  </r>
  <r>
    <s v="APT-00095"/>
    <d v="2025-09-16T00:00:00"/>
    <x v="2"/>
    <x v="0"/>
    <s v="Evening"/>
    <x v="2"/>
    <s v="Ernakulam"/>
    <x v="4"/>
    <s v="PT-1424"/>
    <s v="New Patient"/>
    <x v="0"/>
    <s v="Government Scheme"/>
    <s v="Self Referral"/>
    <x v="2"/>
    <n v="75"/>
    <n v="0"/>
    <n v="86.6"/>
    <n v="1900"/>
    <n v="0"/>
    <n v="1900"/>
    <n v="0"/>
    <n v="0"/>
    <n v="1"/>
    <n v="0.85"/>
  </r>
  <r>
    <s v="APT-00096"/>
    <d v="2025-06-30T00:00:00"/>
    <x v="4"/>
    <x v="1"/>
    <s v="Evening"/>
    <x v="2"/>
    <s v="Ernakulam"/>
    <x v="3"/>
    <s v="PT-1387"/>
    <s v="Sports Injury"/>
    <x v="1"/>
    <s v="Private Insurance"/>
    <s v="Self Referral"/>
    <x v="0"/>
    <n v="90"/>
    <n v="90"/>
    <n v="101.5"/>
    <n v="2250"/>
    <n v="2250"/>
    <n v="0"/>
    <n v="0"/>
    <n v="1"/>
    <n v="0"/>
    <n v="0.85"/>
  </r>
  <r>
    <s v="APT-00097"/>
    <d v="2025-01-06T00:00:00"/>
    <x v="11"/>
    <x v="1"/>
    <s v="Midday"/>
    <x v="0"/>
    <s v="Palakkad"/>
    <x v="9"/>
    <s v="PT-1578"/>
    <s v="Follow-up"/>
    <x v="3"/>
    <s v="Private Insurance"/>
    <s v="Corporate Wellness"/>
    <x v="0"/>
    <n v="60"/>
    <n v="60"/>
    <n v="77.599999999999994"/>
    <n v="1250"/>
    <n v="1250"/>
    <n v="0"/>
    <n v="0"/>
    <n v="1"/>
    <n v="0"/>
    <n v="0.85"/>
  </r>
  <r>
    <s v="APT-00098"/>
    <d v="2025-11-22T00:00:00"/>
    <x v="1"/>
    <x v="5"/>
    <s v="Morning"/>
    <x v="1"/>
    <s v="Thrissur"/>
    <x v="5"/>
    <s v="PT-1125"/>
    <s v="Chronic Pain"/>
    <x v="5"/>
    <s v="Corporate Tie-up"/>
    <s v="Online Search"/>
    <x v="0"/>
    <n v="60"/>
    <n v="60"/>
    <n v="68.2"/>
    <n v="1250"/>
    <n v="1250"/>
    <n v="0"/>
    <n v="0"/>
    <n v="1"/>
    <n v="0"/>
    <n v="0.85"/>
  </r>
  <r>
    <s v="APT-00099"/>
    <d v="2025-04-15T00:00:00"/>
    <x v="6"/>
    <x v="0"/>
    <s v="Afternoon"/>
    <x v="1"/>
    <s v="Thrissur"/>
    <x v="10"/>
    <s v="PT-1518"/>
    <s v="Sports Injury"/>
    <x v="3"/>
    <s v="Government Scheme"/>
    <s v="Corporate Wellness"/>
    <x v="0"/>
    <n v="45"/>
    <n v="45"/>
    <n v="60.5"/>
    <n v="850"/>
    <n v="850"/>
    <n v="0"/>
    <n v="0"/>
    <n v="1"/>
    <n v="0"/>
    <n v="0.85"/>
  </r>
  <r>
    <s v="APT-00100"/>
    <d v="2025-10-21T00:00:00"/>
    <x v="7"/>
    <x v="0"/>
    <s v="Evening"/>
    <x v="0"/>
    <s v="Palakkad"/>
    <x v="6"/>
    <s v="PT-1660"/>
    <s v="Geriatric Rehab"/>
    <x v="0"/>
    <s v="Private Insurance"/>
    <s v="Online Search"/>
    <x v="0"/>
    <n v="90"/>
    <n v="90"/>
    <n v="111.1"/>
    <n v="1900"/>
    <n v="1900"/>
    <n v="0"/>
    <n v="0"/>
    <n v="1"/>
    <n v="0"/>
    <n v="0.85"/>
  </r>
  <r>
    <s v="APT-00101"/>
    <d v="2025-09-19T00:00:00"/>
    <x v="2"/>
    <x v="4"/>
    <s v="Afternoon"/>
    <x v="2"/>
    <s v="Ernakulam"/>
    <x v="8"/>
    <s v="PT-1537"/>
    <s v="Post-op Rehab"/>
    <x v="3"/>
    <s v="Self Pay"/>
    <s v="Hospital Discharge"/>
    <x v="0"/>
    <n v="30"/>
    <n v="30"/>
    <n v="34.9"/>
    <n v="850"/>
    <n v="850"/>
    <n v="0"/>
    <n v="0"/>
    <n v="1"/>
    <n v="0"/>
    <n v="0.85"/>
  </r>
  <r>
    <s v="APT-00102"/>
    <d v="2025-07-13T00:00:00"/>
    <x v="8"/>
    <x v="6"/>
    <s v="Afternoon"/>
    <x v="0"/>
    <s v="Palakkad"/>
    <x v="0"/>
    <s v="PT-1552"/>
    <s v="Chronic Pain"/>
    <x v="1"/>
    <s v="Private Insurance"/>
    <s v="Online Search"/>
    <x v="0"/>
    <n v="60"/>
    <n v="60"/>
    <n v="75.3"/>
    <n v="1250"/>
    <n v="1250"/>
    <n v="0"/>
    <n v="0"/>
    <n v="1"/>
    <n v="0"/>
    <n v="0.85"/>
  </r>
  <r>
    <s v="APT-00103"/>
    <d v="2025-04-05T00:00:00"/>
    <x v="6"/>
    <x v="5"/>
    <s v="Midday"/>
    <x v="1"/>
    <s v="Thrissur"/>
    <x v="1"/>
    <s v="PT-1326"/>
    <s v="Follow-up"/>
    <x v="3"/>
    <s v="Corporate Tie-up"/>
    <s v="Orthopedic Doctor"/>
    <x v="2"/>
    <n v="60"/>
    <n v="0"/>
    <n v="67.5"/>
    <n v="1250"/>
    <n v="0"/>
    <n v="1250"/>
    <n v="0"/>
    <n v="0"/>
    <n v="1"/>
    <n v="0.85"/>
  </r>
  <r>
    <s v="APT-00104"/>
    <d v="2025-07-12T00:00:00"/>
    <x v="8"/>
    <x v="5"/>
    <s v="Evening"/>
    <x v="2"/>
    <s v="Ernakulam"/>
    <x v="8"/>
    <s v="PT-1580"/>
    <s v="Sports Injury"/>
    <x v="5"/>
    <s v="Private Insurance"/>
    <s v="Neurologist"/>
    <x v="0"/>
    <n v="45"/>
    <n v="45"/>
    <n v="59.1"/>
    <n v="1100"/>
    <n v="1100"/>
    <n v="0"/>
    <n v="0"/>
    <n v="1"/>
    <n v="0"/>
    <n v="0.85"/>
  </r>
  <r>
    <s v="APT-00105"/>
    <d v="2025-12-04T00:00:00"/>
    <x v="0"/>
    <x v="2"/>
    <s v="Evening"/>
    <x v="2"/>
    <s v="Ernakulam"/>
    <x v="3"/>
    <s v="PT-1390"/>
    <s v="New Patient"/>
    <x v="5"/>
    <s v="Self Pay"/>
    <s v="Hospital Discharge"/>
    <x v="0"/>
    <n v="45"/>
    <n v="45"/>
    <n v="57"/>
    <n v="1350"/>
    <n v="1350"/>
    <n v="0"/>
    <n v="0"/>
    <n v="1"/>
    <n v="0"/>
    <n v="0.85"/>
  </r>
  <r>
    <s v="APT-00106"/>
    <d v="2025-06-11T00:00:00"/>
    <x v="4"/>
    <x v="3"/>
    <s v="Morning"/>
    <x v="2"/>
    <s v="Ernakulam"/>
    <x v="14"/>
    <s v="PT-1507"/>
    <s v="Follow-up"/>
    <x v="5"/>
    <s v="Corporate Tie-up"/>
    <s v="Hospital Discharge"/>
    <x v="1"/>
    <n v="45"/>
    <n v="0"/>
    <n v="58.2"/>
    <n v="1050"/>
    <n v="0"/>
    <n v="1050"/>
    <n v="1"/>
    <n v="0"/>
    <n v="0"/>
    <n v="0.85"/>
  </r>
  <r>
    <s v="APT-00107"/>
    <d v="2025-03-13T00:00:00"/>
    <x v="3"/>
    <x v="2"/>
    <s v="Midday"/>
    <x v="0"/>
    <s v="Palakkad"/>
    <x v="6"/>
    <s v="PT-1113"/>
    <s v="Follow-up"/>
    <x v="0"/>
    <s v="Private Insurance"/>
    <s v="Orthopedic Doctor"/>
    <x v="0"/>
    <n v="60"/>
    <n v="60"/>
    <n v="69.8"/>
    <n v="1250"/>
    <n v="1250"/>
    <n v="0"/>
    <n v="0"/>
    <n v="1"/>
    <n v="0"/>
    <n v="0.85"/>
  </r>
  <r>
    <s v="APT-00108"/>
    <d v="2025-07-15T00:00:00"/>
    <x v="8"/>
    <x v="0"/>
    <s v="Morning"/>
    <x v="0"/>
    <s v="Palakkad"/>
    <x v="6"/>
    <s v="PT-1234"/>
    <s v="Sports Injury"/>
    <x v="5"/>
    <s v="Corporate Tie-up"/>
    <s v="Neurologist"/>
    <x v="0"/>
    <n v="45"/>
    <n v="45"/>
    <n v="60.1"/>
    <n v="850"/>
    <n v="850"/>
    <n v="0"/>
    <n v="0"/>
    <n v="1"/>
    <n v="0"/>
    <n v="0.85"/>
  </r>
  <r>
    <s v="APT-00109"/>
    <d v="2025-09-03T00:00:00"/>
    <x v="2"/>
    <x v="3"/>
    <s v="Morning"/>
    <x v="0"/>
    <s v="Palakkad"/>
    <x v="0"/>
    <s v="PT-1615"/>
    <s v="Chronic Pain"/>
    <x v="5"/>
    <s v="Self Pay"/>
    <s v="Corporate Wellness"/>
    <x v="1"/>
    <n v="60"/>
    <n v="0"/>
    <n v="74.400000000000006"/>
    <n v="1250"/>
    <n v="0"/>
    <n v="1250"/>
    <n v="1"/>
    <n v="0"/>
    <n v="0"/>
    <n v="0.85"/>
  </r>
  <r>
    <s v="APT-00110"/>
    <d v="2025-03-17T00:00:00"/>
    <x v="3"/>
    <x v="1"/>
    <s v="Midday"/>
    <x v="2"/>
    <s v="Ernakulam"/>
    <x v="4"/>
    <s v="PT-1341"/>
    <s v="Follow-up"/>
    <x v="2"/>
    <s v="Private Insurance"/>
    <s v="Self Referral"/>
    <x v="0"/>
    <n v="60"/>
    <n v="60"/>
    <n v="73.900000000000006"/>
    <n v="1500"/>
    <n v="1500"/>
    <n v="0"/>
    <n v="0"/>
    <n v="1"/>
    <n v="0"/>
    <n v="0.85"/>
  </r>
  <r>
    <s v="APT-00111"/>
    <d v="2025-01-05T00:00:00"/>
    <x v="11"/>
    <x v="6"/>
    <s v="Midday"/>
    <x v="1"/>
    <s v="Thrissur"/>
    <x v="1"/>
    <s v="PT-1693"/>
    <s v="Geriatric Rehab"/>
    <x v="0"/>
    <s v="Private Insurance"/>
    <s v="Neurologist"/>
    <x v="0"/>
    <n v="60"/>
    <n v="60"/>
    <n v="66.3"/>
    <n v="1350"/>
    <n v="1350"/>
    <n v="0"/>
    <n v="0"/>
    <n v="1"/>
    <n v="0"/>
    <n v="0.85"/>
  </r>
  <r>
    <s v="APT-00112"/>
    <d v="2025-09-09T00:00:00"/>
    <x v="2"/>
    <x v="0"/>
    <s v="Evening"/>
    <x v="1"/>
    <s v="Thrissur"/>
    <x v="10"/>
    <s v="PT-1069"/>
    <s v="Chronic Pain"/>
    <x v="2"/>
    <s v="Corporate Tie-up"/>
    <s v="Corporate Wellness"/>
    <x v="0"/>
    <n v="60"/>
    <n v="60"/>
    <n v="68.3"/>
    <n v="1250"/>
    <n v="1250"/>
    <n v="0"/>
    <n v="0"/>
    <n v="1"/>
    <n v="0"/>
    <n v="0.85"/>
  </r>
  <r>
    <s v="APT-00113"/>
    <d v="2025-12-02T00:00:00"/>
    <x v="0"/>
    <x v="0"/>
    <s v="Evening"/>
    <x v="1"/>
    <s v="Thrissur"/>
    <x v="10"/>
    <s v="PT-1272"/>
    <s v="New Patient"/>
    <x v="2"/>
    <s v="Private Insurance"/>
    <s v="Self Referral"/>
    <x v="0"/>
    <n v="45"/>
    <n v="45"/>
    <n v="53.1"/>
    <n v="1200"/>
    <n v="1200"/>
    <n v="0"/>
    <n v="0"/>
    <n v="1"/>
    <n v="0"/>
    <n v="0.85"/>
  </r>
  <r>
    <s v="APT-00114"/>
    <d v="2025-05-12T00:00:00"/>
    <x v="10"/>
    <x v="1"/>
    <s v="Morning"/>
    <x v="0"/>
    <s v="Palakkad"/>
    <x v="11"/>
    <s v="PT-1662"/>
    <s v="Follow-up"/>
    <x v="4"/>
    <s v="Corporate Tie-up"/>
    <s v="Neurologist"/>
    <x v="0"/>
    <n v="45"/>
    <n v="45"/>
    <n v="56.7"/>
    <n v="850"/>
    <n v="850"/>
    <n v="0"/>
    <n v="0"/>
    <n v="1"/>
    <n v="0"/>
    <n v="0.85"/>
  </r>
  <r>
    <s v="APT-00115"/>
    <d v="2025-03-25T00:00:00"/>
    <x v="3"/>
    <x v="0"/>
    <s v="Midday"/>
    <x v="0"/>
    <s v="Palakkad"/>
    <x v="13"/>
    <s v="PT-1376"/>
    <s v="Follow-up"/>
    <x v="4"/>
    <s v="Corporate Tie-up"/>
    <s v="Orthopedic Doctor"/>
    <x v="3"/>
    <n v="45"/>
    <n v="0"/>
    <n v="50.7"/>
    <n v="850"/>
    <n v="0"/>
    <n v="0"/>
    <n v="0"/>
    <n v="0"/>
    <n v="0"/>
    <n v="0.85"/>
  </r>
  <r>
    <s v="APT-00116"/>
    <d v="2025-12-23T00:00:00"/>
    <x v="0"/>
    <x v="0"/>
    <s v="Afternoon"/>
    <x v="0"/>
    <s v="Palakkad"/>
    <x v="13"/>
    <s v="PT-1462"/>
    <s v="Follow-up"/>
    <x v="1"/>
    <s v="Self Pay"/>
    <s v="Neurologist"/>
    <x v="0"/>
    <n v="90"/>
    <n v="90"/>
    <n v="110.4"/>
    <n v="1900"/>
    <n v="1900"/>
    <n v="0"/>
    <n v="0"/>
    <n v="1"/>
    <n v="0"/>
    <n v="0.85"/>
  </r>
  <r>
    <s v="APT-00117"/>
    <d v="2025-07-24T00:00:00"/>
    <x v="8"/>
    <x v="2"/>
    <s v="Midday"/>
    <x v="2"/>
    <s v="Ernakulam"/>
    <x v="8"/>
    <s v="PT-1490"/>
    <s v="Follow-up"/>
    <x v="0"/>
    <s v="Self Pay"/>
    <s v="Corporate Wellness"/>
    <x v="0"/>
    <n v="60"/>
    <n v="60"/>
    <n v="71.5"/>
    <n v="1500"/>
    <n v="1500"/>
    <n v="0"/>
    <n v="0"/>
    <n v="1"/>
    <n v="0"/>
    <n v="0.85"/>
  </r>
  <r>
    <s v="APT-00118"/>
    <d v="2025-02-28T00:00:00"/>
    <x v="5"/>
    <x v="4"/>
    <s v="Afternoon"/>
    <x v="2"/>
    <s v="Ernakulam"/>
    <x v="4"/>
    <s v="PT-1483"/>
    <s v="Chronic Pain"/>
    <x v="0"/>
    <s v="Private Insurance"/>
    <s v="Corporate Wellness"/>
    <x v="0"/>
    <n v="45"/>
    <n v="45"/>
    <n v="57.7"/>
    <n v="1100"/>
    <n v="1100"/>
    <n v="0"/>
    <n v="0"/>
    <n v="1"/>
    <n v="0"/>
    <n v="0.85"/>
  </r>
  <r>
    <s v="APT-00119"/>
    <d v="2025-11-21T00:00:00"/>
    <x v="1"/>
    <x v="4"/>
    <s v="Evening"/>
    <x v="1"/>
    <s v="Thrissur"/>
    <x v="5"/>
    <s v="PT-1480"/>
    <s v="Follow-up"/>
    <x v="5"/>
    <s v="Self Pay"/>
    <s v="Hospital Discharge"/>
    <x v="0"/>
    <n v="60"/>
    <n v="60"/>
    <n v="69.8"/>
    <n v="1350"/>
    <n v="1350"/>
    <n v="0"/>
    <n v="0"/>
    <n v="1"/>
    <n v="0"/>
    <n v="0.85"/>
  </r>
  <r>
    <s v="APT-00120"/>
    <d v="2025-08-29T00:00:00"/>
    <x v="9"/>
    <x v="4"/>
    <s v="Morning"/>
    <x v="1"/>
    <s v="Thrissur"/>
    <x v="10"/>
    <s v="PT-1294"/>
    <s v="Geriatric Rehab"/>
    <x v="3"/>
    <s v="Government Scheme"/>
    <s v="Neurologist"/>
    <x v="0"/>
    <n v="75"/>
    <n v="75"/>
    <n v="89.1"/>
    <n v="1450"/>
    <n v="1450"/>
    <n v="0"/>
    <n v="0"/>
    <n v="1"/>
    <n v="0"/>
    <n v="0.85"/>
  </r>
  <r>
    <s v="APT-00121"/>
    <d v="2025-10-20T00:00:00"/>
    <x v="7"/>
    <x v="1"/>
    <s v="Midday"/>
    <x v="2"/>
    <s v="Ernakulam"/>
    <x v="4"/>
    <s v="PT-1482"/>
    <s v="Follow-up"/>
    <x v="5"/>
    <s v="Self Pay"/>
    <s v="Corporate Wellness"/>
    <x v="0"/>
    <n v="30"/>
    <n v="30"/>
    <n v="35.700000000000003"/>
    <n v="750"/>
    <n v="750"/>
    <n v="0"/>
    <n v="0"/>
    <n v="1"/>
    <n v="0"/>
    <n v="0.85"/>
  </r>
  <r>
    <s v="APT-00122"/>
    <d v="2025-11-24T00:00:00"/>
    <x v="1"/>
    <x v="1"/>
    <s v="Evening"/>
    <x v="0"/>
    <s v="Palakkad"/>
    <x v="11"/>
    <s v="PT-1300"/>
    <s v="Follow-up"/>
    <x v="3"/>
    <s v="Self Pay"/>
    <s v="Orthopedic Doctor"/>
    <x v="0"/>
    <n v="45"/>
    <n v="45"/>
    <n v="50.3"/>
    <n v="950"/>
    <n v="950"/>
    <n v="0"/>
    <n v="0"/>
    <n v="1"/>
    <n v="0"/>
    <n v="0.85"/>
  </r>
  <r>
    <s v="APT-00123"/>
    <d v="2025-02-14T00:00:00"/>
    <x v="5"/>
    <x v="4"/>
    <s v="Afternoon"/>
    <x v="0"/>
    <s v="Palakkad"/>
    <x v="9"/>
    <s v="PT-1457"/>
    <s v="Chronic Pain"/>
    <x v="0"/>
    <s v="Self Pay"/>
    <s v="Neurologist"/>
    <x v="3"/>
    <n v="75"/>
    <n v="0"/>
    <n v="84.1"/>
    <n v="1550"/>
    <n v="0"/>
    <n v="0"/>
    <n v="0"/>
    <n v="0"/>
    <n v="0"/>
    <n v="0.85"/>
  </r>
  <r>
    <s v="APT-00124"/>
    <d v="2025-09-24T00:00:00"/>
    <x v="2"/>
    <x v="3"/>
    <s v="Afternoon"/>
    <x v="2"/>
    <s v="Ernakulam"/>
    <x v="3"/>
    <s v="PT-1285"/>
    <s v="Post-op Rehab"/>
    <x v="2"/>
    <s v="Government Scheme"/>
    <s v="Self Referral"/>
    <x v="1"/>
    <n v="45"/>
    <n v="0"/>
    <n v="49.7"/>
    <n v="1100"/>
    <n v="0"/>
    <n v="1100"/>
    <n v="1"/>
    <n v="0"/>
    <n v="0"/>
    <n v="0.85"/>
  </r>
  <r>
    <s v="APT-00125"/>
    <d v="2025-08-11T00:00:00"/>
    <x v="9"/>
    <x v="1"/>
    <s v="Midday"/>
    <x v="1"/>
    <s v="Thrissur"/>
    <x v="1"/>
    <s v="PT-1579"/>
    <s v="Chronic Pain"/>
    <x v="0"/>
    <s v="Self Pay"/>
    <s v="Hospital Discharge"/>
    <x v="2"/>
    <n v="45"/>
    <n v="0"/>
    <n v="49.7"/>
    <n v="1000"/>
    <n v="0"/>
    <n v="1000"/>
    <n v="0"/>
    <n v="0"/>
    <n v="1"/>
    <n v="0.85"/>
  </r>
  <r>
    <s v="APT-00126"/>
    <d v="2025-06-03T00:00:00"/>
    <x v="4"/>
    <x v="0"/>
    <s v="Evening"/>
    <x v="2"/>
    <s v="Ernakulam"/>
    <x v="3"/>
    <s v="PT-1157"/>
    <s v="Sports Injury"/>
    <x v="3"/>
    <s v="Private Insurance"/>
    <s v="Hospital Discharge"/>
    <x v="0"/>
    <n v="60"/>
    <n v="60"/>
    <n v="66.2"/>
    <n v="1500"/>
    <n v="1500"/>
    <n v="0"/>
    <n v="0"/>
    <n v="1"/>
    <n v="0"/>
    <n v="0.85"/>
  </r>
  <r>
    <s v="APT-00127"/>
    <d v="2025-10-02T00:00:00"/>
    <x v="7"/>
    <x v="2"/>
    <s v="Afternoon"/>
    <x v="2"/>
    <s v="Ernakulam"/>
    <x v="12"/>
    <s v="PT-1075"/>
    <s v="Follow-up"/>
    <x v="2"/>
    <s v="Self Pay"/>
    <s v="Self Referral"/>
    <x v="0"/>
    <n v="45"/>
    <n v="45"/>
    <n v="50.1"/>
    <n v="1100"/>
    <n v="1100"/>
    <n v="0"/>
    <n v="0"/>
    <n v="1"/>
    <n v="0"/>
    <n v="0.85"/>
  </r>
  <r>
    <s v="APT-00128"/>
    <d v="2025-03-07T00:00:00"/>
    <x v="3"/>
    <x v="4"/>
    <s v="Midday"/>
    <x v="2"/>
    <s v="Ernakulam"/>
    <x v="12"/>
    <s v="PT-1036"/>
    <s v="Sports Injury"/>
    <x v="1"/>
    <s v="Corporate Tie-up"/>
    <s v="Orthopedic Doctor"/>
    <x v="0"/>
    <n v="60"/>
    <n v="60"/>
    <n v="65.599999999999994"/>
    <n v="1400"/>
    <n v="1400"/>
    <n v="0"/>
    <n v="0"/>
    <n v="1"/>
    <n v="0"/>
    <n v="0.85"/>
  </r>
  <r>
    <s v="APT-00129"/>
    <d v="2025-04-05T00:00:00"/>
    <x v="6"/>
    <x v="5"/>
    <s v="Morning"/>
    <x v="1"/>
    <s v="Thrissur"/>
    <x v="7"/>
    <s v="PT-1516"/>
    <s v="Chronic Pain"/>
    <x v="5"/>
    <s v="Private Insurance"/>
    <s v="Neurologist"/>
    <x v="0"/>
    <n v="75"/>
    <n v="75"/>
    <n v="82.9"/>
    <n v="1700"/>
    <n v="1700"/>
    <n v="0"/>
    <n v="0"/>
    <n v="1"/>
    <n v="0"/>
    <n v="0.85"/>
  </r>
  <r>
    <s v="APT-00130"/>
    <d v="2025-02-10T00:00:00"/>
    <x v="5"/>
    <x v="1"/>
    <s v="Midday"/>
    <x v="1"/>
    <s v="Thrissur"/>
    <x v="10"/>
    <s v="PT-1411"/>
    <s v="Post-op Rehab"/>
    <x v="4"/>
    <s v="Self Pay"/>
    <s v="Self Referral"/>
    <x v="1"/>
    <n v="75"/>
    <n v="0"/>
    <n v="87.2"/>
    <n v="1950"/>
    <n v="0"/>
    <n v="1950"/>
    <n v="1"/>
    <n v="0"/>
    <n v="0"/>
    <n v="0.85"/>
  </r>
  <r>
    <s v="APT-00131"/>
    <d v="2025-11-14T00:00:00"/>
    <x v="1"/>
    <x v="4"/>
    <s v="Evening"/>
    <x v="1"/>
    <s v="Thrissur"/>
    <x v="5"/>
    <s v="PT-1338"/>
    <s v="New Patient"/>
    <x v="2"/>
    <s v="Self Pay"/>
    <s v="Online Search"/>
    <x v="0"/>
    <n v="90"/>
    <n v="90"/>
    <n v="120.3"/>
    <n v="2450"/>
    <n v="2450"/>
    <n v="0"/>
    <n v="0"/>
    <n v="1"/>
    <n v="0"/>
    <n v="0.85"/>
  </r>
  <r>
    <s v="APT-00132"/>
    <d v="2025-01-01T00:00:00"/>
    <x v="11"/>
    <x v="3"/>
    <s v="Midday"/>
    <x v="0"/>
    <s v="Palakkad"/>
    <x v="11"/>
    <s v="PT-1195"/>
    <s v="Chronic Pain"/>
    <x v="3"/>
    <s v="Self Pay"/>
    <s v="Orthopedic Doctor"/>
    <x v="1"/>
    <n v="30"/>
    <n v="0"/>
    <n v="39.299999999999997"/>
    <n v="600"/>
    <n v="0"/>
    <n v="600"/>
    <n v="1"/>
    <n v="0"/>
    <n v="0"/>
    <n v="0.85"/>
  </r>
  <r>
    <s v="APT-00133"/>
    <d v="2025-12-08T00:00:00"/>
    <x v="0"/>
    <x v="1"/>
    <s v="Midday"/>
    <x v="2"/>
    <s v="Ernakulam"/>
    <x v="4"/>
    <s v="PT-1237"/>
    <s v="Geriatric Rehab"/>
    <x v="2"/>
    <s v="Private Insurance"/>
    <s v="Hospital Discharge"/>
    <x v="0"/>
    <n v="45"/>
    <n v="45"/>
    <n v="58.4"/>
    <n v="1100"/>
    <n v="1100"/>
    <n v="0"/>
    <n v="0"/>
    <n v="1"/>
    <n v="0"/>
    <n v="0.85"/>
  </r>
  <r>
    <s v="APT-00134"/>
    <d v="2025-02-21T00:00:00"/>
    <x v="5"/>
    <x v="4"/>
    <s v="Afternoon"/>
    <x v="0"/>
    <s v="Palakkad"/>
    <x v="13"/>
    <s v="PT-1602"/>
    <s v="New Patient"/>
    <x v="0"/>
    <s v="Private Insurance"/>
    <s v="Corporate Wellness"/>
    <x v="0"/>
    <n v="60"/>
    <n v="60"/>
    <n v="65.8"/>
    <n v="1500"/>
    <n v="1500"/>
    <n v="0"/>
    <n v="0"/>
    <n v="1"/>
    <n v="0"/>
    <n v="0.85"/>
  </r>
  <r>
    <s v="APT-00135"/>
    <d v="2025-07-28T00:00:00"/>
    <x v="8"/>
    <x v="1"/>
    <s v="Evening"/>
    <x v="1"/>
    <s v="Thrissur"/>
    <x v="7"/>
    <s v="PT-1576"/>
    <s v="Follow-up"/>
    <x v="5"/>
    <s v="Self Pay"/>
    <s v="Online Search"/>
    <x v="0"/>
    <n v="75"/>
    <n v="75"/>
    <n v="83.6"/>
    <n v="1700"/>
    <n v="1700"/>
    <n v="0"/>
    <n v="0"/>
    <n v="1"/>
    <n v="0"/>
    <n v="0.85"/>
  </r>
  <r>
    <s v="APT-00136"/>
    <d v="2025-10-06T00:00:00"/>
    <x v="7"/>
    <x v="1"/>
    <s v="Midday"/>
    <x v="2"/>
    <s v="Ernakulam"/>
    <x v="8"/>
    <s v="PT-1583"/>
    <s v="Chronic Pain"/>
    <x v="2"/>
    <s v="Self Pay"/>
    <s v="Neurologist"/>
    <x v="1"/>
    <n v="45"/>
    <n v="0"/>
    <n v="57.3"/>
    <n v="1100"/>
    <n v="0"/>
    <n v="1100"/>
    <n v="1"/>
    <n v="0"/>
    <n v="0"/>
    <n v="0.85"/>
  </r>
  <r>
    <s v="APT-00137"/>
    <d v="2025-08-04T00:00:00"/>
    <x v="9"/>
    <x v="1"/>
    <s v="Morning"/>
    <x v="0"/>
    <s v="Palakkad"/>
    <x v="9"/>
    <s v="PT-1515"/>
    <s v="Follow-up"/>
    <x v="4"/>
    <s v="Private Insurance"/>
    <s v="Orthopedic Doctor"/>
    <x v="0"/>
    <n v="60"/>
    <n v="60"/>
    <n v="73"/>
    <n v="1250"/>
    <n v="1250"/>
    <n v="0"/>
    <n v="0"/>
    <n v="1"/>
    <n v="0"/>
    <n v="0.85"/>
  </r>
  <r>
    <s v="APT-00138"/>
    <d v="2025-09-04T00:00:00"/>
    <x v="2"/>
    <x v="2"/>
    <s v="Midday"/>
    <x v="2"/>
    <s v="Ernakulam"/>
    <x v="12"/>
    <s v="PT-1175"/>
    <s v="New Patient"/>
    <x v="1"/>
    <s v="Government Scheme"/>
    <s v="Online Search"/>
    <x v="0"/>
    <n v="60"/>
    <n v="60"/>
    <n v="77.5"/>
    <n v="1550"/>
    <n v="1550"/>
    <n v="0"/>
    <n v="0"/>
    <n v="1"/>
    <n v="0"/>
    <n v="0.85"/>
  </r>
  <r>
    <s v="APT-00139"/>
    <d v="2025-08-11T00:00:00"/>
    <x v="9"/>
    <x v="1"/>
    <s v="Evening"/>
    <x v="2"/>
    <s v="Ernakulam"/>
    <x v="3"/>
    <s v="PT-1010"/>
    <s v="Follow-up"/>
    <x v="2"/>
    <s v="Government Scheme"/>
    <s v="Orthopedic Doctor"/>
    <x v="2"/>
    <n v="45"/>
    <n v="0"/>
    <n v="57.8"/>
    <n v="950"/>
    <n v="0"/>
    <n v="950"/>
    <n v="0"/>
    <n v="0"/>
    <n v="1"/>
    <n v="0.85"/>
  </r>
  <r>
    <s v="APT-00140"/>
    <d v="2025-06-11T00:00:00"/>
    <x v="4"/>
    <x v="3"/>
    <s v="Evening"/>
    <x v="1"/>
    <s v="Thrissur"/>
    <x v="2"/>
    <s v="PT-1340"/>
    <s v="New Patient"/>
    <x v="5"/>
    <s v="Self Pay"/>
    <s v="Orthopedic Doctor"/>
    <x v="0"/>
    <n v="45"/>
    <n v="45"/>
    <n v="58.3"/>
    <n v="1200"/>
    <n v="1200"/>
    <n v="0"/>
    <n v="0"/>
    <n v="1"/>
    <n v="0"/>
    <n v="0.85"/>
  </r>
  <r>
    <s v="APT-00141"/>
    <d v="2025-03-29T00:00:00"/>
    <x v="3"/>
    <x v="5"/>
    <s v="Afternoon"/>
    <x v="1"/>
    <s v="Thrissur"/>
    <x v="10"/>
    <s v="PT-1533"/>
    <s v="Follow-up"/>
    <x v="5"/>
    <s v="Self Pay"/>
    <s v="Self Referral"/>
    <x v="3"/>
    <n v="60"/>
    <n v="0"/>
    <n v="66.2"/>
    <n v="1350"/>
    <n v="0"/>
    <n v="0"/>
    <n v="0"/>
    <n v="0"/>
    <n v="0"/>
    <n v="0.85"/>
  </r>
  <r>
    <s v="APT-00142"/>
    <d v="2025-10-14T00:00:00"/>
    <x v="7"/>
    <x v="0"/>
    <s v="Evening"/>
    <x v="2"/>
    <s v="Ernakulam"/>
    <x v="3"/>
    <s v="PT-1585"/>
    <s v="Follow-up"/>
    <x v="4"/>
    <s v="Government Scheme"/>
    <s v="Online Search"/>
    <x v="0"/>
    <n v="45"/>
    <n v="45"/>
    <n v="58.6"/>
    <n v="950"/>
    <n v="950"/>
    <n v="0"/>
    <n v="0"/>
    <n v="1"/>
    <n v="0"/>
    <n v="0.85"/>
  </r>
  <r>
    <s v="APT-00143"/>
    <d v="2025-04-17T00:00:00"/>
    <x v="6"/>
    <x v="2"/>
    <s v="Morning"/>
    <x v="1"/>
    <s v="Thrissur"/>
    <x v="7"/>
    <s v="PT-1239"/>
    <s v="Chronic Pain"/>
    <x v="3"/>
    <s v="Self Pay"/>
    <s v="Online Search"/>
    <x v="0"/>
    <n v="60"/>
    <n v="60"/>
    <n v="71.400000000000006"/>
    <n v="1350"/>
    <n v="1350"/>
    <n v="0"/>
    <n v="0"/>
    <n v="1"/>
    <n v="0"/>
    <n v="0.85"/>
  </r>
  <r>
    <s v="APT-00144"/>
    <d v="2025-04-29T00:00:00"/>
    <x v="6"/>
    <x v="0"/>
    <s v="Evening"/>
    <x v="0"/>
    <s v="Palakkad"/>
    <x v="9"/>
    <s v="PT-1199"/>
    <s v="Chronic Pain"/>
    <x v="4"/>
    <s v="Self Pay"/>
    <s v="Hospital Discharge"/>
    <x v="0"/>
    <n v="45"/>
    <n v="45"/>
    <n v="53"/>
    <n v="950"/>
    <n v="950"/>
    <n v="0"/>
    <n v="0"/>
    <n v="1"/>
    <n v="0"/>
    <n v="0.85"/>
  </r>
  <r>
    <s v="APT-00145"/>
    <d v="2025-02-07T00:00:00"/>
    <x v="5"/>
    <x v="4"/>
    <s v="Evening"/>
    <x v="0"/>
    <s v="Palakkad"/>
    <x v="0"/>
    <s v="PT-1090"/>
    <s v="Follow-up"/>
    <x v="3"/>
    <s v="Self Pay"/>
    <s v="Self Referral"/>
    <x v="0"/>
    <n v="30"/>
    <n v="30"/>
    <n v="36.4"/>
    <n v="600"/>
    <n v="600"/>
    <n v="0"/>
    <n v="0"/>
    <n v="1"/>
    <n v="0"/>
    <n v="0.85"/>
  </r>
  <r>
    <s v="APT-00146"/>
    <d v="2025-12-05T00:00:00"/>
    <x v="0"/>
    <x v="4"/>
    <s v="Evening"/>
    <x v="0"/>
    <s v="Palakkad"/>
    <x v="0"/>
    <s v="PT-1629"/>
    <s v="Follow-up"/>
    <x v="5"/>
    <s v="Government Scheme"/>
    <s v="Orthopedic Doctor"/>
    <x v="0"/>
    <n v="30"/>
    <n v="30"/>
    <n v="35"/>
    <n v="550"/>
    <n v="550"/>
    <n v="0"/>
    <n v="0"/>
    <n v="1"/>
    <n v="0"/>
    <n v="0.85"/>
  </r>
  <r>
    <s v="APT-00147"/>
    <d v="2025-11-07T00:00:00"/>
    <x v="1"/>
    <x v="4"/>
    <s v="Evening"/>
    <x v="2"/>
    <s v="Ernakulam"/>
    <x v="14"/>
    <s v="PT-1407"/>
    <s v="Follow-up"/>
    <x v="1"/>
    <s v="Self Pay"/>
    <s v="Self Referral"/>
    <x v="0"/>
    <n v="45"/>
    <n v="45"/>
    <n v="55.4"/>
    <n v="1100"/>
    <n v="1100"/>
    <n v="0"/>
    <n v="0"/>
    <n v="1"/>
    <n v="0"/>
    <n v="0.85"/>
  </r>
  <r>
    <s v="APT-00148"/>
    <d v="2025-11-24T00:00:00"/>
    <x v="1"/>
    <x v="1"/>
    <s v="Evening"/>
    <x v="1"/>
    <s v="Thrissur"/>
    <x v="2"/>
    <s v="PT-1206"/>
    <s v="Sports Injury"/>
    <x v="5"/>
    <s v="Private Insurance"/>
    <s v="Corporate Wellness"/>
    <x v="0"/>
    <n v="75"/>
    <n v="75"/>
    <n v="83.7"/>
    <n v="1700"/>
    <n v="1700"/>
    <n v="0"/>
    <n v="0"/>
    <n v="1"/>
    <n v="0"/>
    <n v="0.85"/>
  </r>
  <r>
    <s v="APT-00149"/>
    <d v="2025-01-24T00:00:00"/>
    <x v="11"/>
    <x v="4"/>
    <s v="Midday"/>
    <x v="1"/>
    <s v="Thrissur"/>
    <x v="10"/>
    <s v="PT-1062"/>
    <s v="Geriatric Rehab"/>
    <x v="5"/>
    <s v="Self Pay"/>
    <s v="Self Referral"/>
    <x v="0"/>
    <n v="60"/>
    <n v="60"/>
    <n v="75.599999999999994"/>
    <n v="1350"/>
    <n v="1350"/>
    <n v="0"/>
    <n v="0"/>
    <n v="1"/>
    <n v="0"/>
    <n v="0.85"/>
  </r>
  <r>
    <s v="APT-00150"/>
    <d v="2025-10-23T00:00:00"/>
    <x v="7"/>
    <x v="2"/>
    <s v="Evening"/>
    <x v="0"/>
    <s v="Palakkad"/>
    <x v="0"/>
    <s v="PT-1547"/>
    <s v="Sports Injury"/>
    <x v="2"/>
    <s v="Self Pay"/>
    <s v="Orthopedic Doctor"/>
    <x v="0"/>
    <n v="30"/>
    <n v="30"/>
    <n v="37.6"/>
    <n v="600"/>
    <n v="600"/>
    <n v="0"/>
    <n v="0"/>
    <n v="1"/>
    <n v="0"/>
    <n v="0.85"/>
  </r>
  <r>
    <s v="APT-00151"/>
    <d v="2025-08-29T00:00:00"/>
    <x v="9"/>
    <x v="4"/>
    <s v="Morning"/>
    <x v="0"/>
    <s v="Palakkad"/>
    <x v="11"/>
    <s v="PT-1579"/>
    <s v="Chronic Pain"/>
    <x v="5"/>
    <s v="Self Pay"/>
    <s v="Corporate Wellness"/>
    <x v="0"/>
    <n v="60"/>
    <n v="60"/>
    <n v="77.5"/>
    <n v="1250"/>
    <n v="1250"/>
    <n v="0"/>
    <n v="0"/>
    <n v="1"/>
    <n v="0"/>
    <n v="0.85"/>
  </r>
  <r>
    <s v="APT-00152"/>
    <d v="2025-06-17T00:00:00"/>
    <x v="4"/>
    <x v="0"/>
    <s v="Midday"/>
    <x v="2"/>
    <s v="Ernakulam"/>
    <x v="14"/>
    <s v="PT-1343"/>
    <s v="Follow-up"/>
    <x v="5"/>
    <s v="Government Scheme"/>
    <s v="Online Search"/>
    <x v="0"/>
    <n v="60"/>
    <n v="60"/>
    <n v="79.599999999999994"/>
    <n v="1300"/>
    <n v="1300"/>
    <n v="0"/>
    <n v="0"/>
    <n v="1"/>
    <n v="0"/>
    <n v="0.85"/>
  </r>
  <r>
    <s v="APT-00153"/>
    <d v="2025-07-10T00:00:00"/>
    <x v="8"/>
    <x v="2"/>
    <s v="Afternoon"/>
    <x v="2"/>
    <s v="Ernakulam"/>
    <x v="4"/>
    <s v="PT-1583"/>
    <s v="Sports Injury"/>
    <x v="2"/>
    <s v="Government Scheme"/>
    <s v="Orthopedic Doctor"/>
    <x v="1"/>
    <n v="45"/>
    <n v="0"/>
    <n v="56.6"/>
    <n v="950"/>
    <n v="0"/>
    <n v="950"/>
    <n v="1"/>
    <n v="0"/>
    <n v="0"/>
    <n v="0.85"/>
  </r>
  <r>
    <s v="APT-00154"/>
    <d v="2025-11-11T00:00:00"/>
    <x v="1"/>
    <x v="0"/>
    <s v="Morning"/>
    <x v="0"/>
    <s v="Palakkad"/>
    <x v="0"/>
    <s v="PT-1527"/>
    <s v="New Patient"/>
    <x v="1"/>
    <s v="Self Pay"/>
    <s v="Neurologist"/>
    <x v="1"/>
    <n v="75"/>
    <n v="0"/>
    <n v="98.5"/>
    <n v="1900"/>
    <n v="0"/>
    <n v="1900"/>
    <n v="1"/>
    <n v="0"/>
    <n v="0"/>
    <n v="0.85"/>
  </r>
  <r>
    <s v="APT-00155"/>
    <d v="2025-12-20T00:00:00"/>
    <x v="0"/>
    <x v="5"/>
    <s v="Afternoon"/>
    <x v="2"/>
    <s v="Ernakulam"/>
    <x v="4"/>
    <s v="PT-1561"/>
    <s v="Post-op Rehab"/>
    <x v="1"/>
    <s v="Self Pay"/>
    <s v="Self Referral"/>
    <x v="0"/>
    <n v="90"/>
    <n v="90"/>
    <n v="108.9"/>
    <n v="2600"/>
    <n v="2600"/>
    <n v="0"/>
    <n v="0"/>
    <n v="1"/>
    <n v="0"/>
    <n v="0.85"/>
  </r>
  <r>
    <s v="APT-00156"/>
    <d v="2025-05-11T00:00:00"/>
    <x v="10"/>
    <x v="6"/>
    <s v="Morning"/>
    <x v="2"/>
    <s v="Ernakulam"/>
    <x v="12"/>
    <s v="PT-1151"/>
    <s v="Post-op Rehab"/>
    <x v="5"/>
    <s v="Self Pay"/>
    <s v="Neurologist"/>
    <x v="0"/>
    <n v="60"/>
    <n v="60"/>
    <n v="74.599999999999994"/>
    <n v="1700"/>
    <n v="1700"/>
    <n v="0"/>
    <n v="0"/>
    <n v="1"/>
    <n v="0"/>
    <n v="0.85"/>
  </r>
  <r>
    <s v="APT-00157"/>
    <d v="2025-01-28T00:00:00"/>
    <x v="11"/>
    <x v="0"/>
    <s v="Midday"/>
    <x v="1"/>
    <s v="Thrissur"/>
    <x v="2"/>
    <s v="PT-1055"/>
    <s v="Follow-up"/>
    <x v="3"/>
    <s v="Private Insurance"/>
    <s v="Hospital Discharge"/>
    <x v="0"/>
    <n v="60"/>
    <n v="60"/>
    <n v="71.5"/>
    <n v="1350"/>
    <n v="1350"/>
    <n v="0"/>
    <n v="0"/>
    <n v="1"/>
    <n v="0"/>
    <n v="0.85"/>
  </r>
  <r>
    <s v="APT-00158"/>
    <d v="2025-09-04T00:00:00"/>
    <x v="2"/>
    <x v="2"/>
    <s v="Afternoon"/>
    <x v="0"/>
    <s v="Palakkad"/>
    <x v="13"/>
    <s v="PT-1374"/>
    <s v="Follow-up"/>
    <x v="0"/>
    <s v="Self Pay"/>
    <s v="Corporate Wellness"/>
    <x v="2"/>
    <n v="75"/>
    <n v="0"/>
    <n v="91.8"/>
    <n v="1550"/>
    <n v="0"/>
    <n v="1550"/>
    <n v="0"/>
    <n v="0"/>
    <n v="1"/>
    <n v="0.85"/>
  </r>
  <r>
    <s v="APT-00159"/>
    <d v="2025-06-07T00:00:00"/>
    <x v="4"/>
    <x v="5"/>
    <s v="Morning"/>
    <x v="1"/>
    <s v="Thrissur"/>
    <x v="10"/>
    <s v="PT-1472"/>
    <s v="Follow-up"/>
    <x v="0"/>
    <s v="Private Insurance"/>
    <s v="Hospital Discharge"/>
    <x v="0"/>
    <n v="60"/>
    <n v="60"/>
    <n v="66.599999999999994"/>
    <n v="1350"/>
    <n v="1350"/>
    <n v="0"/>
    <n v="0"/>
    <n v="1"/>
    <n v="0"/>
    <n v="0.85"/>
  </r>
  <r>
    <s v="APT-00160"/>
    <d v="2025-05-12T00:00:00"/>
    <x v="10"/>
    <x v="1"/>
    <s v="Afternoon"/>
    <x v="0"/>
    <s v="Palakkad"/>
    <x v="13"/>
    <s v="PT-1625"/>
    <s v="Follow-up"/>
    <x v="3"/>
    <s v="Self Pay"/>
    <s v="Corporate Wellness"/>
    <x v="0"/>
    <n v="45"/>
    <n v="45"/>
    <n v="49"/>
    <n v="950"/>
    <n v="950"/>
    <n v="0"/>
    <n v="0"/>
    <n v="1"/>
    <n v="0"/>
    <n v="0.85"/>
  </r>
  <r>
    <s v="APT-00161"/>
    <d v="2025-01-16T00:00:00"/>
    <x v="11"/>
    <x v="2"/>
    <s v="Evening"/>
    <x v="2"/>
    <s v="Ernakulam"/>
    <x v="12"/>
    <s v="PT-1317"/>
    <s v="Follow-up"/>
    <x v="3"/>
    <s v="Private Insurance"/>
    <s v="Self Referral"/>
    <x v="0"/>
    <n v="60"/>
    <n v="60"/>
    <n v="69.2"/>
    <n v="1500"/>
    <n v="1500"/>
    <n v="0"/>
    <n v="0"/>
    <n v="1"/>
    <n v="0"/>
    <n v="0.85"/>
  </r>
  <r>
    <s v="APT-00162"/>
    <d v="2025-05-31T00:00:00"/>
    <x v="10"/>
    <x v="5"/>
    <s v="Morning"/>
    <x v="1"/>
    <s v="Thrissur"/>
    <x v="7"/>
    <s v="PT-1306"/>
    <s v="Chronic Pain"/>
    <x v="3"/>
    <s v="Corporate Tie-up"/>
    <s v="Corporate Wellness"/>
    <x v="0"/>
    <n v="45"/>
    <n v="45"/>
    <n v="58.4"/>
    <n v="950"/>
    <n v="950"/>
    <n v="0"/>
    <n v="0"/>
    <n v="1"/>
    <n v="0"/>
    <n v="0.85"/>
  </r>
  <r>
    <s v="APT-00163"/>
    <d v="2025-08-20T00:00:00"/>
    <x v="9"/>
    <x v="3"/>
    <s v="Afternoon"/>
    <x v="0"/>
    <s v="Palakkad"/>
    <x v="6"/>
    <s v="PT-1237"/>
    <s v="Chronic Pain"/>
    <x v="3"/>
    <s v="Self Pay"/>
    <s v="Orthopedic Doctor"/>
    <x v="1"/>
    <n v="30"/>
    <n v="0"/>
    <n v="33.9"/>
    <n v="600"/>
    <n v="0"/>
    <n v="600"/>
    <n v="1"/>
    <n v="0"/>
    <n v="0"/>
    <n v="0.85"/>
  </r>
  <r>
    <s v="APT-00164"/>
    <d v="2025-02-25T00:00:00"/>
    <x v="5"/>
    <x v="0"/>
    <s v="Morning"/>
    <x v="1"/>
    <s v="Thrissur"/>
    <x v="1"/>
    <s v="PT-1294"/>
    <s v="Post-op Rehab"/>
    <x v="5"/>
    <s v="Private Insurance"/>
    <s v="Orthopedic Doctor"/>
    <x v="0"/>
    <n v="45"/>
    <n v="45"/>
    <n v="56.5"/>
    <n v="1150"/>
    <n v="1150"/>
    <n v="0"/>
    <n v="0"/>
    <n v="1"/>
    <n v="0"/>
    <n v="0.85"/>
  </r>
  <r>
    <s v="APT-00165"/>
    <d v="2025-06-11T00:00:00"/>
    <x v="4"/>
    <x v="3"/>
    <s v="Midday"/>
    <x v="1"/>
    <s v="Thrissur"/>
    <x v="2"/>
    <s v="PT-1177"/>
    <s v="Follow-up"/>
    <x v="5"/>
    <s v="Government Scheme"/>
    <s v="Online Search"/>
    <x v="0"/>
    <n v="45"/>
    <n v="45"/>
    <n v="58.9"/>
    <n v="850"/>
    <n v="850"/>
    <n v="0"/>
    <n v="0"/>
    <n v="1"/>
    <n v="0"/>
    <n v="0.85"/>
  </r>
  <r>
    <s v="APT-00166"/>
    <d v="2025-06-30T00:00:00"/>
    <x v="4"/>
    <x v="1"/>
    <s v="Evening"/>
    <x v="2"/>
    <s v="Ernakulam"/>
    <x v="14"/>
    <s v="PT-1476"/>
    <s v="New Patient"/>
    <x v="1"/>
    <s v="Self Pay"/>
    <s v="Self Referral"/>
    <x v="0"/>
    <n v="45"/>
    <n v="45"/>
    <n v="60.6"/>
    <n v="1350"/>
    <n v="1350"/>
    <n v="0"/>
    <n v="0"/>
    <n v="1"/>
    <n v="0"/>
    <n v="0.85"/>
  </r>
  <r>
    <s v="APT-00167"/>
    <d v="2025-05-16T00:00:00"/>
    <x v="10"/>
    <x v="4"/>
    <s v="Midday"/>
    <x v="2"/>
    <s v="Ernakulam"/>
    <x v="12"/>
    <s v="PT-1285"/>
    <s v="Follow-up"/>
    <x v="4"/>
    <s v="Corporate Tie-up"/>
    <s v="Corporate Wellness"/>
    <x v="0"/>
    <n v="45"/>
    <n v="45"/>
    <n v="59.7"/>
    <n v="1050"/>
    <n v="1050"/>
    <n v="0"/>
    <n v="0"/>
    <n v="1"/>
    <n v="0"/>
    <n v="0.85"/>
  </r>
  <r>
    <s v="APT-00168"/>
    <d v="2025-02-11T00:00:00"/>
    <x v="5"/>
    <x v="0"/>
    <s v="Midday"/>
    <x v="2"/>
    <s v="Ernakulam"/>
    <x v="4"/>
    <s v="PT-1097"/>
    <s v="Sports Injury"/>
    <x v="0"/>
    <s v="Government Scheme"/>
    <s v="Self Referral"/>
    <x v="1"/>
    <n v="30"/>
    <n v="0"/>
    <n v="39.5"/>
    <n v="650"/>
    <n v="0"/>
    <n v="650"/>
    <n v="1"/>
    <n v="0"/>
    <n v="0"/>
    <n v="0.85"/>
  </r>
  <r>
    <s v="APT-00169"/>
    <d v="2025-07-15T00:00:00"/>
    <x v="8"/>
    <x v="0"/>
    <s v="Midday"/>
    <x v="1"/>
    <s v="Thrissur"/>
    <x v="2"/>
    <s v="PT-1516"/>
    <s v="Post-op Rehab"/>
    <x v="1"/>
    <s v="Private Insurance"/>
    <s v="Neurologist"/>
    <x v="0"/>
    <n v="30"/>
    <n v="30"/>
    <n v="40.1"/>
    <n v="800"/>
    <n v="800"/>
    <n v="0"/>
    <n v="0"/>
    <n v="1"/>
    <n v="0"/>
    <n v="0.85"/>
  </r>
  <r>
    <s v="APT-00170"/>
    <d v="2025-05-28T00:00:00"/>
    <x v="10"/>
    <x v="3"/>
    <s v="Morning"/>
    <x v="2"/>
    <s v="Ernakulam"/>
    <x v="14"/>
    <s v="PT-1332"/>
    <s v="Follow-up"/>
    <x v="3"/>
    <s v="Self Pay"/>
    <s v="Corporate Wellness"/>
    <x v="0"/>
    <n v="75"/>
    <n v="75"/>
    <n v="92.8"/>
    <n v="1900"/>
    <n v="1900"/>
    <n v="0"/>
    <n v="0"/>
    <n v="1"/>
    <n v="0"/>
    <n v="0.85"/>
  </r>
  <r>
    <s v="APT-00171"/>
    <d v="2025-03-27T00:00:00"/>
    <x v="3"/>
    <x v="2"/>
    <s v="Afternoon"/>
    <x v="1"/>
    <s v="Thrissur"/>
    <x v="5"/>
    <s v="PT-1640"/>
    <s v="Follow-up"/>
    <x v="5"/>
    <s v="Self Pay"/>
    <s v="Online Search"/>
    <x v="0"/>
    <n v="75"/>
    <n v="75"/>
    <n v="93.2"/>
    <n v="1700"/>
    <n v="1700"/>
    <n v="0"/>
    <n v="0"/>
    <n v="1"/>
    <n v="0"/>
    <n v="0.85"/>
  </r>
  <r>
    <s v="APT-00172"/>
    <d v="2025-01-02T00:00:00"/>
    <x v="11"/>
    <x v="2"/>
    <s v="Evening"/>
    <x v="0"/>
    <s v="Palakkad"/>
    <x v="0"/>
    <s v="PT-1130"/>
    <s v="New Patient"/>
    <x v="1"/>
    <s v="Self Pay"/>
    <s v="Online Search"/>
    <x v="0"/>
    <n v="45"/>
    <n v="45"/>
    <n v="56.9"/>
    <n v="1100"/>
    <n v="1100"/>
    <n v="0"/>
    <n v="0"/>
    <n v="1"/>
    <n v="0"/>
    <n v="0.85"/>
  </r>
  <r>
    <s v="APT-00173"/>
    <d v="2025-11-07T00:00:00"/>
    <x v="1"/>
    <x v="4"/>
    <s v="Midday"/>
    <x v="0"/>
    <s v="Palakkad"/>
    <x v="9"/>
    <s v="PT-1484"/>
    <s v="Follow-up"/>
    <x v="0"/>
    <s v="Corporate Tie-up"/>
    <s v="Hospital Discharge"/>
    <x v="0"/>
    <n v="45"/>
    <n v="45"/>
    <n v="48.9"/>
    <n v="850"/>
    <n v="850"/>
    <n v="0"/>
    <n v="0"/>
    <n v="1"/>
    <n v="0"/>
    <n v="0.85"/>
  </r>
  <r>
    <s v="APT-00174"/>
    <d v="2025-07-02T00:00:00"/>
    <x v="8"/>
    <x v="3"/>
    <s v="Morning"/>
    <x v="0"/>
    <s v="Palakkad"/>
    <x v="11"/>
    <s v="PT-1169"/>
    <s v="Post-op Rehab"/>
    <x v="4"/>
    <s v="Self Pay"/>
    <s v="Neurologist"/>
    <x v="2"/>
    <n v="45"/>
    <n v="0"/>
    <n v="52.4"/>
    <n v="1100"/>
    <n v="0"/>
    <n v="1100"/>
    <n v="0"/>
    <n v="0"/>
    <n v="1"/>
    <n v="0.85"/>
  </r>
  <r>
    <s v="APT-00175"/>
    <d v="2025-04-16T00:00:00"/>
    <x v="6"/>
    <x v="3"/>
    <s v="Midday"/>
    <x v="2"/>
    <s v="Ernakulam"/>
    <x v="14"/>
    <s v="PT-1350"/>
    <s v="Follow-up"/>
    <x v="3"/>
    <s v="Government Scheme"/>
    <s v="Corporate Wellness"/>
    <x v="1"/>
    <n v="60"/>
    <n v="0"/>
    <n v="73.5"/>
    <n v="1300"/>
    <n v="0"/>
    <n v="1300"/>
    <n v="1"/>
    <n v="0"/>
    <n v="0"/>
    <n v="0.85"/>
  </r>
  <r>
    <s v="APT-00176"/>
    <d v="2025-09-01T00:00:00"/>
    <x v="2"/>
    <x v="1"/>
    <s v="Midday"/>
    <x v="1"/>
    <s v="Thrissur"/>
    <x v="7"/>
    <s v="PT-1002"/>
    <s v="Follow-up"/>
    <x v="4"/>
    <s v="Corporate Tie-up"/>
    <s v="Corporate Wellness"/>
    <x v="0"/>
    <n v="75"/>
    <n v="75"/>
    <n v="91.2"/>
    <n v="1550"/>
    <n v="1550"/>
    <n v="0"/>
    <n v="0"/>
    <n v="1"/>
    <n v="0"/>
    <n v="0.85"/>
  </r>
  <r>
    <s v="APT-00177"/>
    <d v="2025-01-27T00:00:00"/>
    <x v="11"/>
    <x v="1"/>
    <s v="Midday"/>
    <x v="0"/>
    <s v="Palakkad"/>
    <x v="13"/>
    <s v="PT-1177"/>
    <s v="Geriatric Rehab"/>
    <x v="2"/>
    <s v="Private Insurance"/>
    <s v="Orthopedic Doctor"/>
    <x v="1"/>
    <n v="90"/>
    <n v="0"/>
    <n v="104.3"/>
    <n v="1900"/>
    <n v="0"/>
    <n v="1900"/>
    <n v="1"/>
    <n v="0"/>
    <n v="0"/>
    <n v="0.85"/>
  </r>
  <r>
    <s v="APT-00178"/>
    <d v="2025-11-08T00:00:00"/>
    <x v="1"/>
    <x v="5"/>
    <s v="Evening"/>
    <x v="2"/>
    <s v="Ernakulam"/>
    <x v="3"/>
    <s v="PT-1584"/>
    <s v="New Patient"/>
    <x v="3"/>
    <s v="Private Insurance"/>
    <s v="Self Referral"/>
    <x v="3"/>
    <n v="45"/>
    <n v="0"/>
    <n v="53.7"/>
    <n v="1350"/>
    <n v="0"/>
    <n v="0"/>
    <n v="0"/>
    <n v="0"/>
    <n v="0"/>
    <n v="0.85"/>
  </r>
  <r>
    <s v="APT-00179"/>
    <d v="2025-04-08T00:00:00"/>
    <x v="6"/>
    <x v="0"/>
    <s v="Afternoon"/>
    <x v="1"/>
    <s v="Thrissur"/>
    <x v="2"/>
    <s v="PT-1225"/>
    <s v="Sports Injury"/>
    <x v="1"/>
    <s v="Self Pay"/>
    <s v="Hospital Discharge"/>
    <x v="0"/>
    <n v="60"/>
    <n v="60"/>
    <n v="66.900000000000006"/>
    <n v="1350"/>
    <n v="1350"/>
    <n v="0"/>
    <n v="0"/>
    <n v="1"/>
    <n v="0"/>
    <n v="0.85"/>
  </r>
  <r>
    <s v="APT-00180"/>
    <d v="2025-10-25T00:00:00"/>
    <x v="7"/>
    <x v="5"/>
    <s v="Morning"/>
    <x v="2"/>
    <s v="Ernakulam"/>
    <x v="8"/>
    <s v="PT-1574"/>
    <s v="Post-op Rehab"/>
    <x v="2"/>
    <s v="Self Pay"/>
    <s v="Hospital Discharge"/>
    <x v="0"/>
    <n v="75"/>
    <n v="75"/>
    <n v="86.2"/>
    <n v="2150"/>
    <n v="2150"/>
    <n v="0"/>
    <n v="0"/>
    <n v="1"/>
    <n v="0"/>
    <n v="0.85"/>
  </r>
  <r>
    <s v="APT-00181"/>
    <d v="2025-12-20T00:00:00"/>
    <x v="0"/>
    <x v="5"/>
    <s v="Midday"/>
    <x v="0"/>
    <s v="Palakkad"/>
    <x v="13"/>
    <s v="PT-1287"/>
    <s v="New Patient"/>
    <x v="4"/>
    <s v="Corporate Tie-up"/>
    <s v="Hospital Discharge"/>
    <x v="0"/>
    <n v="90"/>
    <n v="90"/>
    <n v="103.2"/>
    <n v="2050"/>
    <n v="2050"/>
    <n v="0"/>
    <n v="0"/>
    <n v="1"/>
    <n v="0"/>
    <n v="0.85"/>
  </r>
  <r>
    <s v="APT-00182"/>
    <d v="2025-07-07T00:00:00"/>
    <x v="8"/>
    <x v="1"/>
    <s v="Afternoon"/>
    <x v="1"/>
    <s v="Thrissur"/>
    <x v="10"/>
    <s v="PT-1611"/>
    <s v="Follow-up"/>
    <x v="5"/>
    <s v="Corporate Tie-up"/>
    <s v="Self Referral"/>
    <x v="0"/>
    <n v="60"/>
    <n v="60"/>
    <n v="79.099999999999994"/>
    <n v="1250"/>
    <n v="1250"/>
    <n v="0"/>
    <n v="0"/>
    <n v="1"/>
    <n v="0"/>
    <n v="0.85"/>
  </r>
  <r>
    <s v="APT-00183"/>
    <d v="2025-04-08T00:00:00"/>
    <x v="6"/>
    <x v="0"/>
    <s v="Morning"/>
    <x v="0"/>
    <s v="Palakkad"/>
    <x v="11"/>
    <s v="PT-1655"/>
    <s v="Post-op Rehab"/>
    <x v="1"/>
    <s v="Private Insurance"/>
    <s v="Hospital Discharge"/>
    <x v="0"/>
    <n v="60"/>
    <n v="60"/>
    <n v="66.2"/>
    <n v="1450"/>
    <n v="1450"/>
    <n v="0"/>
    <n v="0"/>
    <n v="1"/>
    <n v="0"/>
    <n v="0.85"/>
  </r>
  <r>
    <s v="APT-00184"/>
    <d v="2025-06-07T00:00:00"/>
    <x v="4"/>
    <x v="5"/>
    <s v="Evening"/>
    <x v="2"/>
    <s v="Ernakulam"/>
    <x v="8"/>
    <s v="PT-1443"/>
    <s v="Follow-up"/>
    <x v="3"/>
    <s v="Self Pay"/>
    <s v="Online Search"/>
    <x v="0"/>
    <n v="60"/>
    <n v="60"/>
    <n v="65.5"/>
    <n v="1500"/>
    <n v="1500"/>
    <n v="0"/>
    <n v="0"/>
    <n v="1"/>
    <n v="0"/>
    <n v="0.85"/>
  </r>
  <r>
    <s v="APT-00185"/>
    <d v="2025-05-26T00:00:00"/>
    <x v="10"/>
    <x v="1"/>
    <s v="Midday"/>
    <x v="1"/>
    <s v="Thrissur"/>
    <x v="7"/>
    <s v="PT-1144"/>
    <s v="Follow-up"/>
    <x v="5"/>
    <s v="Private Insurance"/>
    <s v="Corporate Wellness"/>
    <x v="0"/>
    <n v="60"/>
    <n v="60"/>
    <n v="72.099999999999994"/>
    <n v="1350"/>
    <n v="1350"/>
    <n v="0"/>
    <n v="0"/>
    <n v="1"/>
    <n v="0"/>
    <n v="0.85"/>
  </r>
  <r>
    <s v="APT-00186"/>
    <d v="2025-06-18T00:00:00"/>
    <x v="4"/>
    <x v="3"/>
    <s v="Evening"/>
    <x v="2"/>
    <s v="Ernakulam"/>
    <x v="8"/>
    <s v="PT-1138"/>
    <s v="Geriatric Rehab"/>
    <x v="4"/>
    <s v="Corporate Tie-up"/>
    <s v="Orthopedic Doctor"/>
    <x v="0"/>
    <n v="45"/>
    <n v="45"/>
    <n v="57.7"/>
    <n v="1050"/>
    <n v="1050"/>
    <n v="0"/>
    <n v="0"/>
    <n v="1"/>
    <n v="0"/>
    <n v="0.85"/>
  </r>
  <r>
    <s v="APT-00187"/>
    <d v="2025-09-05T00:00:00"/>
    <x v="2"/>
    <x v="4"/>
    <s v="Midday"/>
    <x v="0"/>
    <s v="Palakkad"/>
    <x v="0"/>
    <s v="PT-1356"/>
    <s v="Post-op Rehab"/>
    <x v="4"/>
    <s v="Self Pay"/>
    <s v="Self Referral"/>
    <x v="0"/>
    <n v="30"/>
    <n v="30"/>
    <n v="36.799999999999997"/>
    <n v="700"/>
    <n v="700"/>
    <n v="0"/>
    <n v="0"/>
    <n v="1"/>
    <n v="0"/>
    <n v="0.85"/>
  </r>
  <r>
    <s v="APT-00188"/>
    <d v="2025-01-29T00:00:00"/>
    <x v="11"/>
    <x v="3"/>
    <s v="Evening"/>
    <x v="2"/>
    <s v="Ernakulam"/>
    <x v="4"/>
    <s v="PT-1566"/>
    <s v="New Patient"/>
    <x v="4"/>
    <s v="Self Pay"/>
    <s v="Corporate Wellness"/>
    <x v="0"/>
    <n v="60"/>
    <n v="60"/>
    <n v="77.900000000000006"/>
    <n v="1800"/>
    <n v="1800"/>
    <n v="0"/>
    <n v="0"/>
    <n v="1"/>
    <n v="0"/>
    <n v="0.85"/>
  </r>
  <r>
    <s v="APT-00189"/>
    <d v="2025-12-06T00:00:00"/>
    <x v="0"/>
    <x v="5"/>
    <s v="Afternoon"/>
    <x v="2"/>
    <s v="Ernakulam"/>
    <x v="14"/>
    <s v="PT-1526"/>
    <s v="Chronic Pain"/>
    <x v="0"/>
    <s v="Government Scheme"/>
    <s v="Corporate Wellness"/>
    <x v="0"/>
    <n v="60"/>
    <n v="60"/>
    <n v="74.400000000000006"/>
    <n v="1300"/>
    <n v="1300"/>
    <n v="0"/>
    <n v="0"/>
    <n v="1"/>
    <n v="0"/>
    <n v="0.85"/>
  </r>
  <r>
    <s v="APT-00190"/>
    <d v="2025-05-08T00:00:00"/>
    <x v="10"/>
    <x v="2"/>
    <s v="Afternoon"/>
    <x v="1"/>
    <s v="Thrissur"/>
    <x v="5"/>
    <s v="PT-1383"/>
    <s v="Follow-up"/>
    <x v="3"/>
    <s v="Private Insurance"/>
    <s v="Self Referral"/>
    <x v="0"/>
    <n v="45"/>
    <n v="45"/>
    <n v="52.1"/>
    <n v="1000"/>
    <n v="1000"/>
    <n v="0"/>
    <n v="0"/>
    <n v="1"/>
    <n v="0"/>
    <n v="0.85"/>
  </r>
  <r>
    <s v="APT-00191"/>
    <d v="2025-07-24T00:00:00"/>
    <x v="8"/>
    <x v="2"/>
    <s v="Midday"/>
    <x v="1"/>
    <s v="Thrissur"/>
    <x v="7"/>
    <s v="PT-1399"/>
    <s v="Sports Injury"/>
    <x v="3"/>
    <s v="Self Pay"/>
    <s v="Corporate Wellness"/>
    <x v="1"/>
    <n v="60"/>
    <n v="0"/>
    <n v="75.900000000000006"/>
    <n v="1350"/>
    <n v="0"/>
    <n v="1350"/>
    <n v="1"/>
    <n v="0"/>
    <n v="0"/>
    <n v="0.85"/>
  </r>
  <r>
    <s v="APT-00192"/>
    <d v="2025-01-13T00:00:00"/>
    <x v="11"/>
    <x v="1"/>
    <s v="Evening"/>
    <x v="0"/>
    <s v="Palakkad"/>
    <x v="6"/>
    <s v="PT-1580"/>
    <s v="Follow-up"/>
    <x v="1"/>
    <s v="Private Insurance"/>
    <s v="Online Search"/>
    <x v="0"/>
    <n v="60"/>
    <n v="60"/>
    <n v="72.099999999999994"/>
    <n v="1250"/>
    <n v="1250"/>
    <n v="0"/>
    <n v="0"/>
    <n v="1"/>
    <n v="0"/>
    <n v="0.85"/>
  </r>
  <r>
    <s v="APT-00193"/>
    <d v="2025-11-10T00:00:00"/>
    <x v="1"/>
    <x v="1"/>
    <s v="Evening"/>
    <x v="2"/>
    <s v="Ernakulam"/>
    <x v="8"/>
    <s v="PT-1210"/>
    <s v="Follow-up"/>
    <x v="4"/>
    <s v="Self Pay"/>
    <s v="Self Referral"/>
    <x v="0"/>
    <n v="30"/>
    <n v="30"/>
    <n v="36.9"/>
    <n v="750"/>
    <n v="750"/>
    <n v="0"/>
    <n v="0"/>
    <n v="1"/>
    <n v="0"/>
    <n v="0.85"/>
  </r>
  <r>
    <s v="APT-00194"/>
    <d v="2025-07-04T00:00:00"/>
    <x v="8"/>
    <x v="4"/>
    <s v="Evening"/>
    <x v="2"/>
    <s v="Ernakulam"/>
    <x v="4"/>
    <s v="PT-1367"/>
    <s v="Follow-up"/>
    <x v="3"/>
    <s v="Private Insurance"/>
    <s v="Neurologist"/>
    <x v="0"/>
    <n v="30"/>
    <n v="30"/>
    <n v="36.1"/>
    <n v="750"/>
    <n v="750"/>
    <n v="0"/>
    <n v="0"/>
    <n v="1"/>
    <n v="0"/>
    <n v="0.85"/>
  </r>
  <r>
    <s v="APT-00195"/>
    <d v="2025-07-14T00:00:00"/>
    <x v="8"/>
    <x v="1"/>
    <s v="Midday"/>
    <x v="0"/>
    <s v="Palakkad"/>
    <x v="0"/>
    <s v="PT-1072"/>
    <s v="Follow-up"/>
    <x v="5"/>
    <s v="Private Insurance"/>
    <s v="Corporate Wellness"/>
    <x v="1"/>
    <n v="45"/>
    <n v="0"/>
    <n v="49.8"/>
    <n v="950"/>
    <n v="0"/>
    <n v="950"/>
    <n v="1"/>
    <n v="0"/>
    <n v="0"/>
    <n v="0.85"/>
  </r>
  <r>
    <s v="APT-00196"/>
    <d v="2025-07-30T00:00:00"/>
    <x v="8"/>
    <x v="3"/>
    <s v="Afternoon"/>
    <x v="1"/>
    <s v="Thrissur"/>
    <x v="7"/>
    <s v="PT-1128"/>
    <s v="Chronic Pain"/>
    <x v="5"/>
    <s v="Self Pay"/>
    <s v="Corporate Wellness"/>
    <x v="1"/>
    <n v="90"/>
    <n v="0"/>
    <n v="110.2"/>
    <n v="2000"/>
    <n v="0"/>
    <n v="2000"/>
    <n v="1"/>
    <n v="0"/>
    <n v="0"/>
    <n v="0.85"/>
  </r>
  <r>
    <s v="APT-00197"/>
    <d v="2025-06-24T00:00:00"/>
    <x v="4"/>
    <x v="0"/>
    <s v="Afternoon"/>
    <x v="0"/>
    <s v="Palakkad"/>
    <x v="9"/>
    <s v="PT-1227"/>
    <s v="Follow-up"/>
    <x v="4"/>
    <s v="Self Pay"/>
    <s v="Hospital Discharge"/>
    <x v="0"/>
    <n v="30"/>
    <n v="30"/>
    <n v="36.1"/>
    <n v="600"/>
    <n v="600"/>
    <n v="0"/>
    <n v="0"/>
    <n v="1"/>
    <n v="0"/>
    <n v="0.85"/>
  </r>
  <r>
    <s v="APT-00198"/>
    <d v="2025-05-17T00:00:00"/>
    <x v="10"/>
    <x v="5"/>
    <s v="Midday"/>
    <x v="2"/>
    <s v="Ernakulam"/>
    <x v="3"/>
    <s v="PT-1575"/>
    <s v="Follow-up"/>
    <x v="5"/>
    <s v="Corporate Tie-up"/>
    <s v="Neurologist"/>
    <x v="0"/>
    <n v="75"/>
    <n v="75"/>
    <n v="99.7"/>
    <n v="1700"/>
    <n v="1700"/>
    <n v="0"/>
    <n v="0"/>
    <n v="1"/>
    <n v="0"/>
    <n v="0.85"/>
  </r>
  <r>
    <s v="APT-00199"/>
    <d v="2025-05-12T00:00:00"/>
    <x v="10"/>
    <x v="1"/>
    <s v="Afternoon"/>
    <x v="2"/>
    <s v="Ernakulam"/>
    <x v="12"/>
    <s v="PT-1438"/>
    <s v="Follow-up"/>
    <x v="0"/>
    <s v="Self Pay"/>
    <s v="Corporate Wellness"/>
    <x v="0"/>
    <n v="60"/>
    <n v="60"/>
    <n v="68.8"/>
    <n v="1500"/>
    <n v="1500"/>
    <n v="0"/>
    <n v="0"/>
    <n v="1"/>
    <n v="0"/>
    <n v="0.85"/>
  </r>
  <r>
    <s v="APT-00200"/>
    <d v="2025-01-13T00:00:00"/>
    <x v="11"/>
    <x v="1"/>
    <s v="Morning"/>
    <x v="0"/>
    <s v="Palakkad"/>
    <x v="11"/>
    <s v="PT-1231"/>
    <s v="New Patient"/>
    <x v="3"/>
    <s v="Private Insurance"/>
    <s v="Self Referral"/>
    <x v="1"/>
    <n v="60"/>
    <n v="0"/>
    <n v="76.900000000000006"/>
    <n v="1500"/>
    <n v="0"/>
    <n v="1500"/>
    <n v="1"/>
    <n v="0"/>
    <n v="0"/>
    <n v="0.85"/>
  </r>
  <r>
    <s v="APT-00201"/>
    <d v="2025-04-28T00:00:00"/>
    <x v="6"/>
    <x v="1"/>
    <s v="Afternoon"/>
    <x v="0"/>
    <s v="Palakkad"/>
    <x v="0"/>
    <s v="PT-1635"/>
    <s v="New Patient"/>
    <x v="1"/>
    <s v="Self Pay"/>
    <s v="Corporate Wellness"/>
    <x v="0"/>
    <n v="60"/>
    <n v="60"/>
    <n v="68.3"/>
    <n v="1500"/>
    <n v="1500"/>
    <n v="0"/>
    <n v="0"/>
    <n v="1"/>
    <n v="0"/>
    <n v="0.85"/>
  </r>
  <r>
    <s v="APT-00202"/>
    <d v="2025-05-10T00:00:00"/>
    <x v="10"/>
    <x v="5"/>
    <s v="Evening"/>
    <x v="2"/>
    <s v="Ernakulam"/>
    <x v="14"/>
    <s v="PT-1630"/>
    <s v="Follow-up"/>
    <x v="3"/>
    <s v="Self Pay"/>
    <s v="Corporate Wellness"/>
    <x v="0"/>
    <n v="75"/>
    <n v="75"/>
    <n v="88.8"/>
    <n v="1900"/>
    <n v="1900"/>
    <n v="0"/>
    <n v="0"/>
    <n v="1"/>
    <n v="0"/>
    <n v="0.85"/>
  </r>
  <r>
    <s v="APT-00203"/>
    <d v="2025-01-31T00:00:00"/>
    <x v="11"/>
    <x v="4"/>
    <s v="Morning"/>
    <x v="0"/>
    <s v="Palakkad"/>
    <x v="11"/>
    <s v="PT-1657"/>
    <s v="Post-op Rehab"/>
    <x v="2"/>
    <s v="Self Pay"/>
    <s v="Orthopedic Doctor"/>
    <x v="3"/>
    <n v="60"/>
    <n v="0"/>
    <n v="75.900000000000006"/>
    <n v="1450"/>
    <n v="0"/>
    <n v="0"/>
    <n v="0"/>
    <n v="0"/>
    <n v="0"/>
    <n v="0.85"/>
  </r>
  <r>
    <s v="APT-00204"/>
    <d v="2025-12-29T00:00:00"/>
    <x v="0"/>
    <x v="1"/>
    <s v="Midday"/>
    <x v="0"/>
    <s v="Palakkad"/>
    <x v="6"/>
    <s v="PT-1186"/>
    <s v="Post-op Rehab"/>
    <x v="5"/>
    <s v="Private Insurance"/>
    <s v="Online Search"/>
    <x v="0"/>
    <n v="60"/>
    <n v="60"/>
    <n v="80.099999999999994"/>
    <n v="1450"/>
    <n v="1450"/>
    <n v="0"/>
    <n v="0"/>
    <n v="1"/>
    <n v="0"/>
    <n v="0.85"/>
  </r>
  <r>
    <s v="APT-00205"/>
    <d v="2025-05-24T00:00:00"/>
    <x v="10"/>
    <x v="5"/>
    <s v="Midday"/>
    <x v="0"/>
    <s v="Palakkad"/>
    <x v="9"/>
    <s v="PT-1581"/>
    <s v="New Patient"/>
    <x v="4"/>
    <s v="Self Pay"/>
    <s v="Hospital Discharge"/>
    <x v="0"/>
    <n v="75"/>
    <n v="75"/>
    <n v="96"/>
    <n v="1900"/>
    <n v="1900"/>
    <n v="0"/>
    <n v="0"/>
    <n v="1"/>
    <n v="0"/>
    <n v="0.85"/>
  </r>
  <r>
    <s v="APT-00206"/>
    <d v="2025-12-20T00:00:00"/>
    <x v="0"/>
    <x v="5"/>
    <s v="Midday"/>
    <x v="0"/>
    <s v="Palakkad"/>
    <x v="13"/>
    <s v="PT-1484"/>
    <s v="Follow-up"/>
    <x v="3"/>
    <s v="Self Pay"/>
    <s v="Orthopedic Doctor"/>
    <x v="0"/>
    <n v="45"/>
    <n v="45"/>
    <n v="59.6"/>
    <n v="950"/>
    <n v="950"/>
    <n v="0"/>
    <n v="0"/>
    <n v="1"/>
    <n v="0"/>
    <n v="0.85"/>
  </r>
  <r>
    <s v="APT-00207"/>
    <d v="2025-02-13T00:00:00"/>
    <x v="5"/>
    <x v="2"/>
    <s v="Afternoon"/>
    <x v="2"/>
    <s v="Ernakulam"/>
    <x v="4"/>
    <s v="PT-1370"/>
    <s v="Follow-up"/>
    <x v="0"/>
    <s v="Private Insurance"/>
    <s v="Corporate Wellness"/>
    <x v="0"/>
    <n v="60"/>
    <n v="60"/>
    <n v="70"/>
    <n v="1500"/>
    <n v="1500"/>
    <n v="0"/>
    <n v="0"/>
    <n v="1"/>
    <n v="0"/>
    <n v="0.85"/>
  </r>
  <r>
    <s v="APT-00208"/>
    <d v="2025-06-04T00:00:00"/>
    <x v="4"/>
    <x v="3"/>
    <s v="Evening"/>
    <x v="1"/>
    <s v="Thrissur"/>
    <x v="2"/>
    <s v="PT-1205"/>
    <s v="Chronic Pain"/>
    <x v="4"/>
    <s v="Self Pay"/>
    <s v="Hospital Discharge"/>
    <x v="1"/>
    <n v="30"/>
    <n v="0"/>
    <n v="35.799999999999997"/>
    <n v="700"/>
    <n v="0"/>
    <n v="700"/>
    <n v="1"/>
    <n v="0"/>
    <n v="0"/>
    <n v="0.85"/>
  </r>
  <r>
    <s v="APT-00209"/>
    <d v="2025-04-28T00:00:00"/>
    <x v="6"/>
    <x v="1"/>
    <s v="Midday"/>
    <x v="2"/>
    <s v="Ernakulam"/>
    <x v="4"/>
    <s v="PT-1565"/>
    <s v="Chronic Pain"/>
    <x v="0"/>
    <s v="Self Pay"/>
    <s v="Neurologist"/>
    <x v="0"/>
    <n v="45"/>
    <n v="45"/>
    <n v="57.8"/>
    <n v="1100"/>
    <n v="1100"/>
    <n v="0"/>
    <n v="0"/>
    <n v="1"/>
    <n v="0"/>
    <n v="0.85"/>
  </r>
  <r>
    <s v="APT-00210"/>
    <d v="2025-08-08T00:00:00"/>
    <x v="9"/>
    <x v="4"/>
    <s v="Afternoon"/>
    <x v="0"/>
    <s v="Palakkad"/>
    <x v="6"/>
    <s v="PT-1583"/>
    <s v="Post-op Rehab"/>
    <x v="0"/>
    <s v="Private Insurance"/>
    <s v="Neurologist"/>
    <x v="1"/>
    <n v="60"/>
    <n v="0"/>
    <n v="77"/>
    <n v="1450"/>
    <n v="0"/>
    <n v="1450"/>
    <n v="1"/>
    <n v="0"/>
    <n v="0"/>
    <n v="0.85"/>
  </r>
  <r>
    <s v="APT-00211"/>
    <d v="2025-08-22T00:00:00"/>
    <x v="9"/>
    <x v="4"/>
    <s v="Afternoon"/>
    <x v="2"/>
    <s v="Ernakulam"/>
    <x v="4"/>
    <s v="PT-1268"/>
    <s v="New Patient"/>
    <x v="5"/>
    <s v="Government Scheme"/>
    <s v="Neurologist"/>
    <x v="0"/>
    <n v="60"/>
    <n v="60"/>
    <n v="74.900000000000006"/>
    <n v="1550"/>
    <n v="1550"/>
    <n v="0"/>
    <n v="0"/>
    <n v="1"/>
    <n v="0"/>
    <n v="0.85"/>
  </r>
  <r>
    <s v="APT-00212"/>
    <d v="2025-05-26T00:00:00"/>
    <x v="10"/>
    <x v="1"/>
    <s v="Midday"/>
    <x v="1"/>
    <s v="Thrissur"/>
    <x v="2"/>
    <s v="PT-1330"/>
    <s v="Geriatric Rehab"/>
    <x v="5"/>
    <s v="Corporate Tie-up"/>
    <s v="Corporate Wellness"/>
    <x v="0"/>
    <n v="30"/>
    <n v="30"/>
    <n v="33.1"/>
    <n v="600"/>
    <n v="600"/>
    <n v="0"/>
    <n v="0"/>
    <n v="1"/>
    <n v="0"/>
    <n v="0.85"/>
  </r>
  <r>
    <s v="APT-00213"/>
    <d v="2025-01-17T00:00:00"/>
    <x v="11"/>
    <x v="4"/>
    <s v="Evening"/>
    <x v="2"/>
    <s v="Ernakulam"/>
    <x v="3"/>
    <s v="PT-1597"/>
    <s v="Follow-up"/>
    <x v="0"/>
    <s v="Private Insurance"/>
    <s v="Orthopedic Doctor"/>
    <x v="0"/>
    <n v="30"/>
    <n v="30"/>
    <n v="36.6"/>
    <n v="750"/>
    <n v="750"/>
    <n v="0"/>
    <n v="0"/>
    <n v="1"/>
    <n v="0"/>
    <n v="0.85"/>
  </r>
  <r>
    <s v="APT-00214"/>
    <d v="2025-10-29T00:00:00"/>
    <x v="7"/>
    <x v="3"/>
    <s v="Morning"/>
    <x v="0"/>
    <s v="Palakkad"/>
    <x v="6"/>
    <s v="PT-1587"/>
    <s v="Follow-up"/>
    <x v="2"/>
    <s v="Self Pay"/>
    <s v="Orthopedic Doctor"/>
    <x v="0"/>
    <n v="60"/>
    <n v="60"/>
    <n v="74.900000000000006"/>
    <n v="1250"/>
    <n v="1250"/>
    <n v="0"/>
    <n v="0"/>
    <n v="1"/>
    <n v="0"/>
    <n v="0.85"/>
  </r>
  <r>
    <s v="APT-00215"/>
    <d v="2025-06-13T00:00:00"/>
    <x v="4"/>
    <x v="4"/>
    <s v="Midday"/>
    <x v="1"/>
    <s v="Thrissur"/>
    <x v="2"/>
    <s v="PT-1314"/>
    <s v="Follow-up"/>
    <x v="3"/>
    <s v="Corporate Tie-up"/>
    <s v="Orthopedic Doctor"/>
    <x v="0"/>
    <n v="60"/>
    <n v="60"/>
    <n v="68.2"/>
    <n v="1250"/>
    <n v="1250"/>
    <n v="0"/>
    <n v="0"/>
    <n v="1"/>
    <n v="0"/>
    <n v="0.85"/>
  </r>
  <r>
    <s v="APT-00216"/>
    <d v="2025-08-08T00:00:00"/>
    <x v="9"/>
    <x v="4"/>
    <s v="Morning"/>
    <x v="1"/>
    <s v="Thrissur"/>
    <x v="2"/>
    <s v="PT-1305"/>
    <s v="Follow-up"/>
    <x v="1"/>
    <s v="Private Insurance"/>
    <s v="Self Referral"/>
    <x v="0"/>
    <n v="45"/>
    <n v="45"/>
    <n v="54.4"/>
    <n v="1000"/>
    <n v="1000"/>
    <n v="0"/>
    <n v="0"/>
    <n v="1"/>
    <n v="0"/>
    <n v="0.85"/>
  </r>
  <r>
    <s v="APT-00217"/>
    <d v="2025-02-24T00:00:00"/>
    <x v="5"/>
    <x v="1"/>
    <s v="Morning"/>
    <x v="2"/>
    <s v="Ernakulam"/>
    <x v="3"/>
    <s v="PT-1515"/>
    <s v="New Patient"/>
    <x v="1"/>
    <s v="Private Insurance"/>
    <s v="Online Search"/>
    <x v="0"/>
    <n v="45"/>
    <n v="45"/>
    <n v="59.3"/>
    <n v="1350"/>
    <n v="1350"/>
    <n v="0"/>
    <n v="0"/>
    <n v="1"/>
    <n v="0"/>
    <n v="0.85"/>
  </r>
  <r>
    <s v="APT-00218"/>
    <d v="2025-07-04T00:00:00"/>
    <x v="8"/>
    <x v="4"/>
    <s v="Morning"/>
    <x v="0"/>
    <s v="Palakkad"/>
    <x v="0"/>
    <s v="PT-1168"/>
    <s v="Follow-up"/>
    <x v="4"/>
    <s v="Self Pay"/>
    <s v="Corporate Wellness"/>
    <x v="2"/>
    <n v="60"/>
    <n v="0"/>
    <n v="68.900000000000006"/>
    <n v="1250"/>
    <n v="0"/>
    <n v="1250"/>
    <n v="0"/>
    <n v="0"/>
    <n v="1"/>
    <n v="0.85"/>
  </r>
  <r>
    <s v="APT-00219"/>
    <d v="2025-12-24T00:00:00"/>
    <x v="0"/>
    <x v="3"/>
    <s v="Afternoon"/>
    <x v="1"/>
    <s v="Thrissur"/>
    <x v="10"/>
    <s v="PT-1631"/>
    <s v="Follow-up"/>
    <x v="3"/>
    <s v="Self Pay"/>
    <s v="Corporate Wellness"/>
    <x v="0"/>
    <n v="60"/>
    <n v="60"/>
    <n v="69.3"/>
    <n v="1350"/>
    <n v="1350"/>
    <n v="0"/>
    <n v="0"/>
    <n v="1"/>
    <n v="0"/>
    <n v="0.85"/>
  </r>
  <r>
    <s v="APT-00220"/>
    <d v="2025-09-23T00:00:00"/>
    <x v="2"/>
    <x v="0"/>
    <s v="Evening"/>
    <x v="1"/>
    <s v="Thrissur"/>
    <x v="5"/>
    <s v="PT-1534"/>
    <s v="Chronic Pain"/>
    <x v="2"/>
    <s v="Self Pay"/>
    <s v="Online Search"/>
    <x v="0"/>
    <n v="45"/>
    <n v="45"/>
    <n v="60.7"/>
    <n v="1000"/>
    <n v="1000"/>
    <n v="0"/>
    <n v="0"/>
    <n v="1"/>
    <n v="0"/>
    <n v="0.85"/>
  </r>
  <r>
    <s v="APT-00221"/>
    <d v="2025-12-03T00:00:00"/>
    <x v="0"/>
    <x v="3"/>
    <s v="Midday"/>
    <x v="1"/>
    <s v="Thrissur"/>
    <x v="2"/>
    <s v="PT-1220"/>
    <s v="New Patient"/>
    <x v="3"/>
    <s v="Government Scheme"/>
    <s v="Self Referral"/>
    <x v="1"/>
    <n v="60"/>
    <n v="0"/>
    <n v="67.2"/>
    <n v="1400"/>
    <n v="0"/>
    <n v="1400"/>
    <n v="1"/>
    <n v="0"/>
    <n v="0"/>
    <n v="0.85"/>
  </r>
  <r>
    <s v="APT-00222"/>
    <d v="2025-07-22T00:00:00"/>
    <x v="8"/>
    <x v="0"/>
    <s v="Midday"/>
    <x v="2"/>
    <s v="Ernakulam"/>
    <x v="4"/>
    <s v="PT-1257"/>
    <s v="Geriatric Rehab"/>
    <x v="0"/>
    <s v="Self Pay"/>
    <s v="Orthopedic Doctor"/>
    <x v="1"/>
    <n v="45"/>
    <n v="0"/>
    <n v="50"/>
    <n v="1100"/>
    <n v="0"/>
    <n v="1100"/>
    <n v="1"/>
    <n v="0"/>
    <n v="0"/>
    <n v="0.85"/>
  </r>
  <r>
    <s v="APT-00223"/>
    <d v="2025-05-09T00:00:00"/>
    <x v="10"/>
    <x v="4"/>
    <s v="Midday"/>
    <x v="2"/>
    <s v="Ernakulam"/>
    <x v="8"/>
    <s v="PT-1045"/>
    <s v="New Patient"/>
    <x v="4"/>
    <s v="Self Pay"/>
    <s v="Online Search"/>
    <x v="0"/>
    <n v="75"/>
    <n v="75"/>
    <n v="90"/>
    <n v="2250"/>
    <n v="2250"/>
    <n v="0"/>
    <n v="0"/>
    <n v="1"/>
    <n v="0"/>
    <n v="0.85"/>
  </r>
  <r>
    <s v="APT-00224"/>
    <d v="2025-08-04T00:00:00"/>
    <x v="9"/>
    <x v="1"/>
    <s v="Evening"/>
    <x v="1"/>
    <s v="Thrissur"/>
    <x v="2"/>
    <s v="PT-1524"/>
    <s v="Chronic Pain"/>
    <x v="2"/>
    <s v="Government Scheme"/>
    <s v="Online Search"/>
    <x v="1"/>
    <n v="45"/>
    <n v="0"/>
    <n v="59.9"/>
    <n v="850"/>
    <n v="0"/>
    <n v="850"/>
    <n v="1"/>
    <n v="0"/>
    <n v="0"/>
    <n v="0.85"/>
  </r>
  <r>
    <s v="APT-00225"/>
    <d v="2025-06-24T00:00:00"/>
    <x v="4"/>
    <x v="0"/>
    <s v="Evening"/>
    <x v="2"/>
    <s v="Ernakulam"/>
    <x v="8"/>
    <s v="PT-1302"/>
    <s v="Follow-up"/>
    <x v="2"/>
    <s v="Private Insurance"/>
    <s v="Online Search"/>
    <x v="2"/>
    <n v="60"/>
    <n v="0"/>
    <n v="79.5"/>
    <n v="1500"/>
    <n v="0"/>
    <n v="1500"/>
    <n v="0"/>
    <n v="0"/>
    <n v="1"/>
    <n v="0.85"/>
  </r>
  <r>
    <s v="APT-00226"/>
    <d v="2025-12-06T00:00:00"/>
    <x v="0"/>
    <x v="5"/>
    <s v="Midday"/>
    <x v="2"/>
    <s v="Ernakulam"/>
    <x v="8"/>
    <s v="PT-1631"/>
    <s v="Post-op Rehab"/>
    <x v="3"/>
    <s v="Corporate Tie-up"/>
    <s v="Hospital Discharge"/>
    <x v="0"/>
    <n v="45"/>
    <n v="45"/>
    <n v="53.3"/>
    <n v="1200"/>
    <n v="1200"/>
    <n v="0"/>
    <n v="0"/>
    <n v="1"/>
    <n v="0"/>
    <n v="0.85"/>
  </r>
  <r>
    <s v="APT-00227"/>
    <d v="2025-01-20T00:00:00"/>
    <x v="11"/>
    <x v="1"/>
    <s v="Afternoon"/>
    <x v="1"/>
    <s v="Thrissur"/>
    <x v="1"/>
    <s v="PT-1220"/>
    <s v="Follow-up"/>
    <x v="0"/>
    <s v="Private Insurance"/>
    <s v="Orthopedic Doctor"/>
    <x v="2"/>
    <n v="30"/>
    <n v="0"/>
    <n v="40.1"/>
    <n v="700"/>
    <n v="0"/>
    <n v="700"/>
    <n v="0"/>
    <n v="0"/>
    <n v="1"/>
    <n v="0.85"/>
  </r>
  <r>
    <s v="APT-00228"/>
    <d v="2025-08-29T00:00:00"/>
    <x v="9"/>
    <x v="4"/>
    <s v="Afternoon"/>
    <x v="2"/>
    <s v="Ernakulam"/>
    <x v="12"/>
    <s v="PT-1197"/>
    <s v="Geriatric Rehab"/>
    <x v="2"/>
    <s v="Corporate Tie-up"/>
    <s v="Orthopedic Doctor"/>
    <x v="3"/>
    <n v="60"/>
    <n v="0"/>
    <n v="66.2"/>
    <n v="1400"/>
    <n v="0"/>
    <n v="0"/>
    <n v="0"/>
    <n v="0"/>
    <n v="0"/>
    <n v="0.85"/>
  </r>
  <r>
    <s v="APT-00229"/>
    <d v="2025-09-29T00:00:00"/>
    <x v="2"/>
    <x v="1"/>
    <s v="Midday"/>
    <x v="2"/>
    <s v="Ernakulam"/>
    <x v="14"/>
    <s v="PT-1541"/>
    <s v="Chronic Pain"/>
    <x v="3"/>
    <s v="Private Insurance"/>
    <s v="Orthopedic Doctor"/>
    <x v="0"/>
    <n v="60"/>
    <n v="60"/>
    <n v="76.400000000000006"/>
    <n v="1500"/>
    <n v="1500"/>
    <n v="0"/>
    <n v="0"/>
    <n v="1"/>
    <n v="0"/>
    <n v="0.85"/>
  </r>
  <r>
    <s v="APT-00230"/>
    <d v="2025-07-02T00:00:00"/>
    <x v="8"/>
    <x v="3"/>
    <s v="Evening"/>
    <x v="0"/>
    <s v="Palakkad"/>
    <x v="6"/>
    <s v="PT-1589"/>
    <s v="Chronic Pain"/>
    <x v="3"/>
    <s v="Self Pay"/>
    <s v="Online Search"/>
    <x v="0"/>
    <n v="60"/>
    <n v="60"/>
    <n v="70.5"/>
    <n v="1250"/>
    <n v="1250"/>
    <n v="0"/>
    <n v="0"/>
    <n v="1"/>
    <n v="0"/>
    <n v="0.85"/>
  </r>
  <r>
    <s v="APT-00231"/>
    <d v="2025-11-17T00:00:00"/>
    <x v="1"/>
    <x v="1"/>
    <s v="Evening"/>
    <x v="0"/>
    <s v="Palakkad"/>
    <x v="0"/>
    <s v="PT-1639"/>
    <s v="Follow-up"/>
    <x v="0"/>
    <s v="Private Insurance"/>
    <s v="Corporate Wellness"/>
    <x v="0"/>
    <n v="30"/>
    <n v="30"/>
    <n v="38.5"/>
    <n v="600"/>
    <n v="600"/>
    <n v="0"/>
    <n v="0"/>
    <n v="1"/>
    <n v="0"/>
    <n v="0.85"/>
  </r>
  <r>
    <s v="APT-00232"/>
    <d v="2025-09-03T00:00:00"/>
    <x v="2"/>
    <x v="3"/>
    <s v="Morning"/>
    <x v="0"/>
    <s v="Palakkad"/>
    <x v="13"/>
    <s v="PT-1227"/>
    <s v="Follow-up"/>
    <x v="2"/>
    <s v="Private Insurance"/>
    <s v="Hospital Discharge"/>
    <x v="0"/>
    <n v="45"/>
    <n v="45"/>
    <n v="54.6"/>
    <n v="950"/>
    <n v="950"/>
    <n v="0"/>
    <n v="0"/>
    <n v="1"/>
    <n v="0"/>
    <n v="0.85"/>
  </r>
  <r>
    <s v="APT-00233"/>
    <d v="2025-08-07T00:00:00"/>
    <x v="9"/>
    <x v="2"/>
    <s v="Midday"/>
    <x v="0"/>
    <s v="Palakkad"/>
    <x v="6"/>
    <s v="PT-1142"/>
    <s v="Geriatric Rehab"/>
    <x v="4"/>
    <s v="Self Pay"/>
    <s v="Hospital Discharge"/>
    <x v="0"/>
    <n v="60"/>
    <n v="60"/>
    <n v="76.099999999999994"/>
    <n v="1250"/>
    <n v="1250"/>
    <n v="0"/>
    <n v="0"/>
    <n v="1"/>
    <n v="0"/>
    <n v="0.85"/>
  </r>
  <r>
    <s v="APT-00234"/>
    <d v="2025-10-07T00:00:00"/>
    <x v="7"/>
    <x v="0"/>
    <s v="Midday"/>
    <x v="2"/>
    <s v="Ernakulam"/>
    <x v="14"/>
    <s v="PT-1162"/>
    <s v="Follow-up"/>
    <x v="2"/>
    <s v="Self Pay"/>
    <s v="Online Search"/>
    <x v="0"/>
    <n v="45"/>
    <n v="45"/>
    <n v="59.6"/>
    <n v="1100"/>
    <n v="1100"/>
    <n v="0"/>
    <n v="0"/>
    <n v="1"/>
    <n v="0"/>
    <n v="0.85"/>
  </r>
  <r>
    <s v="APT-00235"/>
    <d v="2025-04-15T00:00:00"/>
    <x v="6"/>
    <x v="0"/>
    <s v="Morning"/>
    <x v="2"/>
    <s v="Ernakulam"/>
    <x v="12"/>
    <s v="PT-1009"/>
    <s v="Chronic Pain"/>
    <x v="3"/>
    <s v="Private Insurance"/>
    <s v="Self Referral"/>
    <x v="0"/>
    <n v="75"/>
    <n v="75"/>
    <n v="98"/>
    <n v="1900"/>
    <n v="1900"/>
    <n v="0"/>
    <n v="0"/>
    <n v="1"/>
    <n v="0"/>
    <n v="0.85"/>
  </r>
  <r>
    <s v="APT-00236"/>
    <d v="2025-05-19T00:00:00"/>
    <x v="10"/>
    <x v="1"/>
    <s v="Morning"/>
    <x v="0"/>
    <s v="Palakkad"/>
    <x v="11"/>
    <s v="PT-1201"/>
    <s v="New Patient"/>
    <x v="4"/>
    <s v="Corporate Tie-up"/>
    <s v="Self Referral"/>
    <x v="0"/>
    <n v="60"/>
    <n v="60"/>
    <n v="68.2"/>
    <n v="1400"/>
    <n v="1400"/>
    <n v="0"/>
    <n v="0"/>
    <n v="1"/>
    <n v="0"/>
    <n v="0.85"/>
  </r>
  <r>
    <s v="APT-00237"/>
    <d v="2025-06-12T00:00:00"/>
    <x v="4"/>
    <x v="2"/>
    <s v="Afternoon"/>
    <x v="2"/>
    <s v="Ernakulam"/>
    <x v="3"/>
    <s v="PT-1069"/>
    <s v="New Patient"/>
    <x v="2"/>
    <s v="Self Pay"/>
    <s v="Self Referral"/>
    <x v="0"/>
    <n v="60"/>
    <n v="60"/>
    <n v="67.2"/>
    <n v="1800"/>
    <n v="1800"/>
    <n v="0"/>
    <n v="0"/>
    <n v="1"/>
    <n v="0"/>
    <n v="0.85"/>
  </r>
  <r>
    <s v="APT-00238"/>
    <d v="2025-04-01T00:00:00"/>
    <x v="6"/>
    <x v="0"/>
    <s v="Morning"/>
    <x v="0"/>
    <s v="Palakkad"/>
    <x v="9"/>
    <s v="PT-1573"/>
    <s v="Follow-up"/>
    <x v="5"/>
    <s v="Self Pay"/>
    <s v="Self Referral"/>
    <x v="0"/>
    <n v="60"/>
    <n v="60"/>
    <n v="73"/>
    <n v="1250"/>
    <n v="1250"/>
    <n v="0"/>
    <n v="0"/>
    <n v="1"/>
    <n v="0"/>
    <n v="0.85"/>
  </r>
  <r>
    <s v="APT-00239"/>
    <d v="2025-10-27T00:00:00"/>
    <x v="7"/>
    <x v="1"/>
    <s v="Evening"/>
    <x v="1"/>
    <s v="Thrissur"/>
    <x v="5"/>
    <s v="PT-1021"/>
    <s v="Post-op Rehab"/>
    <x v="2"/>
    <s v="Government Scheme"/>
    <s v="Self Referral"/>
    <x v="0"/>
    <n v="75"/>
    <n v="75"/>
    <n v="91.6"/>
    <n v="1650"/>
    <n v="1650"/>
    <n v="0"/>
    <n v="0"/>
    <n v="1"/>
    <n v="0"/>
    <n v="0.85"/>
  </r>
  <r>
    <s v="APT-00240"/>
    <d v="2025-03-11T00:00:00"/>
    <x v="3"/>
    <x v="0"/>
    <s v="Afternoon"/>
    <x v="2"/>
    <s v="Ernakulam"/>
    <x v="12"/>
    <s v="PT-1436"/>
    <s v="Follow-up"/>
    <x v="1"/>
    <s v="Private Insurance"/>
    <s v="Online Search"/>
    <x v="1"/>
    <n v="45"/>
    <n v="0"/>
    <n v="56.5"/>
    <n v="1100"/>
    <n v="0"/>
    <n v="1100"/>
    <n v="1"/>
    <n v="0"/>
    <n v="0"/>
    <n v="0.85"/>
  </r>
  <r>
    <s v="APT-00241"/>
    <d v="2025-07-12T00:00:00"/>
    <x v="8"/>
    <x v="5"/>
    <s v="Afternoon"/>
    <x v="2"/>
    <s v="Ernakulam"/>
    <x v="4"/>
    <s v="PT-1090"/>
    <s v="Post-op Rehab"/>
    <x v="2"/>
    <s v="Private Insurance"/>
    <s v="Orthopedic Doctor"/>
    <x v="0"/>
    <n v="75"/>
    <n v="75"/>
    <n v="93.6"/>
    <n v="2150"/>
    <n v="2150"/>
    <n v="0"/>
    <n v="0"/>
    <n v="1"/>
    <n v="0"/>
    <n v="0.85"/>
  </r>
  <r>
    <s v="APT-00242"/>
    <d v="2025-05-17T00:00:00"/>
    <x v="10"/>
    <x v="5"/>
    <s v="Evening"/>
    <x v="1"/>
    <s v="Thrissur"/>
    <x v="5"/>
    <s v="PT-1153"/>
    <s v="New Patient"/>
    <x v="5"/>
    <s v="Private Insurance"/>
    <s v="Neurologist"/>
    <x v="0"/>
    <n v="45"/>
    <n v="45"/>
    <n v="53"/>
    <n v="1200"/>
    <n v="1200"/>
    <n v="0"/>
    <n v="0"/>
    <n v="1"/>
    <n v="0"/>
    <n v="0.85"/>
  </r>
  <r>
    <s v="APT-00243"/>
    <d v="2025-04-07T00:00:00"/>
    <x v="6"/>
    <x v="1"/>
    <s v="Evening"/>
    <x v="2"/>
    <s v="Ernakulam"/>
    <x v="12"/>
    <s v="PT-1208"/>
    <s v="New Patient"/>
    <x v="1"/>
    <s v="Private Insurance"/>
    <s v="Hospital Discharge"/>
    <x v="0"/>
    <n v="45"/>
    <n v="45"/>
    <n v="58.8"/>
    <n v="1350"/>
    <n v="1350"/>
    <n v="0"/>
    <n v="0"/>
    <n v="1"/>
    <n v="0"/>
    <n v="0.85"/>
  </r>
  <r>
    <s v="APT-00244"/>
    <d v="2025-05-07T00:00:00"/>
    <x v="10"/>
    <x v="3"/>
    <s v="Midday"/>
    <x v="1"/>
    <s v="Thrissur"/>
    <x v="7"/>
    <s v="PT-1451"/>
    <s v="Follow-up"/>
    <x v="3"/>
    <s v="Private Insurance"/>
    <s v="Neurologist"/>
    <x v="0"/>
    <n v="90"/>
    <n v="90"/>
    <n v="116.2"/>
    <n v="2000"/>
    <n v="2000"/>
    <n v="0"/>
    <n v="0"/>
    <n v="1"/>
    <n v="0"/>
    <n v="0.85"/>
  </r>
  <r>
    <s v="APT-00245"/>
    <d v="2025-07-04T00:00:00"/>
    <x v="8"/>
    <x v="4"/>
    <s v="Evening"/>
    <x v="0"/>
    <s v="Palakkad"/>
    <x v="9"/>
    <s v="PT-1579"/>
    <s v="Sports Injury"/>
    <x v="3"/>
    <s v="Private Insurance"/>
    <s v="Online Search"/>
    <x v="0"/>
    <n v="60"/>
    <n v="60"/>
    <n v="66.900000000000006"/>
    <n v="1250"/>
    <n v="1250"/>
    <n v="0"/>
    <n v="0"/>
    <n v="1"/>
    <n v="0"/>
    <n v="0.85"/>
  </r>
  <r>
    <s v="APT-00246"/>
    <d v="2025-10-13T00:00:00"/>
    <x v="7"/>
    <x v="1"/>
    <s v="Morning"/>
    <x v="2"/>
    <s v="Ernakulam"/>
    <x v="4"/>
    <s v="PT-1602"/>
    <s v="Post-op Rehab"/>
    <x v="3"/>
    <s v="Government Scheme"/>
    <s v="Neurologist"/>
    <x v="0"/>
    <n v="75"/>
    <n v="75"/>
    <n v="89.8"/>
    <n v="1850"/>
    <n v="1850"/>
    <n v="0"/>
    <n v="0"/>
    <n v="1"/>
    <n v="0"/>
    <n v="0.85"/>
  </r>
  <r>
    <s v="APT-00247"/>
    <d v="2025-07-02T00:00:00"/>
    <x v="8"/>
    <x v="3"/>
    <s v="Evening"/>
    <x v="0"/>
    <s v="Palakkad"/>
    <x v="11"/>
    <s v="PT-1128"/>
    <s v="Follow-up"/>
    <x v="3"/>
    <s v="Self Pay"/>
    <s v="Online Search"/>
    <x v="0"/>
    <n v="60"/>
    <n v="60"/>
    <n v="66.3"/>
    <n v="1250"/>
    <n v="1250"/>
    <n v="0"/>
    <n v="0"/>
    <n v="1"/>
    <n v="0"/>
    <n v="0.85"/>
  </r>
  <r>
    <s v="APT-00248"/>
    <d v="2025-08-27T00:00:00"/>
    <x v="9"/>
    <x v="3"/>
    <s v="Evening"/>
    <x v="0"/>
    <s v="Palakkad"/>
    <x v="11"/>
    <s v="PT-1554"/>
    <s v="New Patient"/>
    <x v="2"/>
    <s v="Self Pay"/>
    <s v="Self Referral"/>
    <x v="0"/>
    <n v="60"/>
    <n v="60"/>
    <n v="68.3"/>
    <n v="1500"/>
    <n v="1500"/>
    <n v="0"/>
    <n v="0"/>
    <n v="1"/>
    <n v="0"/>
    <n v="0.85"/>
  </r>
  <r>
    <s v="APT-00249"/>
    <d v="2025-04-02T00:00:00"/>
    <x v="6"/>
    <x v="3"/>
    <s v="Evening"/>
    <x v="2"/>
    <s v="Ernakulam"/>
    <x v="8"/>
    <s v="PT-1547"/>
    <s v="New Patient"/>
    <x v="2"/>
    <s v="Self Pay"/>
    <s v="Orthopedic Doctor"/>
    <x v="0"/>
    <n v="30"/>
    <n v="30"/>
    <n v="40.4"/>
    <n v="900"/>
    <n v="900"/>
    <n v="0"/>
    <n v="0"/>
    <n v="1"/>
    <n v="0"/>
    <n v="0.85"/>
  </r>
  <r>
    <s v="APT-00250"/>
    <d v="2025-01-02T00:00:00"/>
    <x v="11"/>
    <x v="2"/>
    <s v="Evening"/>
    <x v="2"/>
    <s v="Ernakulam"/>
    <x v="8"/>
    <s v="PT-1655"/>
    <s v="Follow-up"/>
    <x v="3"/>
    <s v="Self Pay"/>
    <s v="Hospital Discharge"/>
    <x v="0"/>
    <n v="90"/>
    <n v="90"/>
    <n v="113.3"/>
    <n v="2250"/>
    <n v="2250"/>
    <n v="0"/>
    <n v="0"/>
    <n v="1"/>
    <n v="0"/>
    <n v="0.85"/>
  </r>
  <r>
    <s v="APT-00251"/>
    <d v="2025-05-12T00:00:00"/>
    <x v="10"/>
    <x v="1"/>
    <s v="Midday"/>
    <x v="1"/>
    <s v="Thrissur"/>
    <x v="2"/>
    <s v="PT-1683"/>
    <s v="Chronic Pain"/>
    <x v="3"/>
    <s v="Self Pay"/>
    <s v="Online Search"/>
    <x v="0"/>
    <n v="45"/>
    <n v="45"/>
    <n v="57.8"/>
    <n v="1000"/>
    <n v="1000"/>
    <n v="0"/>
    <n v="0"/>
    <n v="1"/>
    <n v="0"/>
    <n v="0.85"/>
  </r>
  <r>
    <s v="APT-00252"/>
    <d v="2025-02-12T00:00:00"/>
    <x v="5"/>
    <x v="3"/>
    <s v="Midday"/>
    <x v="2"/>
    <s v="Ernakulam"/>
    <x v="8"/>
    <s v="PT-1443"/>
    <s v="Chronic Pain"/>
    <x v="1"/>
    <s v="Self Pay"/>
    <s v="Online Search"/>
    <x v="0"/>
    <n v="90"/>
    <n v="90"/>
    <n v="99.6"/>
    <n v="2250"/>
    <n v="2250"/>
    <n v="0"/>
    <n v="0"/>
    <n v="1"/>
    <n v="0"/>
    <n v="0.85"/>
  </r>
  <r>
    <s v="APT-00253"/>
    <d v="2025-02-10T00:00:00"/>
    <x v="5"/>
    <x v="1"/>
    <s v="Midday"/>
    <x v="0"/>
    <s v="Palakkad"/>
    <x v="13"/>
    <s v="PT-1613"/>
    <s v="Geriatric Rehab"/>
    <x v="0"/>
    <s v="Private Insurance"/>
    <s v="Corporate Wellness"/>
    <x v="1"/>
    <n v="30"/>
    <n v="0"/>
    <n v="33.799999999999997"/>
    <n v="600"/>
    <n v="0"/>
    <n v="600"/>
    <n v="1"/>
    <n v="0"/>
    <n v="0"/>
    <n v="0.85"/>
  </r>
  <r>
    <s v="APT-00254"/>
    <d v="2025-01-13T00:00:00"/>
    <x v="11"/>
    <x v="1"/>
    <s v="Afternoon"/>
    <x v="2"/>
    <s v="Ernakulam"/>
    <x v="14"/>
    <s v="PT-1645"/>
    <s v="Sports Injury"/>
    <x v="0"/>
    <s v="Self Pay"/>
    <s v="Self Referral"/>
    <x v="0"/>
    <n v="60"/>
    <n v="60"/>
    <n v="70.599999999999994"/>
    <n v="1500"/>
    <n v="1500"/>
    <n v="0"/>
    <n v="0"/>
    <n v="1"/>
    <n v="0"/>
    <n v="0.85"/>
  </r>
  <r>
    <s v="APT-00255"/>
    <d v="2025-12-23T00:00:00"/>
    <x v="0"/>
    <x v="0"/>
    <s v="Midday"/>
    <x v="0"/>
    <s v="Palakkad"/>
    <x v="13"/>
    <s v="PT-1692"/>
    <s v="Chronic Pain"/>
    <x v="5"/>
    <s v="Corporate Tie-up"/>
    <s v="Neurologist"/>
    <x v="0"/>
    <n v="90"/>
    <n v="90"/>
    <n v="113.2"/>
    <n v="1700"/>
    <n v="1700"/>
    <n v="0"/>
    <n v="0"/>
    <n v="1"/>
    <n v="0"/>
    <n v="0.85"/>
  </r>
  <r>
    <s v="APT-00256"/>
    <d v="2025-03-19T00:00:00"/>
    <x v="3"/>
    <x v="3"/>
    <s v="Midday"/>
    <x v="0"/>
    <s v="Palakkad"/>
    <x v="13"/>
    <s v="PT-1250"/>
    <s v="Follow-up"/>
    <x v="3"/>
    <s v="Government Scheme"/>
    <s v="Neurologist"/>
    <x v="0"/>
    <n v="45"/>
    <n v="45"/>
    <n v="56.8"/>
    <n v="800"/>
    <n v="800"/>
    <n v="0"/>
    <n v="0"/>
    <n v="1"/>
    <n v="0"/>
    <n v="0.85"/>
  </r>
  <r>
    <s v="APT-00257"/>
    <d v="2025-03-08T00:00:00"/>
    <x v="3"/>
    <x v="5"/>
    <s v="Afternoon"/>
    <x v="2"/>
    <s v="Ernakulam"/>
    <x v="12"/>
    <s v="PT-1179"/>
    <s v="Follow-up"/>
    <x v="2"/>
    <s v="Corporate Tie-up"/>
    <s v="Hospital Discharge"/>
    <x v="0"/>
    <n v="60"/>
    <n v="60"/>
    <n v="74.5"/>
    <n v="1400"/>
    <n v="1400"/>
    <n v="0"/>
    <n v="0"/>
    <n v="1"/>
    <n v="0"/>
    <n v="0.85"/>
  </r>
  <r>
    <s v="APT-00258"/>
    <d v="2025-04-16T00:00:00"/>
    <x v="6"/>
    <x v="3"/>
    <s v="Afternoon"/>
    <x v="0"/>
    <s v="Palakkad"/>
    <x v="11"/>
    <s v="PT-1026"/>
    <s v="Sports Injury"/>
    <x v="3"/>
    <s v="Self Pay"/>
    <s v="Hospital Discharge"/>
    <x v="0"/>
    <n v="60"/>
    <n v="60"/>
    <n v="70.900000000000006"/>
    <n v="1250"/>
    <n v="1250"/>
    <n v="0"/>
    <n v="0"/>
    <n v="1"/>
    <n v="0"/>
    <n v="0.85"/>
  </r>
  <r>
    <s v="APT-00259"/>
    <d v="2025-06-13T00:00:00"/>
    <x v="4"/>
    <x v="4"/>
    <s v="Evening"/>
    <x v="0"/>
    <s v="Palakkad"/>
    <x v="6"/>
    <s v="PT-1508"/>
    <s v="New Patient"/>
    <x v="3"/>
    <s v="Self Pay"/>
    <s v="Neurologist"/>
    <x v="0"/>
    <n v="30"/>
    <n v="30"/>
    <n v="36.4"/>
    <n v="750"/>
    <n v="750"/>
    <n v="0"/>
    <n v="0"/>
    <n v="1"/>
    <n v="0"/>
    <n v="0.85"/>
  </r>
  <r>
    <s v="APT-00260"/>
    <d v="2025-07-12T00:00:00"/>
    <x v="8"/>
    <x v="5"/>
    <s v="Afternoon"/>
    <x v="0"/>
    <s v="Palakkad"/>
    <x v="9"/>
    <s v="PT-1109"/>
    <s v="Post-op Rehab"/>
    <x v="4"/>
    <s v="Self Pay"/>
    <s v="Self Referral"/>
    <x v="2"/>
    <n v="60"/>
    <n v="0"/>
    <n v="74.400000000000006"/>
    <n v="1450"/>
    <n v="0"/>
    <n v="1450"/>
    <n v="0"/>
    <n v="0"/>
    <n v="1"/>
    <n v="0.85"/>
  </r>
  <r>
    <s v="APT-00261"/>
    <d v="2025-01-24T00:00:00"/>
    <x v="11"/>
    <x v="4"/>
    <s v="Afternoon"/>
    <x v="2"/>
    <s v="Ernakulam"/>
    <x v="3"/>
    <s v="PT-1545"/>
    <s v="Follow-up"/>
    <x v="5"/>
    <s v="Self Pay"/>
    <s v="Neurologist"/>
    <x v="0"/>
    <n v="60"/>
    <n v="60"/>
    <n v="66.599999999999994"/>
    <n v="1500"/>
    <n v="1500"/>
    <n v="0"/>
    <n v="0"/>
    <n v="1"/>
    <n v="0"/>
    <n v="0.85"/>
  </r>
  <r>
    <s v="APT-00262"/>
    <d v="2025-05-20T00:00:00"/>
    <x v="10"/>
    <x v="0"/>
    <s v="Morning"/>
    <x v="1"/>
    <s v="Thrissur"/>
    <x v="2"/>
    <s v="PT-1012"/>
    <s v="Follow-up"/>
    <x v="2"/>
    <s v="Private Insurance"/>
    <s v="Online Search"/>
    <x v="0"/>
    <n v="60"/>
    <n v="60"/>
    <n v="75.599999999999994"/>
    <n v="1350"/>
    <n v="1350"/>
    <n v="0"/>
    <n v="0"/>
    <n v="1"/>
    <n v="0"/>
    <n v="0.85"/>
  </r>
  <r>
    <s v="APT-00263"/>
    <d v="2025-05-31T00:00:00"/>
    <x v="10"/>
    <x v="5"/>
    <s v="Midday"/>
    <x v="1"/>
    <s v="Thrissur"/>
    <x v="1"/>
    <s v="PT-1354"/>
    <s v="Post-op Rehab"/>
    <x v="4"/>
    <s v="Private Insurance"/>
    <s v="Online Search"/>
    <x v="0"/>
    <n v="60"/>
    <n v="60"/>
    <n v="72.400000000000006"/>
    <n v="1550"/>
    <n v="1550"/>
    <n v="0"/>
    <n v="0"/>
    <n v="1"/>
    <n v="0"/>
    <n v="0.85"/>
  </r>
  <r>
    <s v="APT-00264"/>
    <d v="2025-10-10T00:00:00"/>
    <x v="7"/>
    <x v="4"/>
    <s v="Evening"/>
    <x v="2"/>
    <s v="Ernakulam"/>
    <x v="12"/>
    <s v="PT-1576"/>
    <s v="Sports Injury"/>
    <x v="1"/>
    <s v="Private Insurance"/>
    <s v="Online Search"/>
    <x v="0"/>
    <n v="60"/>
    <n v="60"/>
    <n v="70.599999999999994"/>
    <n v="1500"/>
    <n v="1500"/>
    <n v="0"/>
    <n v="0"/>
    <n v="1"/>
    <n v="0"/>
    <n v="0.85"/>
  </r>
  <r>
    <s v="APT-00265"/>
    <d v="2025-04-11T00:00:00"/>
    <x v="6"/>
    <x v="4"/>
    <s v="Morning"/>
    <x v="0"/>
    <s v="Palakkad"/>
    <x v="0"/>
    <s v="PT-1330"/>
    <s v="Sports Injury"/>
    <x v="1"/>
    <s v="Self Pay"/>
    <s v="Online Search"/>
    <x v="0"/>
    <n v="60"/>
    <n v="60"/>
    <n v="73.099999999999994"/>
    <n v="1250"/>
    <n v="1250"/>
    <n v="0"/>
    <n v="0"/>
    <n v="1"/>
    <n v="0"/>
    <n v="0.85"/>
  </r>
  <r>
    <s v="APT-00266"/>
    <d v="2025-08-07T00:00:00"/>
    <x v="9"/>
    <x v="2"/>
    <s v="Afternoon"/>
    <x v="2"/>
    <s v="Ernakulam"/>
    <x v="3"/>
    <s v="PT-1060"/>
    <s v="Post-op Rehab"/>
    <x v="2"/>
    <s v="Self Pay"/>
    <s v="Online Search"/>
    <x v="0"/>
    <n v="60"/>
    <n v="60"/>
    <n v="77.3"/>
    <n v="1700"/>
    <n v="1700"/>
    <n v="0"/>
    <n v="0"/>
    <n v="1"/>
    <n v="0"/>
    <n v="0.85"/>
  </r>
  <r>
    <s v="APT-00267"/>
    <d v="2025-06-24T00:00:00"/>
    <x v="4"/>
    <x v="0"/>
    <s v="Morning"/>
    <x v="2"/>
    <s v="Ernakulam"/>
    <x v="12"/>
    <s v="PT-1528"/>
    <s v="Sports Injury"/>
    <x v="1"/>
    <s v="Private Insurance"/>
    <s v="Hospital Discharge"/>
    <x v="0"/>
    <n v="45"/>
    <n v="45"/>
    <n v="56.5"/>
    <n v="1100"/>
    <n v="1100"/>
    <n v="0"/>
    <n v="0"/>
    <n v="1"/>
    <n v="0"/>
    <n v="0.85"/>
  </r>
  <r>
    <s v="APT-00268"/>
    <d v="2025-10-30T00:00:00"/>
    <x v="7"/>
    <x v="2"/>
    <s v="Morning"/>
    <x v="2"/>
    <s v="Ernakulam"/>
    <x v="8"/>
    <s v="PT-1075"/>
    <s v="New Patient"/>
    <x v="3"/>
    <s v="Private Insurance"/>
    <s v="Hospital Discharge"/>
    <x v="0"/>
    <n v="30"/>
    <n v="30"/>
    <n v="34.5"/>
    <n v="900"/>
    <n v="900"/>
    <n v="0"/>
    <n v="0"/>
    <n v="1"/>
    <n v="0"/>
    <n v="0.85"/>
  </r>
  <r>
    <s v="APT-00269"/>
    <d v="2025-12-08T00:00:00"/>
    <x v="0"/>
    <x v="1"/>
    <s v="Midday"/>
    <x v="2"/>
    <s v="Ernakulam"/>
    <x v="14"/>
    <s v="PT-1676"/>
    <s v="New Patient"/>
    <x v="2"/>
    <s v="Self Pay"/>
    <s v="Corporate Wellness"/>
    <x v="0"/>
    <n v="45"/>
    <n v="45"/>
    <n v="52.6"/>
    <n v="1350"/>
    <n v="1350"/>
    <n v="0"/>
    <n v="0"/>
    <n v="1"/>
    <n v="0"/>
    <n v="0.85"/>
  </r>
  <r>
    <s v="APT-00270"/>
    <d v="2025-07-07T00:00:00"/>
    <x v="8"/>
    <x v="1"/>
    <s v="Morning"/>
    <x v="0"/>
    <s v="Palakkad"/>
    <x v="9"/>
    <s v="PT-1337"/>
    <s v="Post-op Rehab"/>
    <x v="5"/>
    <s v="Private Insurance"/>
    <s v="Hospital Discharge"/>
    <x v="0"/>
    <n v="45"/>
    <n v="45"/>
    <n v="52.6"/>
    <n v="1100"/>
    <n v="1100"/>
    <n v="0"/>
    <n v="0"/>
    <n v="1"/>
    <n v="0"/>
    <n v="0.85"/>
  </r>
  <r>
    <s v="APT-00271"/>
    <d v="2025-12-11T00:00:00"/>
    <x v="0"/>
    <x v="2"/>
    <s v="Afternoon"/>
    <x v="2"/>
    <s v="Ernakulam"/>
    <x v="14"/>
    <s v="PT-1268"/>
    <s v="Geriatric Rehab"/>
    <x v="4"/>
    <s v="Corporate Tie-up"/>
    <s v="Hospital Discharge"/>
    <x v="2"/>
    <n v="45"/>
    <n v="0"/>
    <n v="60.7"/>
    <n v="1050"/>
    <n v="0"/>
    <n v="1050"/>
    <n v="0"/>
    <n v="0"/>
    <n v="1"/>
    <n v="0.85"/>
  </r>
  <r>
    <s v="APT-00272"/>
    <d v="2025-03-21T00:00:00"/>
    <x v="3"/>
    <x v="4"/>
    <s v="Evening"/>
    <x v="2"/>
    <s v="Ernakulam"/>
    <x v="14"/>
    <s v="PT-1084"/>
    <s v="Follow-up"/>
    <x v="1"/>
    <s v="Self Pay"/>
    <s v="Online Search"/>
    <x v="0"/>
    <n v="45"/>
    <n v="45"/>
    <n v="54"/>
    <n v="1100"/>
    <n v="1100"/>
    <n v="0"/>
    <n v="0"/>
    <n v="1"/>
    <n v="0"/>
    <n v="0.85"/>
  </r>
  <r>
    <s v="APT-00273"/>
    <d v="2025-09-26T00:00:00"/>
    <x v="2"/>
    <x v="4"/>
    <s v="Midday"/>
    <x v="0"/>
    <s v="Palakkad"/>
    <x v="11"/>
    <s v="PT-1354"/>
    <s v="Follow-up"/>
    <x v="3"/>
    <s v="Corporate Tie-up"/>
    <s v="Neurologist"/>
    <x v="0"/>
    <n v="60"/>
    <n v="60"/>
    <n v="68.5"/>
    <n v="1150"/>
    <n v="1150"/>
    <n v="0"/>
    <n v="0"/>
    <n v="1"/>
    <n v="0"/>
    <n v="0.85"/>
  </r>
  <r>
    <s v="APT-00274"/>
    <d v="2025-02-25T00:00:00"/>
    <x v="5"/>
    <x v="0"/>
    <s v="Afternoon"/>
    <x v="1"/>
    <s v="Thrissur"/>
    <x v="2"/>
    <s v="PT-1179"/>
    <s v="Post-op Rehab"/>
    <x v="2"/>
    <s v="Government Scheme"/>
    <s v="Orthopedic Doctor"/>
    <x v="0"/>
    <n v="45"/>
    <n v="45"/>
    <n v="55"/>
    <n v="1000"/>
    <n v="1000"/>
    <n v="0"/>
    <n v="0"/>
    <n v="1"/>
    <n v="0"/>
    <n v="0.85"/>
  </r>
  <r>
    <s v="APT-00275"/>
    <d v="2025-09-29T00:00:00"/>
    <x v="2"/>
    <x v="1"/>
    <s v="Morning"/>
    <x v="2"/>
    <s v="Ernakulam"/>
    <x v="3"/>
    <s v="PT-1092"/>
    <s v="Follow-up"/>
    <x v="0"/>
    <s v="Self Pay"/>
    <s v="Self Referral"/>
    <x v="0"/>
    <n v="75"/>
    <n v="75"/>
    <n v="86.2"/>
    <n v="1900"/>
    <n v="1900"/>
    <n v="0"/>
    <n v="0"/>
    <n v="1"/>
    <n v="0"/>
    <n v="0.85"/>
  </r>
  <r>
    <s v="APT-00276"/>
    <d v="2025-07-21T00:00:00"/>
    <x v="8"/>
    <x v="1"/>
    <s v="Afternoon"/>
    <x v="1"/>
    <s v="Thrissur"/>
    <x v="10"/>
    <s v="PT-1526"/>
    <s v="New Patient"/>
    <x v="5"/>
    <s v="Self Pay"/>
    <s v="Corporate Wellness"/>
    <x v="0"/>
    <n v="45"/>
    <n v="45"/>
    <n v="57.9"/>
    <n v="1200"/>
    <n v="1200"/>
    <n v="0"/>
    <n v="0"/>
    <n v="1"/>
    <n v="0"/>
    <n v="0.85"/>
  </r>
  <r>
    <s v="APT-00277"/>
    <d v="2025-04-28T00:00:00"/>
    <x v="6"/>
    <x v="1"/>
    <s v="Afternoon"/>
    <x v="1"/>
    <s v="Thrissur"/>
    <x v="2"/>
    <s v="PT-1400"/>
    <s v="Sports Injury"/>
    <x v="2"/>
    <s v="Private Insurance"/>
    <s v="Self Referral"/>
    <x v="0"/>
    <n v="60"/>
    <n v="60"/>
    <n v="79.599999999999994"/>
    <n v="1350"/>
    <n v="1350"/>
    <n v="0"/>
    <n v="0"/>
    <n v="1"/>
    <n v="0"/>
    <n v="0.85"/>
  </r>
  <r>
    <s v="APT-00278"/>
    <d v="2025-11-14T00:00:00"/>
    <x v="1"/>
    <x v="4"/>
    <s v="Midday"/>
    <x v="2"/>
    <s v="Ernakulam"/>
    <x v="14"/>
    <s v="PT-1126"/>
    <s v="Follow-up"/>
    <x v="2"/>
    <s v="Private Insurance"/>
    <s v="Neurologist"/>
    <x v="0"/>
    <n v="30"/>
    <n v="30"/>
    <n v="35.5"/>
    <n v="750"/>
    <n v="750"/>
    <n v="0"/>
    <n v="0"/>
    <n v="1"/>
    <n v="0"/>
    <n v="0.85"/>
  </r>
  <r>
    <s v="APT-00279"/>
    <d v="2025-10-01T00:00:00"/>
    <x v="7"/>
    <x v="3"/>
    <s v="Morning"/>
    <x v="0"/>
    <s v="Palakkad"/>
    <x v="13"/>
    <s v="PT-1137"/>
    <s v="Follow-up"/>
    <x v="5"/>
    <s v="Corporate Tie-up"/>
    <s v="Self Referral"/>
    <x v="0"/>
    <n v="30"/>
    <n v="30"/>
    <n v="32.799999999999997"/>
    <n v="600"/>
    <n v="600"/>
    <n v="0"/>
    <n v="0"/>
    <n v="1"/>
    <n v="0"/>
    <n v="0.85"/>
  </r>
  <r>
    <s v="APT-00280"/>
    <d v="2025-02-19T00:00:00"/>
    <x v="5"/>
    <x v="3"/>
    <s v="Morning"/>
    <x v="1"/>
    <s v="Thrissur"/>
    <x v="5"/>
    <s v="PT-1365"/>
    <s v="New Patient"/>
    <x v="3"/>
    <s v="Private Insurance"/>
    <s v="Corporate Wellness"/>
    <x v="0"/>
    <n v="45"/>
    <n v="45"/>
    <n v="55.2"/>
    <n v="1200"/>
    <n v="1200"/>
    <n v="0"/>
    <n v="0"/>
    <n v="1"/>
    <n v="0"/>
    <n v="0.85"/>
  </r>
  <r>
    <s v="APT-00281"/>
    <d v="2025-05-05T00:00:00"/>
    <x v="10"/>
    <x v="1"/>
    <s v="Morning"/>
    <x v="2"/>
    <s v="Ernakulam"/>
    <x v="4"/>
    <s v="PT-1388"/>
    <s v="Follow-up"/>
    <x v="2"/>
    <s v="Government Scheme"/>
    <s v="Online Search"/>
    <x v="0"/>
    <n v="60"/>
    <n v="60"/>
    <n v="72.3"/>
    <n v="1300"/>
    <n v="1300"/>
    <n v="0"/>
    <n v="0"/>
    <n v="1"/>
    <n v="0"/>
    <n v="0.85"/>
  </r>
  <r>
    <s v="APT-00282"/>
    <d v="2025-07-14T00:00:00"/>
    <x v="8"/>
    <x v="1"/>
    <s v="Midday"/>
    <x v="2"/>
    <s v="Ernakulam"/>
    <x v="14"/>
    <s v="PT-1461"/>
    <s v="Sports Injury"/>
    <x v="1"/>
    <s v="Private Insurance"/>
    <s v="Corporate Wellness"/>
    <x v="0"/>
    <n v="30"/>
    <n v="30"/>
    <n v="33.1"/>
    <n v="750"/>
    <n v="750"/>
    <n v="0"/>
    <n v="0"/>
    <n v="1"/>
    <n v="0"/>
    <n v="0.85"/>
  </r>
  <r>
    <s v="APT-00283"/>
    <d v="2025-03-17T00:00:00"/>
    <x v="3"/>
    <x v="1"/>
    <s v="Evening"/>
    <x v="2"/>
    <s v="Ernakulam"/>
    <x v="4"/>
    <s v="PT-1302"/>
    <s v="Chronic Pain"/>
    <x v="0"/>
    <s v="Self Pay"/>
    <s v="Hospital Discharge"/>
    <x v="0"/>
    <n v="75"/>
    <n v="75"/>
    <n v="100.5"/>
    <n v="1900"/>
    <n v="1900"/>
    <n v="0"/>
    <n v="0"/>
    <n v="1"/>
    <n v="0"/>
    <n v="0.85"/>
  </r>
  <r>
    <s v="APT-00284"/>
    <d v="2025-01-22T00:00:00"/>
    <x v="11"/>
    <x v="3"/>
    <s v="Afternoon"/>
    <x v="2"/>
    <s v="Ernakulam"/>
    <x v="8"/>
    <s v="PT-1525"/>
    <s v="Follow-up"/>
    <x v="2"/>
    <s v="Private Insurance"/>
    <s v="Self Referral"/>
    <x v="0"/>
    <n v="60"/>
    <n v="60"/>
    <n v="76.3"/>
    <n v="1500"/>
    <n v="1500"/>
    <n v="0"/>
    <n v="0"/>
    <n v="1"/>
    <n v="0"/>
    <n v="0.85"/>
  </r>
  <r>
    <s v="APT-00285"/>
    <d v="2025-04-08T00:00:00"/>
    <x v="6"/>
    <x v="0"/>
    <s v="Evening"/>
    <x v="0"/>
    <s v="Palakkad"/>
    <x v="13"/>
    <s v="PT-1554"/>
    <s v="Sports Injury"/>
    <x v="4"/>
    <s v="Self Pay"/>
    <s v="Corporate Wellness"/>
    <x v="0"/>
    <n v="75"/>
    <n v="75"/>
    <n v="99.4"/>
    <n v="1550"/>
    <n v="1550"/>
    <n v="0"/>
    <n v="0"/>
    <n v="1"/>
    <n v="0"/>
    <n v="0.85"/>
  </r>
  <r>
    <s v="APT-00286"/>
    <d v="2025-11-18T00:00:00"/>
    <x v="1"/>
    <x v="0"/>
    <s v="Midday"/>
    <x v="2"/>
    <s v="Ernakulam"/>
    <x v="3"/>
    <s v="PT-1574"/>
    <s v="Follow-up"/>
    <x v="2"/>
    <s v="Corporate Tie-up"/>
    <s v="Hospital Discharge"/>
    <x v="0"/>
    <n v="30"/>
    <n v="30"/>
    <n v="34.1"/>
    <n v="700"/>
    <n v="700"/>
    <n v="0"/>
    <n v="0"/>
    <n v="1"/>
    <n v="0"/>
    <n v="0.85"/>
  </r>
  <r>
    <s v="APT-00287"/>
    <d v="2025-02-07T00:00:00"/>
    <x v="5"/>
    <x v="4"/>
    <s v="Morning"/>
    <x v="1"/>
    <s v="Thrissur"/>
    <x v="10"/>
    <s v="PT-1660"/>
    <s v="Follow-up"/>
    <x v="5"/>
    <s v="Private Insurance"/>
    <s v="Corporate Wellness"/>
    <x v="1"/>
    <n v="60"/>
    <n v="0"/>
    <n v="65.900000000000006"/>
    <n v="1350"/>
    <n v="0"/>
    <n v="1350"/>
    <n v="1"/>
    <n v="0"/>
    <n v="0"/>
    <n v="0.85"/>
  </r>
  <r>
    <s v="APT-00288"/>
    <d v="2025-11-07T00:00:00"/>
    <x v="1"/>
    <x v="4"/>
    <s v="Evening"/>
    <x v="1"/>
    <s v="Thrissur"/>
    <x v="7"/>
    <s v="PT-1425"/>
    <s v="Post-op Rehab"/>
    <x v="3"/>
    <s v="Corporate Tie-up"/>
    <s v="Online Search"/>
    <x v="0"/>
    <n v="30"/>
    <n v="30"/>
    <n v="37.5"/>
    <n v="700"/>
    <n v="700"/>
    <n v="0"/>
    <n v="0"/>
    <n v="1"/>
    <n v="0"/>
    <n v="0.85"/>
  </r>
  <r>
    <s v="APT-00289"/>
    <d v="2025-04-29T00:00:00"/>
    <x v="6"/>
    <x v="0"/>
    <s v="Midday"/>
    <x v="0"/>
    <s v="Palakkad"/>
    <x v="0"/>
    <s v="PT-1340"/>
    <s v="Follow-up"/>
    <x v="3"/>
    <s v="Private Insurance"/>
    <s v="Orthopedic Doctor"/>
    <x v="1"/>
    <n v="45"/>
    <n v="0"/>
    <n v="51.5"/>
    <n v="950"/>
    <n v="0"/>
    <n v="950"/>
    <n v="1"/>
    <n v="0"/>
    <n v="0"/>
    <n v="0.85"/>
  </r>
  <r>
    <s v="APT-00290"/>
    <d v="2025-07-28T00:00:00"/>
    <x v="8"/>
    <x v="1"/>
    <s v="Evening"/>
    <x v="2"/>
    <s v="Ernakulam"/>
    <x v="3"/>
    <s v="PT-1025"/>
    <s v="Follow-up"/>
    <x v="1"/>
    <s v="Private Insurance"/>
    <s v="Neurologist"/>
    <x v="1"/>
    <n v="60"/>
    <n v="0"/>
    <n v="69.900000000000006"/>
    <n v="1500"/>
    <n v="0"/>
    <n v="1500"/>
    <n v="1"/>
    <n v="0"/>
    <n v="0"/>
    <n v="0.85"/>
  </r>
  <r>
    <s v="APT-00291"/>
    <d v="2025-03-24T00:00:00"/>
    <x v="3"/>
    <x v="1"/>
    <s v="Afternoon"/>
    <x v="0"/>
    <s v="Palakkad"/>
    <x v="13"/>
    <s v="PT-1580"/>
    <s v="Chronic Pain"/>
    <x v="0"/>
    <s v="Self Pay"/>
    <s v="Self Referral"/>
    <x v="0"/>
    <n v="90"/>
    <n v="90"/>
    <n v="99.6"/>
    <n v="1900"/>
    <n v="1900"/>
    <n v="0"/>
    <n v="0"/>
    <n v="1"/>
    <n v="0"/>
    <n v="0.85"/>
  </r>
  <r>
    <s v="APT-00292"/>
    <d v="2025-01-09T00:00:00"/>
    <x v="11"/>
    <x v="2"/>
    <s v="Evening"/>
    <x v="2"/>
    <s v="Ernakulam"/>
    <x v="8"/>
    <s v="PT-1119"/>
    <s v="Post-op Rehab"/>
    <x v="2"/>
    <s v="Self Pay"/>
    <s v="Hospital Discharge"/>
    <x v="2"/>
    <n v="45"/>
    <n v="0"/>
    <n v="60.6"/>
    <n v="1300"/>
    <n v="0"/>
    <n v="1300"/>
    <n v="0"/>
    <n v="0"/>
    <n v="1"/>
    <n v="0.85"/>
  </r>
  <r>
    <s v="APT-00293"/>
    <d v="2025-12-10T00:00:00"/>
    <x v="0"/>
    <x v="3"/>
    <s v="Evening"/>
    <x v="0"/>
    <s v="Palakkad"/>
    <x v="0"/>
    <s v="PT-1151"/>
    <s v="Sports Injury"/>
    <x v="2"/>
    <s v="Self Pay"/>
    <s v="Self Referral"/>
    <x v="1"/>
    <n v="45"/>
    <n v="0"/>
    <n v="58.2"/>
    <n v="950"/>
    <n v="0"/>
    <n v="950"/>
    <n v="1"/>
    <n v="0"/>
    <n v="0"/>
    <n v="0.85"/>
  </r>
  <r>
    <s v="APT-00294"/>
    <d v="2025-05-05T00:00:00"/>
    <x v="10"/>
    <x v="1"/>
    <s v="Morning"/>
    <x v="1"/>
    <s v="Thrissur"/>
    <x v="7"/>
    <s v="PT-1328"/>
    <s v="New Patient"/>
    <x v="2"/>
    <s v="Private Insurance"/>
    <s v="Neurologist"/>
    <x v="0"/>
    <n v="45"/>
    <n v="45"/>
    <n v="52.9"/>
    <n v="1200"/>
    <n v="1200"/>
    <n v="0"/>
    <n v="0"/>
    <n v="1"/>
    <n v="0"/>
    <n v="0.85"/>
  </r>
  <r>
    <s v="APT-00295"/>
    <d v="2025-02-27T00:00:00"/>
    <x v="5"/>
    <x v="2"/>
    <s v="Morning"/>
    <x v="0"/>
    <s v="Palakkad"/>
    <x v="6"/>
    <s v="PT-1652"/>
    <s v="Chronic Pain"/>
    <x v="0"/>
    <s v="Government Scheme"/>
    <s v="Neurologist"/>
    <x v="0"/>
    <n v="60"/>
    <n v="60"/>
    <n v="74.2"/>
    <n v="1050"/>
    <n v="1050"/>
    <n v="0"/>
    <n v="0"/>
    <n v="1"/>
    <n v="0"/>
    <n v="0.85"/>
  </r>
  <r>
    <s v="APT-00296"/>
    <d v="2025-03-18T00:00:00"/>
    <x v="3"/>
    <x v="0"/>
    <s v="Afternoon"/>
    <x v="1"/>
    <s v="Thrissur"/>
    <x v="7"/>
    <s v="PT-1617"/>
    <s v="Chronic Pain"/>
    <x v="0"/>
    <s v="Government Scheme"/>
    <s v="Online Search"/>
    <x v="2"/>
    <n v="60"/>
    <n v="0"/>
    <n v="76.3"/>
    <n v="1150"/>
    <n v="0"/>
    <n v="1150"/>
    <n v="0"/>
    <n v="0"/>
    <n v="1"/>
    <n v="0.85"/>
  </r>
  <r>
    <s v="APT-00297"/>
    <d v="2025-02-06T00:00:00"/>
    <x v="5"/>
    <x v="2"/>
    <s v="Evening"/>
    <x v="0"/>
    <s v="Palakkad"/>
    <x v="6"/>
    <s v="PT-1446"/>
    <s v="Post-op Rehab"/>
    <x v="5"/>
    <s v="Private Insurance"/>
    <s v="Self Referral"/>
    <x v="0"/>
    <n v="75"/>
    <n v="75"/>
    <n v="98.2"/>
    <n v="1800"/>
    <n v="1800"/>
    <n v="0"/>
    <n v="0"/>
    <n v="1"/>
    <n v="0"/>
    <n v="0.85"/>
  </r>
  <r>
    <s v="APT-00298"/>
    <d v="2025-07-07T00:00:00"/>
    <x v="8"/>
    <x v="1"/>
    <s v="Morning"/>
    <x v="1"/>
    <s v="Thrissur"/>
    <x v="7"/>
    <s v="PT-1580"/>
    <s v="Sports Injury"/>
    <x v="3"/>
    <s v="Private Insurance"/>
    <s v="Neurologist"/>
    <x v="0"/>
    <n v="90"/>
    <n v="90"/>
    <n v="103.2"/>
    <n v="2000"/>
    <n v="2000"/>
    <n v="0"/>
    <n v="0"/>
    <n v="1"/>
    <n v="0"/>
    <n v="0.85"/>
  </r>
  <r>
    <s v="APT-00299"/>
    <d v="2025-03-07T00:00:00"/>
    <x v="3"/>
    <x v="4"/>
    <s v="Midday"/>
    <x v="1"/>
    <s v="Thrissur"/>
    <x v="10"/>
    <s v="PT-1604"/>
    <s v="Geriatric Rehab"/>
    <x v="4"/>
    <s v="Government Scheme"/>
    <s v="Self Referral"/>
    <x v="0"/>
    <n v="90"/>
    <n v="90"/>
    <n v="103"/>
    <n v="1700"/>
    <n v="1700"/>
    <n v="0"/>
    <n v="0"/>
    <n v="1"/>
    <n v="0"/>
    <n v="0.85"/>
  </r>
  <r>
    <s v="APT-00300"/>
    <d v="2025-11-21T00:00:00"/>
    <x v="1"/>
    <x v="4"/>
    <s v="Afternoon"/>
    <x v="2"/>
    <s v="Ernakulam"/>
    <x v="8"/>
    <s v="PT-1166"/>
    <s v="Geriatric Rehab"/>
    <x v="5"/>
    <s v="Corporate Tie-up"/>
    <s v="Hospital Discharge"/>
    <x v="0"/>
    <n v="75"/>
    <n v="75"/>
    <n v="93.7"/>
    <n v="1700"/>
    <n v="1700"/>
    <n v="0"/>
    <n v="0"/>
    <n v="1"/>
    <n v="0"/>
    <n v="0.85"/>
  </r>
  <r>
    <s v="APT-00301"/>
    <d v="2025-03-28T00:00:00"/>
    <x v="3"/>
    <x v="4"/>
    <s v="Midday"/>
    <x v="2"/>
    <s v="Ernakulam"/>
    <x v="14"/>
    <s v="PT-1304"/>
    <s v="Chronic Pain"/>
    <x v="0"/>
    <s v="Private Insurance"/>
    <s v="Self Referral"/>
    <x v="0"/>
    <n v="45"/>
    <n v="45"/>
    <n v="50.5"/>
    <n v="1100"/>
    <n v="1100"/>
    <n v="0"/>
    <n v="0"/>
    <n v="1"/>
    <n v="0"/>
    <n v="0.85"/>
  </r>
  <r>
    <s v="APT-00302"/>
    <d v="2025-12-08T00:00:00"/>
    <x v="0"/>
    <x v="1"/>
    <s v="Morning"/>
    <x v="0"/>
    <s v="Palakkad"/>
    <x v="6"/>
    <s v="PT-1364"/>
    <s v="Post-op Rehab"/>
    <x v="1"/>
    <s v="Government Scheme"/>
    <s v="Corporate Wellness"/>
    <x v="0"/>
    <n v="60"/>
    <n v="60"/>
    <n v="65.900000000000006"/>
    <n v="1200"/>
    <n v="1200"/>
    <n v="0"/>
    <n v="0"/>
    <n v="1"/>
    <n v="0"/>
    <n v="0.85"/>
  </r>
  <r>
    <s v="APT-00303"/>
    <d v="2025-03-03T00:00:00"/>
    <x v="3"/>
    <x v="1"/>
    <s v="Midday"/>
    <x v="0"/>
    <s v="Palakkad"/>
    <x v="9"/>
    <s v="PT-1544"/>
    <s v="New Patient"/>
    <x v="4"/>
    <s v="Private Insurance"/>
    <s v="Orthopedic Doctor"/>
    <x v="0"/>
    <n v="45"/>
    <n v="45"/>
    <n v="58.4"/>
    <n v="1100"/>
    <n v="1100"/>
    <n v="0"/>
    <n v="0"/>
    <n v="1"/>
    <n v="0"/>
    <n v="0.85"/>
  </r>
  <r>
    <s v="APT-00304"/>
    <d v="2025-05-17T00:00:00"/>
    <x v="10"/>
    <x v="5"/>
    <s v="Evening"/>
    <x v="2"/>
    <s v="Ernakulam"/>
    <x v="4"/>
    <s v="PT-1374"/>
    <s v="Sports Injury"/>
    <x v="4"/>
    <s v="Private Insurance"/>
    <s v="Self Referral"/>
    <x v="0"/>
    <n v="90"/>
    <n v="90"/>
    <n v="114.4"/>
    <n v="2250"/>
    <n v="2250"/>
    <n v="0"/>
    <n v="0"/>
    <n v="1"/>
    <n v="0"/>
    <n v="0.85"/>
  </r>
  <r>
    <s v="APT-00305"/>
    <d v="2025-02-14T00:00:00"/>
    <x v="5"/>
    <x v="4"/>
    <s v="Evening"/>
    <x v="1"/>
    <s v="Thrissur"/>
    <x v="5"/>
    <s v="PT-1491"/>
    <s v="Follow-up"/>
    <x v="4"/>
    <s v="Corporate Tie-up"/>
    <s v="Hospital Discharge"/>
    <x v="0"/>
    <n v="45"/>
    <n v="45"/>
    <n v="57.2"/>
    <n v="950"/>
    <n v="950"/>
    <n v="0"/>
    <n v="0"/>
    <n v="1"/>
    <n v="0"/>
    <n v="0.85"/>
  </r>
  <r>
    <s v="APT-00306"/>
    <d v="2025-07-29T00:00:00"/>
    <x v="8"/>
    <x v="0"/>
    <s v="Evening"/>
    <x v="2"/>
    <s v="Ernakulam"/>
    <x v="8"/>
    <s v="PT-1476"/>
    <s v="Follow-up"/>
    <x v="5"/>
    <s v="Government Scheme"/>
    <s v="Corporate Wellness"/>
    <x v="0"/>
    <n v="90"/>
    <n v="90"/>
    <n v="105.2"/>
    <n v="1900"/>
    <n v="1900"/>
    <n v="0"/>
    <n v="0"/>
    <n v="1"/>
    <n v="0"/>
    <n v="0.85"/>
  </r>
  <r>
    <s v="APT-00307"/>
    <d v="2025-07-21T00:00:00"/>
    <x v="8"/>
    <x v="1"/>
    <s v="Midday"/>
    <x v="1"/>
    <s v="Thrissur"/>
    <x v="7"/>
    <s v="PT-1060"/>
    <s v="Follow-up"/>
    <x v="0"/>
    <s v="Self Pay"/>
    <s v="Corporate Wellness"/>
    <x v="0"/>
    <n v="45"/>
    <n v="45"/>
    <n v="56.3"/>
    <n v="1000"/>
    <n v="1000"/>
    <n v="0"/>
    <n v="0"/>
    <n v="1"/>
    <n v="0"/>
    <n v="0.85"/>
  </r>
  <r>
    <s v="APT-00308"/>
    <d v="2025-02-03T00:00:00"/>
    <x v="5"/>
    <x v="1"/>
    <s v="Evening"/>
    <x v="0"/>
    <s v="Palakkad"/>
    <x v="11"/>
    <s v="PT-1311"/>
    <s v="Follow-up"/>
    <x v="5"/>
    <s v="Corporate Tie-up"/>
    <s v="Self Referral"/>
    <x v="1"/>
    <n v="45"/>
    <n v="0"/>
    <n v="55.7"/>
    <n v="850"/>
    <n v="0"/>
    <n v="850"/>
    <n v="1"/>
    <n v="0"/>
    <n v="0"/>
    <n v="0.85"/>
  </r>
  <r>
    <s v="APT-00309"/>
    <d v="2025-12-10T00:00:00"/>
    <x v="0"/>
    <x v="3"/>
    <s v="Afternoon"/>
    <x v="2"/>
    <s v="Ernakulam"/>
    <x v="4"/>
    <s v="PT-1310"/>
    <s v="Follow-up"/>
    <x v="5"/>
    <s v="Self Pay"/>
    <s v="Hospital Discharge"/>
    <x v="0"/>
    <n v="60"/>
    <n v="60"/>
    <n v="78.5"/>
    <n v="1500"/>
    <n v="1500"/>
    <n v="0"/>
    <n v="0"/>
    <n v="1"/>
    <n v="0"/>
    <n v="0.85"/>
  </r>
  <r>
    <s v="APT-00310"/>
    <d v="2025-08-29T00:00:00"/>
    <x v="9"/>
    <x v="4"/>
    <s v="Midday"/>
    <x v="2"/>
    <s v="Ernakulam"/>
    <x v="14"/>
    <s v="PT-1594"/>
    <s v="Post-op Rehab"/>
    <x v="0"/>
    <s v="Private Insurance"/>
    <s v="Self Referral"/>
    <x v="1"/>
    <n v="90"/>
    <n v="0"/>
    <n v="111.7"/>
    <n v="2600"/>
    <n v="0"/>
    <n v="2600"/>
    <n v="1"/>
    <n v="0"/>
    <n v="0"/>
    <n v="0.85"/>
  </r>
  <r>
    <s v="APT-00311"/>
    <d v="2025-04-21T00:00:00"/>
    <x v="6"/>
    <x v="1"/>
    <s v="Morning"/>
    <x v="0"/>
    <s v="Palakkad"/>
    <x v="0"/>
    <s v="PT-1659"/>
    <s v="Follow-up"/>
    <x v="4"/>
    <s v="Self Pay"/>
    <s v="Self Referral"/>
    <x v="0"/>
    <n v="90"/>
    <n v="90"/>
    <n v="113.3"/>
    <n v="1900"/>
    <n v="1900"/>
    <n v="0"/>
    <n v="0"/>
    <n v="1"/>
    <n v="0"/>
    <n v="0.85"/>
  </r>
  <r>
    <s v="APT-00312"/>
    <d v="2025-05-09T00:00:00"/>
    <x v="10"/>
    <x v="4"/>
    <s v="Afternoon"/>
    <x v="0"/>
    <s v="Palakkad"/>
    <x v="13"/>
    <s v="PT-1690"/>
    <s v="Sports Injury"/>
    <x v="4"/>
    <s v="Government Scheme"/>
    <s v="Hospital Discharge"/>
    <x v="0"/>
    <n v="45"/>
    <n v="45"/>
    <n v="52.8"/>
    <n v="800"/>
    <n v="800"/>
    <n v="0"/>
    <n v="0"/>
    <n v="1"/>
    <n v="0"/>
    <n v="0.85"/>
  </r>
  <r>
    <s v="APT-00313"/>
    <d v="2025-10-08T00:00:00"/>
    <x v="7"/>
    <x v="3"/>
    <s v="Evening"/>
    <x v="0"/>
    <s v="Palakkad"/>
    <x v="0"/>
    <s v="PT-1543"/>
    <s v="Geriatric Rehab"/>
    <x v="5"/>
    <s v="Self Pay"/>
    <s v="Neurologist"/>
    <x v="0"/>
    <n v="75"/>
    <n v="75"/>
    <n v="100.6"/>
    <n v="1550"/>
    <n v="1550"/>
    <n v="0"/>
    <n v="0"/>
    <n v="1"/>
    <n v="0"/>
    <n v="0.85"/>
  </r>
  <r>
    <s v="APT-00314"/>
    <d v="2025-12-15T00:00:00"/>
    <x v="0"/>
    <x v="1"/>
    <s v="Midday"/>
    <x v="0"/>
    <s v="Palakkad"/>
    <x v="13"/>
    <s v="PT-1575"/>
    <s v="Post-op Rehab"/>
    <x v="0"/>
    <s v="Private Insurance"/>
    <s v="Orthopedic Doctor"/>
    <x v="0"/>
    <n v="60"/>
    <n v="60"/>
    <n v="71.099999999999994"/>
    <n v="1450"/>
    <n v="1450"/>
    <n v="0"/>
    <n v="0"/>
    <n v="1"/>
    <n v="0"/>
    <n v="0.85"/>
  </r>
  <r>
    <s v="APT-00315"/>
    <d v="2025-03-22T00:00:00"/>
    <x v="3"/>
    <x v="5"/>
    <s v="Afternoon"/>
    <x v="0"/>
    <s v="Palakkad"/>
    <x v="13"/>
    <s v="PT-1576"/>
    <s v="New Patient"/>
    <x v="2"/>
    <s v="Private Insurance"/>
    <s v="Online Search"/>
    <x v="1"/>
    <n v="60"/>
    <n v="0"/>
    <n v="65.5"/>
    <n v="1500"/>
    <n v="0"/>
    <n v="1500"/>
    <n v="1"/>
    <n v="0"/>
    <n v="0"/>
    <n v="0.85"/>
  </r>
  <r>
    <s v="APT-00316"/>
    <d v="2025-07-11T00:00:00"/>
    <x v="8"/>
    <x v="4"/>
    <s v="Morning"/>
    <x v="2"/>
    <s v="Ernakulam"/>
    <x v="3"/>
    <s v="PT-1272"/>
    <s v="Chronic Pain"/>
    <x v="0"/>
    <s v="Self Pay"/>
    <s v="Self Referral"/>
    <x v="0"/>
    <n v="90"/>
    <n v="90"/>
    <n v="106.3"/>
    <n v="2250"/>
    <n v="2250"/>
    <n v="0"/>
    <n v="0"/>
    <n v="1"/>
    <n v="0"/>
    <n v="0.85"/>
  </r>
  <r>
    <s v="APT-00317"/>
    <d v="2025-08-04T00:00:00"/>
    <x v="9"/>
    <x v="1"/>
    <s v="Afternoon"/>
    <x v="0"/>
    <s v="Palakkad"/>
    <x v="0"/>
    <s v="PT-1322"/>
    <s v="Post-op Rehab"/>
    <x v="3"/>
    <s v="Private Insurance"/>
    <s v="Neurologist"/>
    <x v="0"/>
    <n v="60"/>
    <n v="60"/>
    <n v="65.599999999999994"/>
    <n v="1450"/>
    <n v="1450"/>
    <n v="0"/>
    <n v="0"/>
    <n v="1"/>
    <n v="0"/>
    <n v="0.85"/>
  </r>
  <r>
    <s v="APT-00318"/>
    <d v="2025-12-29T00:00:00"/>
    <x v="0"/>
    <x v="1"/>
    <s v="Morning"/>
    <x v="2"/>
    <s v="Ernakulam"/>
    <x v="14"/>
    <s v="PT-1392"/>
    <s v="New Patient"/>
    <x v="2"/>
    <s v="Self Pay"/>
    <s v="Corporate Wellness"/>
    <x v="0"/>
    <n v="45"/>
    <n v="45"/>
    <n v="50.4"/>
    <n v="1350"/>
    <n v="1350"/>
    <n v="0"/>
    <n v="0"/>
    <n v="1"/>
    <n v="0"/>
    <n v="0.85"/>
  </r>
  <r>
    <s v="APT-00319"/>
    <d v="2025-07-25T00:00:00"/>
    <x v="8"/>
    <x v="4"/>
    <s v="Midday"/>
    <x v="1"/>
    <s v="Thrissur"/>
    <x v="5"/>
    <s v="PT-1399"/>
    <s v="Geriatric Rehab"/>
    <x v="2"/>
    <s v="Private Insurance"/>
    <s v="Orthopedic Doctor"/>
    <x v="0"/>
    <n v="60"/>
    <n v="60"/>
    <n v="71.7"/>
    <n v="1350"/>
    <n v="1350"/>
    <n v="0"/>
    <n v="0"/>
    <n v="1"/>
    <n v="0"/>
    <n v="0.85"/>
  </r>
  <r>
    <s v="APT-00320"/>
    <d v="2025-03-27T00:00:00"/>
    <x v="3"/>
    <x v="2"/>
    <s v="Afternoon"/>
    <x v="1"/>
    <s v="Thrissur"/>
    <x v="7"/>
    <s v="PT-1078"/>
    <s v="New Patient"/>
    <x v="5"/>
    <s v="Private Insurance"/>
    <s v="Hospital Discharge"/>
    <x v="0"/>
    <n v="30"/>
    <n v="30"/>
    <n v="37.299999999999997"/>
    <n v="800"/>
    <n v="800"/>
    <n v="0"/>
    <n v="0"/>
    <n v="1"/>
    <n v="0"/>
    <n v="0.85"/>
  </r>
  <r>
    <s v="APT-00321"/>
    <d v="2025-05-27T00:00:00"/>
    <x v="10"/>
    <x v="0"/>
    <s v="Evening"/>
    <x v="0"/>
    <s v="Palakkad"/>
    <x v="9"/>
    <s v="PT-1375"/>
    <s v="Sports Injury"/>
    <x v="4"/>
    <s v="Private Insurance"/>
    <s v="Corporate Wellness"/>
    <x v="0"/>
    <n v="45"/>
    <n v="45"/>
    <n v="56.2"/>
    <n v="950"/>
    <n v="950"/>
    <n v="0"/>
    <n v="0"/>
    <n v="1"/>
    <n v="0"/>
    <n v="0.85"/>
  </r>
  <r>
    <s v="APT-00322"/>
    <d v="2025-11-22T00:00:00"/>
    <x v="1"/>
    <x v="5"/>
    <s v="Morning"/>
    <x v="1"/>
    <s v="Thrissur"/>
    <x v="7"/>
    <s v="PT-1676"/>
    <s v="Follow-up"/>
    <x v="4"/>
    <s v="Self Pay"/>
    <s v="Hospital Discharge"/>
    <x v="0"/>
    <n v="60"/>
    <n v="60"/>
    <n v="78"/>
    <n v="1350"/>
    <n v="1350"/>
    <n v="0"/>
    <n v="0"/>
    <n v="1"/>
    <n v="0"/>
    <n v="0.85"/>
  </r>
  <r>
    <s v="APT-00323"/>
    <d v="2025-09-11T00:00:00"/>
    <x v="2"/>
    <x v="2"/>
    <s v="Evening"/>
    <x v="0"/>
    <s v="Palakkad"/>
    <x v="0"/>
    <s v="PT-1081"/>
    <s v="Follow-up"/>
    <x v="4"/>
    <s v="Self Pay"/>
    <s v="Online Search"/>
    <x v="0"/>
    <n v="45"/>
    <n v="45"/>
    <n v="54.9"/>
    <n v="950"/>
    <n v="950"/>
    <n v="0"/>
    <n v="0"/>
    <n v="1"/>
    <n v="0"/>
    <n v="0.85"/>
  </r>
  <r>
    <s v="APT-00324"/>
    <d v="2025-03-31T00:00:00"/>
    <x v="3"/>
    <x v="1"/>
    <s v="Afternoon"/>
    <x v="0"/>
    <s v="Palakkad"/>
    <x v="0"/>
    <s v="PT-1374"/>
    <s v="Sports Injury"/>
    <x v="2"/>
    <s v="Private Insurance"/>
    <s v="Hospital Discharge"/>
    <x v="0"/>
    <n v="60"/>
    <n v="60"/>
    <n v="65.599999999999994"/>
    <n v="1250"/>
    <n v="1250"/>
    <n v="0"/>
    <n v="0"/>
    <n v="1"/>
    <n v="0"/>
    <n v="0.85"/>
  </r>
  <r>
    <s v="APT-00325"/>
    <d v="2025-01-17T00:00:00"/>
    <x v="11"/>
    <x v="4"/>
    <s v="Evening"/>
    <x v="2"/>
    <s v="Ernakulam"/>
    <x v="14"/>
    <s v="PT-1187"/>
    <s v="Follow-up"/>
    <x v="0"/>
    <s v="Private Insurance"/>
    <s v="Orthopedic Doctor"/>
    <x v="1"/>
    <n v="60"/>
    <n v="0"/>
    <n v="74.599999999999994"/>
    <n v="1500"/>
    <n v="0"/>
    <n v="1500"/>
    <n v="1"/>
    <n v="0"/>
    <n v="0"/>
    <n v="0.85"/>
  </r>
  <r>
    <s v="APT-00326"/>
    <d v="2025-03-24T00:00:00"/>
    <x v="3"/>
    <x v="1"/>
    <s v="Evening"/>
    <x v="2"/>
    <s v="Ernakulam"/>
    <x v="3"/>
    <s v="PT-1018"/>
    <s v="Chronic Pain"/>
    <x v="0"/>
    <s v="Self Pay"/>
    <s v="Online Search"/>
    <x v="0"/>
    <n v="60"/>
    <n v="60"/>
    <n v="80.400000000000006"/>
    <n v="1500"/>
    <n v="1500"/>
    <n v="0"/>
    <n v="0"/>
    <n v="1"/>
    <n v="0"/>
    <n v="0.85"/>
  </r>
  <r>
    <s v="APT-00327"/>
    <d v="2025-12-12T00:00:00"/>
    <x v="0"/>
    <x v="4"/>
    <s v="Midday"/>
    <x v="1"/>
    <s v="Thrissur"/>
    <x v="1"/>
    <s v="PT-1233"/>
    <s v="New Patient"/>
    <x v="5"/>
    <s v="Corporate Tie-up"/>
    <s v="Neurologist"/>
    <x v="0"/>
    <n v="45"/>
    <n v="45"/>
    <n v="54.8"/>
    <n v="1100"/>
    <n v="1100"/>
    <n v="0"/>
    <n v="0"/>
    <n v="1"/>
    <n v="0"/>
    <n v="0.85"/>
  </r>
  <r>
    <s v="APT-00328"/>
    <d v="2025-06-16T00:00:00"/>
    <x v="4"/>
    <x v="1"/>
    <s v="Midday"/>
    <x v="0"/>
    <s v="Palakkad"/>
    <x v="6"/>
    <s v="PT-1453"/>
    <s v="Geriatric Rehab"/>
    <x v="4"/>
    <s v="Corporate Tie-up"/>
    <s v="Self Referral"/>
    <x v="0"/>
    <n v="45"/>
    <n v="45"/>
    <n v="56.5"/>
    <n v="850"/>
    <n v="850"/>
    <n v="0"/>
    <n v="0"/>
    <n v="1"/>
    <n v="0"/>
    <n v="0.85"/>
  </r>
  <r>
    <s v="APT-00329"/>
    <d v="2025-08-16T00:00:00"/>
    <x v="9"/>
    <x v="5"/>
    <s v="Morning"/>
    <x v="2"/>
    <s v="Ernakulam"/>
    <x v="3"/>
    <s v="PT-1487"/>
    <s v="Geriatric Rehab"/>
    <x v="4"/>
    <s v="Government Scheme"/>
    <s v="Self Referral"/>
    <x v="1"/>
    <n v="60"/>
    <n v="0"/>
    <n v="66.400000000000006"/>
    <n v="1300"/>
    <n v="0"/>
    <n v="1300"/>
    <n v="1"/>
    <n v="0"/>
    <n v="0"/>
    <n v="0.85"/>
  </r>
  <r>
    <s v="APT-00330"/>
    <d v="2025-11-04T00:00:00"/>
    <x v="1"/>
    <x v="0"/>
    <s v="Afternoon"/>
    <x v="0"/>
    <s v="Palakkad"/>
    <x v="6"/>
    <s v="PT-1440"/>
    <s v="Follow-up"/>
    <x v="4"/>
    <s v="Self Pay"/>
    <s v="Online Search"/>
    <x v="1"/>
    <n v="60"/>
    <n v="0"/>
    <n v="65.7"/>
    <n v="1250"/>
    <n v="0"/>
    <n v="1250"/>
    <n v="1"/>
    <n v="0"/>
    <n v="0"/>
    <n v="0.85"/>
  </r>
  <r>
    <s v="APT-00331"/>
    <d v="2025-05-06T00:00:00"/>
    <x v="10"/>
    <x v="0"/>
    <s v="Evening"/>
    <x v="2"/>
    <s v="Ernakulam"/>
    <x v="4"/>
    <s v="PT-1441"/>
    <s v="Follow-up"/>
    <x v="0"/>
    <s v="Self Pay"/>
    <s v="Corporate Wellness"/>
    <x v="0"/>
    <n v="30"/>
    <n v="30"/>
    <n v="37"/>
    <n v="750"/>
    <n v="750"/>
    <n v="0"/>
    <n v="0"/>
    <n v="1"/>
    <n v="0"/>
    <n v="0.85"/>
  </r>
  <r>
    <s v="APT-00332"/>
    <d v="2025-07-23T00:00:00"/>
    <x v="8"/>
    <x v="3"/>
    <s v="Midday"/>
    <x v="1"/>
    <s v="Thrissur"/>
    <x v="1"/>
    <s v="PT-1227"/>
    <s v="New Patient"/>
    <x v="3"/>
    <s v="Self Pay"/>
    <s v="Self Referral"/>
    <x v="0"/>
    <n v="75"/>
    <n v="75"/>
    <n v="88"/>
    <n v="2000"/>
    <n v="2000"/>
    <n v="0"/>
    <n v="0"/>
    <n v="1"/>
    <n v="0"/>
    <n v="0.85"/>
  </r>
  <r>
    <s v="APT-00333"/>
    <d v="2025-11-06T00:00:00"/>
    <x v="1"/>
    <x v="2"/>
    <s v="Evening"/>
    <x v="1"/>
    <s v="Thrissur"/>
    <x v="2"/>
    <s v="PT-1414"/>
    <s v="Follow-up"/>
    <x v="3"/>
    <s v="Self Pay"/>
    <s v="Neurologist"/>
    <x v="0"/>
    <n v="75"/>
    <n v="75"/>
    <n v="92.3"/>
    <n v="1700"/>
    <n v="1700"/>
    <n v="0"/>
    <n v="0"/>
    <n v="1"/>
    <n v="0"/>
    <n v="0.85"/>
  </r>
  <r>
    <s v="APT-00334"/>
    <d v="2025-01-16T00:00:00"/>
    <x v="11"/>
    <x v="2"/>
    <s v="Morning"/>
    <x v="2"/>
    <s v="Ernakulam"/>
    <x v="3"/>
    <s v="PT-1659"/>
    <s v="Follow-up"/>
    <x v="3"/>
    <s v="Private Insurance"/>
    <s v="Online Search"/>
    <x v="0"/>
    <n v="60"/>
    <n v="60"/>
    <n v="74.7"/>
    <n v="1500"/>
    <n v="1500"/>
    <n v="0"/>
    <n v="0"/>
    <n v="1"/>
    <n v="0"/>
    <n v="0.85"/>
  </r>
  <r>
    <s v="APT-00335"/>
    <d v="2025-10-02T00:00:00"/>
    <x v="7"/>
    <x v="2"/>
    <s v="Morning"/>
    <x v="1"/>
    <s v="Thrissur"/>
    <x v="5"/>
    <s v="PT-1595"/>
    <s v="New Patient"/>
    <x v="0"/>
    <s v="Private Insurance"/>
    <s v="Corporate Wellness"/>
    <x v="0"/>
    <n v="45"/>
    <n v="45"/>
    <n v="53.8"/>
    <n v="1200"/>
    <n v="1200"/>
    <n v="0"/>
    <n v="0"/>
    <n v="1"/>
    <n v="0"/>
    <n v="0.85"/>
  </r>
  <r>
    <s v="APT-00336"/>
    <d v="2025-01-30T00:00:00"/>
    <x v="11"/>
    <x v="2"/>
    <s v="Midday"/>
    <x v="2"/>
    <s v="Ernakulam"/>
    <x v="8"/>
    <s v="PT-1025"/>
    <s v="New Patient"/>
    <x v="4"/>
    <s v="Private Insurance"/>
    <s v="Self Referral"/>
    <x v="1"/>
    <n v="60"/>
    <n v="0"/>
    <n v="74.7"/>
    <n v="1800"/>
    <n v="0"/>
    <n v="1800"/>
    <n v="1"/>
    <n v="0"/>
    <n v="0"/>
    <n v="0.85"/>
  </r>
  <r>
    <s v="APT-00337"/>
    <d v="2025-04-04T00:00:00"/>
    <x v="6"/>
    <x v="4"/>
    <s v="Evening"/>
    <x v="2"/>
    <s v="Ernakulam"/>
    <x v="14"/>
    <s v="PT-1185"/>
    <s v="New Patient"/>
    <x v="3"/>
    <s v="Self Pay"/>
    <s v="Corporate Wellness"/>
    <x v="1"/>
    <n v="45"/>
    <n v="0"/>
    <n v="57.5"/>
    <n v="1350"/>
    <n v="0"/>
    <n v="1350"/>
    <n v="1"/>
    <n v="0"/>
    <n v="0"/>
    <n v="0.85"/>
  </r>
  <r>
    <s v="APT-00338"/>
    <d v="2025-10-27T00:00:00"/>
    <x v="7"/>
    <x v="1"/>
    <s v="Midday"/>
    <x v="0"/>
    <s v="Palakkad"/>
    <x v="0"/>
    <s v="PT-1429"/>
    <s v="Post-op Rehab"/>
    <x v="5"/>
    <s v="Self Pay"/>
    <s v="Self Referral"/>
    <x v="1"/>
    <n v="60"/>
    <n v="0"/>
    <n v="74.599999999999994"/>
    <n v="1450"/>
    <n v="0"/>
    <n v="1450"/>
    <n v="1"/>
    <n v="0"/>
    <n v="0"/>
    <n v="0.85"/>
  </r>
  <r>
    <s v="APT-00339"/>
    <d v="2025-05-28T00:00:00"/>
    <x v="10"/>
    <x v="3"/>
    <s v="Midday"/>
    <x v="1"/>
    <s v="Thrissur"/>
    <x v="10"/>
    <s v="PT-1501"/>
    <s v="New Patient"/>
    <x v="0"/>
    <s v="Self Pay"/>
    <s v="Neurologist"/>
    <x v="0"/>
    <n v="75"/>
    <n v="75"/>
    <n v="81.5"/>
    <n v="2000"/>
    <n v="2000"/>
    <n v="0"/>
    <n v="0"/>
    <n v="1"/>
    <n v="0"/>
    <n v="0.85"/>
  </r>
  <r>
    <s v="APT-00340"/>
    <d v="2025-07-28T00:00:00"/>
    <x v="8"/>
    <x v="1"/>
    <s v="Evening"/>
    <x v="0"/>
    <s v="Palakkad"/>
    <x v="9"/>
    <s v="PT-1046"/>
    <s v="Geriatric Rehab"/>
    <x v="1"/>
    <s v="Corporate Tie-up"/>
    <s v="Hospital Discharge"/>
    <x v="0"/>
    <n v="75"/>
    <n v="75"/>
    <n v="86.9"/>
    <n v="1450"/>
    <n v="1450"/>
    <n v="0"/>
    <n v="0"/>
    <n v="1"/>
    <n v="0"/>
    <n v="0.85"/>
  </r>
  <r>
    <s v="APT-00341"/>
    <d v="2025-05-31T00:00:00"/>
    <x v="10"/>
    <x v="5"/>
    <s v="Midday"/>
    <x v="1"/>
    <s v="Thrissur"/>
    <x v="2"/>
    <s v="PT-1630"/>
    <s v="Sports Injury"/>
    <x v="0"/>
    <s v="Self Pay"/>
    <s v="Online Search"/>
    <x v="1"/>
    <n v="60"/>
    <n v="0"/>
    <n v="67.3"/>
    <n v="1350"/>
    <n v="0"/>
    <n v="1350"/>
    <n v="1"/>
    <n v="0"/>
    <n v="0"/>
    <n v="0.85"/>
  </r>
  <r>
    <s v="APT-00342"/>
    <d v="2025-03-06T00:00:00"/>
    <x v="3"/>
    <x v="2"/>
    <s v="Evening"/>
    <x v="1"/>
    <s v="Thrissur"/>
    <x v="5"/>
    <s v="PT-1279"/>
    <s v="Post-op Rehab"/>
    <x v="2"/>
    <s v="Private Insurance"/>
    <s v="Self Referral"/>
    <x v="0"/>
    <n v="60"/>
    <n v="60"/>
    <n v="80.099999999999994"/>
    <n v="1550"/>
    <n v="1550"/>
    <n v="0"/>
    <n v="0"/>
    <n v="1"/>
    <n v="0"/>
    <n v="0.85"/>
  </r>
  <r>
    <s v="APT-00343"/>
    <d v="2025-05-03T00:00:00"/>
    <x v="10"/>
    <x v="5"/>
    <s v="Midday"/>
    <x v="1"/>
    <s v="Thrissur"/>
    <x v="1"/>
    <s v="PT-1320"/>
    <s v="New Patient"/>
    <x v="3"/>
    <s v="Private Insurance"/>
    <s v="Neurologist"/>
    <x v="0"/>
    <n v="45"/>
    <n v="45"/>
    <n v="54.3"/>
    <n v="1200"/>
    <n v="1200"/>
    <n v="0"/>
    <n v="0"/>
    <n v="1"/>
    <n v="0"/>
    <n v="0.85"/>
  </r>
  <r>
    <s v="APT-00344"/>
    <d v="2025-01-11T00:00:00"/>
    <x v="11"/>
    <x v="5"/>
    <s v="Morning"/>
    <x v="0"/>
    <s v="Palakkad"/>
    <x v="6"/>
    <s v="PT-1362"/>
    <s v="Sports Injury"/>
    <x v="0"/>
    <s v="Private Insurance"/>
    <s v="Hospital Discharge"/>
    <x v="0"/>
    <n v="75"/>
    <n v="75"/>
    <n v="93.4"/>
    <n v="1550"/>
    <n v="1550"/>
    <n v="0"/>
    <n v="0"/>
    <n v="1"/>
    <n v="0"/>
    <n v="0.85"/>
  </r>
  <r>
    <s v="APT-00345"/>
    <d v="2025-12-02T00:00:00"/>
    <x v="0"/>
    <x v="0"/>
    <s v="Evening"/>
    <x v="2"/>
    <s v="Ernakulam"/>
    <x v="14"/>
    <s v="PT-1301"/>
    <s v="Follow-up"/>
    <x v="1"/>
    <s v="Private Insurance"/>
    <s v="Orthopedic Doctor"/>
    <x v="0"/>
    <n v="45"/>
    <n v="45"/>
    <n v="60.2"/>
    <n v="1100"/>
    <n v="1100"/>
    <n v="0"/>
    <n v="0"/>
    <n v="1"/>
    <n v="0"/>
    <n v="0.85"/>
  </r>
  <r>
    <s v="APT-00346"/>
    <d v="2025-06-05T00:00:00"/>
    <x v="4"/>
    <x v="2"/>
    <s v="Evening"/>
    <x v="2"/>
    <s v="Ernakulam"/>
    <x v="8"/>
    <s v="PT-1318"/>
    <s v="Chronic Pain"/>
    <x v="0"/>
    <s v="Corporate Tie-up"/>
    <s v="Online Search"/>
    <x v="0"/>
    <n v="90"/>
    <n v="90"/>
    <n v="115.4"/>
    <n v="2050"/>
    <n v="2050"/>
    <n v="0"/>
    <n v="0"/>
    <n v="1"/>
    <n v="0"/>
    <n v="0.85"/>
  </r>
  <r>
    <s v="APT-00347"/>
    <d v="2025-11-04T00:00:00"/>
    <x v="1"/>
    <x v="0"/>
    <s v="Afternoon"/>
    <x v="0"/>
    <s v="Palakkad"/>
    <x v="6"/>
    <s v="PT-1418"/>
    <s v="New Patient"/>
    <x v="1"/>
    <s v="Private Insurance"/>
    <s v="Orthopedic Doctor"/>
    <x v="0"/>
    <n v="60"/>
    <n v="60"/>
    <n v="75.3"/>
    <n v="1500"/>
    <n v="1500"/>
    <n v="0"/>
    <n v="0"/>
    <n v="1"/>
    <n v="0"/>
    <n v="0.85"/>
  </r>
  <r>
    <s v="APT-00348"/>
    <d v="2025-09-13T00:00:00"/>
    <x v="2"/>
    <x v="5"/>
    <s v="Afternoon"/>
    <x v="1"/>
    <s v="Thrissur"/>
    <x v="5"/>
    <s v="PT-1364"/>
    <s v="Follow-up"/>
    <x v="2"/>
    <s v="Government Scheme"/>
    <s v="Neurologist"/>
    <x v="0"/>
    <n v="90"/>
    <n v="90"/>
    <n v="106.7"/>
    <n v="1700"/>
    <n v="1700"/>
    <n v="0"/>
    <n v="0"/>
    <n v="1"/>
    <n v="0"/>
    <n v="0.85"/>
  </r>
  <r>
    <s v="APT-00349"/>
    <d v="2025-08-04T00:00:00"/>
    <x v="9"/>
    <x v="1"/>
    <s v="Midday"/>
    <x v="1"/>
    <s v="Thrissur"/>
    <x v="5"/>
    <s v="PT-1064"/>
    <s v="Follow-up"/>
    <x v="3"/>
    <s v="Self Pay"/>
    <s v="Self Referral"/>
    <x v="0"/>
    <n v="60"/>
    <n v="60"/>
    <n v="76.099999999999994"/>
    <n v="1350"/>
    <n v="1350"/>
    <n v="0"/>
    <n v="0"/>
    <n v="1"/>
    <n v="0"/>
    <n v="0.85"/>
  </r>
  <r>
    <s v="APT-00350"/>
    <d v="2025-03-01T00:00:00"/>
    <x v="3"/>
    <x v="5"/>
    <s v="Afternoon"/>
    <x v="1"/>
    <s v="Thrissur"/>
    <x v="7"/>
    <s v="PT-1362"/>
    <s v="Follow-up"/>
    <x v="1"/>
    <s v="Corporate Tie-up"/>
    <s v="Corporate Wellness"/>
    <x v="0"/>
    <n v="30"/>
    <n v="30"/>
    <n v="33.5"/>
    <n v="600"/>
    <n v="600"/>
    <n v="0"/>
    <n v="0"/>
    <n v="1"/>
    <n v="0"/>
    <n v="0.85"/>
  </r>
  <r>
    <s v="APT-00351"/>
    <d v="2025-10-20T00:00:00"/>
    <x v="7"/>
    <x v="1"/>
    <s v="Morning"/>
    <x v="1"/>
    <s v="Thrissur"/>
    <x v="10"/>
    <s v="PT-1571"/>
    <s v="Geriatric Rehab"/>
    <x v="5"/>
    <s v="Corporate Tie-up"/>
    <s v="Hospital Discharge"/>
    <x v="0"/>
    <n v="60"/>
    <n v="60"/>
    <n v="67.5"/>
    <n v="1250"/>
    <n v="1250"/>
    <n v="0"/>
    <n v="0"/>
    <n v="1"/>
    <n v="0"/>
    <n v="0.85"/>
  </r>
  <r>
    <s v="APT-00352"/>
    <d v="2025-04-28T00:00:00"/>
    <x v="6"/>
    <x v="1"/>
    <s v="Midday"/>
    <x v="2"/>
    <s v="Ernakulam"/>
    <x v="8"/>
    <s v="PT-1314"/>
    <s v="Follow-up"/>
    <x v="0"/>
    <s v="Corporate Tie-up"/>
    <s v="Orthopedic Doctor"/>
    <x v="2"/>
    <n v="45"/>
    <n v="0"/>
    <n v="51"/>
    <n v="1050"/>
    <n v="0"/>
    <n v="1050"/>
    <n v="0"/>
    <n v="0"/>
    <n v="1"/>
    <n v="0.85"/>
  </r>
  <r>
    <s v="APT-00353"/>
    <d v="2025-07-28T00:00:00"/>
    <x v="8"/>
    <x v="1"/>
    <s v="Midday"/>
    <x v="0"/>
    <s v="Palakkad"/>
    <x v="0"/>
    <s v="PT-1261"/>
    <s v="Sports Injury"/>
    <x v="0"/>
    <s v="Self Pay"/>
    <s v="Self Referral"/>
    <x v="0"/>
    <n v="30"/>
    <n v="30"/>
    <n v="32.799999999999997"/>
    <n v="600"/>
    <n v="600"/>
    <n v="0"/>
    <n v="0"/>
    <n v="1"/>
    <n v="0"/>
    <n v="0.85"/>
  </r>
  <r>
    <s v="APT-00354"/>
    <d v="2025-01-06T00:00:00"/>
    <x v="11"/>
    <x v="1"/>
    <s v="Morning"/>
    <x v="1"/>
    <s v="Thrissur"/>
    <x v="7"/>
    <s v="PT-1166"/>
    <s v="Sports Injury"/>
    <x v="3"/>
    <s v="Self Pay"/>
    <s v="Online Search"/>
    <x v="0"/>
    <n v="30"/>
    <n v="30"/>
    <n v="40"/>
    <n v="700"/>
    <n v="700"/>
    <n v="0"/>
    <n v="0"/>
    <n v="1"/>
    <n v="0"/>
    <n v="0.85"/>
  </r>
  <r>
    <s v="APT-00355"/>
    <d v="2025-03-10T00:00:00"/>
    <x v="3"/>
    <x v="1"/>
    <s v="Evening"/>
    <x v="1"/>
    <s v="Thrissur"/>
    <x v="5"/>
    <s v="PT-1612"/>
    <s v="Follow-up"/>
    <x v="2"/>
    <s v="Government Scheme"/>
    <s v="Self Referral"/>
    <x v="0"/>
    <n v="30"/>
    <n v="30"/>
    <n v="34.9"/>
    <n v="550"/>
    <n v="550"/>
    <n v="0"/>
    <n v="0"/>
    <n v="1"/>
    <n v="0"/>
    <n v="0.85"/>
  </r>
  <r>
    <s v="APT-00356"/>
    <d v="2025-06-27T00:00:00"/>
    <x v="4"/>
    <x v="4"/>
    <s v="Midday"/>
    <x v="1"/>
    <s v="Thrissur"/>
    <x v="1"/>
    <s v="PT-1442"/>
    <s v="Post-op Rehab"/>
    <x v="0"/>
    <s v="Government Scheme"/>
    <s v="Hospital Discharge"/>
    <x v="1"/>
    <n v="75"/>
    <n v="0"/>
    <n v="94.8"/>
    <n v="1650"/>
    <n v="0"/>
    <n v="1650"/>
    <n v="1"/>
    <n v="0"/>
    <n v="0"/>
    <n v="0.85"/>
  </r>
  <r>
    <s v="APT-00357"/>
    <d v="2025-10-24T00:00:00"/>
    <x v="7"/>
    <x v="4"/>
    <s v="Afternoon"/>
    <x v="1"/>
    <s v="Thrissur"/>
    <x v="1"/>
    <s v="PT-1132"/>
    <s v="New Patient"/>
    <x v="1"/>
    <s v="Self Pay"/>
    <s v="Online Search"/>
    <x v="0"/>
    <n v="30"/>
    <n v="30"/>
    <n v="35.6"/>
    <n v="800"/>
    <n v="800"/>
    <n v="0"/>
    <n v="0"/>
    <n v="1"/>
    <n v="0"/>
    <n v="0.85"/>
  </r>
  <r>
    <s v="APT-00358"/>
    <d v="2025-12-02T00:00:00"/>
    <x v="0"/>
    <x v="0"/>
    <s v="Afternoon"/>
    <x v="2"/>
    <s v="Ernakulam"/>
    <x v="14"/>
    <s v="PT-1665"/>
    <s v="New Patient"/>
    <x v="2"/>
    <s v="Self Pay"/>
    <s v="Neurologist"/>
    <x v="0"/>
    <n v="90"/>
    <n v="90"/>
    <n v="107.1"/>
    <n v="2700"/>
    <n v="2700"/>
    <n v="0"/>
    <n v="0"/>
    <n v="1"/>
    <n v="0"/>
    <n v="0.85"/>
  </r>
  <r>
    <s v="APT-00359"/>
    <d v="2025-06-26T00:00:00"/>
    <x v="4"/>
    <x v="2"/>
    <s v="Afternoon"/>
    <x v="0"/>
    <s v="Palakkad"/>
    <x v="13"/>
    <s v="PT-1562"/>
    <s v="Geriatric Rehab"/>
    <x v="5"/>
    <s v="Private Insurance"/>
    <s v="Online Search"/>
    <x v="0"/>
    <n v="60"/>
    <n v="60"/>
    <n v="68.099999999999994"/>
    <n v="1250"/>
    <n v="1250"/>
    <n v="0"/>
    <n v="0"/>
    <n v="1"/>
    <n v="0"/>
    <n v="0.85"/>
  </r>
  <r>
    <s v="APT-00360"/>
    <d v="2025-04-04T00:00:00"/>
    <x v="6"/>
    <x v="4"/>
    <s v="Midday"/>
    <x v="2"/>
    <s v="Ernakulam"/>
    <x v="4"/>
    <s v="PT-1506"/>
    <s v="Geriatric Rehab"/>
    <x v="0"/>
    <s v="Self Pay"/>
    <s v="Self Referral"/>
    <x v="0"/>
    <n v="60"/>
    <n v="60"/>
    <n v="79.8"/>
    <n v="1500"/>
    <n v="1500"/>
    <n v="0"/>
    <n v="0"/>
    <n v="1"/>
    <n v="0"/>
    <n v="0.85"/>
  </r>
  <r>
    <s v="APT-00361"/>
    <d v="2025-08-07T00:00:00"/>
    <x v="9"/>
    <x v="2"/>
    <s v="Afternoon"/>
    <x v="2"/>
    <s v="Ernakulam"/>
    <x v="14"/>
    <s v="PT-1632"/>
    <s v="Geriatric Rehab"/>
    <x v="3"/>
    <s v="Self Pay"/>
    <s v="Hospital Discharge"/>
    <x v="0"/>
    <n v="90"/>
    <n v="90"/>
    <n v="117.7"/>
    <n v="2250"/>
    <n v="2250"/>
    <n v="0"/>
    <n v="0"/>
    <n v="1"/>
    <n v="0"/>
    <n v="0.85"/>
  </r>
  <r>
    <s v="APT-00362"/>
    <d v="2025-01-18T00:00:00"/>
    <x v="11"/>
    <x v="5"/>
    <s v="Morning"/>
    <x v="0"/>
    <s v="Palakkad"/>
    <x v="0"/>
    <s v="PT-1533"/>
    <s v="Follow-up"/>
    <x v="2"/>
    <s v="Corporate Tie-up"/>
    <s v="Neurologist"/>
    <x v="0"/>
    <n v="30"/>
    <n v="30"/>
    <n v="32.9"/>
    <n v="600"/>
    <n v="600"/>
    <n v="0"/>
    <n v="0"/>
    <n v="1"/>
    <n v="0"/>
    <n v="0.85"/>
  </r>
  <r>
    <s v="APT-00363"/>
    <d v="2025-07-17T00:00:00"/>
    <x v="8"/>
    <x v="2"/>
    <s v="Afternoon"/>
    <x v="0"/>
    <s v="Palakkad"/>
    <x v="0"/>
    <s v="PT-1568"/>
    <s v="Sports Injury"/>
    <x v="2"/>
    <s v="Self Pay"/>
    <s v="Self Referral"/>
    <x v="0"/>
    <n v="60"/>
    <n v="60"/>
    <n v="67.599999999999994"/>
    <n v="1250"/>
    <n v="1250"/>
    <n v="0"/>
    <n v="0"/>
    <n v="1"/>
    <n v="0"/>
    <n v="0.85"/>
  </r>
  <r>
    <s v="APT-00364"/>
    <d v="2025-02-15T00:00:00"/>
    <x v="5"/>
    <x v="5"/>
    <s v="Morning"/>
    <x v="2"/>
    <s v="Ernakulam"/>
    <x v="8"/>
    <s v="PT-1534"/>
    <s v="New Patient"/>
    <x v="1"/>
    <s v="Self Pay"/>
    <s v="Hospital Discharge"/>
    <x v="2"/>
    <n v="45"/>
    <n v="0"/>
    <n v="59"/>
    <n v="1350"/>
    <n v="0"/>
    <n v="1350"/>
    <n v="0"/>
    <n v="0"/>
    <n v="1"/>
    <n v="0.85"/>
  </r>
  <r>
    <s v="APT-00365"/>
    <d v="2025-12-12T00:00:00"/>
    <x v="0"/>
    <x v="4"/>
    <s v="Evening"/>
    <x v="1"/>
    <s v="Thrissur"/>
    <x v="7"/>
    <s v="PT-1375"/>
    <s v="Follow-up"/>
    <x v="0"/>
    <s v="Self Pay"/>
    <s v="Orthopedic Doctor"/>
    <x v="0"/>
    <n v="45"/>
    <n v="45"/>
    <n v="50.2"/>
    <n v="1000"/>
    <n v="1000"/>
    <n v="0"/>
    <n v="0"/>
    <n v="1"/>
    <n v="0"/>
    <n v="0.85"/>
  </r>
  <r>
    <s v="APT-00366"/>
    <d v="2025-07-29T00:00:00"/>
    <x v="8"/>
    <x v="0"/>
    <s v="Evening"/>
    <x v="0"/>
    <s v="Palakkad"/>
    <x v="11"/>
    <s v="PT-1467"/>
    <s v="Post-op Rehab"/>
    <x v="5"/>
    <s v="Self Pay"/>
    <s v="Self Referral"/>
    <x v="0"/>
    <n v="60"/>
    <n v="60"/>
    <n v="74.3"/>
    <n v="1450"/>
    <n v="1450"/>
    <n v="0"/>
    <n v="0"/>
    <n v="1"/>
    <n v="0"/>
    <n v="0.85"/>
  </r>
  <r>
    <s v="APT-00367"/>
    <d v="2025-10-13T00:00:00"/>
    <x v="7"/>
    <x v="1"/>
    <s v="Midday"/>
    <x v="0"/>
    <s v="Palakkad"/>
    <x v="9"/>
    <s v="PT-1699"/>
    <s v="Chronic Pain"/>
    <x v="0"/>
    <s v="Private Insurance"/>
    <s v="Neurologist"/>
    <x v="0"/>
    <n v="75"/>
    <n v="75"/>
    <n v="99.9"/>
    <n v="1550"/>
    <n v="1550"/>
    <n v="0"/>
    <n v="0"/>
    <n v="1"/>
    <n v="0"/>
    <n v="0.85"/>
  </r>
  <r>
    <s v="APT-00368"/>
    <d v="2025-06-24T00:00:00"/>
    <x v="4"/>
    <x v="0"/>
    <s v="Afternoon"/>
    <x v="0"/>
    <s v="Palakkad"/>
    <x v="13"/>
    <s v="PT-1132"/>
    <s v="Chronic Pain"/>
    <x v="2"/>
    <s v="Self Pay"/>
    <s v="Neurologist"/>
    <x v="1"/>
    <n v="60"/>
    <n v="0"/>
    <n v="66.5"/>
    <n v="1250"/>
    <n v="0"/>
    <n v="1250"/>
    <n v="1"/>
    <n v="0"/>
    <n v="0"/>
    <n v="0.85"/>
  </r>
  <r>
    <s v="APT-00369"/>
    <d v="2025-08-04T00:00:00"/>
    <x v="9"/>
    <x v="1"/>
    <s v="Afternoon"/>
    <x v="2"/>
    <s v="Ernakulam"/>
    <x v="3"/>
    <s v="PT-1013"/>
    <s v="Follow-up"/>
    <x v="1"/>
    <s v="Self Pay"/>
    <s v="Orthopedic Doctor"/>
    <x v="0"/>
    <n v="60"/>
    <n v="60"/>
    <n v="77.400000000000006"/>
    <n v="1500"/>
    <n v="1500"/>
    <n v="0"/>
    <n v="0"/>
    <n v="1"/>
    <n v="0"/>
    <n v="0.85"/>
  </r>
  <r>
    <s v="APT-00370"/>
    <d v="2025-08-03T00:00:00"/>
    <x v="9"/>
    <x v="6"/>
    <s v="Afternoon"/>
    <x v="1"/>
    <s v="Thrissur"/>
    <x v="5"/>
    <s v="PT-1457"/>
    <s v="Follow-up"/>
    <x v="5"/>
    <s v="Self Pay"/>
    <s v="Online Search"/>
    <x v="0"/>
    <n v="90"/>
    <n v="90"/>
    <n v="100.5"/>
    <n v="2000"/>
    <n v="2000"/>
    <n v="0"/>
    <n v="0"/>
    <n v="1"/>
    <n v="0"/>
    <n v="0.85"/>
  </r>
  <r>
    <s v="APT-00371"/>
    <d v="2025-03-29T00:00:00"/>
    <x v="3"/>
    <x v="5"/>
    <s v="Afternoon"/>
    <x v="1"/>
    <s v="Thrissur"/>
    <x v="1"/>
    <s v="PT-1517"/>
    <s v="Follow-up"/>
    <x v="1"/>
    <s v="Government Scheme"/>
    <s v="Corporate Wellness"/>
    <x v="1"/>
    <n v="45"/>
    <n v="0"/>
    <n v="53.9"/>
    <n v="850"/>
    <n v="0"/>
    <n v="850"/>
    <n v="1"/>
    <n v="0"/>
    <n v="0"/>
    <n v="0.85"/>
  </r>
  <r>
    <s v="APT-00372"/>
    <d v="2025-05-24T00:00:00"/>
    <x v="10"/>
    <x v="5"/>
    <s v="Evening"/>
    <x v="1"/>
    <s v="Thrissur"/>
    <x v="2"/>
    <s v="PT-1220"/>
    <s v="Follow-up"/>
    <x v="2"/>
    <s v="Corporate Tie-up"/>
    <s v="Neurologist"/>
    <x v="1"/>
    <n v="60"/>
    <n v="0"/>
    <n v="69.5"/>
    <n v="1250"/>
    <n v="0"/>
    <n v="1250"/>
    <n v="1"/>
    <n v="0"/>
    <n v="0"/>
    <n v="0.85"/>
  </r>
  <r>
    <s v="APT-00373"/>
    <d v="2025-07-10T00:00:00"/>
    <x v="8"/>
    <x v="2"/>
    <s v="Midday"/>
    <x v="2"/>
    <s v="Ernakulam"/>
    <x v="12"/>
    <s v="PT-1048"/>
    <s v="Post-op Rehab"/>
    <x v="4"/>
    <s v="Government Scheme"/>
    <s v="Corporate Wellness"/>
    <x v="0"/>
    <n v="60"/>
    <n v="60"/>
    <n v="69.400000000000006"/>
    <n v="1450"/>
    <n v="1450"/>
    <n v="0"/>
    <n v="0"/>
    <n v="1"/>
    <n v="0"/>
    <n v="0.85"/>
  </r>
  <r>
    <s v="APT-00374"/>
    <d v="2025-05-27T00:00:00"/>
    <x v="10"/>
    <x v="0"/>
    <s v="Afternoon"/>
    <x v="0"/>
    <s v="Palakkad"/>
    <x v="9"/>
    <s v="PT-1106"/>
    <s v="Chronic Pain"/>
    <x v="4"/>
    <s v="Government Scheme"/>
    <s v="Corporate Wellness"/>
    <x v="0"/>
    <n v="45"/>
    <n v="45"/>
    <n v="49.9"/>
    <n v="800"/>
    <n v="800"/>
    <n v="0"/>
    <n v="0"/>
    <n v="1"/>
    <n v="0"/>
    <n v="0.85"/>
  </r>
  <r>
    <s v="APT-00375"/>
    <d v="2025-04-12T00:00:00"/>
    <x v="6"/>
    <x v="5"/>
    <s v="Evening"/>
    <x v="2"/>
    <s v="Ernakulam"/>
    <x v="12"/>
    <s v="PT-1204"/>
    <s v="Chronic Pain"/>
    <x v="2"/>
    <s v="Self Pay"/>
    <s v="Corporate Wellness"/>
    <x v="0"/>
    <n v="60"/>
    <n v="60"/>
    <n v="70"/>
    <n v="1500"/>
    <n v="1500"/>
    <n v="0"/>
    <n v="0"/>
    <n v="1"/>
    <n v="0"/>
    <n v="0.85"/>
  </r>
  <r>
    <s v="APT-00376"/>
    <d v="2025-09-24T00:00:00"/>
    <x v="2"/>
    <x v="3"/>
    <s v="Morning"/>
    <x v="1"/>
    <s v="Thrissur"/>
    <x v="7"/>
    <s v="PT-1325"/>
    <s v="Chronic Pain"/>
    <x v="0"/>
    <s v="Self Pay"/>
    <s v="Corporate Wellness"/>
    <x v="0"/>
    <n v="60"/>
    <n v="60"/>
    <n v="71"/>
    <n v="1350"/>
    <n v="1350"/>
    <n v="0"/>
    <n v="0"/>
    <n v="1"/>
    <n v="0"/>
    <n v="0.85"/>
  </r>
  <r>
    <s v="APT-00377"/>
    <d v="2025-02-11T00:00:00"/>
    <x v="5"/>
    <x v="0"/>
    <s v="Afternoon"/>
    <x v="2"/>
    <s v="Ernakulam"/>
    <x v="14"/>
    <s v="PT-1078"/>
    <s v="Sports Injury"/>
    <x v="1"/>
    <s v="Corporate Tie-up"/>
    <s v="Hospital Discharge"/>
    <x v="0"/>
    <n v="90"/>
    <n v="90"/>
    <n v="108.7"/>
    <n v="2050"/>
    <n v="2050"/>
    <n v="0"/>
    <n v="0"/>
    <n v="1"/>
    <n v="0"/>
    <n v="0.85"/>
  </r>
  <r>
    <s v="APT-00378"/>
    <d v="2025-03-04T00:00:00"/>
    <x v="3"/>
    <x v="0"/>
    <s v="Afternoon"/>
    <x v="1"/>
    <s v="Thrissur"/>
    <x v="5"/>
    <s v="PT-1030"/>
    <s v="New Patient"/>
    <x v="1"/>
    <s v="Government Scheme"/>
    <s v="Orthopedic Doctor"/>
    <x v="0"/>
    <n v="60"/>
    <n v="60"/>
    <n v="79.5"/>
    <n v="1400"/>
    <n v="1400"/>
    <n v="0"/>
    <n v="0"/>
    <n v="1"/>
    <n v="0"/>
    <n v="0.85"/>
  </r>
  <r>
    <s v="APT-00379"/>
    <d v="2025-07-29T00:00:00"/>
    <x v="8"/>
    <x v="0"/>
    <s v="Morning"/>
    <x v="2"/>
    <s v="Ernakulam"/>
    <x v="3"/>
    <s v="PT-1272"/>
    <s v="Post-op Rehab"/>
    <x v="4"/>
    <s v="Self Pay"/>
    <s v="Neurologist"/>
    <x v="0"/>
    <n v="60"/>
    <n v="60"/>
    <n v="79"/>
    <n v="1700"/>
    <n v="1700"/>
    <n v="0"/>
    <n v="0"/>
    <n v="1"/>
    <n v="0"/>
    <n v="0.85"/>
  </r>
  <r>
    <s v="APT-00380"/>
    <d v="2025-10-20T00:00:00"/>
    <x v="7"/>
    <x v="1"/>
    <s v="Midday"/>
    <x v="2"/>
    <s v="Ernakulam"/>
    <x v="8"/>
    <s v="PT-1464"/>
    <s v="Follow-up"/>
    <x v="3"/>
    <s v="Corporate Tie-up"/>
    <s v="Self Referral"/>
    <x v="0"/>
    <n v="60"/>
    <n v="60"/>
    <n v="69.900000000000006"/>
    <n v="1400"/>
    <n v="1400"/>
    <n v="0"/>
    <n v="0"/>
    <n v="1"/>
    <n v="0"/>
    <n v="0.85"/>
  </r>
  <r>
    <s v="APT-00381"/>
    <d v="2025-02-05T00:00:00"/>
    <x v="5"/>
    <x v="3"/>
    <s v="Morning"/>
    <x v="2"/>
    <s v="Ernakulam"/>
    <x v="14"/>
    <s v="PT-1120"/>
    <s v="New Patient"/>
    <x v="3"/>
    <s v="Self Pay"/>
    <s v="Self Referral"/>
    <x v="1"/>
    <n v="45"/>
    <n v="0"/>
    <n v="59.1"/>
    <n v="1350"/>
    <n v="0"/>
    <n v="1350"/>
    <n v="1"/>
    <n v="0"/>
    <n v="0"/>
    <n v="0.85"/>
  </r>
  <r>
    <s v="APT-00382"/>
    <d v="2025-04-07T00:00:00"/>
    <x v="6"/>
    <x v="1"/>
    <s v="Evening"/>
    <x v="1"/>
    <s v="Thrissur"/>
    <x v="2"/>
    <s v="PT-1566"/>
    <s v="Post-op Rehab"/>
    <x v="4"/>
    <s v="Private Insurance"/>
    <s v="Online Search"/>
    <x v="0"/>
    <n v="30"/>
    <n v="30"/>
    <n v="38.799999999999997"/>
    <n v="800"/>
    <n v="800"/>
    <n v="0"/>
    <n v="0"/>
    <n v="1"/>
    <n v="0"/>
    <n v="0.85"/>
  </r>
  <r>
    <s v="APT-00383"/>
    <d v="2025-07-08T00:00:00"/>
    <x v="8"/>
    <x v="0"/>
    <s v="Midday"/>
    <x v="0"/>
    <s v="Palakkad"/>
    <x v="6"/>
    <s v="PT-1234"/>
    <s v="Post-op Rehab"/>
    <x v="3"/>
    <s v="Private Insurance"/>
    <s v="Online Search"/>
    <x v="0"/>
    <n v="60"/>
    <n v="60"/>
    <n v="80.900000000000006"/>
    <n v="1450"/>
    <n v="1450"/>
    <n v="0"/>
    <n v="0"/>
    <n v="1"/>
    <n v="0"/>
    <n v="0.85"/>
  </r>
  <r>
    <s v="APT-00384"/>
    <d v="2025-03-15T00:00:00"/>
    <x v="3"/>
    <x v="5"/>
    <s v="Afternoon"/>
    <x v="2"/>
    <s v="Ernakulam"/>
    <x v="14"/>
    <s v="PT-1065"/>
    <s v="Follow-up"/>
    <x v="3"/>
    <s v="Corporate Tie-up"/>
    <s v="Corporate Wellness"/>
    <x v="0"/>
    <n v="45"/>
    <n v="45"/>
    <n v="53.2"/>
    <n v="1050"/>
    <n v="1050"/>
    <n v="0"/>
    <n v="0"/>
    <n v="1"/>
    <n v="0"/>
    <n v="0.85"/>
  </r>
  <r>
    <s v="APT-00385"/>
    <d v="2025-07-30T00:00:00"/>
    <x v="8"/>
    <x v="3"/>
    <s v="Afternoon"/>
    <x v="0"/>
    <s v="Palakkad"/>
    <x v="9"/>
    <s v="PT-1116"/>
    <s v="Sports Injury"/>
    <x v="0"/>
    <s v="Corporate Tie-up"/>
    <s v="Orthopedic Doctor"/>
    <x v="0"/>
    <n v="60"/>
    <n v="60"/>
    <n v="66.599999999999994"/>
    <n v="1150"/>
    <n v="1150"/>
    <n v="0"/>
    <n v="0"/>
    <n v="1"/>
    <n v="0"/>
    <n v="0.85"/>
  </r>
  <r>
    <s v="APT-00386"/>
    <d v="2025-12-16T00:00:00"/>
    <x v="0"/>
    <x v="0"/>
    <s v="Afternoon"/>
    <x v="2"/>
    <s v="Ernakulam"/>
    <x v="3"/>
    <s v="PT-1063"/>
    <s v="Post-op Rehab"/>
    <x v="5"/>
    <s v="Government Scheme"/>
    <s v="Neurologist"/>
    <x v="3"/>
    <n v="60"/>
    <n v="0"/>
    <n v="80.900000000000006"/>
    <n v="1450"/>
    <n v="0"/>
    <n v="0"/>
    <n v="0"/>
    <n v="0"/>
    <n v="0"/>
    <n v="0.85"/>
  </r>
  <r>
    <s v="APT-00387"/>
    <d v="2025-05-17T00:00:00"/>
    <x v="10"/>
    <x v="5"/>
    <s v="Midday"/>
    <x v="0"/>
    <s v="Palakkad"/>
    <x v="13"/>
    <s v="PT-1545"/>
    <s v="Follow-up"/>
    <x v="0"/>
    <s v="Private Insurance"/>
    <s v="Orthopedic Doctor"/>
    <x v="0"/>
    <n v="30"/>
    <n v="30"/>
    <n v="39.9"/>
    <n v="600"/>
    <n v="600"/>
    <n v="0"/>
    <n v="0"/>
    <n v="1"/>
    <n v="0"/>
    <n v="0.85"/>
  </r>
  <r>
    <s v="APT-00388"/>
    <d v="2025-11-05T00:00:00"/>
    <x v="1"/>
    <x v="3"/>
    <s v="Morning"/>
    <x v="1"/>
    <s v="Thrissur"/>
    <x v="7"/>
    <s v="PT-1624"/>
    <s v="New Patient"/>
    <x v="4"/>
    <s v="Private Insurance"/>
    <s v="Orthopedic Doctor"/>
    <x v="1"/>
    <n v="45"/>
    <n v="0"/>
    <n v="51"/>
    <n v="1200"/>
    <n v="0"/>
    <n v="1200"/>
    <n v="1"/>
    <n v="0"/>
    <n v="0"/>
    <n v="0.85"/>
  </r>
  <r>
    <s v="APT-00389"/>
    <d v="2025-10-31T00:00:00"/>
    <x v="7"/>
    <x v="4"/>
    <s v="Evening"/>
    <x v="2"/>
    <s v="Ernakulam"/>
    <x v="8"/>
    <s v="PT-1359"/>
    <s v="Follow-up"/>
    <x v="5"/>
    <s v="Private Insurance"/>
    <s v="Orthopedic Doctor"/>
    <x v="0"/>
    <n v="45"/>
    <n v="45"/>
    <n v="60.1"/>
    <n v="1100"/>
    <n v="1100"/>
    <n v="0"/>
    <n v="0"/>
    <n v="1"/>
    <n v="0"/>
    <n v="0.85"/>
  </r>
  <r>
    <s v="APT-00390"/>
    <d v="2025-04-01T00:00:00"/>
    <x v="6"/>
    <x v="0"/>
    <s v="Evening"/>
    <x v="1"/>
    <s v="Thrissur"/>
    <x v="2"/>
    <s v="PT-1479"/>
    <s v="Chronic Pain"/>
    <x v="0"/>
    <s v="Corporate Tie-up"/>
    <s v="Neurologist"/>
    <x v="1"/>
    <n v="60"/>
    <n v="0"/>
    <n v="79.3"/>
    <n v="1250"/>
    <n v="0"/>
    <n v="1250"/>
    <n v="1"/>
    <n v="0"/>
    <n v="0"/>
    <n v="0.85"/>
  </r>
  <r>
    <s v="APT-00391"/>
    <d v="2025-05-12T00:00:00"/>
    <x v="10"/>
    <x v="1"/>
    <s v="Evening"/>
    <x v="0"/>
    <s v="Palakkad"/>
    <x v="6"/>
    <s v="PT-1670"/>
    <s v="Follow-up"/>
    <x v="4"/>
    <s v="Self Pay"/>
    <s v="Online Search"/>
    <x v="3"/>
    <n v="30"/>
    <n v="0"/>
    <n v="35.5"/>
    <n v="600"/>
    <n v="0"/>
    <n v="0"/>
    <n v="0"/>
    <n v="0"/>
    <n v="0"/>
    <n v="0.85"/>
  </r>
  <r>
    <s v="APT-00392"/>
    <d v="2025-06-09T00:00:00"/>
    <x v="4"/>
    <x v="1"/>
    <s v="Midday"/>
    <x v="2"/>
    <s v="Ernakulam"/>
    <x v="4"/>
    <s v="PT-1457"/>
    <s v="Chronic Pain"/>
    <x v="2"/>
    <s v="Government Scheme"/>
    <s v="Corporate Wellness"/>
    <x v="0"/>
    <n v="45"/>
    <n v="45"/>
    <n v="57.6"/>
    <n v="950"/>
    <n v="950"/>
    <n v="0"/>
    <n v="0"/>
    <n v="1"/>
    <n v="0"/>
    <n v="0.85"/>
  </r>
  <r>
    <s v="APT-00393"/>
    <d v="2025-03-26T00:00:00"/>
    <x v="3"/>
    <x v="3"/>
    <s v="Evening"/>
    <x v="1"/>
    <s v="Thrissur"/>
    <x v="5"/>
    <s v="PT-1272"/>
    <s v="Geriatric Rehab"/>
    <x v="4"/>
    <s v="Private Insurance"/>
    <s v="Neurologist"/>
    <x v="0"/>
    <n v="60"/>
    <n v="60"/>
    <n v="78.099999999999994"/>
    <n v="1350"/>
    <n v="1350"/>
    <n v="0"/>
    <n v="0"/>
    <n v="1"/>
    <n v="0"/>
    <n v="0.85"/>
  </r>
  <r>
    <s v="APT-00394"/>
    <d v="2025-12-06T00:00:00"/>
    <x v="0"/>
    <x v="5"/>
    <s v="Midday"/>
    <x v="2"/>
    <s v="Ernakulam"/>
    <x v="4"/>
    <s v="PT-1587"/>
    <s v="New Patient"/>
    <x v="5"/>
    <s v="Private Insurance"/>
    <s v="Corporate Wellness"/>
    <x v="0"/>
    <n v="45"/>
    <n v="45"/>
    <n v="58"/>
    <n v="1350"/>
    <n v="1350"/>
    <n v="0"/>
    <n v="0"/>
    <n v="1"/>
    <n v="0"/>
    <n v="0.85"/>
  </r>
  <r>
    <s v="APT-00395"/>
    <d v="2025-04-21T00:00:00"/>
    <x v="6"/>
    <x v="1"/>
    <s v="Afternoon"/>
    <x v="2"/>
    <s v="Ernakulam"/>
    <x v="8"/>
    <s v="PT-1278"/>
    <s v="Geriatric Rehab"/>
    <x v="5"/>
    <s v="Private Insurance"/>
    <s v="Orthopedic Doctor"/>
    <x v="0"/>
    <n v="45"/>
    <n v="45"/>
    <n v="50.1"/>
    <n v="1100"/>
    <n v="1100"/>
    <n v="0"/>
    <n v="0"/>
    <n v="1"/>
    <n v="0"/>
    <n v="0.85"/>
  </r>
  <r>
    <s v="APT-00396"/>
    <d v="2025-09-12T00:00:00"/>
    <x v="2"/>
    <x v="4"/>
    <s v="Afternoon"/>
    <x v="2"/>
    <s v="Ernakulam"/>
    <x v="3"/>
    <s v="PT-1362"/>
    <s v="Sports Injury"/>
    <x v="5"/>
    <s v="Self Pay"/>
    <s v="Online Search"/>
    <x v="1"/>
    <n v="90"/>
    <n v="0"/>
    <n v="105.3"/>
    <n v="2250"/>
    <n v="0"/>
    <n v="2250"/>
    <n v="1"/>
    <n v="0"/>
    <n v="0"/>
    <n v="0.85"/>
  </r>
  <r>
    <s v="APT-00397"/>
    <d v="2025-06-11T00:00:00"/>
    <x v="4"/>
    <x v="3"/>
    <s v="Evening"/>
    <x v="1"/>
    <s v="Thrissur"/>
    <x v="10"/>
    <s v="PT-1313"/>
    <s v="Chronic Pain"/>
    <x v="0"/>
    <s v="Self Pay"/>
    <s v="Corporate Wellness"/>
    <x v="3"/>
    <n v="45"/>
    <n v="0"/>
    <n v="53.9"/>
    <n v="1000"/>
    <n v="0"/>
    <n v="0"/>
    <n v="0"/>
    <n v="0"/>
    <n v="0"/>
    <n v="0.85"/>
  </r>
  <r>
    <s v="APT-00398"/>
    <d v="2025-03-12T00:00:00"/>
    <x v="3"/>
    <x v="3"/>
    <s v="Evening"/>
    <x v="1"/>
    <s v="Thrissur"/>
    <x v="10"/>
    <s v="PT-1256"/>
    <s v="Follow-up"/>
    <x v="4"/>
    <s v="Private Insurance"/>
    <s v="Online Search"/>
    <x v="1"/>
    <n v="75"/>
    <n v="0"/>
    <n v="85.8"/>
    <n v="1700"/>
    <n v="0"/>
    <n v="1700"/>
    <n v="1"/>
    <n v="0"/>
    <n v="0"/>
    <n v="0.85"/>
  </r>
  <r>
    <s v="APT-00399"/>
    <d v="2025-02-07T00:00:00"/>
    <x v="5"/>
    <x v="4"/>
    <s v="Morning"/>
    <x v="1"/>
    <s v="Thrissur"/>
    <x v="5"/>
    <s v="PT-1501"/>
    <s v="Post-op Rehab"/>
    <x v="4"/>
    <s v="Corporate Tie-up"/>
    <s v="Orthopedic Doctor"/>
    <x v="0"/>
    <n v="45"/>
    <n v="45"/>
    <n v="59.9"/>
    <n v="1050"/>
    <n v="1050"/>
    <n v="0"/>
    <n v="0"/>
    <n v="1"/>
    <n v="0"/>
    <n v="0.85"/>
  </r>
  <r>
    <s v="APT-00400"/>
    <d v="2025-09-16T00:00:00"/>
    <x v="2"/>
    <x v="0"/>
    <s v="Evening"/>
    <x v="0"/>
    <s v="Palakkad"/>
    <x v="13"/>
    <s v="PT-1104"/>
    <s v="Follow-up"/>
    <x v="0"/>
    <s v="Self Pay"/>
    <s v="Corporate Wellness"/>
    <x v="1"/>
    <n v="60"/>
    <n v="0"/>
    <n v="67.7"/>
    <n v="1250"/>
    <n v="0"/>
    <n v="1250"/>
    <n v="1"/>
    <n v="0"/>
    <n v="0"/>
    <n v="0.85"/>
  </r>
  <r>
    <s v="APT-00401"/>
    <d v="2025-01-13T00:00:00"/>
    <x v="11"/>
    <x v="1"/>
    <s v="Morning"/>
    <x v="2"/>
    <s v="Ernakulam"/>
    <x v="12"/>
    <s v="PT-1048"/>
    <s v="Chronic Pain"/>
    <x v="1"/>
    <s v="Private Insurance"/>
    <s v="Corporate Wellness"/>
    <x v="1"/>
    <n v="45"/>
    <n v="0"/>
    <n v="57.6"/>
    <n v="1100"/>
    <n v="0"/>
    <n v="1100"/>
    <n v="1"/>
    <n v="0"/>
    <n v="0"/>
    <n v="0.85"/>
  </r>
  <r>
    <s v="APT-00402"/>
    <d v="2025-05-08T00:00:00"/>
    <x v="10"/>
    <x v="2"/>
    <s v="Midday"/>
    <x v="2"/>
    <s v="Ernakulam"/>
    <x v="8"/>
    <s v="PT-1059"/>
    <s v="Follow-up"/>
    <x v="3"/>
    <s v="Self Pay"/>
    <s v="Orthopedic Doctor"/>
    <x v="1"/>
    <n v="60"/>
    <n v="0"/>
    <n v="68.5"/>
    <n v="1500"/>
    <n v="0"/>
    <n v="1500"/>
    <n v="1"/>
    <n v="0"/>
    <n v="0"/>
    <n v="0.85"/>
  </r>
  <r>
    <s v="APT-00403"/>
    <d v="2025-06-25T00:00:00"/>
    <x v="4"/>
    <x v="3"/>
    <s v="Evening"/>
    <x v="1"/>
    <s v="Thrissur"/>
    <x v="5"/>
    <s v="PT-1634"/>
    <s v="Geriatric Rehab"/>
    <x v="4"/>
    <s v="Private Insurance"/>
    <s v="Neurologist"/>
    <x v="0"/>
    <n v="60"/>
    <n v="60"/>
    <n v="78.3"/>
    <n v="1350"/>
    <n v="1350"/>
    <n v="0"/>
    <n v="0"/>
    <n v="1"/>
    <n v="0"/>
    <n v="0.85"/>
  </r>
  <r>
    <s v="APT-00404"/>
    <d v="2025-07-21T00:00:00"/>
    <x v="8"/>
    <x v="1"/>
    <s v="Afternoon"/>
    <x v="0"/>
    <s v="Palakkad"/>
    <x v="6"/>
    <s v="PT-1386"/>
    <s v="New Patient"/>
    <x v="4"/>
    <s v="Self Pay"/>
    <s v="Neurologist"/>
    <x v="1"/>
    <n v="90"/>
    <n v="0"/>
    <n v="116.9"/>
    <n v="2250"/>
    <n v="0"/>
    <n v="2250"/>
    <n v="1"/>
    <n v="0"/>
    <n v="0"/>
    <n v="0.85"/>
  </r>
  <r>
    <s v="APT-00405"/>
    <d v="2025-10-25T00:00:00"/>
    <x v="7"/>
    <x v="5"/>
    <s v="Morning"/>
    <x v="1"/>
    <s v="Thrissur"/>
    <x v="5"/>
    <s v="PT-1674"/>
    <s v="New Patient"/>
    <x v="0"/>
    <s v="Corporate Tie-up"/>
    <s v="Orthopedic Doctor"/>
    <x v="2"/>
    <n v="60"/>
    <n v="0"/>
    <n v="66.099999999999994"/>
    <n v="1500"/>
    <n v="0"/>
    <n v="1500"/>
    <n v="0"/>
    <n v="0"/>
    <n v="1"/>
    <n v="0.85"/>
  </r>
  <r>
    <s v="APT-00406"/>
    <d v="2025-10-29T00:00:00"/>
    <x v="7"/>
    <x v="3"/>
    <s v="Evening"/>
    <x v="1"/>
    <s v="Thrissur"/>
    <x v="1"/>
    <s v="PT-1672"/>
    <s v="Post-op Rehab"/>
    <x v="1"/>
    <s v="Self Pay"/>
    <s v="Online Search"/>
    <x v="1"/>
    <n v="60"/>
    <n v="0"/>
    <n v="79.2"/>
    <n v="1550"/>
    <n v="0"/>
    <n v="1550"/>
    <n v="1"/>
    <n v="0"/>
    <n v="0"/>
    <n v="0.85"/>
  </r>
  <r>
    <s v="APT-00407"/>
    <d v="2025-06-03T00:00:00"/>
    <x v="4"/>
    <x v="0"/>
    <s v="Evening"/>
    <x v="1"/>
    <s v="Thrissur"/>
    <x v="5"/>
    <s v="PT-1115"/>
    <s v="Sports Injury"/>
    <x v="0"/>
    <s v="Private Insurance"/>
    <s v="Online Search"/>
    <x v="0"/>
    <n v="45"/>
    <n v="45"/>
    <n v="54.2"/>
    <n v="1000"/>
    <n v="1000"/>
    <n v="0"/>
    <n v="0"/>
    <n v="1"/>
    <n v="0"/>
    <n v="0.85"/>
  </r>
  <r>
    <s v="APT-00408"/>
    <d v="2025-04-04T00:00:00"/>
    <x v="6"/>
    <x v="4"/>
    <s v="Afternoon"/>
    <x v="1"/>
    <s v="Thrissur"/>
    <x v="10"/>
    <s v="PT-1309"/>
    <s v="New Patient"/>
    <x v="0"/>
    <s v="Government Scheme"/>
    <s v="Online Search"/>
    <x v="0"/>
    <n v="60"/>
    <n v="60"/>
    <n v="67.099999999999994"/>
    <n v="1400"/>
    <n v="1400"/>
    <n v="0"/>
    <n v="0"/>
    <n v="1"/>
    <n v="0"/>
    <n v="0.85"/>
  </r>
  <r>
    <s v="APT-00409"/>
    <d v="2025-09-13T00:00:00"/>
    <x v="2"/>
    <x v="5"/>
    <s v="Midday"/>
    <x v="0"/>
    <s v="Palakkad"/>
    <x v="11"/>
    <s v="PT-1390"/>
    <s v="Chronic Pain"/>
    <x v="4"/>
    <s v="Private Insurance"/>
    <s v="Corporate Wellness"/>
    <x v="0"/>
    <n v="60"/>
    <n v="60"/>
    <n v="79.2"/>
    <n v="1250"/>
    <n v="1250"/>
    <n v="0"/>
    <n v="0"/>
    <n v="1"/>
    <n v="0"/>
    <n v="0.85"/>
  </r>
  <r>
    <s v="APT-00410"/>
    <d v="2025-03-27T00:00:00"/>
    <x v="3"/>
    <x v="2"/>
    <s v="Evening"/>
    <x v="1"/>
    <s v="Thrissur"/>
    <x v="10"/>
    <s v="PT-1386"/>
    <s v="Post-op Rehab"/>
    <x v="1"/>
    <s v="Private Insurance"/>
    <s v="Corporate Wellness"/>
    <x v="0"/>
    <n v="90"/>
    <n v="90"/>
    <n v="116.6"/>
    <n v="2350"/>
    <n v="2350"/>
    <n v="0"/>
    <n v="0"/>
    <n v="1"/>
    <n v="0"/>
    <n v="0.85"/>
  </r>
  <r>
    <s v="APT-00411"/>
    <d v="2025-03-14T00:00:00"/>
    <x v="3"/>
    <x v="4"/>
    <s v="Midday"/>
    <x v="2"/>
    <s v="Ernakulam"/>
    <x v="14"/>
    <s v="PT-1349"/>
    <s v="New Patient"/>
    <x v="4"/>
    <s v="Private Insurance"/>
    <s v="Orthopedic Doctor"/>
    <x v="0"/>
    <n v="60"/>
    <n v="60"/>
    <n v="80"/>
    <n v="1800"/>
    <n v="1800"/>
    <n v="0"/>
    <n v="0"/>
    <n v="1"/>
    <n v="0"/>
    <n v="0.85"/>
  </r>
  <r>
    <s v="APT-00412"/>
    <d v="2025-10-31T00:00:00"/>
    <x v="7"/>
    <x v="4"/>
    <s v="Afternoon"/>
    <x v="0"/>
    <s v="Palakkad"/>
    <x v="13"/>
    <s v="PT-1670"/>
    <s v="Follow-up"/>
    <x v="2"/>
    <s v="Corporate Tie-up"/>
    <s v="Self Referral"/>
    <x v="0"/>
    <n v="60"/>
    <n v="60"/>
    <n v="78.7"/>
    <n v="1150"/>
    <n v="1150"/>
    <n v="0"/>
    <n v="0"/>
    <n v="1"/>
    <n v="0"/>
    <n v="0.85"/>
  </r>
  <r>
    <s v="APT-00413"/>
    <d v="2025-12-08T00:00:00"/>
    <x v="0"/>
    <x v="1"/>
    <s v="Afternoon"/>
    <x v="0"/>
    <s v="Palakkad"/>
    <x v="9"/>
    <s v="PT-1497"/>
    <s v="New Patient"/>
    <x v="4"/>
    <s v="Corporate Tie-up"/>
    <s v="Orthopedic Doctor"/>
    <x v="1"/>
    <n v="45"/>
    <n v="0"/>
    <n v="49.5"/>
    <n v="1050"/>
    <n v="0"/>
    <n v="1050"/>
    <n v="1"/>
    <n v="0"/>
    <n v="0"/>
    <n v="0.85"/>
  </r>
  <r>
    <s v="APT-00414"/>
    <d v="2025-11-15T00:00:00"/>
    <x v="1"/>
    <x v="5"/>
    <s v="Midday"/>
    <x v="2"/>
    <s v="Ernakulam"/>
    <x v="3"/>
    <s v="PT-1342"/>
    <s v="Chronic Pain"/>
    <x v="2"/>
    <s v="Private Insurance"/>
    <s v="Hospital Discharge"/>
    <x v="0"/>
    <n v="45"/>
    <n v="45"/>
    <n v="56.6"/>
    <n v="1100"/>
    <n v="1100"/>
    <n v="0"/>
    <n v="0"/>
    <n v="1"/>
    <n v="0"/>
    <n v="0.85"/>
  </r>
  <r>
    <s v="APT-00415"/>
    <d v="2025-08-11T00:00:00"/>
    <x v="9"/>
    <x v="1"/>
    <s v="Evening"/>
    <x v="2"/>
    <s v="Ernakulam"/>
    <x v="4"/>
    <s v="PT-1564"/>
    <s v="Follow-up"/>
    <x v="2"/>
    <s v="Private Insurance"/>
    <s v="Hospital Discharge"/>
    <x v="0"/>
    <n v="45"/>
    <n v="45"/>
    <n v="50.2"/>
    <n v="1100"/>
    <n v="1100"/>
    <n v="0"/>
    <n v="0"/>
    <n v="1"/>
    <n v="0"/>
    <n v="0.85"/>
  </r>
  <r>
    <s v="APT-00416"/>
    <d v="2025-06-16T00:00:00"/>
    <x v="4"/>
    <x v="1"/>
    <s v="Morning"/>
    <x v="2"/>
    <s v="Ernakulam"/>
    <x v="8"/>
    <s v="PT-1089"/>
    <s v="New Patient"/>
    <x v="2"/>
    <s v="Private Insurance"/>
    <s v="Self Referral"/>
    <x v="0"/>
    <n v="60"/>
    <n v="60"/>
    <n v="66.400000000000006"/>
    <n v="1800"/>
    <n v="1800"/>
    <n v="0"/>
    <n v="0"/>
    <n v="1"/>
    <n v="0"/>
    <n v="0.85"/>
  </r>
  <r>
    <s v="APT-00417"/>
    <d v="2025-11-07T00:00:00"/>
    <x v="1"/>
    <x v="4"/>
    <s v="Morning"/>
    <x v="1"/>
    <s v="Thrissur"/>
    <x v="5"/>
    <s v="PT-1085"/>
    <s v="Sports Injury"/>
    <x v="5"/>
    <s v="Government Scheme"/>
    <s v="Orthopedic Doctor"/>
    <x v="0"/>
    <n v="60"/>
    <n v="60"/>
    <n v="75.2"/>
    <n v="1150"/>
    <n v="1150"/>
    <n v="0"/>
    <n v="0"/>
    <n v="1"/>
    <n v="0"/>
    <n v="0.85"/>
  </r>
  <r>
    <s v="APT-00418"/>
    <d v="2025-08-07T00:00:00"/>
    <x v="9"/>
    <x v="2"/>
    <s v="Afternoon"/>
    <x v="0"/>
    <s v="Palakkad"/>
    <x v="9"/>
    <s v="PT-1298"/>
    <s v="Follow-up"/>
    <x v="4"/>
    <s v="Self Pay"/>
    <s v="Self Referral"/>
    <x v="1"/>
    <n v="30"/>
    <n v="0"/>
    <n v="33.1"/>
    <n v="600"/>
    <n v="0"/>
    <n v="600"/>
    <n v="1"/>
    <n v="0"/>
    <n v="0"/>
    <n v="0.85"/>
  </r>
  <r>
    <s v="APT-00419"/>
    <d v="2025-01-31T00:00:00"/>
    <x v="11"/>
    <x v="4"/>
    <s v="Afternoon"/>
    <x v="1"/>
    <s v="Thrissur"/>
    <x v="1"/>
    <s v="PT-1483"/>
    <s v="Geriatric Rehab"/>
    <x v="0"/>
    <s v="Corporate Tie-up"/>
    <s v="Hospital Discharge"/>
    <x v="0"/>
    <n v="60"/>
    <n v="60"/>
    <n v="66.2"/>
    <n v="1250"/>
    <n v="1250"/>
    <n v="0"/>
    <n v="0"/>
    <n v="1"/>
    <n v="0"/>
    <n v="0.85"/>
  </r>
  <r>
    <s v="APT-00420"/>
    <d v="2025-08-25T00:00:00"/>
    <x v="9"/>
    <x v="1"/>
    <s v="Evening"/>
    <x v="2"/>
    <s v="Ernakulam"/>
    <x v="8"/>
    <s v="PT-1010"/>
    <s v="Follow-up"/>
    <x v="2"/>
    <s v="Private Insurance"/>
    <s v="Self Referral"/>
    <x v="1"/>
    <n v="90"/>
    <n v="0"/>
    <n v="113.1"/>
    <n v="2250"/>
    <n v="0"/>
    <n v="2250"/>
    <n v="1"/>
    <n v="0"/>
    <n v="0"/>
    <n v="0.85"/>
  </r>
  <r>
    <s v="APT-00421"/>
    <d v="2025-11-27T00:00:00"/>
    <x v="1"/>
    <x v="2"/>
    <s v="Evening"/>
    <x v="1"/>
    <s v="Thrissur"/>
    <x v="7"/>
    <s v="PT-1473"/>
    <s v="Post-op Rehab"/>
    <x v="2"/>
    <s v="Private Insurance"/>
    <s v="Self Referral"/>
    <x v="0"/>
    <n v="45"/>
    <n v="45"/>
    <n v="59.7"/>
    <n v="1150"/>
    <n v="1150"/>
    <n v="0"/>
    <n v="0"/>
    <n v="1"/>
    <n v="0"/>
    <n v="0.85"/>
  </r>
  <r>
    <s v="APT-00422"/>
    <d v="2025-05-28T00:00:00"/>
    <x v="10"/>
    <x v="3"/>
    <s v="Morning"/>
    <x v="1"/>
    <s v="Thrissur"/>
    <x v="10"/>
    <s v="PT-1280"/>
    <s v="Follow-up"/>
    <x v="1"/>
    <s v="Self Pay"/>
    <s v="Corporate Wellness"/>
    <x v="2"/>
    <n v="90"/>
    <n v="0"/>
    <n v="111.5"/>
    <n v="2000"/>
    <n v="0"/>
    <n v="2000"/>
    <n v="0"/>
    <n v="0"/>
    <n v="1"/>
    <n v="0.85"/>
  </r>
  <r>
    <s v="APT-00423"/>
    <d v="2025-12-22T00:00:00"/>
    <x v="0"/>
    <x v="1"/>
    <s v="Afternoon"/>
    <x v="2"/>
    <s v="Ernakulam"/>
    <x v="4"/>
    <s v="PT-1490"/>
    <s v="Follow-up"/>
    <x v="1"/>
    <s v="Self Pay"/>
    <s v="Orthopedic Doctor"/>
    <x v="0"/>
    <n v="60"/>
    <n v="60"/>
    <n v="70.7"/>
    <n v="1500"/>
    <n v="1500"/>
    <n v="0"/>
    <n v="0"/>
    <n v="1"/>
    <n v="0"/>
    <n v="0.85"/>
  </r>
  <r>
    <s v="APT-00424"/>
    <d v="2025-02-15T00:00:00"/>
    <x v="5"/>
    <x v="5"/>
    <s v="Morning"/>
    <x v="2"/>
    <s v="Ernakulam"/>
    <x v="12"/>
    <s v="PT-1409"/>
    <s v="Geriatric Rehab"/>
    <x v="3"/>
    <s v="Self Pay"/>
    <s v="Self Referral"/>
    <x v="0"/>
    <n v="60"/>
    <n v="60"/>
    <n v="80.599999999999994"/>
    <n v="1500"/>
    <n v="1500"/>
    <n v="0"/>
    <n v="0"/>
    <n v="1"/>
    <n v="0"/>
    <n v="0.85"/>
  </r>
  <r>
    <s v="APT-00425"/>
    <d v="2025-09-16T00:00:00"/>
    <x v="2"/>
    <x v="0"/>
    <s v="Morning"/>
    <x v="2"/>
    <s v="Ernakulam"/>
    <x v="4"/>
    <s v="PT-1491"/>
    <s v="Sports Injury"/>
    <x v="1"/>
    <s v="Corporate Tie-up"/>
    <s v="Self Referral"/>
    <x v="0"/>
    <n v="75"/>
    <n v="75"/>
    <n v="85.7"/>
    <n v="1700"/>
    <n v="1700"/>
    <n v="0"/>
    <n v="0"/>
    <n v="1"/>
    <n v="0"/>
    <n v="0.85"/>
  </r>
  <r>
    <s v="APT-00426"/>
    <d v="2025-11-29T00:00:00"/>
    <x v="1"/>
    <x v="5"/>
    <s v="Afternoon"/>
    <x v="2"/>
    <s v="Ernakulam"/>
    <x v="8"/>
    <s v="PT-1113"/>
    <s v="Follow-up"/>
    <x v="1"/>
    <s v="Private Insurance"/>
    <s v="Hospital Discharge"/>
    <x v="0"/>
    <n v="45"/>
    <n v="45"/>
    <n v="57.6"/>
    <n v="1100"/>
    <n v="1100"/>
    <n v="0"/>
    <n v="0"/>
    <n v="1"/>
    <n v="0"/>
    <n v="0.85"/>
  </r>
  <r>
    <s v="APT-00427"/>
    <d v="2025-07-22T00:00:00"/>
    <x v="8"/>
    <x v="0"/>
    <s v="Afternoon"/>
    <x v="2"/>
    <s v="Ernakulam"/>
    <x v="4"/>
    <s v="PT-1632"/>
    <s v="Follow-up"/>
    <x v="1"/>
    <s v="Self Pay"/>
    <s v="Corporate Wellness"/>
    <x v="0"/>
    <n v="30"/>
    <n v="30"/>
    <n v="38.5"/>
    <n v="750"/>
    <n v="750"/>
    <n v="0"/>
    <n v="0"/>
    <n v="1"/>
    <n v="0"/>
    <n v="0.85"/>
  </r>
  <r>
    <s v="APT-00428"/>
    <d v="2025-11-13T00:00:00"/>
    <x v="1"/>
    <x v="2"/>
    <s v="Midday"/>
    <x v="2"/>
    <s v="Ernakulam"/>
    <x v="14"/>
    <s v="PT-1279"/>
    <s v="Follow-up"/>
    <x v="5"/>
    <s v="Self Pay"/>
    <s v="Hospital Discharge"/>
    <x v="0"/>
    <n v="75"/>
    <n v="75"/>
    <n v="99.8"/>
    <n v="1900"/>
    <n v="1900"/>
    <n v="0"/>
    <n v="0"/>
    <n v="1"/>
    <n v="0"/>
    <n v="0.85"/>
  </r>
  <r>
    <s v="APT-00429"/>
    <d v="2025-07-31T00:00:00"/>
    <x v="8"/>
    <x v="2"/>
    <s v="Evening"/>
    <x v="1"/>
    <s v="Thrissur"/>
    <x v="1"/>
    <s v="PT-1630"/>
    <s v="Follow-up"/>
    <x v="0"/>
    <s v="Self Pay"/>
    <s v="Self Referral"/>
    <x v="3"/>
    <n v="75"/>
    <n v="0"/>
    <n v="98.5"/>
    <n v="1700"/>
    <n v="0"/>
    <n v="0"/>
    <n v="0"/>
    <n v="0"/>
    <n v="0"/>
    <n v="0.85"/>
  </r>
  <r>
    <s v="APT-00430"/>
    <d v="2025-08-04T00:00:00"/>
    <x v="9"/>
    <x v="1"/>
    <s v="Evening"/>
    <x v="2"/>
    <s v="Ernakulam"/>
    <x v="14"/>
    <s v="PT-1649"/>
    <s v="Chronic Pain"/>
    <x v="1"/>
    <s v="Self Pay"/>
    <s v="Corporate Wellness"/>
    <x v="0"/>
    <n v="75"/>
    <n v="75"/>
    <n v="82"/>
    <n v="1900"/>
    <n v="1900"/>
    <n v="0"/>
    <n v="0"/>
    <n v="1"/>
    <n v="0"/>
    <n v="0.85"/>
  </r>
  <r>
    <s v="APT-00431"/>
    <d v="2025-06-16T00:00:00"/>
    <x v="4"/>
    <x v="1"/>
    <s v="Evening"/>
    <x v="0"/>
    <s v="Palakkad"/>
    <x v="11"/>
    <s v="PT-1037"/>
    <s v="New Patient"/>
    <x v="2"/>
    <s v="Corporate Tie-up"/>
    <s v="Orthopedic Doctor"/>
    <x v="0"/>
    <n v="60"/>
    <n v="60"/>
    <n v="67.599999999999994"/>
    <n v="1400"/>
    <n v="1400"/>
    <n v="0"/>
    <n v="0"/>
    <n v="1"/>
    <n v="0"/>
    <n v="0.85"/>
  </r>
  <r>
    <s v="APT-00432"/>
    <d v="2025-12-02T00:00:00"/>
    <x v="0"/>
    <x v="0"/>
    <s v="Afternoon"/>
    <x v="0"/>
    <s v="Palakkad"/>
    <x v="0"/>
    <s v="PT-1451"/>
    <s v="Sports Injury"/>
    <x v="3"/>
    <s v="Self Pay"/>
    <s v="Neurologist"/>
    <x v="0"/>
    <n v="60"/>
    <n v="60"/>
    <n v="73.2"/>
    <n v="1250"/>
    <n v="1250"/>
    <n v="0"/>
    <n v="0"/>
    <n v="1"/>
    <n v="0"/>
    <n v="0.85"/>
  </r>
  <r>
    <s v="APT-00433"/>
    <d v="2025-11-28T00:00:00"/>
    <x v="1"/>
    <x v="4"/>
    <s v="Midday"/>
    <x v="1"/>
    <s v="Thrissur"/>
    <x v="5"/>
    <s v="PT-1548"/>
    <s v="New Patient"/>
    <x v="0"/>
    <s v="Corporate Tie-up"/>
    <s v="Self Referral"/>
    <x v="0"/>
    <n v="60"/>
    <n v="60"/>
    <n v="72.8"/>
    <n v="1500"/>
    <n v="1500"/>
    <n v="0"/>
    <n v="0"/>
    <n v="1"/>
    <n v="0"/>
    <n v="0.85"/>
  </r>
  <r>
    <s v="APT-00434"/>
    <d v="2025-08-04T00:00:00"/>
    <x v="9"/>
    <x v="1"/>
    <s v="Morning"/>
    <x v="1"/>
    <s v="Thrissur"/>
    <x v="10"/>
    <s v="PT-1301"/>
    <s v="Chronic Pain"/>
    <x v="1"/>
    <s v="Private Insurance"/>
    <s v="Orthopedic Doctor"/>
    <x v="0"/>
    <n v="60"/>
    <n v="60"/>
    <n v="72.099999999999994"/>
    <n v="1350"/>
    <n v="1350"/>
    <n v="0"/>
    <n v="0"/>
    <n v="1"/>
    <n v="0"/>
    <n v="0.85"/>
  </r>
  <r>
    <s v="APT-00435"/>
    <d v="2025-04-14T00:00:00"/>
    <x v="6"/>
    <x v="1"/>
    <s v="Midday"/>
    <x v="0"/>
    <s v="Palakkad"/>
    <x v="9"/>
    <s v="PT-1147"/>
    <s v="Follow-up"/>
    <x v="0"/>
    <s v="Private Insurance"/>
    <s v="Neurologist"/>
    <x v="0"/>
    <n v="60"/>
    <n v="60"/>
    <n v="71.5"/>
    <n v="1250"/>
    <n v="1250"/>
    <n v="0"/>
    <n v="0"/>
    <n v="1"/>
    <n v="0"/>
    <n v="0.85"/>
  </r>
  <r>
    <s v="APT-00436"/>
    <d v="2025-02-06T00:00:00"/>
    <x v="5"/>
    <x v="2"/>
    <s v="Midday"/>
    <x v="1"/>
    <s v="Thrissur"/>
    <x v="1"/>
    <s v="PT-1523"/>
    <s v="Chronic Pain"/>
    <x v="3"/>
    <s v="Self Pay"/>
    <s v="Online Search"/>
    <x v="0"/>
    <n v="60"/>
    <n v="60"/>
    <n v="70.5"/>
    <n v="1350"/>
    <n v="1350"/>
    <n v="0"/>
    <n v="0"/>
    <n v="1"/>
    <n v="0"/>
    <n v="0.85"/>
  </r>
  <r>
    <s v="APT-00437"/>
    <d v="2025-06-14T00:00:00"/>
    <x v="4"/>
    <x v="5"/>
    <s v="Morning"/>
    <x v="0"/>
    <s v="Palakkad"/>
    <x v="13"/>
    <s v="PT-1182"/>
    <s v="New Patient"/>
    <x v="3"/>
    <s v="Government Scheme"/>
    <s v="Neurologist"/>
    <x v="0"/>
    <n v="60"/>
    <n v="60"/>
    <n v="71.5"/>
    <n v="1300"/>
    <n v="1300"/>
    <n v="0"/>
    <n v="0"/>
    <n v="1"/>
    <n v="0"/>
    <n v="0.85"/>
  </r>
  <r>
    <s v="APT-00438"/>
    <d v="2025-01-10T00:00:00"/>
    <x v="11"/>
    <x v="4"/>
    <s v="Afternoon"/>
    <x v="0"/>
    <s v="Palakkad"/>
    <x v="6"/>
    <s v="PT-1417"/>
    <s v="Follow-up"/>
    <x v="3"/>
    <s v="Self Pay"/>
    <s v="Hospital Discharge"/>
    <x v="0"/>
    <n v="90"/>
    <n v="90"/>
    <n v="105.2"/>
    <n v="1900"/>
    <n v="1900"/>
    <n v="0"/>
    <n v="0"/>
    <n v="1"/>
    <n v="0"/>
    <n v="0.85"/>
  </r>
  <r>
    <s v="APT-00439"/>
    <d v="2025-03-05T00:00:00"/>
    <x v="3"/>
    <x v="3"/>
    <s v="Midday"/>
    <x v="2"/>
    <s v="Ernakulam"/>
    <x v="8"/>
    <s v="PT-1468"/>
    <s v="Chronic Pain"/>
    <x v="1"/>
    <s v="Private Insurance"/>
    <s v="Corporate Wellness"/>
    <x v="2"/>
    <n v="60"/>
    <n v="0"/>
    <n v="67.900000000000006"/>
    <n v="1500"/>
    <n v="0"/>
    <n v="1500"/>
    <n v="0"/>
    <n v="0"/>
    <n v="1"/>
    <n v="0.85"/>
  </r>
  <r>
    <s v="APT-00440"/>
    <d v="2025-01-23T00:00:00"/>
    <x v="11"/>
    <x v="2"/>
    <s v="Midday"/>
    <x v="2"/>
    <s v="Ernakulam"/>
    <x v="14"/>
    <s v="PT-1553"/>
    <s v="Follow-up"/>
    <x v="3"/>
    <s v="Private Insurance"/>
    <s v="Orthopedic Doctor"/>
    <x v="0"/>
    <n v="30"/>
    <n v="30"/>
    <n v="37.5"/>
    <n v="750"/>
    <n v="750"/>
    <n v="0"/>
    <n v="0"/>
    <n v="1"/>
    <n v="0"/>
    <n v="0.85"/>
  </r>
  <r>
    <s v="APT-00441"/>
    <d v="2025-10-01T00:00:00"/>
    <x v="7"/>
    <x v="3"/>
    <s v="Evening"/>
    <x v="2"/>
    <s v="Ernakulam"/>
    <x v="4"/>
    <s v="PT-1585"/>
    <s v="Chronic Pain"/>
    <x v="4"/>
    <s v="Corporate Tie-up"/>
    <s v="Self Referral"/>
    <x v="1"/>
    <n v="45"/>
    <n v="0"/>
    <n v="56.5"/>
    <n v="1050"/>
    <n v="0"/>
    <n v="1050"/>
    <n v="1"/>
    <n v="0"/>
    <n v="0"/>
    <n v="0.85"/>
  </r>
  <r>
    <s v="APT-00442"/>
    <d v="2025-10-27T00:00:00"/>
    <x v="7"/>
    <x v="1"/>
    <s v="Midday"/>
    <x v="1"/>
    <s v="Thrissur"/>
    <x v="1"/>
    <s v="PT-1287"/>
    <s v="Follow-up"/>
    <x v="0"/>
    <s v="Self Pay"/>
    <s v="Self Referral"/>
    <x v="0"/>
    <n v="75"/>
    <n v="75"/>
    <n v="89.7"/>
    <n v="1700"/>
    <n v="1700"/>
    <n v="0"/>
    <n v="0"/>
    <n v="1"/>
    <n v="0"/>
    <n v="0.85"/>
  </r>
  <r>
    <s v="APT-00443"/>
    <d v="2025-04-15T00:00:00"/>
    <x v="6"/>
    <x v="0"/>
    <s v="Midday"/>
    <x v="0"/>
    <s v="Palakkad"/>
    <x v="13"/>
    <s v="PT-1513"/>
    <s v="Post-op Rehab"/>
    <x v="0"/>
    <s v="Self Pay"/>
    <s v="Online Search"/>
    <x v="0"/>
    <n v="45"/>
    <n v="45"/>
    <n v="57"/>
    <n v="1100"/>
    <n v="1100"/>
    <n v="0"/>
    <n v="0"/>
    <n v="1"/>
    <n v="0"/>
    <n v="0.85"/>
  </r>
  <r>
    <s v="APT-00444"/>
    <d v="2025-04-21T00:00:00"/>
    <x v="6"/>
    <x v="1"/>
    <s v="Afternoon"/>
    <x v="1"/>
    <s v="Thrissur"/>
    <x v="2"/>
    <s v="PT-1072"/>
    <s v="Sports Injury"/>
    <x v="4"/>
    <s v="Private Insurance"/>
    <s v="Self Referral"/>
    <x v="1"/>
    <n v="45"/>
    <n v="0"/>
    <n v="55.1"/>
    <n v="1000"/>
    <n v="0"/>
    <n v="1000"/>
    <n v="1"/>
    <n v="0"/>
    <n v="0"/>
    <n v="0.85"/>
  </r>
  <r>
    <s v="APT-00445"/>
    <d v="2025-11-26T00:00:00"/>
    <x v="1"/>
    <x v="3"/>
    <s v="Morning"/>
    <x v="2"/>
    <s v="Ernakulam"/>
    <x v="3"/>
    <s v="PT-1068"/>
    <s v="Post-op Rehab"/>
    <x v="0"/>
    <s v="Private Insurance"/>
    <s v="Orthopedic Doctor"/>
    <x v="0"/>
    <n v="90"/>
    <n v="90"/>
    <n v="121"/>
    <n v="2600"/>
    <n v="2600"/>
    <n v="0"/>
    <n v="0"/>
    <n v="1"/>
    <n v="0"/>
    <n v="0.85"/>
  </r>
  <r>
    <s v="APT-00446"/>
    <d v="2025-01-18T00:00:00"/>
    <x v="11"/>
    <x v="5"/>
    <s v="Midday"/>
    <x v="2"/>
    <s v="Ernakulam"/>
    <x v="14"/>
    <s v="PT-1196"/>
    <s v="Follow-up"/>
    <x v="5"/>
    <s v="Self Pay"/>
    <s v="Neurologist"/>
    <x v="0"/>
    <n v="60"/>
    <n v="60"/>
    <n v="70.099999999999994"/>
    <n v="1500"/>
    <n v="1500"/>
    <n v="0"/>
    <n v="0"/>
    <n v="1"/>
    <n v="0"/>
    <n v="0.85"/>
  </r>
  <r>
    <s v="APT-00447"/>
    <d v="2025-04-07T00:00:00"/>
    <x v="6"/>
    <x v="1"/>
    <s v="Evening"/>
    <x v="2"/>
    <s v="Ernakulam"/>
    <x v="12"/>
    <s v="PT-1242"/>
    <s v="Chronic Pain"/>
    <x v="2"/>
    <s v="Self Pay"/>
    <s v="Neurologist"/>
    <x v="0"/>
    <n v="45"/>
    <n v="45"/>
    <n v="57.9"/>
    <n v="1100"/>
    <n v="1100"/>
    <n v="0"/>
    <n v="0"/>
    <n v="1"/>
    <n v="0"/>
    <n v="0.85"/>
  </r>
  <r>
    <s v="APT-00448"/>
    <d v="2025-12-22T00:00:00"/>
    <x v="0"/>
    <x v="1"/>
    <s v="Midday"/>
    <x v="2"/>
    <s v="Ernakulam"/>
    <x v="3"/>
    <s v="PT-1435"/>
    <s v="New Patient"/>
    <x v="4"/>
    <s v="Corporate Tie-up"/>
    <s v="Orthopedic Doctor"/>
    <x v="1"/>
    <n v="75"/>
    <n v="0"/>
    <n v="96.3"/>
    <n v="2050"/>
    <n v="0"/>
    <n v="2050"/>
    <n v="1"/>
    <n v="0"/>
    <n v="0"/>
    <n v="0.85"/>
  </r>
  <r>
    <s v="APT-00449"/>
    <d v="2025-12-13T00:00:00"/>
    <x v="0"/>
    <x v="5"/>
    <s v="Midday"/>
    <x v="2"/>
    <s v="Ernakulam"/>
    <x v="3"/>
    <s v="PT-1619"/>
    <s v="Chronic Pain"/>
    <x v="5"/>
    <s v="Corporate Tie-up"/>
    <s v="Hospital Discharge"/>
    <x v="2"/>
    <n v="45"/>
    <n v="0"/>
    <n v="50.3"/>
    <n v="1050"/>
    <n v="0"/>
    <n v="1050"/>
    <n v="0"/>
    <n v="0"/>
    <n v="1"/>
    <n v="0.85"/>
  </r>
  <r>
    <s v="APT-00450"/>
    <d v="2025-12-18T00:00:00"/>
    <x v="0"/>
    <x v="2"/>
    <s v="Evening"/>
    <x v="2"/>
    <s v="Ernakulam"/>
    <x v="12"/>
    <s v="PT-1306"/>
    <s v="Post-op Rehab"/>
    <x v="5"/>
    <s v="Self Pay"/>
    <s v="Online Search"/>
    <x v="0"/>
    <n v="45"/>
    <n v="45"/>
    <n v="56.2"/>
    <n v="1300"/>
    <n v="1300"/>
    <n v="0"/>
    <n v="0"/>
    <n v="1"/>
    <n v="0"/>
    <n v="0.85"/>
  </r>
  <r>
    <s v="APT-00451"/>
    <d v="2025-08-25T00:00:00"/>
    <x v="9"/>
    <x v="1"/>
    <s v="Afternoon"/>
    <x v="1"/>
    <s v="Thrissur"/>
    <x v="1"/>
    <s v="PT-1638"/>
    <s v="Post-op Rehab"/>
    <x v="3"/>
    <s v="Self Pay"/>
    <s v="Hospital Discharge"/>
    <x v="0"/>
    <n v="60"/>
    <n v="60"/>
    <n v="67.5"/>
    <n v="1550"/>
    <n v="1550"/>
    <n v="0"/>
    <n v="0"/>
    <n v="1"/>
    <n v="0"/>
    <n v="0.85"/>
  </r>
  <r>
    <s v="APT-00452"/>
    <d v="2025-03-12T00:00:00"/>
    <x v="3"/>
    <x v="3"/>
    <s v="Midday"/>
    <x v="0"/>
    <s v="Palakkad"/>
    <x v="11"/>
    <s v="PT-1417"/>
    <s v="New Patient"/>
    <x v="2"/>
    <s v="Private Insurance"/>
    <s v="Neurologist"/>
    <x v="0"/>
    <n v="75"/>
    <n v="75"/>
    <n v="99.3"/>
    <n v="1900"/>
    <n v="1900"/>
    <n v="0"/>
    <n v="0"/>
    <n v="1"/>
    <n v="0"/>
    <n v="0.85"/>
  </r>
  <r>
    <s v="APT-00453"/>
    <d v="2025-06-30T00:00:00"/>
    <x v="4"/>
    <x v="1"/>
    <s v="Evening"/>
    <x v="1"/>
    <s v="Thrissur"/>
    <x v="10"/>
    <s v="PT-1324"/>
    <s v="Follow-up"/>
    <x v="0"/>
    <s v="Private Insurance"/>
    <s v="Neurologist"/>
    <x v="1"/>
    <n v="60"/>
    <n v="0"/>
    <n v="79"/>
    <n v="1350"/>
    <n v="0"/>
    <n v="1350"/>
    <n v="1"/>
    <n v="0"/>
    <n v="0"/>
    <n v="0.85"/>
  </r>
  <r>
    <s v="APT-00454"/>
    <d v="2025-03-22T00:00:00"/>
    <x v="3"/>
    <x v="5"/>
    <s v="Evening"/>
    <x v="2"/>
    <s v="Ernakulam"/>
    <x v="4"/>
    <s v="PT-1105"/>
    <s v="Sports Injury"/>
    <x v="1"/>
    <s v="Private Insurance"/>
    <s v="Neurologist"/>
    <x v="0"/>
    <n v="45"/>
    <n v="45"/>
    <n v="51.9"/>
    <n v="1100"/>
    <n v="1100"/>
    <n v="0"/>
    <n v="0"/>
    <n v="1"/>
    <n v="0"/>
    <n v="0.85"/>
  </r>
  <r>
    <s v="APT-00455"/>
    <d v="2025-11-22T00:00:00"/>
    <x v="1"/>
    <x v="5"/>
    <s v="Morning"/>
    <x v="2"/>
    <s v="Ernakulam"/>
    <x v="14"/>
    <s v="PT-1496"/>
    <s v="Geriatric Rehab"/>
    <x v="0"/>
    <s v="Corporate Tie-up"/>
    <s v="Hospital Discharge"/>
    <x v="0"/>
    <n v="30"/>
    <n v="30"/>
    <n v="39.9"/>
    <n v="700"/>
    <n v="700"/>
    <n v="0"/>
    <n v="0"/>
    <n v="1"/>
    <n v="0"/>
    <n v="0.85"/>
  </r>
  <r>
    <s v="APT-00456"/>
    <d v="2025-08-13T00:00:00"/>
    <x v="9"/>
    <x v="3"/>
    <s v="Midday"/>
    <x v="2"/>
    <s v="Ernakulam"/>
    <x v="3"/>
    <s v="PT-1448"/>
    <s v="New Patient"/>
    <x v="0"/>
    <s v="Self Pay"/>
    <s v="Corporate Wellness"/>
    <x v="1"/>
    <n v="45"/>
    <n v="0"/>
    <n v="52"/>
    <n v="1350"/>
    <n v="0"/>
    <n v="1350"/>
    <n v="1"/>
    <n v="0"/>
    <n v="0"/>
    <n v="0.85"/>
  </r>
  <r>
    <s v="APT-00457"/>
    <d v="2025-09-09T00:00:00"/>
    <x v="2"/>
    <x v="0"/>
    <s v="Morning"/>
    <x v="1"/>
    <s v="Thrissur"/>
    <x v="5"/>
    <s v="PT-1306"/>
    <s v="Post-op Rehab"/>
    <x v="5"/>
    <s v="Corporate Tie-up"/>
    <s v="Online Search"/>
    <x v="2"/>
    <n v="60"/>
    <n v="0"/>
    <n v="66"/>
    <n v="1450"/>
    <n v="0"/>
    <n v="1450"/>
    <n v="0"/>
    <n v="0"/>
    <n v="1"/>
    <n v="0.85"/>
  </r>
  <r>
    <s v="APT-00458"/>
    <d v="2025-12-27T00:00:00"/>
    <x v="0"/>
    <x v="5"/>
    <s v="Evening"/>
    <x v="2"/>
    <s v="Ernakulam"/>
    <x v="14"/>
    <s v="PT-1045"/>
    <s v="New Patient"/>
    <x v="5"/>
    <s v="Private Insurance"/>
    <s v="Online Search"/>
    <x v="0"/>
    <n v="45"/>
    <n v="45"/>
    <n v="54.2"/>
    <n v="1350"/>
    <n v="1350"/>
    <n v="0"/>
    <n v="0"/>
    <n v="1"/>
    <n v="0"/>
    <n v="0.85"/>
  </r>
  <r>
    <s v="APT-00459"/>
    <d v="2025-12-28T00:00:00"/>
    <x v="0"/>
    <x v="6"/>
    <s v="Afternoon"/>
    <x v="1"/>
    <s v="Thrissur"/>
    <x v="2"/>
    <s v="PT-1651"/>
    <s v="New Patient"/>
    <x v="4"/>
    <s v="Self Pay"/>
    <s v="Neurologist"/>
    <x v="0"/>
    <n v="60"/>
    <n v="60"/>
    <n v="76.2"/>
    <n v="1600"/>
    <n v="1600"/>
    <n v="0"/>
    <n v="0"/>
    <n v="1"/>
    <n v="0"/>
    <n v="0.85"/>
  </r>
  <r>
    <s v="APT-00460"/>
    <d v="2025-08-15T00:00:00"/>
    <x v="9"/>
    <x v="4"/>
    <s v="Midday"/>
    <x v="2"/>
    <s v="Ernakulam"/>
    <x v="3"/>
    <s v="PT-1139"/>
    <s v="Geriatric Rehab"/>
    <x v="2"/>
    <s v="Self Pay"/>
    <s v="Orthopedic Doctor"/>
    <x v="0"/>
    <n v="75"/>
    <n v="75"/>
    <n v="94.6"/>
    <n v="1900"/>
    <n v="1900"/>
    <n v="0"/>
    <n v="0"/>
    <n v="1"/>
    <n v="0"/>
    <n v="0.85"/>
  </r>
  <r>
    <s v="APT-00461"/>
    <d v="2025-09-25T00:00:00"/>
    <x v="2"/>
    <x v="2"/>
    <s v="Morning"/>
    <x v="2"/>
    <s v="Ernakulam"/>
    <x v="12"/>
    <s v="PT-1329"/>
    <s v="Follow-up"/>
    <x v="4"/>
    <s v="Corporate Tie-up"/>
    <s v="Self Referral"/>
    <x v="0"/>
    <n v="60"/>
    <n v="60"/>
    <n v="70.2"/>
    <n v="1400"/>
    <n v="1400"/>
    <n v="0"/>
    <n v="0"/>
    <n v="1"/>
    <n v="0"/>
    <n v="0.85"/>
  </r>
  <r>
    <s v="APT-00462"/>
    <d v="2025-05-23T00:00:00"/>
    <x v="10"/>
    <x v="4"/>
    <s v="Morning"/>
    <x v="1"/>
    <s v="Thrissur"/>
    <x v="1"/>
    <s v="PT-1659"/>
    <s v="Chronic Pain"/>
    <x v="4"/>
    <s v="Private Insurance"/>
    <s v="Neurologist"/>
    <x v="0"/>
    <n v="45"/>
    <n v="45"/>
    <n v="58.7"/>
    <n v="1000"/>
    <n v="1000"/>
    <n v="0"/>
    <n v="0"/>
    <n v="1"/>
    <n v="0"/>
    <n v="0.85"/>
  </r>
  <r>
    <s v="APT-00463"/>
    <d v="2025-07-26T00:00:00"/>
    <x v="8"/>
    <x v="5"/>
    <s v="Afternoon"/>
    <x v="2"/>
    <s v="Ernakulam"/>
    <x v="14"/>
    <s v="PT-1419"/>
    <s v="Follow-up"/>
    <x v="1"/>
    <s v="Self Pay"/>
    <s v="Self Referral"/>
    <x v="0"/>
    <n v="60"/>
    <n v="60"/>
    <n v="67"/>
    <n v="1500"/>
    <n v="1500"/>
    <n v="0"/>
    <n v="0"/>
    <n v="1"/>
    <n v="0"/>
    <n v="0.85"/>
  </r>
  <r>
    <s v="APT-00464"/>
    <d v="2025-09-30T00:00:00"/>
    <x v="2"/>
    <x v="0"/>
    <s v="Afternoon"/>
    <x v="2"/>
    <s v="Ernakulam"/>
    <x v="14"/>
    <s v="PT-1508"/>
    <s v="Follow-up"/>
    <x v="3"/>
    <s v="Self Pay"/>
    <s v="Orthopedic Doctor"/>
    <x v="0"/>
    <n v="60"/>
    <n v="60"/>
    <n v="70.7"/>
    <n v="1500"/>
    <n v="1500"/>
    <n v="0"/>
    <n v="0"/>
    <n v="1"/>
    <n v="0"/>
    <n v="0.85"/>
  </r>
  <r>
    <s v="APT-00465"/>
    <d v="2025-10-23T00:00:00"/>
    <x v="7"/>
    <x v="2"/>
    <s v="Afternoon"/>
    <x v="2"/>
    <s v="Ernakulam"/>
    <x v="8"/>
    <s v="PT-1325"/>
    <s v="Follow-up"/>
    <x v="3"/>
    <s v="Self Pay"/>
    <s v="Orthopedic Doctor"/>
    <x v="0"/>
    <n v="45"/>
    <n v="45"/>
    <n v="52.3"/>
    <n v="1100"/>
    <n v="1100"/>
    <n v="0"/>
    <n v="0"/>
    <n v="1"/>
    <n v="0"/>
    <n v="0.85"/>
  </r>
  <r>
    <s v="APT-00466"/>
    <d v="2025-03-19T00:00:00"/>
    <x v="3"/>
    <x v="3"/>
    <s v="Morning"/>
    <x v="0"/>
    <s v="Palakkad"/>
    <x v="0"/>
    <s v="PT-1511"/>
    <s v="Follow-up"/>
    <x v="1"/>
    <s v="Self Pay"/>
    <s v="Corporate Wellness"/>
    <x v="0"/>
    <n v="75"/>
    <n v="75"/>
    <n v="87.6"/>
    <n v="1550"/>
    <n v="1550"/>
    <n v="0"/>
    <n v="0"/>
    <n v="1"/>
    <n v="0"/>
    <n v="0.85"/>
  </r>
  <r>
    <s v="APT-00467"/>
    <d v="2025-09-26T00:00:00"/>
    <x v="2"/>
    <x v="4"/>
    <s v="Afternoon"/>
    <x v="0"/>
    <s v="Palakkad"/>
    <x v="0"/>
    <s v="PT-1526"/>
    <s v="New Patient"/>
    <x v="1"/>
    <s v="Private Insurance"/>
    <s v="Corporate Wellness"/>
    <x v="0"/>
    <n v="60"/>
    <n v="60"/>
    <n v="66.8"/>
    <n v="1500"/>
    <n v="1500"/>
    <n v="0"/>
    <n v="0"/>
    <n v="1"/>
    <n v="0"/>
    <n v="0.85"/>
  </r>
  <r>
    <s v="APT-00468"/>
    <d v="2025-08-04T00:00:00"/>
    <x v="9"/>
    <x v="1"/>
    <s v="Morning"/>
    <x v="1"/>
    <s v="Thrissur"/>
    <x v="2"/>
    <s v="PT-1597"/>
    <s v="Post-op Rehab"/>
    <x v="3"/>
    <s v="Government Scheme"/>
    <s v="Hospital Discharge"/>
    <x v="0"/>
    <n v="75"/>
    <n v="75"/>
    <n v="90.5"/>
    <n v="1650"/>
    <n v="1650"/>
    <n v="0"/>
    <n v="0"/>
    <n v="1"/>
    <n v="0"/>
    <n v="0.85"/>
  </r>
  <r>
    <s v="APT-00469"/>
    <d v="2025-07-19T00:00:00"/>
    <x v="8"/>
    <x v="5"/>
    <s v="Afternoon"/>
    <x v="0"/>
    <s v="Palakkad"/>
    <x v="13"/>
    <s v="PT-1337"/>
    <s v="New Patient"/>
    <x v="2"/>
    <s v="Government Scheme"/>
    <s v="Orthopedic Doctor"/>
    <x v="1"/>
    <n v="30"/>
    <n v="0"/>
    <n v="37.6"/>
    <n v="650"/>
    <n v="0"/>
    <n v="650"/>
    <n v="1"/>
    <n v="0"/>
    <n v="0"/>
    <n v="0.85"/>
  </r>
  <r>
    <s v="APT-00470"/>
    <d v="2025-09-10T00:00:00"/>
    <x v="2"/>
    <x v="3"/>
    <s v="Morning"/>
    <x v="0"/>
    <s v="Palakkad"/>
    <x v="11"/>
    <s v="PT-1018"/>
    <s v="Post-op Rehab"/>
    <x v="1"/>
    <s v="Private Insurance"/>
    <s v="Corporate Wellness"/>
    <x v="0"/>
    <n v="90"/>
    <n v="90"/>
    <n v="115"/>
    <n v="2150"/>
    <n v="2150"/>
    <n v="0"/>
    <n v="0"/>
    <n v="1"/>
    <n v="0"/>
    <n v="0.85"/>
  </r>
  <r>
    <s v="APT-00471"/>
    <d v="2025-08-23T00:00:00"/>
    <x v="9"/>
    <x v="5"/>
    <s v="Midday"/>
    <x v="1"/>
    <s v="Thrissur"/>
    <x v="7"/>
    <s v="PT-1296"/>
    <s v="Sports Injury"/>
    <x v="0"/>
    <s v="Self Pay"/>
    <s v="Corporate Wellness"/>
    <x v="1"/>
    <n v="60"/>
    <n v="0"/>
    <n v="77.5"/>
    <n v="1350"/>
    <n v="0"/>
    <n v="1350"/>
    <n v="1"/>
    <n v="0"/>
    <n v="0"/>
    <n v="0.85"/>
  </r>
  <r>
    <s v="APT-00472"/>
    <d v="2025-05-27T00:00:00"/>
    <x v="10"/>
    <x v="0"/>
    <s v="Evening"/>
    <x v="1"/>
    <s v="Thrissur"/>
    <x v="7"/>
    <s v="PT-1326"/>
    <s v="Sports Injury"/>
    <x v="0"/>
    <s v="Private Insurance"/>
    <s v="Hospital Discharge"/>
    <x v="0"/>
    <n v="30"/>
    <n v="30"/>
    <n v="39.200000000000003"/>
    <n v="700"/>
    <n v="700"/>
    <n v="0"/>
    <n v="0"/>
    <n v="1"/>
    <n v="0"/>
    <n v="0.85"/>
  </r>
  <r>
    <s v="APT-00473"/>
    <d v="2025-09-05T00:00:00"/>
    <x v="2"/>
    <x v="4"/>
    <s v="Midday"/>
    <x v="1"/>
    <s v="Thrissur"/>
    <x v="7"/>
    <s v="PT-1459"/>
    <s v="Geriatric Rehab"/>
    <x v="4"/>
    <s v="Corporate Tie-up"/>
    <s v="Hospital Discharge"/>
    <x v="0"/>
    <n v="60"/>
    <n v="60"/>
    <n v="76.900000000000006"/>
    <n v="1250"/>
    <n v="1250"/>
    <n v="0"/>
    <n v="0"/>
    <n v="1"/>
    <n v="0"/>
    <n v="0.85"/>
  </r>
  <r>
    <s v="APT-00474"/>
    <d v="2025-10-06T00:00:00"/>
    <x v="7"/>
    <x v="1"/>
    <s v="Evening"/>
    <x v="0"/>
    <s v="Palakkad"/>
    <x v="6"/>
    <s v="PT-1597"/>
    <s v="Chronic Pain"/>
    <x v="4"/>
    <s v="Private Insurance"/>
    <s v="Neurologist"/>
    <x v="1"/>
    <n v="45"/>
    <n v="0"/>
    <n v="54.5"/>
    <n v="950"/>
    <n v="0"/>
    <n v="950"/>
    <n v="1"/>
    <n v="0"/>
    <n v="0"/>
    <n v="0.85"/>
  </r>
  <r>
    <s v="APT-00475"/>
    <d v="2025-04-08T00:00:00"/>
    <x v="6"/>
    <x v="0"/>
    <s v="Morning"/>
    <x v="0"/>
    <s v="Palakkad"/>
    <x v="9"/>
    <s v="PT-1631"/>
    <s v="Follow-up"/>
    <x v="5"/>
    <s v="Self Pay"/>
    <s v="Neurologist"/>
    <x v="1"/>
    <n v="45"/>
    <n v="0"/>
    <n v="58.1"/>
    <n v="950"/>
    <n v="0"/>
    <n v="950"/>
    <n v="1"/>
    <n v="0"/>
    <n v="0"/>
    <n v="0.85"/>
  </r>
  <r>
    <s v="APT-00476"/>
    <d v="2025-06-24T00:00:00"/>
    <x v="4"/>
    <x v="0"/>
    <s v="Midday"/>
    <x v="0"/>
    <s v="Palakkad"/>
    <x v="6"/>
    <s v="PT-1080"/>
    <s v="Follow-up"/>
    <x v="0"/>
    <s v="Self Pay"/>
    <s v="Orthopedic Doctor"/>
    <x v="0"/>
    <n v="60"/>
    <n v="60"/>
    <n v="67.7"/>
    <n v="1250"/>
    <n v="1250"/>
    <n v="0"/>
    <n v="0"/>
    <n v="1"/>
    <n v="0"/>
    <n v="0.85"/>
  </r>
  <r>
    <s v="APT-00477"/>
    <d v="2025-03-31T00:00:00"/>
    <x v="3"/>
    <x v="1"/>
    <s v="Midday"/>
    <x v="1"/>
    <s v="Thrissur"/>
    <x v="7"/>
    <s v="PT-1585"/>
    <s v="Sports Injury"/>
    <x v="5"/>
    <s v="Government Scheme"/>
    <s v="Self Referral"/>
    <x v="1"/>
    <n v="30"/>
    <n v="0"/>
    <n v="39"/>
    <n v="550"/>
    <n v="0"/>
    <n v="550"/>
    <n v="1"/>
    <n v="0"/>
    <n v="0"/>
    <n v="0.85"/>
  </r>
  <r>
    <s v="APT-00478"/>
    <d v="2025-02-26T00:00:00"/>
    <x v="5"/>
    <x v="3"/>
    <s v="Morning"/>
    <x v="0"/>
    <s v="Palakkad"/>
    <x v="9"/>
    <s v="PT-1275"/>
    <s v="Sports Injury"/>
    <x v="0"/>
    <s v="Private Insurance"/>
    <s v="Hospital Discharge"/>
    <x v="0"/>
    <n v="90"/>
    <n v="90"/>
    <n v="106.7"/>
    <n v="1900"/>
    <n v="1900"/>
    <n v="0"/>
    <n v="0"/>
    <n v="1"/>
    <n v="0"/>
    <n v="0.85"/>
  </r>
  <r>
    <s v="APT-00479"/>
    <d v="2025-05-24T00:00:00"/>
    <x v="10"/>
    <x v="5"/>
    <s v="Midday"/>
    <x v="2"/>
    <s v="Ernakulam"/>
    <x v="4"/>
    <s v="PT-1609"/>
    <s v="Sports Injury"/>
    <x v="3"/>
    <s v="Self Pay"/>
    <s v="Corporate Wellness"/>
    <x v="0"/>
    <n v="60"/>
    <n v="60"/>
    <n v="68"/>
    <n v="1500"/>
    <n v="1500"/>
    <n v="0"/>
    <n v="0"/>
    <n v="1"/>
    <n v="0"/>
    <n v="0.85"/>
  </r>
  <r>
    <s v="APT-00480"/>
    <d v="2025-08-26T00:00:00"/>
    <x v="9"/>
    <x v="0"/>
    <s v="Morning"/>
    <x v="1"/>
    <s v="Thrissur"/>
    <x v="5"/>
    <s v="PT-1625"/>
    <s v="Chronic Pain"/>
    <x v="4"/>
    <s v="Self Pay"/>
    <s v="Orthopedic Doctor"/>
    <x v="0"/>
    <n v="60"/>
    <n v="60"/>
    <n v="65.7"/>
    <n v="1350"/>
    <n v="1350"/>
    <n v="0"/>
    <n v="0"/>
    <n v="1"/>
    <n v="0"/>
    <n v="0.85"/>
  </r>
  <r>
    <s v="APT-00481"/>
    <d v="2025-03-03T00:00:00"/>
    <x v="3"/>
    <x v="1"/>
    <s v="Evening"/>
    <x v="0"/>
    <s v="Palakkad"/>
    <x v="9"/>
    <s v="PT-1391"/>
    <s v="New Patient"/>
    <x v="0"/>
    <s v="Self Pay"/>
    <s v="Corporate Wellness"/>
    <x v="0"/>
    <n v="60"/>
    <n v="60"/>
    <n v="72.400000000000006"/>
    <n v="1500"/>
    <n v="1500"/>
    <n v="0"/>
    <n v="0"/>
    <n v="1"/>
    <n v="0"/>
    <n v="0.85"/>
  </r>
  <r>
    <s v="APT-00482"/>
    <d v="2025-05-26T00:00:00"/>
    <x v="10"/>
    <x v="1"/>
    <s v="Afternoon"/>
    <x v="2"/>
    <s v="Ernakulam"/>
    <x v="12"/>
    <s v="PT-1419"/>
    <s v="New Patient"/>
    <x v="0"/>
    <s v="Self Pay"/>
    <s v="Neurologist"/>
    <x v="0"/>
    <n v="45"/>
    <n v="45"/>
    <n v="59.7"/>
    <n v="1350"/>
    <n v="1350"/>
    <n v="0"/>
    <n v="0"/>
    <n v="1"/>
    <n v="0"/>
    <n v="0.85"/>
  </r>
  <r>
    <s v="APT-00483"/>
    <d v="2025-11-03T00:00:00"/>
    <x v="1"/>
    <x v="1"/>
    <s v="Midday"/>
    <x v="2"/>
    <s v="Ernakulam"/>
    <x v="8"/>
    <s v="PT-1188"/>
    <s v="Post-op Rehab"/>
    <x v="2"/>
    <s v="Self Pay"/>
    <s v="Self Referral"/>
    <x v="0"/>
    <n v="60"/>
    <n v="60"/>
    <n v="75.8"/>
    <n v="1700"/>
    <n v="1700"/>
    <n v="0"/>
    <n v="0"/>
    <n v="1"/>
    <n v="0"/>
    <n v="0.85"/>
  </r>
  <r>
    <s v="APT-00484"/>
    <d v="2025-11-28T00:00:00"/>
    <x v="1"/>
    <x v="4"/>
    <s v="Afternoon"/>
    <x v="0"/>
    <s v="Palakkad"/>
    <x v="6"/>
    <s v="PT-1179"/>
    <s v="Post-op Rehab"/>
    <x v="2"/>
    <s v="Self Pay"/>
    <s v="Hospital Discharge"/>
    <x v="3"/>
    <n v="45"/>
    <n v="0"/>
    <n v="54"/>
    <n v="1100"/>
    <n v="0"/>
    <n v="0"/>
    <n v="0"/>
    <n v="0"/>
    <n v="0"/>
    <n v="0.85"/>
  </r>
  <r>
    <s v="APT-00485"/>
    <d v="2025-08-10T00:00:00"/>
    <x v="9"/>
    <x v="6"/>
    <s v="Afternoon"/>
    <x v="0"/>
    <s v="Palakkad"/>
    <x v="11"/>
    <s v="PT-1464"/>
    <s v="Follow-up"/>
    <x v="3"/>
    <s v="Government Scheme"/>
    <s v="Neurologist"/>
    <x v="0"/>
    <n v="60"/>
    <n v="60"/>
    <n v="75.599999999999994"/>
    <n v="1050"/>
    <n v="1050"/>
    <n v="0"/>
    <n v="0"/>
    <n v="1"/>
    <n v="0"/>
    <n v="0.85"/>
  </r>
  <r>
    <s v="APT-00486"/>
    <d v="2025-01-29T00:00:00"/>
    <x v="11"/>
    <x v="3"/>
    <s v="Afternoon"/>
    <x v="0"/>
    <s v="Palakkad"/>
    <x v="0"/>
    <s v="PT-1223"/>
    <s v="New Patient"/>
    <x v="3"/>
    <s v="Corporate Tie-up"/>
    <s v="Corporate Wellness"/>
    <x v="0"/>
    <n v="60"/>
    <n v="60"/>
    <n v="77.900000000000006"/>
    <n v="1400"/>
    <n v="1400"/>
    <n v="0"/>
    <n v="0"/>
    <n v="1"/>
    <n v="0"/>
    <n v="0.85"/>
  </r>
  <r>
    <s v="APT-00487"/>
    <d v="2025-09-23T00:00:00"/>
    <x v="2"/>
    <x v="0"/>
    <s v="Afternoon"/>
    <x v="0"/>
    <s v="Palakkad"/>
    <x v="9"/>
    <s v="PT-1627"/>
    <s v="Sports Injury"/>
    <x v="0"/>
    <s v="Corporate Tie-up"/>
    <s v="Hospital Discharge"/>
    <x v="0"/>
    <n v="60"/>
    <n v="60"/>
    <n v="71.8"/>
    <n v="1150"/>
    <n v="1150"/>
    <n v="0"/>
    <n v="0"/>
    <n v="1"/>
    <n v="0"/>
    <n v="0.85"/>
  </r>
  <r>
    <s v="APT-00488"/>
    <d v="2025-12-19T00:00:00"/>
    <x v="0"/>
    <x v="4"/>
    <s v="Morning"/>
    <x v="1"/>
    <s v="Thrissur"/>
    <x v="7"/>
    <s v="PT-1626"/>
    <s v="Follow-up"/>
    <x v="5"/>
    <s v="Corporate Tie-up"/>
    <s v="Hospital Discharge"/>
    <x v="0"/>
    <n v="60"/>
    <n v="60"/>
    <n v="68.5"/>
    <n v="1250"/>
    <n v="1250"/>
    <n v="0"/>
    <n v="0"/>
    <n v="1"/>
    <n v="0"/>
    <n v="0.85"/>
  </r>
  <r>
    <s v="APT-00489"/>
    <d v="2025-03-14T00:00:00"/>
    <x v="3"/>
    <x v="4"/>
    <s v="Afternoon"/>
    <x v="0"/>
    <s v="Palakkad"/>
    <x v="11"/>
    <s v="PT-1073"/>
    <s v="Follow-up"/>
    <x v="5"/>
    <s v="Self Pay"/>
    <s v="Hospital Discharge"/>
    <x v="0"/>
    <n v="90"/>
    <n v="90"/>
    <n v="110.4"/>
    <n v="1900"/>
    <n v="1900"/>
    <n v="0"/>
    <n v="0"/>
    <n v="1"/>
    <n v="0"/>
    <n v="0.85"/>
  </r>
  <r>
    <s v="APT-00490"/>
    <d v="2025-09-10T00:00:00"/>
    <x v="2"/>
    <x v="3"/>
    <s v="Midday"/>
    <x v="2"/>
    <s v="Ernakulam"/>
    <x v="4"/>
    <s v="PT-1417"/>
    <s v="Follow-up"/>
    <x v="1"/>
    <s v="Self Pay"/>
    <s v="Corporate Wellness"/>
    <x v="0"/>
    <n v="45"/>
    <n v="45"/>
    <n v="52.9"/>
    <n v="1100"/>
    <n v="1100"/>
    <n v="0"/>
    <n v="0"/>
    <n v="1"/>
    <n v="0"/>
    <n v="0.85"/>
  </r>
  <r>
    <s v="APT-00491"/>
    <d v="2025-10-02T00:00:00"/>
    <x v="7"/>
    <x v="2"/>
    <s v="Midday"/>
    <x v="2"/>
    <s v="Ernakulam"/>
    <x v="3"/>
    <s v="PT-1601"/>
    <s v="Chronic Pain"/>
    <x v="1"/>
    <s v="Self Pay"/>
    <s v="Corporate Wellness"/>
    <x v="0"/>
    <n v="45"/>
    <n v="45"/>
    <n v="51.1"/>
    <n v="1100"/>
    <n v="1100"/>
    <n v="0"/>
    <n v="0"/>
    <n v="1"/>
    <n v="0"/>
    <n v="0.85"/>
  </r>
  <r>
    <s v="APT-00492"/>
    <d v="2025-10-13T00:00:00"/>
    <x v="7"/>
    <x v="1"/>
    <s v="Afternoon"/>
    <x v="2"/>
    <s v="Ernakulam"/>
    <x v="14"/>
    <s v="PT-1240"/>
    <s v="Post-op Rehab"/>
    <x v="1"/>
    <s v="Private Insurance"/>
    <s v="Orthopedic Doctor"/>
    <x v="3"/>
    <n v="75"/>
    <n v="0"/>
    <n v="93.2"/>
    <n v="2150"/>
    <n v="0"/>
    <n v="0"/>
    <n v="0"/>
    <n v="0"/>
    <n v="0"/>
    <n v="0.85"/>
  </r>
  <r>
    <s v="APT-00493"/>
    <d v="2025-09-02T00:00:00"/>
    <x v="2"/>
    <x v="0"/>
    <s v="Evening"/>
    <x v="2"/>
    <s v="Ernakulam"/>
    <x v="8"/>
    <s v="PT-1104"/>
    <s v="Geriatric Rehab"/>
    <x v="4"/>
    <s v="Self Pay"/>
    <s v="Corporate Wellness"/>
    <x v="1"/>
    <n v="60"/>
    <n v="0"/>
    <n v="66.900000000000006"/>
    <n v="1500"/>
    <n v="0"/>
    <n v="1500"/>
    <n v="1"/>
    <n v="0"/>
    <n v="0"/>
    <n v="0.85"/>
  </r>
  <r>
    <s v="APT-00494"/>
    <d v="2025-09-10T00:00:00"/>
    <x v="2"/>
    <x v="3"/>
    <s v="Evening"/>
    <x v="2"/>
    <s v="Ernakulam"/>
    <x v="3"/>
    <s v="PT-1459"/>
    <s v="Follow-up"/>
    <x v="2"/>
    <s v="Self Pay"/>
    <s v="Self Referral"/>
    <x v="0"/>
    <n v="60"/>
    <n v="60"/>
    <n v="69.5"/>
    <n v="1500"/>
    <n v="1500"/>
    <n v="0"/>
    <n v="0"/>
    <n v="1"/>
    <n v="0"/>
    <n v="0.85"/>
  </r>
  <r>
    <s v="APT-00495"/>
    <d v="2025-10-28T00:00:00"/>
    <x v="7"/>
    <x v="0"/>
    <s v="Evening"/>
    <x v="2"/>
    <s v="Ernakulam"/>
    <x v="14"/>
    <s v="PT-1554"/>
    <s v="Follow-up"/>
    <x v="0"/>
    <s v="Private Insurance"/>
    <s v="Self Referral"/>
    <x v="0"/>
    <n v="45"/>
    <n v="45"/>
    <n v="57.6"/>
    <n v="1100"/>
    <n v="1100"/>
    <n v="0"/>
    <n v="0"/>
    <n v="1"/>
    <n v="0"/>
    <n v="0.85"/>
  </r>
  <r>
    <s v="APT-00496"/>
    <d v="2025-02-10T00:00:00"/>
    <x v="5"/>
    <x v="1"/>
    <s v="Midday"/>
    <x v="1"/>
    <s v="Thrissur"/>
    <x v="1"/>
    <s v="PT-1444"/>
    <s v="Post-op Rehab"/>
    <x v="2"/>
    <s v="Private Insurance"/>
    <s v="Corporate Wellness"/>
    <x v="0"/>
    <n v="30"/>
    <n v="30"/>
    <n v="37.1"/>
    <n v="800"/>
    <n v="800"/>
    <n v="0"/>
    <n v="0"/>
    <n v="1"/>
    <n v="0"/>
    <n v="0.85"/>
  </r>
  <r>
    <s v="APT-00497"/>
    <d v="2025-12-05T00:00:00"/>
    <x v="0"/>
    <x v="4"/>
    <s v="Afternoon"/>
    <x v="2"/>
    <s v="Ernakulam"/>
    <x v="8"/>
    <s v="PT-1360"/>
    <s v="Post-op Rehab"/>
    <x v="3"/>
    <s v="Private Insurance"/>
    <s v="Corporate Wellness"/>
    <x v="0"/>
    <n v="75"/>
    <n v="75"/>
    <n v="98.9"/>
    <n v="2150"/>
    <n v="2150"/>
    <n v="0"/>
    <n v="0"/>
    <n v="1"/>
    <n v="0"/>
    <n v="0.85"/>
  </r>
  <r>
    <s v="APT-00498"/>
    <d v="2025-01-20T00:00:00"/>
    <x v="11"/>
    <x v="1"/>
    <s v="Midday"/>
    <x v="2"/>
    <s v="Ernakulam"/>
    <x v="14"/>
    <s v="PT-1609"/>
    <s v="Follow-up"/>
    <x v="0"/>
    <s v="Private Insurance"/>
    <s v="Neurologist"/>
    <x v="0"/>
    <n v="45"/>
    <n v="45"/>
    <n v="56.9"/>
    <n v="1100"/>
    <n v="1100"/>
    <n v="0"/>
    <n v="0"/>
    <n v="1"/>
    <n v="0"/>
    <n v="0.85"/>
  </r>
  <r>
    <s v="APT-00499"/>
    <d v="2025-12-15T00:00:00"/>
    <x v="0"/>
    <x v="1"/>
    <s v="Afternoon"/>
    <x v="1"/>
    <s v="Thrissur"/>
    <x v="7"/>
    <s v="PT-1122"/>
    <s v="Geriatric Rehab"/>
    <x v="1"/>
    <s v="Self Pay"/>
    <s v="Neurologist"/>
    <x v="1"/>
    <n v="60"/>
    <n v="0"/>
    <n v="78.099999999999994"/>
    <n v="1350"/>
    <n v="0"/>
    <n v="1350"/>
    <n v="1"/>
    <n v="0"/>
    <n v="0"/>
    <n v="0.85"/>
  </r>
  <r>
    <s v="APT-00500"/>
    <d v="2025-07-11T00:00:00"/>
    <x v="8"/>
    <x v="4"/>
    <s v="Morning"/>
    <x v="0"/>
    <s v="Palakkad"/>
    <x v="6"/>
    <s v="PT-1120"/>
    <s v="Sports Injury"/>
    <x v="2"/>
    <s v="Corporate Tie-up"/>
    <s v="Neurologist"/>
    <x v="0"/>
    <n v="60"/>
    <n v="60"/>
    <n v="73.5"/>
    <n v="1150"/>
    <n v="1150"/>
    <n v="0"/>
    <n v="0"/>
    <n v="1"/>
    <n v="0"/>
    <n v="0.85"/>
  </r>
  <r>
    <s v="APT-00501"/>
    <d v="2025-10-14T00:00:00"/>
    <x v="7"/>
    <x v="0"/>
    <s v="Afternoon"/>
    <x v="2"/>
    <s v="Ernakulam"/>
    <x v="3"/>
    <s v="PT-1384"/>
    <s v="Post-op Rehab"/>
    <x v="3"/>
    <s v="Corporate Tie-up"/>
    <s v="Online Search"/>
    <x v="2"/>
    <n v="30"/>
    <n v="0"/>
    <n v="34.700000000000003"/>
    <n v="800"/>
    <n v="0"/>
    <n v="800"/>
    <n v="0"/>
    <n v="0"/>
    <n v="1"/>
    <n v="0.85"/>
  </r>
  <r>
    <s v="APT-00502"/>
    <d v="2025-04-28T00:00:00"/>
    <x v="6"/>
    <x v="1"/>
    <s v="Midday"/>
    <x v="2"/>
    <s v="Ernakulam"/>
    <x v="4"/>
    <s v="PT-1428"/>
    <s v="Post-op Rehab"/>
    <x v="4"/>
    <s v="Self Pay"/>
    <s v="Online Search"/>
    <x v="0"/>
    <n v="75"/>
    <n v="75"/>
    <n v="82.6"/>
    <n v="2150"/>
    <n v="2150"/>
    <n v="0"/>
    <n v="0"/>
    <n v="1"/>
    <n v="0"/>
    <n v="0.85"/>
  </r>
  <r>
    <s v="APT-00503"/>
    <d v="2025-02-22T00:00:00"/>
    <x v="5"/>
    <x v="5"/>
    <s v="Evening"/>
    <x v="1"/>
    <s v="Thrissur"/>
    <x v="10"/>
    <s v="PT-1440"/>
    <s v="Post-op Rehab"/>
    <x v="5"/>
    <s v="Private Insurance"/>
    <s v="Self Referral"/>
    <x v="0"/>
    <n v="60"/>
    <n v="60"/>
    <n v="78.900000000000006"/>
    <n v="1550"/>
    <n v="1550"/>
    <n v="0"/>
    <n v="0"/>
    <n v="1"/>
    <n v="0"/>
    <n v="0.85"/>
  </r>
  <r>
    <s v="APT-00504"/>
    <d v="2025-03-06T00:00:00"/>
    <x v="3"/>
    <x v="2"/>
    <s v="Midday"/>
    <x v="0"/>
    <s v="Palakkad"/>
    <x v="13"/>
    <s v="PT-1420"/>
    <s v="Follow-up"/>
    <x v="1"/>
    <s v="Government Scheme"/>
    <s v="Neurologist"/>
    <x v="3"/>
    <n v="90"/>
    <n v="0"/>
    <n v="109.4"/>
    <n v="1600"/>
    <n v="0"/>
    <n v="0"/>
    <n v="0"/>
    <n v="0"/>
    <n v="0"/>
    <n v="0.85"/>
  </r>
  <r>
    <s v="APT-00505"/>
    <d v="2025-09-15T00:00:00"/>
    <x v="2"/>
    <x v="1"/>
    <s v="Morning"/>
    <x v="0"/>
    <s v="Palakkad"/>
    <x v="9"/>
    <s v="PT-1635"/>
    <s v="Follow-up"/>
    <x v="4"/>
    <s v="Private Insurance"/>
    <s v="Neurologist"/>
    <x v="0"/>
    <n v="45"/>
    <n v="45"/>
    <n v="59.5"/>
    <n v="950"/>
    <n v="950"/>
    <n v="0"/>
    <n v="0"/>
    <n v="1"/>
    <n v="0"/>
    <n v="0.85"/>
  </r>
  <r>
    <s v="APT-00506"/>
    <d v="2025-05-19T00:00:00"/>
    <x v="10"/>
    <x v="1"/>
    <s v="Morning"/>
    <x v="0"/>
    <s v="Palakkad"/>
    <x v="0"/>
    <s v="PT-1067"/>
    <s v="New Patient"/>
    <x v="4"/>
    <s v="Private Insurance"/>
    <s v="Hospital Discharge"/>
    <x v="1"/>
    <n v="60"/>
    <n v="0"/>
    <n v="79.099999999999994"/>
    <n v="1500"/>
    <n v="0"/>
    <n v="1500"/>
    <n v="1"/>
    <n v="0"/>
    <n v="0"/>
    <n v="0.85"/>
  </r>
  <r>
    <s v="APT-00507"/>
    <d v="2025-03-22T00:00:00"/>
    <x v="3"/>
    <x v="5"/>
    <s v="Evening"/>
    <x v="1"/>
    <s v="Thrissur"/>
    <x v="2"/>
    <s v="PT-1350"/>
    <s v="New Patient"/>
    <x v="0"/>
    <s v="Self Pay"/>
    <s v="Neurologist"/>
    <x v="2"/>
    <n v="60"/>
    <n v="0"/>
    <n v="77.7"/>
    <n v="1600"/>
    <n v="0"/>
    <n v="1600"/>
    <n v="0"/>
    <n v="0"/>
    <n v="1"/>
    <n v="0.85"/>
  </r>
  <r>
    <s v="APT-00508"/>
    <d v="2025-03-18T00:00:00"/>
    <x v="3"/>
    <x v="0"/>
    <s v="Afternoon"/>
    <x v="1"/>
    <s v="Thrissur"/>
    <x v="5"/>
    <s v="PT-1682"/>
    <s v="Chronic Pain"/>
    <x v="3"/>
    <s v="Private Insurance"/>
    <s v="Neurologist"/>
    <x v="0"/>
    <n v="30"/>
    <n v="30"/>
    <n v="39.5"/>
    <n v="700"/>
    <n v="700"/>
    <n v="0"/>
    <n v="0"/>
    <n v="1"/>
    <n v="0"/>
    <n v="0.85"/>
  </r>
  <r>
    <s v="APT-00509"/>
    <d v="2025-08-20T00:00:00"/>
    <x v="9"/>
    <x v="3"/>
    <s v="Evening"/>
    <x v="0"/>
    <s v="Palakkad"/>
    <x v="13"/>
    <s v="PT-1490"/>
    <s v="Follow-up"/>
    <x v="4"/>
    <s v="Self Pay"/>
    <s v="Online Search"/>
    <x v="2"/>
    <n v="75"/>
    <n v="0"/>
    <n v="94.4"/>
    <n v="1550"/>
    <n v="0"/>
    <n v="1550"/>
    <n v="0"/>
    <n v="0"/>
    <n v="1"/>
    <n v="0.85"/>
  </r>
  <r>
    <s v="APT-00510"/>
    <d v="2025-11-01T00:00:00"/>
    <x v="1"/>
    <x v="5"/>
    <s v="Morning"/>
    <x v="2"/>
    <s v="Ernakulam"/>
    <x v="4"/>
    <s v="PT-1131"/>
    <s v="Follow-up"/>
    <x v="0"/>
    <s v="Self Pay"/>
    <s v="Online Search"/>
    <x v="3"/>
    <n v="60"/>
    <n v="0"/>
    <n v="69.400000000000006"/>
    <n v="1500"/>
    <n v="0"/>
    <n v="0"/>
    <n v="0"/>
    <n v="0"/>
    <n v="0"/>
    <n v="0.85"/>
  </r>
  <r>
    <s v="APT-00511"/>
    <d v="2025-12-01T00:00:00"/>
    <x v="0"/>
    <x v="1"/>
    <s v="Morning"/>
    <x v="0"/>
    <s v="Palakkad"/>
    <x v="0"/>
    <s v="PT-1212"/>
    <s v="Follow-up"/>
    <x v="1"/>
    <s v="Self Pay"/>
    <s v="Orthopedic Doctor"/>
    <x v="0"/>
    <n v="60"/>
    <n v="60"/>
    <n v="71.900000000000006"/>
    <n v="1250"/>
    <n v="1250"/>
    <n v="0"/>
    <n v="0"/>
    <n v="1"/>
    <n v="0"/>
    <n v="0.85"/>
  </r>
  <r>
    <s v="APT-00512"/>
    <d v="2025-08-13T00:00:00"/>
    <x v="9"/>
    <x v="3"/>
    <s v="Morning"/>
    <x v="1"/>
    <s v="Thrissur"/>
    <x v="7"/>
    <s v="PT-1062"/>
    <s v="Geriatric Rehab"/>
    <x v="3"/>
    <s v="Self Pay"/>
    <s v="Online Search"/>
    <x v="0"/>
    <n v="45"/>
    <n v="45"/>
    <n v="60"/>
    <n v="1000"/>
    <n v="1000"/>
    <n v="0"/>
    <n v="0"/>
    <n v="1"/>
    <n v="0"/>
    <n v="0.85"/>
  </r>
  <r>
    <s v="APT-00513"/>
    <d v="2025-05-06T00:00:00"/>
    <x v="10"/>
    <x v="0"/>
    <s v="Evening"/>
    <x v="1"/>
    <s v="Thrissur"/>
    <x v="10"/>
    <s v="PT-1533"/>
    <s v="Follow-up"/>
    <x v="4"/>
    <s v="Private Insurance"/>
    <s v="Neurologist"/>
    <x v="2"/>
    <n v="45"/>
    <n v="0"/>
    <n v="60.6"/>
    <n v="1000"/>
    <n v="0"/>
    <n v="1000"/>
    <n v="0"/>
    <n v="0"/>
    <n v="1"/>
    <n v="0.85"/>
  </r>
  <r>
    <s v="APT-00514"/>
    <d v="2025-04-07T00:00:00"/>
    <x v="6"/>
    <x v="1"/>
    <s v="Afternoon"/>
    <x v="2"/>
    <s v="Ernakulam"/>
    <x v="12"/>
    <s v="PT-1571"/>
    <s v="Follow-up"/>
    <x v="4"/>
    <s v="Self Pay"/>
    <s v="Orthopedic Doctor"/>
    <x v="0"/>
    <n v="90"/>
    <n v="90"/>
    <n v="99.5"/>
    <n v="2250"/>
    <n v="2250"/>
    <n v="0"/>
    <n v="0"/>
    <n v="1"/>
    <n v="0"/>
    <n v="0.85"/>
  </r>
  <r>
    <s v="APT-00515"/>
    <d v="2025-06-26T00:00:00"/>
    <x v="4"/>
    <x v="2"/>
    <s v="Afternoon"/>
    <x v="1"/>
    <s v="Thrissur"/>
    <x v="7"/>
    <s v="PT-1356"/>
    <s v="Follow-up"/>
    <x v="0"/>
    <s v="Self Pay"/>
    <s v="Hospital Discharge"/>
    <x v="0"/>
    <n v="75"/>
    <n v="75"/>
    <n v="90.8"/>
    <n v="1700"/>
    <n v="1700"/>
    <n v="0"/>
    <n v="0"/>
    <n v="1"/>
    <n v="0"/>
    <n v="0.85"/>
  </r>
  <r>
    <s v="APT-00516"/>
    <d v="2025-04-11T00:00:00"/>
    <x v="6"/>
    <x v="4"/>
    <s v="Midday"/>
    <x v="0"/>
    <s v="Palakkad"/>
    <x v="6"/>
    <s v="PT-1601"/>
    <s v="Post-op Rehab"/>
    <x v="5"/>
    <s v="Self Pay"/>
    <s v="Self Referral"/>
    <x v="0"/>
    <n v="30"/>
    <n v="30"/>
    <n v="37.9"/>
    <n v="700"/>
    <n v="700"/>
    <n v="0"/>
    <n v="0"/>
    <n v="1"/>
    <n v="0"/>
    <n v="0.85"/>
  </r>
  <r>
    <s v="APT-00517"/>
    <d v="2025-10-27T00:00:00"/>
    <x v="7"/>
    <x v="1"/>
    <s v="Midday"/>
    <x v="2"/>
    <s v="Ernakulam"/>
    <x v="12"/>
    <s v="PT-1367"/>
    <s v="Follow-up"/>
    <x v="1"/>
    <s v="Private Insurance"/>
    <s v="Neurologist"/>
    <x v="0"/>
    <n v="60"/>
    <n v="60"/>
    <n v="81"/>
    <n v="1500"/>
    <n v="1500"/>
    <n v="0"/>
    <n v="0"/>
    <n v="1"/>
    <n v="0"/>
    <n v="0.85"/>
  </r>
  <r>
    <s v="APT-00518"/>
    <d v="2025-09-19T00:00:00"/>
    <x v="2"/>
    <x v="4"/>
    <s v="Morning"/>
    <x v="0"/>
    <s v="Palakkad"/>
    <x v="6"/>
    <s v="PT-1320"/>
    <s v="New Patient"/>
    <x v="3"/>
    <s v="Private Insurance"/>
    <s v="Neurologist"/>
    <x v="1"/>
    <n v="60"/>
    <n v="0"/>
    <n v="74"/>
    <n v="1500"/>
    <n v="0"/>
    <n v="1500"/>
    <n v="1"/>
    <n v="0"/>
    <n v="0"/>
    <n v="0.85"/>
  </r>
  <r>
    <s v="APT-00519"/>
    <d v="2025-02-03T00:00:00"/>
    <x v="5"/>
    <x v="1"/>
    <s v="Midday"/>
    <x v="2"/>
    <s v="Ernakulam"/>
    <x v="8"/>
    <s v="PT-1457"/>
    <s v="New Patient"/>
    <x v="4"/>
    <s v="Self Pay"/>
    <s v="Online Search"/>
    <x v="0"/>
    <n v="30"/>
    <n v="30"/>
    <n v="34.1"/>
    <n v="900"/>
    <n v="900"/>
    <n v="0"/>
    <n v="0"/>
    <n v="1"/>
    <n v="0"/>
    <n v="0.85"/>
  </r>
  <r>
    <s v="APT-00520"/>
    <d v="2025-06-09T00:00:00"/>
    <x v="4"/>
    <x v="1"/>
    <s v="Morning"/>
    <x v="1"/>
    <s v="Thrissur"/>
    <x v="10"/>
    <s v="PT-1657"/>
    <s v="Follow-up"/>
    <x v="0"/>
    <s v="Private Insurance"/>
    <s v="Self Referral"/>
    <x v="0"/>
    <n v="30"/>
    <n v="30"/>
    <n v="33.9"/>
    <n v="700"/>
    <n v="700"/>
    <n v="0"/>
    <n v="0"/>
    <n v="1"/>
    <n v="0"/>
    <n v="0.85"/>
  </r>
  <r>
    <s v="APT-00521"/>
    <d v="2025-10-11T00:00:00"/>
    <x v="7"/>
    <x v="5"/>
    <s v="Morning"/>
    <x v="1"/>
    <s v="Thrissur"/>
    <x v="5"/>
    <s v="PT-1549"/>
    <s v="Post-op Rehab"/>
    <x v="5"/>
    <s v="Private Insurance"/>
    <s v="Hospital Discharge"/>
    <x v="0"/>
    <n v="60"/>
    <n v="60"/>
    <n v="70.5"/>
    <n v="1550"/>
    <n v="1550"/>
    <n v="0"/>
    <n v="0"/>
    <n v="1"/>
    <n v="0"/>
    <n v="0.85"/>
  </r>
  <r>
    <s v="APT-00522"/>
    <d v="2025-07-31T00:00:00"/>
    <x v="8"/>
    <x v="2"/>
    <s v="Morning"/>
    <x v="0"/>
    <s v="Palakkad"/>
    <x v="9"/>
    <s v="PT-1190"/>
    <s v="New Patient"/>
    <x v="5"/>
    <s v="Self Pay"/>
    <s v="Neurologist"/>
    <x v="1"/>
    <n v="90"/>
    <n v="0"/>
    <n v="114.4"/>
    <n v="2250"/>
    <n v="0"/>
    <n v="2250"/>
    <n v="1"/>
    <n v="0"/>
    <n v="0"/>
    <n v="0.85"/>
  </r>
  <r>
    <s v="APT-00523"/>
    <d v="2025-09-03T00:00:00"/>
    <x v="2"/>
    <x v="3"/>
    <s v="Afternoon"/>
    <x v="1"/>
    <s v="Thrissur"/>
    <x v="5"/>
    <s v="PT-1035"/>
    <s v="Follow-up"/>
    <x v="1"/>
    <s v="Private Insurance"/>
    <s v="Corporate Wellness"/>
    <x v="0"/>
    <n v="45"/>
    <n v="45"/>
    <n v="57.6"/>
    <n v="1000"/>
    <n v="1000"/>
    <n v="0"/>
    <n v="0"/>
    <n v="1"/>
    <n v="0"/>
    <n v="0.85"/>
  </r>
  <r>
    <s v="APT-00524"/>
    <d v="2025-09-23T00:00:00"/>
    <x v="2"/>
    <x v="0"/>
    <s v="Midday"/>
    <x v="2"/>
    <s v="Ernakulam"/>
    <x v="8"/>
    <s v="PT-1134"/>
    <s v="Post-op Rehab"/>
    <x v="1"/>
    <s v="Government Scheme"/>
    <s v="Orthopedic Doctor"/>
    <x v="0"/>
    <n v="30"/>
    <n v="30"/>
    <n v="36"/>
    <n v="750"/>
    <n v="750"/>
    <n v="0"/>
    <n v="0"/>
    <n v="1"/>
    <n v="0"/>
    <n v="0.85"/>
  </r>
  <r>
    <s v="APT-00525"/>
    <d v="2025-06-02T00:00:00"/>
    <x v="4"/>
    <x v="1"/>
    <s v="Midday"/>
    <x v="0"/>
    <s v="Palakkad"/>
    <x v="9"/>
    <s v="PT-1311"/>
    <s v="Follow-up"/>
    <x v="0"/>
    <s v="Self Pay"/>
    <s v="Hospital Discharge"/>
    <x v="0"/>
    <n v="60"/>
    <n v="60"/>
    <n v="70.5"/>
    <n v="1250"/>
    <n v="1250"/>
    <n v="0"/>
    <n v="0"/>
    <n v="1"/>
    <n v="0"/>
    <n v="0.85"/>
  </r>
  <r>
    <s v="APT-00526"/>
    <d v="2025-06-16T00:00:00"/>
    <x v="4"/>
    <x v="1"/>
    <s v="Midday"/>
    <x v="2"/>
    <s v="Ernakulam"/>
    <x v="14"/>
    <s v="PT-1415"/>
    <s v="Sports Injury"/>
    <x v="5"/>
    <s v="Self Pay"/>
    <s v="Orthopedic Doctor"/>
    <x v="0"/>
    <n v="90"/>
    <n v="90"/>
    <n v="113.1"/>
    <n v="2250"/>
    <n v="2250"/>
    <n v="0"/>
    <n v="0"/>
    <n v="1"/>
    <n v="0"/>
    <n v="0.85"/>
  </r>
  <r>
    <s v="APT-00527"/>
    <d v="2025-01-18T00:00:00"/>
    <x v="11"/>
    <x v="5"/>
    <s v="Afternoon"/>
    <x v="2"/>
    <s v="Ernakulam"/>
    <x v="12"/>
    <s v="PT-1619"/>
    <s v="Post-op Rehab"/>
    <x v="3"/>
    <s v="Government Scheme"/>
    <s v="Self Referral"/>
    <x v="0"/>
    <n v="45"/>
    <n v="45"/>
    <n v="54.6"/>
    <n v="1100"/>
    <n v="1100"/>
    <n v="0"/>
    <n v="0"/>
    <n v="1"/>
    <n v="0"/>
    <n v="0.85"/>
  </r>
  <r>
    <s v="APT-00528"/>
    <d v="2025-10-17T00:00:00"/>
    <x v="7"/>
    <x v="4"/>
    <s v="Midday"/>
    <x v="1"/>
    <s v="Thrissur"/>
    <x v="5"/>
    <s v="PT-1281"/>
    <s v="New Patient"/>
    <x v="1"/>
    <s v="Self Pay"/>
    <s v="Online Search"/>
    <x v="1"/>
    <n v="30"/>
    <n v="0"/>
    <n v="38"/>
    <n v="800"/>
    <n v="0"/>
    <n v="800"/>
    <n v="1"/>
    <n v="0"/>
    <n v="0"/>
    <n v="0.85"/>
  </r>
  <r>
    <s v="APT-00529"/>
    <d v="2025-06-05T00:00:00"/>
    <x v="4"/>
    <x v="2"/>
    <s v="Morning"/>
    <x v="0"/>
    <s v="Palakkad"/>
    <x v="11"/>
    <s v="PT-1054"/>
    <s v="Sports Injury"/>
    <x v="2"/>
    <s v="Self Pay"/>
    <s v="Self Referral"/>
    <x v="0"/>
    <n v="45"/>
    <n v="45"/>
    <n v="57.4"/>
    <n v="950"/>
    <n v="950"/>
    <n v="0"/>
    <n v="0"/>
    <n v="1"/>
    <n v="0"/>
    <n v="0.85"/>
  </r>
  <r>
    <s v="APT-00530"/>
    <d v="2025-11-03T00:00:00"/>
    <x v="1"/>
    <x v="1"/>
    <s v="Midday"/>
    <x v="1"/>
    <s v="Thrissur"/>
    <x v="1"/>
    <s v="PT-1432"/>
    <s v="Follow-up"/>
    <x v="4"/>
    <s v="Self Pay"/>
    <s v="Online Search"/>
    <x v="0"/>
    <n v="30"/>
    <n v="30"/>
    <n v="39.4"/>
    <n v="700"/>
    <n v="700"/>
    <n v="0"/>
    <n v="0"/>
    <n v="1"/>
    <n v="0"/>
    <n v="0.85"/>
  </r>
  <r>
    <s v="APT-00531"/>
    <d v="2025-06-30T00:00:00"/>
    <x v="4"/>
    <x v="1"/>
    <s v="Midday"/>
    <x v="2"/>
    <s v="Ernakulam"/>
    <x v="3"/>
    <s v="PT-1114"/>
    <s v="Geriatric Rehab"/>
    <x v="1"/>
    <s v="Private Insurance"/>
    <s v="Neurologist"/>
    <x v="0"/>
    <n v="45"/>
    <n v="45"/>
    <n v="57.9"/>
    <n v="1100"/>
    <n v="1100"/>
    <n v="0"/>
    <n v="0"/>
    <n v="1"/>
    <n v="0"/>
    <n v="0.85"/>
  </r>
  <r>
    <s v="APT-00532"/>
    <d v="2025-08-11T00:00:00"/>
    <x v="9"/>
    <x v="1"/>
    <s v="Morning"/>
    <x v="1"/>
    <s v="Thrissur"/>
    <x v="2"/>
    <s v="PT-1519"/>
    <s v="New Patient"/>
    <x v="1"/>
    <s v="Self Pay"/>
    <s v="Online Search"/>
    <x v="0"/>
    <n v="90"/>
    <n v="90"/>
    <n v="114"/>
    <n v="2450"/>
    <n v="2450"/>
    <n v="0"/>
    <n v="0"/>
    <n v="1"/>
    <n v="0"/>
    <n v="0.85"/>
  </r>
  <r>
    <s v="APT-00533"/>
    <d v="2025-05-12T00:00:00"/>
    <x v="10"/>
    <x v="1"/>
    <s v="Midday"/>
    <x v="1"/>
    <s v="Thrissur"/>
    <x v="10"/>
    <s v="PT-1697"/>
    <s v="Post-op Rehab"/>
    <x v="2"/>
    <s v="Self Pay"/>
    <s v="Neurologist"/>
    <x v="0"/>
    <n v="60"/>
    <n v="60"/>
    <n v="78.7"/>
    <n v="1550"/>
    <n v="1550"/>
    <n v="0"/>
    <n v="0"/>
    <n v="1"/>
    <n v="0"/>
    <n v="0.85"/>
  </r>
  <r>
    <s v="APT-00534"/>
    <d v="2025-06-11T00:00:00"/>
    <x v="4"/>
    <x v="3"/>
    <s v="Evening"/>
    <x v="0"/>
    <s v="Palakkad"/>
    <x v="11"/>
    <s v="PT-1267"/>
    <s v="Sports Injury"/>
    <x v="5"/>
    <s v="Self Pay"/>
    <s v="Neurologist"/>
    <x v="0"/>
    <n v="45"/>
    <n v="45"/>
    <n v="58.6"/>
    <n v="950"/>
    <n v="950"/>
    <n v="0"/>
    <n v="0"/>
    <n v="1"/>
    <n v="0"/>
    <n v="0.85"/>
  </r>
  <r>
    <s v="APT-00535"/>
    <d v="2025-09-01T00:00:00"/>
    <x v="2"/>
    <x v="1"/>
    <s v="Midday"/>
    <x v="2"/>
    <s v="Ernakulam"/>
    <x v="12"/>
    <s v="PT-1285"/>
    <s v="New Patient"/>
    <x v="2"/>
    <s v="Self Pay"/>
    <s v="Orthopedic Doctor"/>
    <x v="0"/>
    <n v="60"/>
    <n v="60"/>
    <n v="67.7"/>
    <n v="1800"/>
    <n v="1800"/>
    <n v="0"/>
    <n v="0"/>
    <n v="1"/>
    <n v="0"/>
    <n v="0.85"/>
  </r>
  <r>
    <s v="APT-00536"/>
    <d v="2025-10-07T00:00:00"/>
    <x v="7"/>
    <x v="0"/>
    <s v="Morning"/>
    <x v="0"/>
    <s v="Palakkad"/>
    <x v="9"/>
    <s v="PT-1615"/>
    <s v="Chronic Pain"/>
    <x v="5"/>
    <s v="Corporate Tie-up"/>
    <s v="Corporate Wellness"/>
    <x v="3"/>
    <n v="60"/>
    <n v="0"/>
    <n v="73.099999999999994"/>
    <n v="1150"/>
    <n v="0"/>
    <n v="0"/>
    <n v="0"/>
    <n v="0"/>
    <n v="0"/>
    <n v="0.85"/>
  </r>
  <r>
    <s v="APT-00537"/>
    <d v="2025-12-20T00:00:00"/>
    <x v="0"/>
    <x v="5"/>
    <s v="Morning"/>
    <x v="0"/>
    <s v="Palakkad"/>
    <x v="13"/>
    <s v="PT-1585"/>
    <s v="Follow-up"/>
    <x v="5"/>
    <s v="Corporate Tie-up"/>
    <s v="Self Referral"/>
    <x v="0"/>
    <n v="60"/>
    <n v="60"/>
    <n v="71.3"/>
    <n v="1150"/>
    <n v="1150"/>
    <n v="0"/>
    <n v="0"/>
    <n v="1"/>
    <n v="0"/>
    <n v="0.85"/>
  </r>
  <r>
    <s v="APT-00538"/>
    <d v="2025-05-12T00:00:00"/>
    <x v="10"/>
    <x v="1"/>
    <s v="Afternoon"/>
    <x v="1"/>
    <s v="Thrissur"/>
    <x v="2"/>
    <s v="PT-1592"/>
    <s v="Follow-up"/>
    <x v="1"/>
    <s v="Private Insurance"/>
    <s v="Neurologist"/>
    <x v="0"/>
    <n v="45"/>
    <n v="45"/>
    <n v="55.7"/>
    <n v="1000"/>
    <n v="1000"/>
    <n v="0"/>
    <n v="0"/>
    <n v="1"/>
    <n v="0"/>
    <n v="0.85"/>
  </r>
  <r>
    <s v="APT-00539"/>
    <d v="2025-01-20T00:00:00"/>
    <x v="11"/>
    <x v="1"/>
    <s v="Morning"/>
    <x v="0"/>
    <s v="Palakkad"/>
    <x v="6"/>
    <s v="PT-1679"/>
    <s v="New Patient"/>
    <x v="3"/>
    <s v="Self Pay"/>
    <s v="Online Search"/>
    <x v="0"/>
    <n v="60"/>
    <n v="60"/>
    <n v="69"/>
    <n v="1500"/>
    <n v="1500"/>
    <n v="0"/>
    <n v="0"/>
    <n v="1"/>
    <n v="0"/>
    <n v="0.85"/>
  </r>
  <r>
    <s v="APT-00540"/>
    <d v="2025-11-12T00:00:00"/>
    <x v="1"/>
    <x v="3"/>
    <s v="Afternoon"/>
    <x v="1"/>
    <s v="Thrissur"/>
    <x v="1"/>
    <s v="PT-1368"/>
    <s v="Chronic Pain"/>
    <x v="4"/>
    <s v="Self Pay"/>
    <s v="Self Referral"/>
    <x v="1"/>
    <n v="75"/>
    <n v="0"/>
    <n v="90.1"/>
    <n v="1700"/>
    <n v="0"/>
    <n v="1700"/>
    <n v="1"/>
    <n v="0"/>
    <n v="0"/>
    <n v="0.85"/>
  </r>
  <r>
    <s v="APT-00541"/>
    <d v="2025-01-11T00:00:00"/>
    <x v="11"/>
    <x v="5"/>
    <s v="Afternoon"/>
    <x v="0"/>
    <s v="Palakkad"/>
    <x v="13"/>
    <s v="PT-1080"/>
    <s v="Post-op Rehab"/>
    <x v="1"/>
    <s v="Government Scheme"/>
    <s v="Hospital Discharge"/>
    <x v="0"/>
    <n v="90"/>
    <n v="90"/>
    <n v="120"/>
    <n v="1850"/>
    <n v="1850"/>
    <n v="0"/>
    <n v="0"/>
    <n v="1"/>
    <n v="0"/>
    <n v="0.85"/>
  </r>
  <r>
    <s v="APT-00542"/>
    <d v="2025-04-19T00:00:00"/>
    <x v="6"/>
    <x v="5"/>
    <s v="Evening"/>
    <x v="2"/>
    <s v="Ernakulam"/>
    <x v="14"/>
    <s v="PT-1680"/>
    <s v="Follow-up"/>
    <x v="3"/>
    <s v="Government Scheme"/>
    <s v="Hospital Discharge"/>
    <x v="0"/>
    <n v="60"/>
    <n v="60"/>
    <n v="68.099999999999994"/>
    <n v="1300"/>
    <n v="1300"/>
    <n v="0"/>
    <n v="0"/>
    <n v="1"/>
    <n v="0"/>
    <n v="0.85"/>
  </r>
  <r>
    <s v="APT-00543"/>
    <d v="2025-03-22T00:00:00"/>
    <x v="3"/>
    <x v="5"/>
    <s v="Afternoon"/>
    <x v="0"/>
    <s v="Palakkad"/>
    <x v="11"/>
    <s v="PT-1423"/>
    <s v="Follow-up"/>
    <x v="4"/>
    <s v="Self Pay"/>
    <s v="Online Search"/>
    <x v="0"/>
    <n v="60"/>
    <n v="60"/>
    <n v="78.3"/>
    <n v="1250"/>
    <n v="1250"/>
    <n v="0"/>
    <n v="0"/>
    <n v="1"/>
    <n v="0"/>
    <n v="0.85"/>
  </r>
  <r>
    <s v="APT-00544"/>
    <d v="2025-05-03T00:00:00"/>
    <x v="10"/>
    <x v="5"/>
    <s v="Evening"/>
    <x v="0"/>
    <s v="Palakkad"/>
    <x v="9"/>
    <s v="PT-1463"/>
    <s v="Follow-up"/>
    <x v="3"/>
    <s v="Self Pay"/>
    <s v="Self Referral"/>
    <x v="0"/>
    <n v="60"/>
    <n v="60"/>
    <n v="73.2"/>
    <n v="1250"/>
    <n v="1250"/>
    <n v="0"/>
    <n v="0"/>
    <n v="1"/>
    <n v="0"/>
    <n v="0.85"/>
  </r>
  <r>
    <s v="APT-00545"/>
    <d v="2025-02-20T00:00:00"/>
    <x v="5"/>
    <x v="2"/>
    <s v="Morning"/>
    <x v="2"/>
    <s v="Ernakulam"/>
    <x v="4"/>
    <s v="PT-1656"/>
    <s v="Follow-up"/>
    <x v="4"/>
    <s v="Private Insurance"/>
    <s v="Corporate Wellness"/>
    <x v="1"/>
    <n v="45"/>
    <n v="0"/>
    <n v="54.2"/>
    <n v="1100"/>
    <n v="0"/>
    <n v="1100"/>
    <n v="1"/>
    <n v="0"/>
    <n v="0"/>
    <n v="0.85"/>
  </r>
  <r>
    <s v="APT-00546"/>
    <d v="2025-03-27T00:00:00"/>
    <x v="3"/>
    <x v="2"/>
    <s v="Morning"/>
    <x v="0"/>
    <s v="Palakkad"/>
    <x v="6"/>
    <s v="PT-1134"/>
    <s v="Sports Injury"/>
    <x v="3"/>
    <s v="Government Scheme"/>
    <s v="Neurologist"/>
    <x v="0"/>
    <n v="75"/>
    <n v="75"/>
    <n v="85.4"/>
    <n v="1350"/>
    <n v="1350"/>
    <n v="0"/>
    <n v="0"/>
    <n v="1"/>
    <n v="0"/>
    <n v="0.85"/>
  </r>
  <r>
    <s v="APT-00547"/>
    <d v="2025-01-31T00:00:00"/>
    <x v="11"/>
    <x v="4"/>
    <s v="Evening"/>
    <x v="2"/>
    <s v="Ernakulam"/>
    <x v="3"/>
    <s v="PT-1679"/>
    <s v="Follow-up"/>
    <x v="0"/>
    <s v="Corporate Tie-up"/>
    <s v="Orthopedic Doctor"/>
    <x v="0"/>
    <n v="60"/>
    <n v="60"/>
    <n v="69.8"/>
    <n v="1400"/>
    <n v="1400"/>
    <n v="0"/>
    <n v="0"/>
    <n v="1"/>
    <n v="0"/>
    <n v="0.85"/>
  </r>
  <r>
    <s v="APT-00548"/>
    <d v="2025-01-28T00:00:00"/>
    <x v="11"/>
    <x v="0"/>
    <s v="Midday"/>
    <x v="1"/>
    <s v="Thrissur"/>
    <x v="2"/>
    <s v="PT-1535"/>
    <s v="New Patient"/>
    <x v="3"/>
    <s v="Self Pay"/>
    <s v="Self Referral"/>
    <x v="3"/>
    <n v="75"/>
    <n v="0"/>
    <n v="90.1"/>
    <n v="2000"/>
    <n v="0"/>
    <n v="0"/>
    <n v="0"/>
    <n v="0"/>
    <n v="0"/>
    <n v="0.85"/>
  </r>
  <r>
    <s v="APT-00549"/>
    <d v="2025-04-24T00:00:00"/>
    <x v="6"/>
    <x v="2"/>
    <s v="Evening"/>
    <x v="2"/>
    <s v="Ernakulam"/>
    <x v="8"/>
    <s v="PT-1088"/>
    <s v="Chronic Pain"/>
    <x v="4"/>
    <s v="Self Pay"/>
    <s v="Orthopedic Doctor"/>
    <x v="0"/>
    <n v="60"/>
    <n v="60"/>
    <n v="78.599999999999994"/>
    <n v="1500"/>
    <n v="1500"/>
    <n v="0"/>
    <n v="0"/>
    <n v="1"/>
    <n v="0"/>
    <n v="0.85"/>
  </r>
  <r>
    <s v="APT-00550"/>
    <d v="2025-03-05T00:00:00"/>
    <x v="3"/>
    <x v="3"/>
    <s v="Afternoon"/>
    <x v="0"/>
    <s v="Palakkad"/>
    <x v="0"/>
    <s v="PT-1418"/>
    <s v="Follow-up"/>
    <x v="1"/>
    <s v="Government Scheme"/>
    <s v="Self Referral"/>
    <x v="1"/>
    <n v="45"/>
    <n v="0"/>
    <n v="50.2"/>
    <n v="800"/>
    <n v="0"/>
    <n v="800"/>
    <n v="1"/>
    <n v="0"/>
    <n v="0"/>
    <n v="0.85"/>
  </r>
  <r>
    <s v="APT-00551"/>
    <d v="2025-03-19T00:00:00"/>
    <x v="3"/>
    <x v="3"/>
    <s v="Afternoon"/>
    <x v="1"/>
    <s v="Thrissur"/>
    <x v="2"/>
    <s v="PT-1476"/>
    <s v="Post-op Rehab"/>
    <x v="0"/>
    <s v="Self Pay"/>
    <s v="Online Search"/>
    <x v="1"/>
    <n v="60"/>
    <n v="0"/>
    <n v="80.099999999999994"/>
    <n v="1550"/>
    <n v="0"/>
    <n v="1550"/>
    <n v="1"/>
    <n v="0"/>
    <n v="0"/>
    <n v="0.85"/>
  </r>
  <r>
    <s v="APT-00552"/>
    <d v="2025-03-19T00:00:00"/>
    <x v="3"/>
    <x v="3"/>
    <s v="Morning"/>
    <x v="1"/>
    <s v="Thrissur"/>
    <x v="5"/>
    <s v="PT-1557"/>
    <s v="Sports Injury"/>
    <x v="1"/>
    <s v="Self Pay"/>
    <s v="Online Search"/>
    <x v="1"/>
    <n v="60"/>
    <n v="0"/>
    <n v="79.900000000000006"/>
    <n v="1350"/>
    <n v="0"/>
    <n v="1350"/>
    <n v="1"/>
    <n v="0"/>
    <n v="0"/>
    <n v="0.85"/>
  </r>
  <r>
    <s v="APT-00553"/>
    <d v="2025-11-17T00:00:00"/>
    <x v="1"/>
    <x v="1"/>
    <s v="Evening"/>
    <x v="2"/>
    <s v="Ernakulam"/>
    <x v="4"/>
    <s v="PT-1675"/>
    <s v="Geriatric Rehab"/>
    <x v="3"/>
    <s v="Self Pay"/>
    <s v="Orthopedic Doctor"/>
    <x v="0"/>
    <n v="75"/>
    <n v="75"/>
    <n v="96.4"/>
    <n v="1900"/>
    <n v="1900"/>
    <n v="0"/>
    <n v="0"/>
    <n v="1"/>
    <n v="0"/>
    <n v="0.85"/>
  </r>
  <r>
    <s v="APT-00554"/>
    <d v="2025-11-03T00:00:00"/>
    <x v="1"/>
    <x v="1"/>
    <s v="Midday"/>
    <x v="1"/>
    <s v="Thrissur"/>
    <x v="1"/>
    <s v="PT-1362"/>
    <s v="Follow-up"/>
    <x v="2"/>
    <s v="Self Pay"/>
    <s v="Self Referral"/>
    <x v="0"/>
    <n v="60"/>
    <n v="60"/>
    <n v="69.8"/>
    <n v="1350"/>
    <n v="1350"/>
    <n v="0"/>
    <n v="0"/>
    <n v="1"/>
    <n v="0"/>
    <n v="0.85"/>
  </r>
  <r>
    <s v="APT-00555"/>
    <d v="2025-01-04T00:00:00"/>
    <x v="11"/>
    <x v="5"/>
    <s v="Evening"/>
    <x v="2"/>
    <s v="Ernakulam"/>
    <x v="4"/>
    <s v="PT-1612"/>
    <s v="New Patient"/>
    <x v="2"/>
    <s v="Government Scheme"/>
    <s v="Self Referral"/>
    <x v="0"/>
    <n v="60"/>
    <n v="60"/>
    <n v="71.900000000000006"/>
    <n v="1550"/>
    <n v="1550"/>
    <n v="0"/>
    <n v="0"/>
    <n v="1"/>
    <n v="0"/>
    <n v="0.85"/>
  </r>
  <r>
    <s v="APT-00556"/>
    <d v="2025-02-03T00:00:00"/>
    <x v="5"/>
    <x v="1"/>
    <s v="Midday"/>
    <x v="0"/>
    <s v="Palakkad"/>
    <x v="0"/>
    <s v="PT-1152"/>
    <s v="New Patient"/>
    <x v="1"/>
    <s v="Self Pay"/>
    <s v="Hospital Discharge"/>
    <x v="1"/>
    <n v="60"/>
    <n v="0"/>
    <n v="74.2"/>
    <n v="1500"/>
    <n v="0"/>
    <n v="1500"/>
    <n v="1"/>
    <n v="0"/>
    <n v="0"/>
    <n v="0.85"/>
  </r>
  <r>
    <s v="APT-00557"/>
    <d v="2025-07-15T00:00:00"/>
    <x v="8"/>
    <x v="0"/>
    <s v="Evening"/>
    <x v="1"/>
    <s v="Thrissur"/>
    <x v="7"/>
    <s v="PT-1474"/>
    <s v="New Patient"/>
    <x v="2"/>
    <s v="Corporate Tie-up"/>
    <s v="Online Search"/>
    <x v="0"/>
    <n v="60"/>
    <n v="60"/>
    <n v="73.8"/>
    <n v="1500"/>
    <n v="1500"/>
    <n v="0"/>
    <n v="0"/>
    <n v="1"/>
    <n v="0"/>
    <n v="0.85"/>
  </r>
  <r>
    <s v="APT-00558"/>
    <d v="2025-05-06T00:00:00"/>
    <x v="10"/>
    <x v="0"/>
    <s v="Midday"/>
    <x v="0"/>
    <s v="Palakkad"/>
    <x v="0"/>
    <s v="PT-1251"/>
    <s v="Geriatric Rehab"/>
    <x v="4"/>
    <s v="Self Pay"/>
    <s v="Orthopedic Doctor"/>
    <x v="1"/>
    <n v="75"/>
    <n v="0"/>
    <n v="96"/>
    <n v="1550"/>
    <n v="0"/>
    <n v="1550"/>
    <n v="1"/>
    <n v="0"/>
    <n v="0"/>
    <n v="0.85"/>
  </r>
  <r>
    <s v="APT-00559"/>
    <d v="2025-05-14T00:00:00"/>
    <x v="10"/>
    <x v="3"/>
    <s v="Midday"/>
    <x v="1"/>
    <s v="Thrissur"/>
    <x v="5"/>
    <s v="PT-1060"/>
    <s v="Follow-up"/>
    <x v="2"/>
    <s v="Corporate Tie-up"/>
    <s v="Online Search"/>
    <x v="0"/>
    <n v="45"/>
    <n v="45"/>
    <n v="55.7"/>
    <n v="950"/>
    <n v="950"/>
    <n v="0"/>
    <n v="0"/>
    <n v="1"/>
    <n v="0"/>
    <n v="0.85"/>
  </r>
  <r>
    <s v="APT-00560"/>
    <d v="2025-06-03T00:00:00"/>
    <x v="4"/>
    <x v="0"/>
    <s v="Evening"/>
    <x v="0"/>
    <s v="Palakkad"/>
    <x v="11"/>
    <s v="PT-1535"/>
    <s v="Follow-up"/>
    <x v="2"/>
    <s v="Self Pay"/>
    <s v="Neurologist"/>
    <x v="0"/>
    <n v="45"/>
    <n v="45"/>
    <n v="54"/>
    <n v="950"/>
    <n v="950"/>
    <n v="0"/>
    <n v="0"/>
    <n v="1"/>
    <n v="0"/>
    <n v="0.85"/>
  </r>
  <r>
    <s v="APT-00561"/>
    <d v="2025-03-24T00:00:00"/>
    <x v="3"/>
    <x v="1"/>
    <s v="Midday"/>
    <x v="0"/>
    <s v="Palakkad"/>
    <x v="6"/>
    <s v="PT-1255"/>
    <s v="New Patient"/>
    <x v="0"/>
    <s v="Private Insurance"/>
    <s v="Hospital Discharge"/>
    <x v="0"/>
    <n v="90"/>
    <n v="90"/>
    <n v="115.4"/>
    <n v="2250"/>
    <n v="2250"/>
    <n v="0"/>
    <n v="0"/>
    <n v="1"/>
    <n v="0"/>
    <n v="0.85"/>
  </r>
  <r>
    <s v="APT-00562"/>
    <d v="2025-03-29T00:00:00"/>
    <x v="3"/>
    <x v="5"/>
    <s v="Morning"/>
    <x v="2"/>
    <s v="Ernakulam"/>
    <x v="12"/>
    <s v="PT-1567"/>
    <s v="Follow-up"/>
    <x v="1"/>
    <s v="Self Pay"/>
    <s v="Hospital Discharge"/>
    <x v="0"/>
    <n v="30"/>
    <n v="30"/>
    <n v="37.4"/>
    <n v="750"/>
    <n v="750"/>
    <n v="0"/>
    <n v="0"/>
    <n v="1"/>
    <n v="0"/>
    <n v="0.85"/>
  </r>
  <r>
    <s v="APT-00563"/>
    <d v="2025-01-21T00:00:00"/>
    <x v="11"/>
    <x v="0"/>
    <s v="Midday"/>
    <x v="2"/>
    <s v="Ernakulam"/>
    <x v="12"/>
    <s v="PT-1366"/>
    <s v="Post-op Rehab"/>
    <x v="2"/>
    <s v="Self Pay"/>
    <s v="Orthopedic Doctor"/>
    <x v="0"/>
    <n v="75"/>
    <n v="75"/>
    <n v="94.6"/>
    <n v="2150"/>
    <n v="2150"/>
    <n v="0"/>
    <n v="0"/>
    <n v="1"/>
    <n v="0"/>
    <n v="0.85"/>
  </r>
  <r>
    <s v="APT-00564"/>
    <d v="2025-11-26T00:00:00"/>
    <x v="1"/>
    <x v="3"/>
    <s v="Midday"/>
    <x v="2"/>
    <s v="Ernakulam"/>
    <x v="12"/>
    <s v="PT-1554"/>
    <s v="Chronic Pain"/>
    <x v="2"/>
    <s v="Government Scheme"/>
    <s v="Corporate Wellness"/>
    <x v="0"/>
    <n v="45"/>
    <n v="45"/>
    <n v="57.6"/>
    <n v="950"/>
    <n v="950"/>
    <n v="0"/>
    <n v="0"/>
    <n v="1"/>
    <n v="0"/>
    <n v="0.85"/>
  </r>
  <r>
    <s v="APT-00565"/>
    <d v="2025-06-16T00:00:00"/>
    <x v="4"/>
    <x v="1"/>
    <s v="Evening"/>
    <x v="1"/>
    <s v="Thrissur"/>
    <x v="7"/>
    <s v="PT-1273"/>
    <s v="Sports Injury"/>
    <x v="2"/>
    <s v="Corporate Tie-up"/>
    <s v="Neurologist"/>
    <x v="0"/>
    <n v="60"/>
    <n v="60"/>
    <n v="78.5"/>
    <n v="1250"/>
    <n v="1250"/>
    <n v="0"/>
    <n v="0"/>
    <n v="1"/>
    <n v="0"/>
    <n v="0.85"/>
  </r>
  <r>
    <s v="APT-00566"/>
    <d v="2025-12-17T00:00:00"/>
    <x v="0"/>
    <x v="3"/>
    <s v="Morning"/>
    <x v="0"/>
    <s v="Palakkad"/>
    <x v="11"/>
    <s v="PT-1515"/>
    <s v="Sports Injury"/>
    <x v="4"/>
    <s v="Self Pay"/>
    <s v="Neurologist"/>
    <x v="0"/>
    <n v="45"/>
    <n v="45"/>
    <n v="56.1"/>
    <n v="950"/>
    <n v="950"/>
    <n v="0"/>
    <n v="0"/>
    <n v="1"/>
    <n v="0"/>
    <n v="0.85"/>
  </r>
  <r>
    <s v="APT-00567"/>
    <d v="2025-06-06T00:00:00"/>
    <x v="4"/>
    <x v="4"/>
    <s v="Midday"/>
    <x v="0"/>
    <s v="Palakkad"/>
    <x v="13"/>
    <s v="PT-1478"/>
    <s v="Chronic Pain"/>
    <x v="0"/>
    <s v="Private Insurance"/>
    <s v="Neurologist"/>
    <x v="0"/>
    <n v="45"/>
    <n v="45"/>
    <n v="51.9"/>
    <n v="950"/>
    <n v="950"/>
    <n v="0"/>
    <n v="0"/>
    <n v="1"/>
    <n v="0"/>
    <n v="0.85"/>
  </r>
  <r>
    <s v="APT-00568"/>
    <d v="2025-11-03T00:00:00"/>
    <x v="1"/>
    <x v="1"/>
    <s v="Morning"/>
    <x v="2"/>
    <s v="Ernakulam"/>
    <x v="8"/>
    <s v="PT-1305"/>
    <s v="New Patient"/>
    <x v="5"/>
    <s v="Private Insurance"/>
    <s v="Corporate Wellness"/>
    <x v="0"/>
    <n v="45"/>
    <n v="45"/>
    <n v="55.9"/>
    <n v="1350"/>
    <n v="1350"/>
    <n v="0"/>
    <n v="0"/>
    <n v="1"/>
    <n v="0"/>
    <n v="0.85"/>
  </r>
  <r>
    <s v="APT-00569"/>
    <d v="2025-01-08T00:00:00"/>
    <x v="11"/>
    <x v="3"/>
    <s v="Evening"/>
    <x v="1"/>
    <s v="Thrissur"/>
    <x v="5"/>
    <s v="PT-1098"/>
    <s v="Geriatric Rehab"/>
    <x v="0"/>
    <s v="Self Pay"/>
    <s v="Hospital Discharge"/>
    <x v="0"/>
    <n v="45"/>
    <n v="45"/>
    <n v="54"/>
    <n v="1000"/>
    <n v="1000"/>
    <n v="0"/>
    <n v="0"/>
    <n v="1"/>
    <n v="0"/>
    <n v="0.85"/>
  </r>
  <r>
    <s v="APT-00570"/>
    <d v="2025-10-11T00:00:00"/>
    <x v="7"/>
    <x v="5"/>
    <s v="Afternoon"/>
    <x v="0"/>
    <s v="Palakkad"/>
    <x v="0"/>
    <s v="PT-1146"/>
    <s v="Sports Injury"/>
    <x v="4"/>
    <s v="Corporate Tie-up"/>
    <s v="Neurologist"/>
    <x v="0"/>
    <n v="60"/>
    <n v="60"/>
    <n v="67.8"/>
    <n v="1150"/>
    <n v="1150"/>
    <n v="0"/>
    <n v="0"/>
    <n v="1"/>
    <n v="0"/>
    <n v="0.85"/>
  </r>
  <r>
    <s v="APT-00571"/>
    <d v="2025-12-25T00:00:00"/>
    <x v="0"/>
    <x v="2"/>
    <s v="Afternoon"/>
    <x v="0"/>
    <s v="Palakkad"/>
    <x v="11"/>
    <s v="PT-1690"/>
    <s v="New Patient"/>
    <x v="1"/>
    <s v="Private Insurance"/>
    <s v="Orthopedic Doctor"/>
    <x v="0"/>
    <n v="30"/>
    <n v="30"/>
    <n v="33.5"/>
    <n v="750"/>
    <n v="750"/>
    <n v="0"/>
    <n v="0"/>
    <n v="1"/>
    <n v="0"/>
    <n v="0.85"/>
  </r>
  <r>
    <s v="APT-00572"/>
    <d v="2025-02-20T00:00:00"/>
    <x v="5"/>
    <x v="2"/>
    <s v="Afternoon"/>
    <x v="2"/>
    <s v="Ernakulam"/>
    <x v="14"/>
    <s v="PT-1555"/>
    <s v="Sports Injury"/>
    <x v="1"/>
    <s v="Self Pay"/>
    <s v="Neurologist"/>
    <x v="0"/>
    <n v="30"/>
    <n v="30"/>
    <n v="39.299999999999997"/>
    <n v="750"/>
    <n v="750"/>
    <n v="0"/>
    <n v="0"/>
    <n v="1"/>
    <n v="0"/>
    <n v="0.85"/>
  </r>
  <r>
    <s v="APT-00573"/>
    <d v="2025-10-22T00:00:00"/>
    <x v="7"/>
    <x v="3"/>
    <s v="Afternoon"/>
    <x v="2"/>
    <s v="Ernakulam"/>
    <x v="12"/>
    <s v="PT-1049"/>
    <s v="Sports Injury"/>
    <x v="5"/>
    <s v="Self Pay"/>
    <s v="Neurologist"/>
    <x v="0"/>
    <n v="30"/>
    <n v="30"/>
    <n v="37.6"/>
    <n v="750"/>
    <n v="750"/>
    <n v="0"/>
    <n v="0"/>
    <n v="1"/>
    <n v="0"/>
    <n v="0.85"/>
  </r>
  <r>
    <s v="APT-00574"/>
    <d v="2025-02-07T00:00:00"/>
    <x v="5"/>
    <x v="4"/>
    <s v="Midday"/>
    <x v="2"/>
    <s v="Ernakulam"/>
    <x v="8"/>
    <s v="PT-1297"/>
    <s v="Follow-up"/>
    <x v="4"/>
    <s v="Self Pay"/>
    <s v="Orthopedic Doctor"/>
    <x v="0"/>
    <n v="60"/>
    <n v="60"/>
    <n v="69.900000000000006"/>
    <n v="1500"/>
    <n v="1500"/>
    <n v="0"/>
    <n v="0"/>
    <n v="1"/>
    <n v="0"/>
    <n v="0.85"/>
  </r>
  <r>
    <s v="APT-00575"/>
    <d v="2025-01-03T00:00:00"/>
    <x v="11"/>
    <x v="4"/>
    <s v="Evening"/>
    <x v="1"/>
    <s v="Thrissur"/>
    <x v="1"/>
    <s v="PT-1141"/>
    <s v="Geriatric Rehab"/>
    <x v="4"/>
    <s v="Private Insurance"/>
    <s v="Orthopedic Doctor"/>
    <x v="0"/>
    <n v="45"/>
    <n v="45"/>
    <n v="53.1"/>
    <n v="1000"/>
    <n v="1000"/>
    <n v="0"/>
    <n v="0"/>
    <n v="1"/>
    <n v="0"/>
    <n v="0.85"/>
  </r>
  <r>
    <s v="APT-00576"/>
    <d v="2025-06-14T00:00:00"/>
    <x v="4"/>
    <x v="5"/>
    <s v="Evening"/>
    <x v="0"/>
    <s v="Palakkad"/>
    <x v="0"/>
    <s v="PT-1035"/>
    <s v="Chronic Pain"/>
    <x v="0"/>
    <s v="Private Insurance"/>
    <s v="Self Referral"/>
    <x v="1"/>
    <n v="45"/>
    <n v="0"/>
    <n v="51"/>
    <n v="950"/>
    <n v="0"/>
    <n v="950"/>
    <n v="1"/>
    <n v="0"/>
    <n v="0"/>
    <n v="0.85"/>
  </r>
  <r>
    <s v="APT-00577"/>
    <d v="2025-08-23T00:00:00"/>
    <x v="9"/>
    <x v="5"/>
    <s v="Evening"/>
    <x v="0"/>
    <s v="Palakkad"/>
    <x v="13"/>
    <s v="PT-1505"/>
    <s v="Post-op Rehab"/>
    <x v="2"/>
    <s v="Self Pay"/>
    <s v="Online Search"/>
    <x v="1"/>
    <n v="75"/>
    <n v="0"/>
    <n v="82.2"/>
    <n v="1800"/>
    <n v="0"/>
    <n v="1800"/>
    <n v="1"/>
    <n v="0"/>
    <n v="0"/>
    <n v="0.85"/>
  </r>
  <r>
    <s v="APT-00578"/>
    <d v="2025-03-21T00:00:00"/>
    <x v="3"/>
    <x v="4"/>
    <s v="Evening"/>
    <x v="0"/>
    <s v="Palakkad"/>
    <x v="6"/>
    <s v="PT-1218"/>
    <s v="Follow-up"/>
    <x v="5"/>
    <s v="Government Scheme"/>
    <s v="Online Search"/>
    <x v="0"/>
    <n v="45"/>
    <n v="45"/>
    <n v="54.3"/>
    <n v="800"/>
    <n v="800"/>
    <n v="0"/>
    <n v="0"/>
    <n v="1"/>
    <n v="0"/>
    <n v="0.85"/>
  </r>
  <r>
    <s v="APT-00579"/>
    <d v="2025-01-27T00:00:00"/>
    <x v="11"/>
    <x v="1"/>
    <s v="Afternoon"/>
    <x v="1"/>
    <s v="Thrissur"/>
    <x v="1"/>
    <s v="PT-1433"/>
    <s v="Post-op Rehab"/>
    <x v="0"/>
    <s v="Corporate Tie-up"/>
    <s v="Self Referral"/>
    <x v="0"/>
    <n v="45"/>
    <n v="45"/>
    <n v="57.1"/>
    <n v="1050"/>
    <n v="1050"/>
    <n v="0"/>
    <n v="0"/>
    <n v="1"/>
    <n v="0"/>
    <n v="0.85"/>
  </r>
  <r>
    <s v="APT-00580"/>
    <d v="2025-12-07T00:00:00"/>
    <x v="0"/>
    <x v="6"/>
    <s v="Midday"/>
    <x v="2"/>
    <s v="Ernakulam"/>
    <x v="3"/>
    <s v="PT-1420"/>
    <s v="Follow-up"/>
    <x v="2"/>
    <s v="Government Scheme"/>
    <s v="Orthopedic Doctor"/>
    <x v="0"/>
    <n v="90"/>
    <n v="90"/>
    <n v="116.5"/>
    <n v="1900"/>
    <n v="1900"/>
    <n v="0"/>
    <n v="0"/>
    <n v="1"/>
    <n v="0"/>
    <n v="0.85"/>
  </r>
  <r>
    <s v="APT-00581"/>
    <d v="2025-03-08T00:00:00"/>
    <x v="3"/>
    <x v="5"/>
    <s v="Afternoon"/>
    <x v="0"/>
    <s v="Palakkad"/>
    <x v="11"/>
    <s v="PT-1550"/>
    <s v="Geriatric Rehab"/>
    <x v="2"/>
    <s v="Self Pay"/>
    <s v="Orthopedic Doctor"/>
    <x v="2"/>
    <n v="60"/>
    <n v="0"/>
    <n v="78.900000000000006"/>
    <n v="1250"/>
    <n v="0"/>
    <n v="1250"/>
    <n v="0"/>
    <n v="0"/>
    <n v="1"/>
    <n v="0.85"/>
  </r>
  <r>
    <s v="APT-00582"/>
    <d v="2025-07-22T00:00:00"/>
    <x v="8"/>
    <x v="0"/>
    <s v="Evening"/>
    <x v="0"/>
    <s v="Palakkad"/>
    <x v="6"/>
    <s v="PT-1253"/>
    <s v="Follow-up"/>
    <x v="0"/>
    <s v="Self Pay"/>
    <s v="Hospital Discharge"/>
    <x v="0"/>
    <n v="45"/>
    <n v="45"/>
    <n v="59.3"/>
    <n v="950"/>
    <n v="950"/>
    <n v="0"/>
    <n v="0"/>
    <n v="1"/>
    <n v="0"/>
    <n v="0.85"/>
  </r>
  <r>
    <s v="APT-00583"/>
    <d v="2025-08-18T00:00:00"/>
    <x v="9"/>
    <x v="1"/>
    <s v="Morning"/>
    <x v="1"/>
    <s v="Thrissur"/>
    <x v="10"/>
    <s v="PT-1281"/>
    <s v="Follow-up"/>
    <x v="0"/>
    <s v="Private Insurance"/>
    <s v="Corporate Wellness"/>
    <x v="0"/>
    <n v="75"/>
    <n v="75"/>
    <n v="87.1"/>
    <n v="1700"/>
    <n v="1700"/>
    <n v="0"/>
    <n v="0"/>
    <n v="1"/>
    <n v="0"/>
    <n v="0.85"/>
  </r>
  <r>
    <s v="APT-00584"/>
    <d v="2025-03-12T00:00:00"/>
    <x v="3"/>
    <x v="3"/>
    <s v="Evening"/>
    <x v="2"/>
    <s v="Ernakulam"/>
    <x v="14"/>
    <s v="PT-1300"/>
    <s v="Geriatric Rehab"/>
    <x v="1"/>
    <s v="Private Insurance"/>
    <s v="Online Search"/>
    <x v="0"/>
    <n v="30"/>
    <n v="30"/>
    <n v="33.1"/>
    <n v="750"/>
    <n v="750"/>
    <n v="0"/>
    <n v="0"/>
    <n v="1"/>
    <n v="0"/>
    <n v="0.85"/>
  </r>
  <r>
    <s v="APT-00585"/>
    <d v="2025-11-14T00:00:00"/>
    <x v="1"/>
    <x v="4"/>
    <s v="Afternoon"/>
    <x v="2"/>
    <s v="Ernakulam"/>
    <x v="3"/>
    <s v="PT-1368"/>
    <s v="Chronic Pain"/>
    <x v="3"/>
    <s v="Self Pay"/>
    <s v="Neurologist"/>
    <x v="2"/>
    <n v="60"/>
    <n v="0"/>
    <n v="79.7"/>
    <n v="1500"/>
    <n v="0"/>
    <n v="1500"/>
    <n v="0"/>
    <n v="0"/>
    <n v="1"/>
    <n v="0.85"/>
  </r>
  <r>
    <s v="APT-00586"/>
    <d v="2025-07-18T00:00:00"/>
    <x v="8"/>
    <x v="4"/>
    <s v="Evening"/>
    <x v="2"/>
    <s v="Ernakulam"/>
    <x v="3"/>
    <s v="PT-1193"/>
    <s v="Chronic Pain"/>
    <x v="0"/>
    <s v="Government Scheme"/>
    <s v="Corporate Wellness"/>
    <x v="0"/>
    <n v="75"/>
    <n v="75"/>
    <n v="95.8"/>
    <n v="1600"/>
    <n v="1600"/>
    <n v="0"/>
    <n v="0"/>
    <n v="1"/>
    <n v="0"/>
    <n v="0.85"/>
  </r>
  <r>
    <s v="APT-00587"/>
    <d v="2025-09-08T00:00:00"/>
    <x v="2"/>
    <x v="1"/>
    <s v="Midday"/>
    <x v="0"/>
    <s v="Palakkad"/>
    <x v="6"/>
    <s v="PT-1374"/>
    <s v="Follow-up"/>
    <x v="0"/>
    <s v="Private Insurance"/>
    <s v="Corporate Wellness"/>
    <x v="1"/>
    <n v="30"/>
    <n v="0"/>
    <n v="36.9"/>
    <n v="600"/>
    <n v="0"/>
    <n v="600"/>
    <n v="1"/>
    <n v="0"/>
    <n v="0"/>
    <n v="0.85"/>
  </r>
  <r>
    <s v="APT-00588"/>
    <d v="2025-10-27T00:00:00"/>
    <x v="7"/>
    <x v="1"/>
    <s v="Morning"/>
    <x v="2"/>
    <s v="Ernakulam"/>
    <x v="12"/>
    <s v="PT-1542"/>
    <s v="Post-op Rehab"/>
    <x v="4"/>
    <s v="Private Insurance"/>
    <s v="Orthopedic Doctor"/>
    <x v="0"/>
    <n v="60"/>
    <n v="60"/>
    <n v="69.2"/>
    <n v="1700"/>
    <n v="1700"/>
    <n v="0"/>
    <n v="0"/>
    <n v="1"/>
    <n v="0"/>
    <n v="0.85"/>
  </r>
  <r>
    <s v="APT-00589"/>
    <d v="2025-07-29T00:00:00"/>
    <x v="8"/>
    <x v="0"/>
    <s v="Morning"/>
    <x v="2"/>
    <s v="Ernakulam"/>
    <x v="12"/>
    <s v="PT-1311"/>
    <s v="Follow-up"/>
    <x v="1"/>
    <s v="Self Pay"/>
    <s v="Corporate Wellness"/>
    <x v="0"/>
    <n v="60"/>
    <n v="60"/>
    <n v="65.599999999999994"/>
    <n v="1500"/>
    <n v="1500"/>
    <n v="0"/>
    <n v="0"/>
    <n v="1"/>
    <n v="0"/>
    <n v="0.85"/>
  </r>
  <r>
    <s v="APT-00590"/>
    <d v="2025-07-05T00:00:00"/>
    <x v="8"/>
    <x v="5"/>
    <s v="Evening"/>
    <x v="2"/>
    <s v="Ernakulam"/>
    <x v="12"/>
    <s v="PT-1573"/>
    <s v="New Patient"/>
    <x v="1"/>
    <s v="Self Pay"/>
    <s v="Orthopedic Doctor"/>
    <x v="0"/>
    <n v="60"/>
    <n v="60"/>
    <n v="69.8"/>
    <n v="1800"/>
    <n v="1800"/>
    <n v="0"/>
    <n v="0"/>
    <n v="1"/>
    <n v="0"/>
    <n v="0.85"/>
  </r>
  <r>
    <s v="APT-00591"/>
    <d v="2025-05-03T00:00:00"/>
    <x v="10"/>
    <x v="5"/>
    <s v="Afternoon"/>
    <x v="1"/>
    <s v="Thrissur"/>
    <x v="10"/>
    <s v="PT-1162"/>
    <s v="Geriatric Rehab"/>
    <x v="3"/>
    <s v="Self Pay"/>
    <s v="Online Search"/>
    <x v="0"/>
    <n v="60"/>
    <n v="60"/>
    <n v="75.3"/>
    <n v="1350"/>
    <n v="1350"/>
    <n v="0"/>
    <n v="0"/>
    <n v="1"/>
    <n v="0"/>
    <n v="0.85"/>
  </r>
  <r>
    <s v="APT-00592"/>
    <d v="2025-02-24T00:00:00"/>
    <x v="5"/>
    <x v="1"/>
    <s v="Evening"/>
    <x v="1"/>
    <s v="Thrissur"/>
    <x v="5"/>
    <s v="PT-1281"/>
    <s v="Follow-up"/>
    <x v="3"/>
    <s v="Self Pay"/>
    <s v="Corporate Wellness"/>
    <x v="0"/>
    <n v="75"/>
    <n v="75"/>
    <n v="91.1"/>
    <n v="1700"/>
    <n v="1700"/>
    <n v="0"/>
    <n v="0"/>
    <n v="1"/>
    <n v="0"/>
    <n v="0.85"/>
  </r>
  <r>
    <s v="APT-00593"/>
    <d v="2025-04-02T00:00:00"/>
    <x v="6"/>
    <x v="3"/>
    <s v="Afternoon"/>
    <x v="2"/>
    <s v="Ernakulam"/>
    <x v="8"/>
    <s v="PT-1155"/>
    <s v="Chronic Pain"/>
    <x v="4"/>
    <s v="Private Insurance"/>
    <s v="Orthopedic Doctor"/>
    <x v="0"/>
    <n v="60"/>
    <n v="60"/>
    <n v="78.8"/>
    <n v="1500"/>
    <n v="1500"/>
    <n v="0"/>
    <n v="0"/>
    <n v="1"/>
    <n v="0"/>
    <n v="0.85"/>
  </r>
  <r>
    <s v="APT-00594"/>
    <d v="2025-12-13T00:00:00"/>
    <x v="0"/>
    <x v="5"/>
    <s v="Afternoon"/>
    <x v="1"/>
    <s v="Thrissur"/>
    <x v="5"/>
    <s v="PT-1067"/>
    <s v="Follow-up"/>
    <x v="5"/>
    <s v="Government Scheme"/>
    <s v="Self Referral"/>
    <x v="0"/>
    <n v="90"/>
    <n v="90"/>
    <n v="98.1"/>
    <n v="1700"/>
    <n v="1700"/>
    <n v="0"/>
    <n v="0"/>
    <n v="1"/>
    <n v="0"/>
    <n v="0.85"/>
  </r>
  <r>
    <s v="APT-00595"/>
    <d v="2025-07-07T00:00:00"/>
    <x v="8"/>
    <x v="1"/>
    <s v="Morning"/>
    <x v="2"/>
    <s v="Ernakulam"/>
    <x v="4"/>
    <s v="PT-1593"/>
    <s v="Chronic Pain"/>
    <x v="3"/>
    <s v="Private Insurance"/>
    <s v="Online Search"/>
    <x v="0"/>
    <n v="60"/>
    <n v="60"/>
    <n v="68.599999999999994"/>
    <n v="1500"/>
    <n v="1500"/>
    <n v="0"/>
    <n v="0"/>
    <n v="1"/>
    <n v="0"/>
    <n v="0.85"/>
  </r>
  <r>
    <s v="APT-00596"/>
    <d v="2025-01-02T00:00:00"/>
    <x v="11"/>
    <x v="2"/>
    <s v="Evening"/>
    <x v="2"/>
    <s v="Ernakulam"/>
    <x v="3"/>
    <s v="PT-1462"/>
    <s v="Follow-up"/>
    <x v="1"/>
    <s v="Self Pay"/>
    <s v="Online Search"/>
    <x v="1"/>
    <n v="30"/>
    <n v="0"/>
    <n v="33.299999999999997"/>
    <n v="750"/>
    <n v="0"/>
    <n v="750"/>
    <n v="1"/>
    <n v="0"/>
    <n v="0"/>
    <n v="0.85"/>
  </r>
  <r>
    <s v="APT-00597"/>
    <d v="2025-11-28T00:00:00"/>
    <x v="1"/>
    <x v="4"/>
    <s v="Afternoon"/>
    <x v="0"/>
    <s v="Palakkad"/>
    <x v="6"/>
    <s v="PT-1686"/>
    <s v="New Patient"/>
    <x v="3"/>
    <s v="Corporate Tie-up"/>
    <s v="Hospital Discharge"/>
    <x v="0"/>
    <n v="60"/>
    <n v="60"/>
    <n v="68.2"/>
    <n v="1400"/>
    <n v="1400"/>
    <n v="0"/>
    <n v="0"/>
    <n v="1"/>
    <n v="0"/>
    <n v="0.85"/>
  </r>
  <r>
    <s v="APT-00598"/>
    <d v="2025-03-27T00:00:00"/>
    <x v="3"/>
    <x v="2"/>
    <s v="Afternoon"/>
    <x v="1"/>
    <s v="Thrissur"/>
    <x v="7"/>
    <s v="PT-1055"/>
    <s v="Geriatric Rehab"/>
    <x v="0"/>
    <s v="Private Insurance"/>
    <s v="Online Search"/>
    <x v="0"/>
    <n v="60"/>
    <n v="60"/>
    <n v="68.599999999999994"/>
    <n v="1350"/>
    <n v="1350"/>
    <n v="0"/>
    <n v="0"/>
    <n v="1"/>
    <n v="0"/>
    <n v="0.85"/>
  </r>
  <r>
    <s v="APT-00599"/>
    <d v="2025-01-03T00:00:00"/>
    <x v="11"/>
    <x v="4"/>
    <s v="Evening"/>
    <x v="2"/>
    <s v="Ernakulam"/>
    <x v="3"/>
    <s v="PT-1535"/>
    <s v="Follow-up"/>
    <x v="0"/>
    <s v="Self Pay"/>
    <s v="Neurologist"/>
    <x v="3"/>
    <n v="45"/>
    <n v="0"/>
    <n v="53.7"/>
    <n v="1100"/>
    <n v="0"/>
    <n v="0"/>
    <n v="0"/>
    <n v="0"/>
    <n v="0"/>
    <n v="0.85"/>
  </r>
  <r>
    <s v="APT-00600"/>
    <d v="2025-01-27T00:00:00"/>
    <x v="11"/>
    <x v="1"/>
    <s v="Evening"/>
    <x v="0"/>
    <s v="Palakkad"/>
    <x v="9"/>
    <s v="PT-1324"/>
    <s v="Follow-up"/>
    <x v="4"/>
    <s v="Self Pay"/>
    <s v="Online Search"/>
    <x v="1"/>
    <n v="90"/>
    <n v="0"/>
    <n v="100.4"/>
    <n v="1900"/>
    <n v="0"/>
    <n v="1900"/>
    <n v="1"/>
    <n v="0"/>
    <n v="0"/>
    <n v="0.85"/>
  </r>
  <r>
    <s v="APT-00601"/>
    <d v="2025-10-06T00:00:00"/>
    <x v="7"/>
    <x v="1"/>
    <s v="Morning"/>
    <x v="1"/>
    <s v="Thrissur"/>
    <x v="5"/>
    <s v="PT-1243"/>
    <s v="Geriatric Rehab"/>
    <x v="0"/>
    <s v="Self Pay"/>
    <s v="Orthopedic Doctor"/>
    <x v="1"/>
    <n v="60"/>
    <n v="0"/>
    <n v="69.7"/>
    <n v="1350"/>
    <n v="0"/>
    <n v="1350"/>
    <n v="1"/>
    <n v="0"/>
    <n v="0"/>
    <n v="0.85"/>
  </r>
  <r>
    <s v="APT-00602"/>
    <d v="2025-05-18T00:00:00"/>
    <x v="10"/>
    <x v="6"/>
    <s v="Midday"/>
    <x v="1"/>
    <s v="Thrissur"/>
    <x v="5"/>
    <s v="PT-1550"/>
    <s v="Follow-up"/>
    <x v="1"/>
    <s v="Self Pay"/>
    <s v="Corporate Wellness"/>
    <x v="0"/>
    <n v="60"/>
    <n v="60"/>
    <n v="80.099999999999994"/>
    <n v="1350"/>
    <n v="1350"/>
    <n v="0"/>
    <n v="0"/>
    <n v="1"/>
    <n v="0"/>
    <n v="0.85"/>
  </r>
  <r>
    <s v="APT-00603"/>
    <d v="2025-05-19T00:00:00"/>
    <x v="10"/>
    <x v="1"/>
    <s v="Evening"/>
    <x v="1"/>
    <s v="Thrissur"/>
    <x v="2"/>
    <s v="PT-1676"/>
    <s v="Post-op Rehab"/>
    <x v="4"/>
    <s v="Corporate Tie-up"/>
    <s v="Online Search"/>
    <x v="0"/>
    <n v="45"/>
    <n v="45"/>
    <n v="52.7"/>
    <n v="1050"/>
    <n v="1050"/>
    <n v="0"/>
    <n v="0"/>
    <n v="1"/>
    <n v="0"/>
    <n v="0.85"/>
  </r>
  <r>
    <s v="APT-00604"/>
    <d v="2025-04-11T00:00:00"/>
    <x v="6"/>
    <x v="4"/>
    <s v="Afternoon"/>
    <x v="0"/>
    <s v="Palakkad"/>
    <x v="6"/>
    <s v="PT-1096"/>
    <s v="Post-op Rehab"/>
    <x v="0"/>
    <s v="Self Pay"/>
    <s v="Orthopedic Doctor"/>
    <x v="0"/>
    <n v="60"/>
    <n v="60"/>
    <n v="70.3"/>
    <n v="1450"/>
    <n v="1450"/>
    <n v="0"/>
    <n v="0"/>
    <n v="1"/>
    <n v="0"/>
    <n v="0.85"/>
  </r>
  <r>
    <s v="APT-00605"/>
    <d v="2025-01-02T00:00:00"/>
    <x v="11"/>
    <x v="2"/>
    <s v="Afternoon"/>
    <x v="1"/>
    <s v="Thrissur"/>
    <x v="5"/>
    <s v="PT-1577"/>
    <s v="Chronic Pain"/>
    <x v="4"/>
    <s v="Self Pay"/>
    <s v="Orthopedic Doctor"/>
    <x v="0"/>
    <n v="45"/>
    <n v="45"/>
    <n v="50.8"/>
    <n v="1000"/>
    <n v="1000"/>
    <n v="0"/>
    <n v="0"/>
    <n v="1"/>
    <n v="0"/>
    <n v="0.85"/>
  </r>
  <r>
    <s v="APT-00606"/>
    <d v="2025-02-07T00:00:00"/>
    <x v="5"/>
    <x v="4"/>
    <s v="Morning"/>
    <x v="1"/>
    <s v="Thrissur"/>
    <x v="10"/>
    <s v="PT-1480"/>
    <s v="Sports Injury"/>
    <x v="3"/>
    <s v="Corporate Tie-up"/>
    <s v="Hospital Discharge"/>
    <x v="0"/>
    <n v="90"/>
    <n v="90"/>
    <n v="100.5"/>
    <n v="1850"/>
    <n v="1850"/>
    <n v="0"/>
    <n v="0"/>
    <n v="1"/>
    <n v="0"/>
    <n v="0.85"/>
  </r>
  <r>
    <s v="APT-00607"/>
    <d v="2025-12-19T00:00:00"/>
    <x v="0"/>
    <x v="4"/>
    <s v="Midday"/>
    <x v="0"/>
    <s v="Palakkad"/>
    <x v="0"/>
    <s v="PT-1194"/>
    <s v="Follow-up"/>
    <x v="2"/>
    <s v="Government Scheme"/>
    <s v="Hospital Discharge"/>
    <x v="0"/>
    <n v="60"/>
    <n v="60"/>
    <n v="80.400000000000006"/>
    <n v="1050"/>
    <n v="1050"/>
    <n v="0"/>
    <n v="0"/>
    <n v="1"/>
    <n v="0"/>
    <n v="0.85"/>
  </r>
  <r>
    <s v="APT-00608"/>
    <d v="2025-10-06T00:00:00"/>
    <x v="7"/>
    <x v="1"/>
    <s v="Midday"/>
    <x v="1"/>
    <s v="Thrissur"/>
    <x v="1"/>
    <s v="PT-1663"/>
    <s v="New Patient"/>
    <x v="4"/>
    <s v="Self Pay"/>
    <s v="Online Search"/>
    <x v="1"/>
    <n v="60"/>
    <n v="0"/>
    <n v="74.7"/>
    <n v="1600"/>
    <n v="0"/>
    <n v="1600"/>
    <n v="1"/>
    <n v="0"/>
    <n v="0"/>
    <n v="0.85"/>
  </r>
  <r>
    <s v="APT-00609"/>
    <d v="2025-05-01T00:00:00"/>
    <x v="10"/>
    <x v="2"/>
    <s v="Midday"/>
    <x v="0"/>
    <s v="Palakkad"/>
    <x v="6"/>
    <s v="PT-1279"/>
    <s v="Post-op Rehab"/>
    <x v="3"/>
    <s v="Self Pay"/>
    <s v="Orthopedic Doctor"/>
    <x v="0"/>
    <n v="30"/>
    <n v="30"/>
    <n v="40.4"/>
    <n v="700"/>
    <n v="700"/>
    <n v="0"/>
    <n v="0"/>
    <n v="1"/>
    <n v="0"/>
    <n v="0.85"/>
  </r>
  <r>
    <s v="APT-00610"/>
    <d v="2025-12-22T00:00:00"/>
    <x v="0"/>
    <x v="1"/>
    <s v="Morning"/>
    <x v="2"/>
    <s v="Ernakulam"/>
    <x v="14"/>
    <s v="PT-1640"/>
    <s v="Follow-up"/>
    <x v="0"/>
    <s v="Self Pay"/>
    <s v="Hospital Discharge"/>
    <x v="0"/>
    <n v="60"/>
    <n v="60"/>
    <n v="65.7"/>
    <n v="1500"/>
    <n v="1500"/>
    <n v="0"/>
    <n v="0"/>
    <n v="1"/>
    <n v="0"/>
    <n v="0.85"/>
  </r>
  <r>
    <s v="APT-00611"/>
    <d v="2025-01-20T00:00:00"/>
    <x v="11"/>
    <x v="1"/>
    <s v="Afternoon"/>
    <x v="1"/>
    <s v="Thrissur"/>
    <x v="7"/>
    <s v="PT-1199"/>
    <s v="Post-op Rehab"/>
    <x v="1"/>
    <s v="Corporate Tie-up"/>
    <s v="Corporate Wellness"/>
    <x v="0"/>
    <n v="60"/>
    <n v="60"/>
    <n v="74"/>
    <n v="1450"/>
    <n v="1450"/>
    <n v="0"/>
    <n v="0"/>
    <n v="1"/>
    <n v="0"/>
    <n v="0.85"/>
  </r>
  <r>
    <s v="APT-00612"/>
    <d v="2025-02-19T00:00:00"/>
    <x v="5"/>
    <x v="3"/>
    <s v="Afternoon"/>
    <x v="2"/>
    <s v="Ernakulam"/>
    <x v="4"/>
    <s v="PT-1427"/>
    <s v="Post-op Rehab"/>
    <x v="5"/>
    <s v="Self Pay"/>
    <s v="Hospital Discharge"/>
    <x v="0"/>
    <n v="45"/>
    <n v="45"/>
    <n v="58.6"/>
    <n v="1300"/>
    <n v="1300"/>
    <n v="0"/>
    <n v="0"/>
    <n v="1"/>
    <n v="0"/>
    <n v="0.85"/>
  </r>
  <r>
    <s v="APT-00613"/>
    <d v="2025-01-28T00:00:00"/>
    <x v="11"/>
    <x v="0"/>
    <s v="Morning"/>
    <x v="1"/>
    <s v="Thrissur"/>
    <x v="7"/>
    <s v="PT-1132"/>
    <s v="New Patient"/>
    <x v="2"/>
    <s v="Self Pay"/>
    <s v="Self Referral"/>
    <x v="1"/>
    <n v="45"/>
    <n v="0"/>
    <n v="59.8"/>
    <n v="1200"/>
    <n v="0"/>
    <n v="1200"/>
    <n v="1"/>
    <n v="0"/>
    <n v="0"/>
    <n v="0.85"/>
  </r>
  <r>
    <s v="APT-00614"/>
    <d v="2025-05-14T00:00:00"/>
    <x v="10"/>
    <x v="3"/>
    <s v="Evening"/>
    <x v="2"/>
    <s v="Ernakulam"/>
    <x v="12"/>
    <s v="PT-1448"/>
    <s v="Geriatric Rehab"/>
    <x v="0"/>
    <s v="Self Pay"/>
    <s v="Corporate Wellness"/>
    <x v="0"/>
    <n v="45"/>
    <n v="45"/>
    <n v="59.7"/>
    <n v="1100"/>
    <n v="1100"/>
    <n v="0"/>
    <n v="0"/>
    <n v="1"/>
    <n v="0"/>
    <n v="0.85"/>
  </r>
  <r>
    <s v="APT-00615"/>
    <d v="2025-10-16T00:00:00"/>
    <x v="7"/>
    <x v="2"/>
    <s v="Evening"/>
    <x v="1"/>
    <s v="Thrissur"/>
    <x v="5"/>
    <s v="PT-1302"/>
    <s v="Follow-up"/>
    <x v="4"/>
    <s v="Private Insurance"/>
    <s v="Corporate Wellness"/>
    <x v="3"/>
    <n v="60"/>
    <n v="0"/>
    <n v="67.5"/>
    <n v="1350"/>
    <n v="0"/>
    <n v="0"/>
    <n v="0"/>
    <n v="0"/>
    <n v="0"/>
    <n v="0.85"/>
  </r>
  <r>
    <s v="APT-00616"/>
    <d v="2025-03-07T00:00:00"/>
    <x v="3"/>
    <x v="4"/>
    <s v="Afternoon"/>
    <x v="1"/>
    <s v="Thrissur"/>
    <x v="10"/>
    <s v="PT-1444"/>
    <s v="Chronic Pain"/>
    <x v="0"/>
    <s v="Self Pay"/>
    <s v="Orthopedic Doctor"/>
    <x v="0"/>
    <n v="45"/>
    <n v="45"/>
    <n v="58.9"/>
    <n v="1000"/>
    <n v="1000"/>
    <n v="0"/>
    <n v="0"/>
    <n v="1"/>
    <n v="0"/>
    <n v="0.85"/>
  </r>
  <r>
    <s v="APT-00617"/>
    <d v="2025-01-30T00:00:00"/>
    <x v="11"/>
    <x v="2"/>
    <s v="Evening"/>
    <x v="0"/>
    <s v="Palakkad"/>
    <x v="11"/>
    <s v="PT-1269"/>
    <s v="Sports Injury"/>
    <x v="3"/>
    <s v="Self Pay"/>
    <s v="Hospital Discharge"/>
    <x v="0"/>
    <n v="45"/>
    <n v="45"/>
    <n v="52.9"/>
    <n v="950"/>
    <n v="950"/>
    <n v="0"/>
    <n v="0"/>
    <n v="1"/>
    <n v="0"/>
    <n v="0.85"/>
  </r>
  <r>
    <s v="APT-00618"/>
    <d v="2025-05-05T00:00:00"/>
    <x v="10"/>
    <x v="1"/>
    <s v="Evening"/>
    <x v="2"/>
    <s v="Ernakulam"/>
    <x v="3"/>
    <s v="PT-1503"/>
    <s v="New Patient"/>
    <x v="0"/>
    <s v="Self Pay"/>
    <s v="Online Search"/>
    <x v="0"/>
    <n v="30"/>
    <n v="30"/>
    <n v="35.5"/>
    <n v="900"/>
    <n v="900"/>
    <n v="0"/>
    <n v="0"/>
    <n v="1"/>
    <n v="0"/>
    <n v="0.85"/>
  </r>
  <r>
    <s v="APT-00619"/>
    <d v="2025-09-22T00:00:00"/>
    <x v="2"/>
    <x v="1"/>
    <s v="Midday"/>
    <x v="0"/>
    <s v="Palakkad"/>
    <x v="13"/>
    <s v="PT-1431"/>
    <s v="Follow-up"/>
    <x v="0"/>
    <s v="Self Pay"/>
    <s v="Neurologist"/>
    <x v="1"/>
    <n v="90"/>
    <n v="0"/>
    <n v="103.8"/>
    <n v="1900"/>
    <n v="0"/>
    <n v="1900"/>
    <n v="1"/>
    <n v="0"/>
    <n v="0"/>
    <n v="0.85"/>
  </r>
  <r>
    <s v="APT-00620"/>
    <d v="2025-09-13T00:00:00"/>
    <x v="2"/>
    <x v="5"/>
    <s v="Evening"/>
    <x v="1"/>
    <s v="Thrissur"/>
    <x v="1"/>
    <s v="PT-1058"/>
    <s v="Follow-up"/>
    <x v="1"/>
    <s v="Private Insurance"/>
    <s v="Corporate Wellness"/>
    <x v="0"/>
    <n v="30"/>
    <n v="30"/>
    <n v="38.799999999999997"/>
    <n v="700"/>
    <n v="700"/>
    <n v="0"/>
    <n v="0"/>
    <n v="1"/>
    <n v="0"/>
    <n v="0.85"/>
  </r>
  <r>
    <s v="APT-00621"/>
    <d v="2025-01-20T00:00:00"/>
    <x v="11"/>
    <x v="1"/>
    <s v="Midday"/>
    <x v="1"/>
    <s v="Thrissur"/>
    <x v="5"/>
    <s v="PT-1129"/>
    <s v="Follow-up"/>
    <x v="1"/>
    <s v="Corporate Tie-up"/>
    <s v="Neurologist"/>
    <x v="0"/>
    <n v="45"/>
    <n v="45"/>
    <n v="53.1"/>
    <n v="950"/>
    <n v="950"/>
    <n v="0"/>
    <n v="0"/>
    <n v="1"/>
    <n v="0"/>
    <n v="0.85"/>
  </r>
  <r>
    <s v="APT-00622"/>
    <d v="2025-06-02T00:00:00"/>
    <x v="4"/>
    <x v="1"/>
    <s v="Morning"/>
    <x v="0"/>
    <s v="Palakkad"/>
    <x v="13"/>
    <s v="PT-1066"/>
    <s v="New Patient"/>
    <x v="2"/>
    <s v="Private Insurance"/>
    <s v="Online Search"/>
    <x v="0"/>
    <n v="60"/>
    <n v="60"/>
    <n v="66.900000000000006"/>
    <n v="1500"/>
    <n v="1500"/>
    <n v="0"/>
    <n v="0"/>
    <n v="1"/>
    <n v="0"/>
    <n v="0.85"/>
  </r>
  <r>
    <s v="APT-00623"/>
    <d v="2025-12-23T00:00:00"/>
    <x v="0"/>
    <x v="0"/>
    <s v="Morning"/>
    <x v="2"/>
    <s v="Ernakulam"/>
    <x v="8"/>
    <s v="PT-1012"/>
    <s v="Follow-up"/>
    <x v="5"/>
    <s v="Self Pay"/>
    <s v="Online Search"/>
    <x v="0"/>
    <n v="60"/>
    <n v="60"/>
    <n v="66.599999999999994"/>
    <n v="1500"/>
    <n v="1500"/>
    <n v="0"/>
    <n v="0"/>
    <n v="1"/>
    <n v="0"/>
    <n v="0.85"/>
  </r>
  <r>
    <s v="APT-00624"/>
    <d v="2025-05-10T00:00:00"/>
    <x v="10"/>
    <x v="5"/>
    <s v="Afternoon"/>
    <x v="1"/>
    <s v="Thrissur"/>
    <x v="2"/>
    <s v="PT-1415"/>
    <s v="Follow-up"/>
    <x v="3"/>
    <s v="Self Pay"/>
    <s v="Corporate Wellness"/>
    <x v="0"/>
    <n v="60"/>
    <n v="60"/>
    <n v="67.400000000000006"/>
    <n v="1350"/>
    <n v="1350"/>
    <n v="0"/>
    <n v="0"/>
    <n v="1"/>
    <n v="0"/>
    <n v="0.85"/>
  </r>
  <r>
    <s v="APT-00625"/>
    <d v="2025-05-20T00:00:00"/>
    <x v="10"/>
    <x v="0"/>
    <s v="Evening"/>
    <x v="1"/>
    <s v="Thrissur"/>
    <x v="2"/>
    <s v="PT-1416"/>
    <s v="Chronic Pain"/>
    <x v="0"/>
    <s v="Self Pay"/>
    <s v="Neurologist"/>
    <x v="1"/>
    <n v="45"/>
    <n v="0"/>
    <n v="59.9"/>
    <n v="1000"/>
    <n v="0"/>
    <n v="1000"/>
    <n v="1"/>
    <n v="0"/>
    <n v="0"/>
    <n v="0.85"/>
  </r>
  <r>
    <s v="APT-00626"/>
    <d v="2025-04-04T00:00:00"/>
    <x v="6"/>
    <x v="4"/>
    <s v="Midday"/>
    <x v="0"/>
    <s v="Palakkad"/>
    <x v="0"/>
    <s v="PT-1351"/>
    <s v="Chronic Pain"/>
    <x v="4"/>
    <s v="Private Insurance"/>
    <s v="Self Referral"/>
    <x v="2"/>
    <n v="30"/>
    <n v="0"/>
    <n v="34.4"/>
    <n v="600"/>
    <n v="0"/>
    <n v="600"/>
    <n v="0"/>
    <n v="0"/>
    <n v="1"/>
    <n v="0.85"/>
  </r>
  <r>
    <s v="APT-00627"/>
    <d v="2025-12-17T00:00:00"/>
    <x v="0"/>
    <x v="3"/>
    <s v="Morning"/>
    <x v="1"/>
    <s v="Thrissur"/>
    <x v="10"/>
    <s v="PT-1149"/>
    <s v="Post-op Rehab"/>
    <x v="0"/>
    <s v="Private Insurance"/>
    <s v="Neurologist"/>
    <x v="0"/>
    <n v="60"/>
    <n v="60"/>
    <n v="78.8"/>
    <n v="1550"/>
    <n v="1550"/>
    <n v="0"/>
    <n v="0"/>
    <n v="1"/>
    <n v="0"/>
    <n v="0.85"/>
  </r>
  <r>
    <s v="APT-00628"/>
    <d v="2025-11-12T00:00:00"/>
    <x v="1"/>
    <x v="3"/>
    <s v="Morning"/>
    <x v="0"/>
    <s v="Palakkad"/>
    <x v="13"/>
    <s v="PT-1163"/>
    <s v="Chronic Pain"/>
    <x v="4"/>
    <s v="Private Insurance"/>
    <s v="Online Search"/>
    <x v="0"/>
    <n v="60"/>
    <n v="60"/>
    <n v="78.599999999999994"/>
    <n v="1250"/>
    <n v="1250"/>
    <n v="0"/>
    <n v="0"/>
    <n v="1"/>
    <n v="0"/>
    <n v="0.85"/>
  </r>
  <r>
    <s v="APT-00629"/>
    <d v="2025-07-03T00:00:00"/>
    <x v="8"/>
    <x v="2"/>
    <s v="Midday"/>
    <x v="1"/>
    <s v="Thrissur"/>
    <x v="5"/>
    <s v="PT-1419"/>
    <s v="Follow-up"/>
    <x v="0"/>
    <s v="Self Pay"/>
    <s v="Orthopedic Doctor"/>
    <x v="0"/>
    <n v="30"/>
    <n v="30"/>
    <n v="38.1"/>
    <n v="700"/>
    <n v="700"/>
    <n v="0"/>
    <n v="0"/>
    <n v="1"/>
    <n v="0"/>
    <n v="0.85"/>
  </r>
  <r>
    <s v="APT-00630"/>
    <d v="2025-03-11T00:00:00"/>
    <x v="3"/>
    <x v="0"/>
    <s v="Midday"/>
    <x v="0"/>
    <s v="Palakkad"/>
    <x v="11"/>
    <s v="PT-1518"/>
    <s v="Post-op Rehab"/>
    <x v="0"/>
    <s v="Private Insurance"/>
    <s v="Neurologist"/>
    <x v="0"/>
    <n v="60"/>
    <n v="60"/>
    <n v="68.400000000000006"/>
    <n v="1450"/>
    <n v="1450"/>
    <n v="0"/>
    <n v="0"/>
    <n v="1"/>
    <n v="0"/>
    <n v="0.85"/>
  </r>
  <r>
    <s v="APT-00631"/>
    <d v="2025-07-07T00:00:00"/>
    <x v="8"/>
    <x v="1"/>
    <s v="Morning"/>
    <x v="0"/>
    <s v="Palakkad"/>
    <x v="6"/>
    <s v="PT-1144"/>
    <s v="Post-op Rehab"/>
    <x v="2"/>
    <s v="Self Pay"/>
    <s v="Orthopedic Doctor"/>
    <x v="0"/>
    <n v="45"/>
    <n v="45"/>
    <n v="54.5"/>
    <n v="1100"/>
    <n v="1100"/>
    <n v="0"/>
    <n v="0"/>
    <n v="1"/>
    <n v="0"/>
    <n v="0.85"/>
  </r>
  <r>
    <s v="APT-00632"/>
    <d v="2025-02-17T00:00:00"/>
    <x v="5"/>
    <x v="1"/>
    <s v="Afternoon"/>
    <x v="2"/>
    <s v="Ernakulam"/>
    <x v="12"/>
    <s v="PT-1191"/>
    <s v="Follow-up"/>
    <x v="0"/>
    <s v="Self Pay"/>
    <s v="Hospital Discharge"/>
    <x v="0"/>
    <n v="45"/>
    <n v="45"/>
    <n v="50.5"/>
    <n v="1100"/>
    <n v="1100"/>
    <n v="0"/>
    <n v="0"/>
    <n v="1"/>
    <n v="0"/>
    <n v="0.85"/>
  </r>
  <r>
    <s v="APT-00633"/>
    <d v="2025-11-04T00:00:00"/>
    <x v="1"/>
    <x v="0"/>
    <s v="Afternoon"/>
    <x v="2"/>
    <s v="Ernakulam"/>
    <x v="8"/>
    <s v="PT-1303"/>
    <s v="Follow-up"/>
    <x v="3"/>
    <s v="Private Insurance"/>
    <s v="Hospital Discharge"/>
    <x v="0"/>
    <n v="30"/>
    <n v="30"/>
    <n v="40"/>
    <n v="750"/>
    <n v="750"/>
    <n v="0"/>
    <n v="0"/>
    <n v="1"/>
    <n v="0"/>
    <n v="0.85"/>
  </r>
  <r>
    <s v="APT-00634"/>
    <d v="2025-07-22T00:00:00"/>
    <x v="8"/>
    <x v="0"/>
    <s v="Afternoon"/>
    <x v="2"/>
    <s v="Ernakulam"/>
    <x v="12"/>
    <s v="PT-1094"/>
    <s v="Follow-up"/>
    <x v="2"/>
    <s v="Private Insurance"/>
    <s v="Self Referral"/>
    <x v="0"/>
    <n v="60"/>
    <n v="60"/>
    <n v="73.3"/>
    <n v="1500"/>
    <n v="1500"/>
    <n v="0"/>
    <n v="0"/>
    <n v="1"/>
    <n v="0"/>
    <n v="0.85"/>
  </r>
  <r>
    <s v="APT-00635"/>
    <d v="2025-09-26T00:00:00"/>
    <x v="2"/>
    <x v="4"/>
    <s v="Afternoon"/>
    <x v="1"/>
    <s v="Thrissur"/>
    <x v="5"/>
    <s v="PT-1562"/>
    <s v="Chronic Pain"/>
    <x v="2"/>
    <s v="Private Insurance"/>
    <s v="Corporate Wellness"/>
    <x v="0"/>
    <n v="45"/>
    <n v="45"/>
    <n v="50"/>
    <n v="1000"/>
    <n v="1000"/>
    <n v="0"/>
    <n v="0"/>
    <n v="1"/>
    <n v="0"/>
    <n v="0.85"/>
  </r>
  <r>
    <s v="APT-00636"/>
    <d v="2025-04-07T00:00:00"/>
    <x v="6"/>
    <x v="1"/>
    <s v="Afternoon"/>
    <x v="2"/>
    <s v="Ernakulam"/>
    <x v="8"/>
    <s v="PT-1392"/>
    <s v="Sports Injury"/>
    <x v="2"/>
    <s v="Government Scheme"/>
    <s v="Orthopedic Doctor"/>
    <x v="0"/>
    <n v="45"/>
    <n v="45"/>
    <n v="51.8"/>
    <n v="950"/>
    <n v="950"/>
    <n v="0"/>
    <n v="0"/>
    <n v="1"/>
    <n v="0"/>
    <n v="0.85"/>
  </r>
  <r>
    <s v="APT-00637"/>
    <d v="2025-07-05T00:00:00"/>
    <x v="8"/>
    <x v="5"/>
    <s v="Evening"/>
    <x v="0"/>
    <s v="Palakkad"/>
    <x v="0"/>
    <s v="PT-1397"/>
    <s v="Sports Injury"/>
    <x v="3"/>
    <s v="Private Insurance"/>
    <s v="Hospital Discharge"/>
    <x v="0"/>
    <n v="90"/>
    <n v="90"/>
    <n v="104.5"/>
    <n v="1900"/>
    <n v="1900"/>
    <n v="0"/>
    <n v="0"/>
    <n v="1"/>
    <n v="0"/>
    <n v="0.85"/>
  </r>
  <r>
    <s v="APT-00638"/>
    <d v="2025-08-14T00:00:00"/>
    <x v="9"/>
    <x v="2"/>
    <s v="Morning"/>
    <x v="1"/>
    <s v="Thrissur"/>
    <x v="1"/>
    <s v="PT-1280"/>
    <s v="New Patient"/>
    <x v="2"/>
    <s v="Private Insurance"/>
    <s v="Online Search"/>
    <x v="0"/>
    <n v="45"/>
    <n v="45"/>
    <n v="54.5"/>
    <n v="1200"/>
    <n v="1200"/>
    <n v="0"/>
    <n v="0"/>
    <n v="1"/>
    <n v="0"/>
    <n v="0.85"/>
  </r>
  <r>
    <s v="APT-00639"/>
    <d v="2025-12-12T00:00:00"/>
    <x v="0"/>
    <x v="4"/>
    <s v="Morning"/>
    <x v="0"/>
    <s v="Palakkad"/>
    <x v="13"/>
    <s v="PT-1010"/>
    <s v="Follow-up"/>
    <x v="5"/>
    <s v="Private Insurance"/>
    <s v="Hospital Discharge"/>
    <x v="0"/>
    <n v="45"/>
    <n v="45"/>
    <n v="53.2"/>
    <n v="950"/>
    <n v="950"/>
    <n v="0"/>
    <n v="0"/>
    <n v="1"/>
    <n v="0"/>
    <n v="0.85"/>
  </r>
  <r>
    <s v="APT-00640"/>
    <d v="2025-05-01T00:00:00"/>
    <x v="10"/>
    <x v="2"/>
    <s v="Morning"/>
    <x v="1"/>
    <s v="Thrissur"/>
    <x v="10"/>
    <s v="PT-1488"/>
    <s v="Chronic Pain"/>
    <x v="5"/>
    <s v="Government Scheme"/>
    <s v="Neurologist"/>
    <x v="0"/>
    <n v="60"/>
    <n v="60"/>
    <n v="77.7"/>
    <n v="1150"/>
    <n v="1150"/>
    <n v="0"/>
    <n v="0"/>
    <n v="1"/>
    <n v="0"/>
    <n v="0.85"/>
  </r>
  <r>
    <s v="APT-00641"/>
    <d v="2025-08-02T00:00:00"/>
    <x v="9"/>
    <x v="5"/>
    <s v="Afternoon"/>
    <x v="2"/>
    <s v="Ernakulam"/>
    <x v="8"/>
    <s v="PT-1017"/>
    <s v="Sports Injury"/>
    <x v="4"/>
    <s v="Self Pay"/>
    <s v="Self Referral"/>
    <x v="2"/>
    <n v="45"/>
    <n v="0"/>
    <n v="53.3"/>
    <n v="1100"/>
    <n v="0"/>
    <n v="1100"/>
    <n v="0"/>
    <n v="0"/>
    <n v="1"/>
    <n v="0.85"/>
  </r>
  <r>
    <s v="APT-00642"/>
    <d v="2025-05-14T00:00:00"/>
    <x v="10"/>
    <x v="3"/>
    <s v="Evening"/>
    <x v="1"/>
    <s v="Thrissur"/>
    <x v="7"/>
    <s v="PT-1177"/>
    <s v="Follow-up"/>
    <x v="0"/>
    <s v="Self Pay"/>
    <s v="Hospital Discharge"/>
    <x v="0"/>
    <n v="75"/>
    <n v="75"/>
    <n v="98.7"/>
    <n v="1700"/>
    <n v="1700"/>
    <n v="0"/>
    <n v="0"/>
    <n v="1"/>
    <n v="0"/>
    <n v="0.85"/>
  </r>
  <r>
    <s v="APT-00643"/>
    <d v="2025-12-25T00:00:00"/>
    <x v="0"/>
    <x v="2"/>
    <s v="Afternoon"/>
    <x v="2"/>
    <s v="Ernakulam"/>
    <x v="8"/>
    <s v="PT-1066"/>
    <s v="New Patient"/>
    <x v="4"/>
    <s v="Self Pay"/>
    <s v="Online Search"/>
    <x v="3"/>
    <n v="45"/>
    <n v="0"/>
    <n v="58"/>
    <n v="1350"/>
    <n v="0"/>
    <n v="0"/>
    <n v="0"/>
    <n v="0"/>
    <n v="0"/>
    <n v="0.85"/>
  </r>
  <r>
    <s v="APT-00644"/>
    <d v="2025-05-02T00:00:00"/>
    <x v="10"/>
    <x v="4"/>
    <s v="Midday"/>
    <x v="2"/>
    <s v="Ernakulam"/>
    <x v="4"/>
    <s v="PT-1148"/>
    <s v="New Patient"/>
    <x v="4"/>
    <s v="Private Insurance"/>
    <s v="Neurologist"/>
    <x v="0"/>
    <n v="60"/>
    <n v="60"/>
    <n v="72.2"/>
    <n v="1800"/>
    <n v="1800"/>
    <n v="0"/>
    <n v="0"/>
    <n v="1"/>
    <n v="0"/>
    <n v="0.85"/>
  </r>
  <r>
    <s v="APT-00645"/>
    <d v="2025-08-19T00:00:00"/>
    <x v="9"/>
    <x v="0"/>
    <s v="Evening"/>
    <x v="1"/>
    <s v="Thrissur"/>
    <x v="7"/>
    <s v="PT-1122"/>
    <s v="Geriatric Rehab"/>
    <x v="1"/>
    <s v="Corporate Tie-up"/>
    <s v="Online Search"/>
    <x v="0"/>
    <n v="45"/>
    <n v="45"/>
    <n v="54.8"/>
    <n v="950"/>
    <n v="950"/>
    <n v="0"/>
    <n v="0"/>
    <n v="1"/>
    <n v="0"/>
    <n v="0.85"/>
  </r>
  <r>
    <s v="APT-00646"/>
    <d v="2025-09-01T00:00:00"/>
    <x v="2"/>
    <x v="1"/>
    <s v="Afternoon"/>
    <x v="2"/>
    <s v="Ernakulam"/>
    <x v="3"/>
    <s v="PT-1093"/>
    <s v="Geriatric Rehab"/>
    <x v="0"/>
    <s v="Government Scheme"/>
    <s v="Self Referral"/>
    <x v="0"/>
    <n v="60"/>
    <n v="60"/>
    <n v="70"/>
    <n v="1300"/>
    <n v="1300"/>
    <n v="0"/>
    <n v="0"/>
    <n v="1"/>
    <n v="0"/>
    <n v="0.85"/>
  </r>
  <r>
    <s v="APT-00647"/>
    <d v="2025-06-04T00:00:00"/>
    <x v="4"/>
    <x v="3"/>
    <s v="Evening"/>
    <x v="1"/>
    <s v="Thrissur"/>
    <x v="5"/>
    <s v="PT-1501"/>
    <s v="Follow-up"/>
    <x v="5"/>
    <s v="Self Pay"/>
    <s v="Orthopedic Doctor"/>
    <x v="0"/>
    <n v="60"/>
    <n v="60"/>
    <n v="73.900000000000006"/>
    <n v="1350"/>
    <n v="1350"/>
    <n v="0"/>
    <n v="0"/>
    <n v="1"/>
    <n v="0"/>
    <n v="0.85"/>
  </r>
  <r>
    <s v="APT-00648"/>
    <d v="2025-06-16T00:00:00"/>
    <x v="4"/>
    <x v="1"/>
    <s v="Afternoon"/>
    <x v="0"/>
    <s v="Palakkad"/>
    <x v="9"/>
    <s v="PT-1283"/>
    <s v="Geriatric Rehab"/>
    <x v="1"/>
    <s v="Private Insurance"/>
    <s v="Neurologist"/>
    <x v="1"/>
    <n v="60"/>
    <n v="0"/>
    <n v="77.2"/>
    <n v="1250"/>
    <n v="0"/>
    <n v="1250"/>
    <n v="1"/>
    <n v="0"/>
    <n v="0"/>
    <n v="0.85"/>
  </r>
  <r>
    <s v="APT-00649"/>
    <d v="2025-04-07T00:00:00"/>
    <x v="6"/>
    <x v="1"/>
    <s v="Morning"/>
    <x v="2"/>
    <s v="Ernakulam"/>
    <x v="8"/>
    <s v="PT-1662"/>
    <s v="New Patient"/>
    <x v="5"/>
    <s v="Self Pay"/>
    <s v="Online Search"/>
    <x v="0"/>
    <n v="30"/>
    <n v="30"/>
    <n v="35.1"/>
    <n v="900"/>
    <n v="900"/>
    <n v="0"/>
    <n v="0"/>
    <n v="1"/>
    <n v="0"/>
    <n v="0.85"/>
  </r>
  <r>
    <s v="APT-00650"/>
    <d v="2025-07-18T00:00:00"/>
    <x v="8"/>
    <x v="4"/>
    <s v="Afternoon"/>
    <x v="1"/>
    <s v="Thrissur"/>
    <x v="10"/>
    <s v="PT-1367"/>
    <s v="Sports Injury"/>
    <x v="5"/>
    <s v="Self Pay"/>
    <s v="Orthopedic Doctor"/>
    <x v="2"/>
    <n v="30"/>
    <n v="0"/>
    <n v="37.700000000000003"/>
    <n v="700"/>
    <n v="0"/>
    <n v="700"/>
    <n v="0"/>
    <n v="0"/>
    <n v="1"/>
    <n v="0.85"/>
  </r>
  <r>
    <s v="APT-00651"/>
    <d v="2025-09-22T00:00:00"/>
    <x v="2"/>
    <x v="1"/>
    <s v="Evening"/>
    <x v="0"/>
    <s v="Palakkad"/>
    <x v="0"/>
    <s v="PT-1365"/>
    <s v="Sports Injury"/>
    <x v="5"/>
    <s v="Private Insurance"/>
    <s v="Online Search"/>
    <x v="1"/>
    <n v="45"/>
    <n v="0"/>
    <n v="51"/>
    <n v="950"/>
    <n v="0"/>
    <n v="950"/>
    <n v="1"/>
    <n v="0"/>
    <n v="0"/>
    <n v="0.85"/>
  </r>
  <r>
    <s v="APT-00652"/>
    <d v="2025-04-18T00:00:00"/>
    <x v="6"/>
    <x v="4"/>
    <s v="Morning"/>
    <x v="2"/>
    <s v="Ernakulam"/>
    <x v="3"/>
    <s v="PT-1376"/>
    <s v="Post-op Rehab"/>
    <x v="5"/>
    <s v="Private Insurance"/>
    <s v="Corporate Wellness"/>
    <x v="0"/>
    <n v="45"/>
    <n v="45"/>
    <n v="53.7"/>
    <n v="1300"/>
    <n v="1300"/>
    <n v="0"/>
    <n v="0"/>
    <n v="1"/>
    <n v="0"/>
    <n v="0.85"/>
  </r>
  <r>
    <s v="APT-00653"/>
    <d v="2025-05-23T00:00:00"/>
    <x v="10"/>
    <x v="4"/>
    <s v="Morning"/>
    <x v="2"/>
    <s v="Ernakulam"/>
    <x v="12"/>
    <s v="PT-1564"/>
    <s v="Post-op Rehab"/>
    <x v="1"/>
    <s v="Self Pay"/>
    <s v="Orthopedic Doctor"/>
    <x v="0"/>
    <n v="30"/>
    <n v="30"/>
    <n v="37.299999999999997"/>
    <n v="850"/>
    <n v="850"/>
    <n v="0"/>
    <n v="0"/>
    <n v="1"/>
    <n v="0"/>
    <n v="0.85"/>
  </r>
  <r>
    <s v="APT-00654"/>
    <d v="2025-07-30T00:00:00"/>
    <x v="8"/>
    <x v="3"/>
    <s v="Evening"/>
    <x v="1"/>
    <s v="Thrissur"/>
    <x v="1"/>
    <s v="PT-1076"/>
    <s v="Follow-up"/>
    <x v="1"/>
    <s v="Self Pay"/>
    <s v="Neurologist"/>
    <x v="0"/>
    <n v="45"/>
    <n v="45"/>
    <n v="55.3"/>
    <n v="1000"/>
    <n v="1000"/>
    <n v="0"/>
    <n v="0"/>
    <n v="1"/>
    <n v="0"/>
    <n v="0.85"/>
  </r>
  <r>
    <s v="APT-00655"/>
    <d v="2025-09-22T00:00:00"/>
    <x v="2"/>
    <x v="1"/>
    <s v="Midday"/>
    <x v="1"/>
    <s v="Thrissur"/>
    <x v="2"/>
    <s v="PT-1396"/>
    <s v="Chronic Pain"/>
    <x v="5"/>
    <s v="Private Insurance"/>
    <s v="Orthopedic Doctor"/>
    <x v="0"/>
    <n v="60"/>
    <n v="60"/>
    <n v="79.3"/>
    <n v="1350"/>
    <n v="1350"/>
    <n v="0"/>
    <n v="0"/>
    <n v="1"/>
    <n v="0"/>
    <n v="0.85"/>
  </r>
  <r>
    <s v="APT-00656"/>
    <d v="2025-10-27T00:00:00"/>
    <x v="7"/>
    <x v="1"/>
    <s v="Morning"/>
    <x v="0"/>
    <s v="Palakkad"/>
    <x v="6"/>
    <s v="PT-1241"/>
    <s v="Chronic Pain"/>
    <x v="5"/>
    <s v="Self Pay"/>
    <s v="Self Referral"/>
    <x v="1"/>
    <n v="45"/>
    <n v="0"/>
    <n v="49.6"/>
    <n v="950"/>
    <n v="0"/>
    <n v="950"/>
    <n v="1"/>
    <n v="0"/>
    <n v="0"/>
    <n v="0.85"/>
  </r>
  <r>
    <s v="APT-00657"/>
    <d v="2025-06-10T00:00:00"/>
    <x v="4"/>
    <x v="0"/>
    <s v="Afternoon"/>
    <x v="1"/>
    <s v="Thrissur"/>
    <x v="2"/>
    <s v="PT-1440"/>
    <s v="New Patient"/>
    <x v="4"/>
    <s v="Self Pay"/>
    <s v="Orthopedic Doctor"/>
    <x v="0"/>
    <n v="60"/>
    <n v="60"/>
    <n v="70.2"/>
    <n v="1600"/>
    <n v="1600"/>
    <n v="0"/>
    <n v="0"/>
    <n v="1"/>
    <n v="0"/>
    <n v="0.85"/>
  </r>
  <r>
    <s v="APT-00658"/>
    <d v="2025-02-24T00:00:00"/>
    <x v="5"/>
    <x v="1"/>
    <s v="Afternoon"/>
    <x v="2"/>
    <s v="Ernakulam"/>
    <x v="12"/>
    <s v="PT-1697"/>
    <s v="Follow-up"/>
    <x v="4"/>
    <s v="Self Pay"/>
    <s v="Orthopedic Doctor"/>
    <x v="1"/>
    <n v="45"/>
    <n v="0"/>
    <n v="51.5"/>
    <n v="1100"/>
    <n v="0"/>
    <n v="1100"/>
    <n v="1"/>
    <n v="0"/>
    <n v="0"/>
    <n v="0.85"/>
  </r>
  <r>
    <s v="APT-00659"/>
    <d v="2025-12-29T00:00:00"/>
    <x v="0"/>
    <x v="1"/>
    <s v="Morning"/>
    <x v="1"/>
    <s v="Thrissur"/>
    <x v="2"/>
    <s v="PT-1324"/>
    <s v="New Patient"/>
    <x v="2"/>
    <s v="Corporate Tie-up"/>
    <s v="Self Referral"/>
    <x v="0"/>
    <n v="60"/>
    <n v="60"/>
    <n v="67.599999999999994"/>
    <n v="1500"/>
    <n v="1500"/>
    <n v="0"/>
    <n v="0"/>
    <n v="1"/>
    <n v="0"/>
    <n v="0.85"/>
  </r>
  <r>
    <s v="APT-00660"/>
    <d v="2025-07-28T00:00:00"/>
    <x v="8"/>
    <x v="1"/>
    <s v="Afternoon"/>
    <x v="1"/>
    <s v="Thrissur"/>
    <x v="7"/>
    <s v="PT-1079"/>
    <s v="Post-op Rehab"/>
    <x v="2"/>
    <s v="Private Insurance"/>
    <s v="Neurologist"/>
    <x v="0"/>
    <n v="60"/>
    <n v="60"/>
    <n v="77"/>
    <n v="1550"/>
    <n v="1550"/>
    <n v="0"/>
    <n v="0"/>
    <n v="1"/>
    <n v="0"/>
    <n v="0.85"/>
  </r>
  <r>
    <s v="APT-00661"/>
    <d v="2025-02-18T00:00:00"/>
    <x v="5"/>
    <x v="0"/>
    <s v="Midday"/>
    <x v="1"/>
    <s v="Thrissur"/>
    <x v="5"/>
    <s v="PT-1177"/>
    <s v="Post-op Rehab"/>
    <x v="0"/>
    <s v="Self Pay"/>
    <s v="Neurologist"/>
    <x v="1"/>
    <n v="90"/>
    <n v="0"/>
    <n v="100.1"/>
    <n v="2350"/>
    <n v="0"/>
    <n v="2350"/>
    <n v="1"/>
    <n v="0"/>
    <n v="0"/>
    <n v="0.85"/>
  </r>
  <r>
    <s v="APT-00662"/>
    <d v="2025-03-21T00:00:00"/>
    <x v="3"/>
    <x v="4"/>
    <s v="Evening"/>
    <x v="0"/>
    <s v="Palakkad"/>
    <x v="0"/>
    <s v="PT-1073"/>
    <s v="Post-op Rehab"/>
    <x v="1"/>
    <s v="Corporate Tie-up"/>
    <s v="Corporate Wellness"/>
    <x v="0"/>
    <n v="60"/>
    <n v="60"/>
    <n v="71.8"/>
    <n v="1300"/>
    <n v="1300"/>
    <n v="0"/>
    <n v="0"/>
    <n v="1"/>
    <n v="0"/>
    <n v="0.85"/>
  </r>
  <r>
    <s v="APT-00663"/>
    <d v="2025-01-27T00:00:00"/>
    <x v="11"/>
    <x v="1"/>
    <s v="Morning"/>
    <x v="2"/>
    <s v="Ernakulam"/>
    <x v="3"/>
    <s v="PT-1101"/>
    <s v="New Patient"/>
    <x v="1"/>
    <s v="Self Pay"/>
    <s v="Corporate Wellness"/>
    <x v="0"/>
    <n v="60"/>
    <n v="60"/>
    <n v="72.3"/>
    <n v="1800"/>
    <n v="1800"/>
    <n v="0"/>
    <n v="0"/>
    <n v="1"/>
    <n v="0"/>
    <n v="0.85"/>
  </r>
  <r>
    <s v="APT-00664"/>
    <d v="2025-05-03T00:00:00"/>
    <x v="10"/>
    <x v="5"/>
    <s v="Afternoon"/>
    <x v="2"/>
    <s v="Ernakulam"/>
    <x v="12"/>
    <s v="PT-1173"/>
    <s v="Geriatric Rehab"/>
    <x v="4"/>
    <s v="Private Insurance"/>
    <s v="Online Search"/>
    <x v="1"/>
    <n v="60"/>
    <n v="0"/>
    <n v="69.2"/>
    <n v="1500"/>
    <n v="0"/>
    <n v="1500"/>
    <n v="1"/>
    <n v="0"/>
    <n v="0"/>
    <n v="0.85"/>
  </r>
  <r>
    <s v="APT-00665"/>
    <d v="2025-08-25T00:00:00"/>
    <x v="9"/>
    <x v="1"/>
    <s v="Evening"/>
    <x v="0"/>
    <s v="Palakkad"/>
    <x v="0"/>
    <s v="PT-1662"/>
    <s v="Geriatric Rehab"/>
    <x v="3"/>
    <s v="Self Pay"/>
    <s v="Hospital Discharge"/>
    <x v="0"/>
    <n v="45"/>
    <n v="45"/>
    <n v="58.6"/>
    <n v="950"/>
    <n v="950"/>
    <n v="0"/>
    <n v="0"/>
    <n v="1"/>
    <n v="0"/>
    <n v="0.85"/>
  </r>
  <r>
    <s v="APT-00666"/>
    <d v="2025-08-28T00:00:00"/>
    <x v="9"/>
    <x v="2"/>
    <s v="Afternoon"/>
    <x v="2"/>
    <s v="Ernakulam"/>
    <x v="4"/>
    <s v="PT-1282"/>
    <s v="Chronic Pain"/>
    <x v="1"/>
    <s v="Private Insurance"/>
    <s v="Self Referral"/>
    <x v="2"/>
    <n v="45"/>
    <n v="0"/>
    <n v="58.9"/>
    <n v="1100"/>
    <n v="0"/>
    <n v="1100"/>
    <n v="0"/>
    <n v="0"/>
    <n v="1"/>
    <n v="0.85"/>
  </r>
  <r>
    <s v="APT-00667"/>
    <d v="2025-06-21T00:00:00"/>
    <x v="4"/>
    <x v="5"/>
    <s v="Morning"/>
    <x v="0"/>
    <s v="Palakkad"/>
    <x v="11"/>
    <s v="PT-1042"/>
    <s v="Geriatric Rehab"/>
    <x v="4"/>
    <s v="Private Insurance"/>
    <s v="Hospital Discharge"/>
    <x v="1"/>
    <n v="60"/>
    <n v="0"/>
    <n v="76.8"/>
    <n v="1250"/>
    <n v="0"/>
    <n v="1250"/>
    <n v="1"/>
    <n v="0"/>
    <n v="0"/>
    <n v="0.85"/>
  </r>
  <r>
    <s v="APT-00668"/>
    <d v="2025-01-03T00:00:00"/>
    <x v="11"/>
    <x v="4"/>
    <s v="Morning"/>
    <x v="2"/>
    <s v="Ernakulam"/>
    <x v="4"/>
    <s v="PT-1357"/>
    <s v="Chronic Pain"/>
    <x v="2"/>
    <s v="Private Insurance"/>
    <s v="Self Referral"/>
    <x v="0"/>
    <n v="60"/>
    <n v="60"/>
    <n v="76.3"/>
    <n v="1500"/>
    <n v="1500"/>
    <n v="0"/>
    <n v="0"/>
    <n v="1"/>
    <n v="0"/>
    <n v="0.85"/>
  </r>
  <r>
    <s v="APT-00669"/>
    <d v="2025-04-09T00:00:00"/>
    <x v="6"/>
    <x v="3"/>
    <s v="Afternoon"/>
    <x v="0"/>
    <s v="Palakkad"/>
    <x v="0"/>
    <s v="PT-1365"/>
    <s v="Follow-up"/>
    <x v="5"/>
    <s v="Private Insurance"/>
    <s v="Hospital Discharge"/>
    <x v="0"/>
    <n v="60"/>
    <n v="60"/>
    <n v="79.2"/>
    <n v="1250"/>
    <n v="1250"/>
    <n v="0"/>
    <n v="0"/>
    <n v="1"/>
    <n v="0"/>
    <n v="0.85"/>
  </r>
  <r>
    <s v="APT-00670"/>
    <d v="2025-08-28T00:00:00"/>
    <x v="9"/>
    <x v="2"/>
    <s v="Evening"/>
    <x v="0"/>
    <s v="Palakkad"/>
    <x v="13"/>
    <s v="PT-1255"/>
    <s v="Post-op Rehab"/>
    <x v="4"/>
    <s v="Self Pay"/>
    <s v="Online Search"/>
    <x v="0"/>
    <n v="75"/>
    <n v="75"/>
    <n v="98.9"/>
    <n v="1800"/>
    <n v="1800"/>
    <n v="0"/>
    <n v="0"/>
    <n v="1"/>
    <n v="0"/>
    <n v="0.85"/>
  </r>
  <r>
    <s v="APT-00671"/>
    <d v="2025-06-26T00:00:00"/>
    <x v="4"/>
    <x v="2"/>
    <s v="Midday"/>
    <x v="1"/>
    <s v="Thrissur"/>
    <x v="1"/>
    <s v="PT-1380"/>
    <s v="Chronic Pain"/>
    <x v="1"/>
    <s v="Self Pay"/>
    <s v="Online Search"/>
    <x v="0"/>
    <n v="45"/>
    <n v="45"/>
    <n v="56.9"/>
    <n v="1000"/>
    <n v="1000"/>
    <n v="0"/>
    <n v="0"/>
    <n v="1"/>
    <n v="0"/>
    <n v="0.85"/>
  </r>
  <r>
    <s v="APT-00672"/>
    <d v="2025-09-22T00:00:00"/>
    <x v="2"/>
    <x v="1"/>
    <s v="Evening"/>
    <x v="1"/>
    <s v="Thrissur"/>
    <x v="7"/>
    <s v="PT-1477"/>
    <s v="Follow-up"/>
    <x v="5"/>
    <s v="Self Pay"/>
    <s v="Hospital Discharge"/>
    <x v="0"/>
    <n v="75"/>
    <n v="75"/>
    <n v="99.3"/>
    <n v="1700"/>
    <n v="1700"/>
    <n v="0"/>
    <n v="0"/>
    <n v="1"/>
    <n v="0"/>
    <n v="0.85"/>
  </r>
  <r>
    <s v="APT-00673"/>
    <d v="2025-08-19T00:00:00"/>
    <x v="9"/>
    <x v="0"/>
    <s v="Evening"/>
    <x v="2"/>
    <s v="Ernakulam"/>
    <x v="4"/>
    <s v="PT-1043"/>
    <s v="Post-op Rehab"/>
    <x v="2"/>
    <s v="Self Pay"/>
    <s v="Online Search"/>
    <x v="3"/>
    <n v="60"/>
    <n v="0"/>
    <n v="70.099999999999994"/>
    <n v="1700"/>
    <n v="0"/>
    <n v="0"/>
    <n v="0"/>
    <n v="0"/>
    <n v="0"/>
    <n v="0.85"/>
  </r>
  <r>
    <s v="APT-00674"/>
    <d v="2025-12-25T00:00:00"/>
    <x v="0"/>
    <x v="2"/>
    <s v="Morning"/>
    <x v="0"/>
    <s v="Palakkad"/>
    <x v="6"/>
    <s v="PT-1658"/>
    <s v="Chronic Pain"/>
    <x v="1"/>
    <s v="Self Pay"/>
    <s v="Hospital Discharge"/>
    <x v="0"/>
    <n v="75"/>
    <n v="75"/>
    <n v="94.5"/>
    <n v="1550"/>
    <n v="1550"/>
    <n v="0"/>
    <n v="0"/>
    <n v="1"/>
    <n v="0"/>
    <n v="0.85"/>
  </r>
  <r>
    <s v="APT-00675"/>
    <d v="2025-07-05T00:00:00"/>
    <x v="8"/>
    <x v="5"/>
    <s v="Morning"/>
    <x v="1"/>
    <s v="Thrissur"/>
    <x v="1"/>
    <s v="PT-1423"/>
    <s v="New Patient"/>
    <x v="3"/>
    <s v="Self Pay"/>
    <s v="Online Search"/>
    <x v="0"/>
    <n v="45"/>
    <n v="45"/>
    <n v="56.5"/>
    <n v="1200"/>
    <n v="1200"/>
    <n v="0"/>
    <n v="0"/>
    <n v="1"/>
    <n v="0"/>
    <n v="0.85"/>
  </r>
  <r>
    <s v="APT-00676"/>
    <d v="2025-01-01T00:00:00"/>
    <x v="11"/>
    <x v="3"/>
    <s v="Evening"/>
    <x v="2"/>
    <s v="Ernakulam"/>
    <x v="12"/>
    <s v="PT-1492"/>
    <s v="Post-op Rehab"/>
    <x v="4"/>
    <s v="Self Pay"/>
    <s v="Corporate Wellness"/>
    <x v="0"/>
    <n v="60"/>
    <n v="60"/>
    <n v="71.7"/>
    <n v="1700"/>
    <n v="1700"/>
    <n v="0"/>
    <n v="0"/>
    <n v="1"/>
    <n v="0"/>
    <n v="0.85"/>
  </r>
  <r>
    <s v="APT-00677"/>
    <d v="2025-03-18T00:00:00"/>
    <x v="3"/>
    <x v="0"/>
    <s v="Afternoon"/>
    <x v="1"/>
    <s v="Thrissur"/>
    <x v="7"/>
    <s v="PT-1606"/>
    <s v="New Patient"/>
    <x v="4"/>
    <s v="Self Pay"/>
    <s v="Self Referral"/>
    <x v="0"/>
    <n v="30"/>
    <n v="30"/>
    <n v="38.9"/>
    <n v="800"/>
    <n v="800"/>
    <n v="0"/>
    <n v="0"/>
    <n v="1"/>
    <n v="0"/>
    <n v="0.85"/>
  </r>
  <r>
    <s v="APT-00678"/>
    <d v="2025-02-25T00:00:00"/>
    <x v="5"/>
    <x v="0"/>
    <s v="Afternoon"/>
    <x v="1"/>
    <s v="Thrissur"/>
    <x v="2"/>
    <s v="PT-1155"/>
    <s v="New Patient"/>
    <x v="4"/>
    <s v="Self Pay"/>
    <s v="Corporate Wellness"/>
    <x v="0"/>
    <n v="75"/>
    <n v="75"/>
    <n v="93.8"/>
    <n v="2000"/>
    <n v="2000"/>
    <n v="0"/>
    <n v="0"/>
    <n v="1"/>
    <n v="0"/>
    <n v="0.85"/>
  </r>
  <r>
    <s v="APT-00679"/>
    <d v="2025-05-12T00:00:00"/>
    <x v="10"/>
    <x v="1"/>
    <s v="Afternoon"/>
    <x v="2"/>
    <s v="Ernakulam"/>
    <x v="12"/>
    <s v="PT-1471"/>
    <s v="Chronic Pain"/>
    <x v="3"/>
    <s v="Self Pay"/>
    <s v="Online Search"/>
    <x v="2"/>
    <n v="75"/>
    <n v="0"/>
    <n v="87.5"/>
    <n v="1900"/>
    <n v="0"/>
    <n v="1900"/>
    <n v="0"/>
    <n v="0"/>
    <n v="1"/>
    <n v="0.85"/>
  </r>
  <r>
    <s v="APT-00680"/>
    <d v="2025-10-03T00:00:00"/>
    <x v="7"/>
    <x v="4"/>
    <s v="Morning"/>
    <x v="0"/>
    <s v="Palakkad"/>
    <x v="11"/>
    <s v="PT-1659"/>
    <s v="Follow-up"/>
    <x v="3"/>
    <s v="Private Insurance"/>
    <s v="Corporate Wellness"/>
    <x v="0"/>
    <n v="30"/>
    <n v="30"/>
    <n v="37.299999999999997"/>
    <n v="600"/>
    <n v="600"/>
    <n v="0"/>
    <n v="0"/>
    <n v="1"/>
    <n v="0"/>
    <n v="0.85"/>
  </r>
  <r>
    <s v="APT-00681"/>
    <d v="2025-12-23T00:00:00"/>
    <x v="0"/>
    <x v="0"/>
    <s v="Morning"/>
    <x v="2"/>
    <s v="Ernakulam"/>
    <x v="8"/>
    <s v="PT-1510"/>
    <s v="Follow-up"/>
    <x v="4"/>
    <s v="Government Scheme"/>
    <s v="Online Search"/>
    <x v="0"/>
    <n v="45"/>
    <n v="45"/>
    <n v="57.6"/>
    <n v="950"/>
    <n v="950"/>
    <n v="0"/>
    <n v="0"/>
    <n v="1"/>
    <n v="0"/>
    <n v="0.85"/>
  </r>
  <r>
    <s v="APT-00682"/>
    <d v="2025-07-30T00:00:00"/>
    <x v="8"/>
    <x v="3"/>
    <s v="Afternoon"/>
    <x v="2"/>
    <s v="Ernakulam"/>
    <x v="14"/>
    <s v="PT-1014"/>
    <s v="Follow-up"/>
    <x v="4"/>
    <s v="Private Insurance"/>
    <s v="Corporate Wellness"/>
    <x v="0"/>
    <n v="30"/>
    <n v="30"/>
    <n v="40.4"/>
    <n v="750"/>
    <n v="750"/>
    <n v="0"/>
    <n v="0"/>
    <n v="1"/>
    <n v="0"/>
    <n v="0.85"/>
  </r>
  <r>
    <s v="APT-00683"/>
    <d v="2025-11-24T00:00:00"/>
    <x v="1"/>
    <x v="1"/>
    <s v="Evening"/>
    <x v="2"/>
    <s v="Ernakulam"/>
    <x v="4"/>
    <s v="PT-1053"/>
    <s v="Post-op Rehab"/>
    <x v="0"/>
    <s v="Self Pay"/>
    <s v="Neurologist"/>
    <x v="1"/>
    <n v="45"/>
    <n v="0"/>
    <n v="60.1"/>
    <n v="1300"/>
    <n v="0"/>
    <n v="1300"/>
    <n v="1"/>
    <n v="0"/>
    <n v="0"/>
    <n v="0.85"/>
  </r>
  <r>
    <s v="APT-00684"/>
    <d v="2025-07-07T00:00:00"/>
    <x v="8"/>
    <x v="1"/>
    <s v="Afternoon"/>
    <x v="1"/>
    <s v="Thrissur"/>
    <x v="7"/>
    <s v="PT-1548"/>
    <s v="Follow-up"/>
    <x v="5"/>
    <s v="Self Pay"/>
    <s v="Corporate Wellness"/>
    <x v="0"/>
    <n v="30"/>
    <n v="30"/>
    <n v="33.9"/>
    <n v="700"/>
    <n v="700"/>
    <n v="0"/>
    <n v="0"/>
    <n v="1"/>
    <n v="0"/>
    <n v="0.85"/>
  </r>
  <r>
    <s v="APT-00685"/>
    <d v="2025-06-25T00:00:00"/>
    <x v="4"/>
    <x v="3"/>
    <s v="Evening"/>
    <x v="1"/>
    <s v="Thrissur"/>
    <x v="10"/>
    <s v="PT-1680"/>
    <s v="Follow-up"/>
    <x v="2"/>
    <s v="Government Scheme"/>
    <s v="Online Search"/>
    <x v="0"/>
    <n v="60"/>
    <n v="60"/>
    <n v="70.2"/>
    <n v="1150"/>
    <n v="1150"/>
    <n v="0"/>
    <n v="0"/>
    <n v="1"/>
    <n v="0"/>
    <n v="0.85"/>
  </r>
  <r>
    <s v="APT-00686"/>
    <d v="2025-06-12T00:00:00"/>
    <x v="4"/>
    <x v="2"/>
    <s v="Morning"/>
    <x v="0"/>
    <s v="Palakkad"/>
    <x v="9"/>
    <s v="PT-1377"/>
    <s v="Sports Injury"/>
    <x v="4"/>
    <s v="Self Pay"/>
    <s v="Orthopedic Doctor"/>
    <x v="3"/>
    <n v="30"/>
    <n v="0"/>
    <n v="34.700000000000003"/>
    <n v="600"/>
    <n v="0"/>
    <n v="0"/>
    <n v="0"/>
    <n v="0"/>
    <n v="0"/>
    <n v="0.85"/>
  </r>
  <r>
    <s v="APT-00687"/>
    <d v="2025-03-01T00:00:00"/>
    <x v="3"/>
    <x v="5"/>
    <s v="Evening"/>
    <x v="2"/>
    <s v="Ernakulam"/>
    <x v="12"/>
    <s v="PT-1572"/>
    <s v="Geriatric Rehab"/>
    <x v="3"/>
    <s v="Self Pay"/>
    <s v="Self Referral"/>
    <x v="1"/>
    <n v="90"/>
    <n v="0"/>
    <n v="106.3"/>
    <n v="2250"/>
    <n v="0"/>
    <n v="2250"/>
    <n v="1"/>
    <n v="0"/>
    <n v="0"/>
    <n v="0.85"/>
  </r>
  <r>
    <s v="APT-00688"/>
    <d v="2025-01-17T00:00:00"/>
    <x v="11"/>
    <x v="4"/>
    <s v="Evening"/>
    <x v="1"/>
    <s v="Thrissur"/>
    <x v="10"/>
    <s v="PT-1500"/>
    <s v="Sports Injury"/>
    <x v="3"/>
    <s v="Private Insurance"/>
    <s v="Self Referral"/>
    <x v="0"/>
    <n v="60"/>
    <n v="60"/>
    <n v="80"/>
    <n v="1350"/>
    <n v="1350"/>
    <n v="0"/>
    <n v="0"/>
    <n v="1"/>
    <n v="0"/>
    <n v="0.85"/>
  </r>
  <r>
    <s v="APT-00689"/>
    <d v="2025-03-24T00:00:00"/>
    <x v="3"/>
    <x v="1"/>
    <s v="Afternoon"/>
    <x v="0"/>
    <s v="Palakkad"/>
    <x v="11"/>
    <s v="PT-1024"/>
    <s v="New Patient"/>
    <x v="5"/>
    <s v="Self Pay"/>
    <s v="Neurologist"/>
    <x v="0"/>
    <n v="60"/>
    <n v="60"/>
    <n v="77.2"/>
    <n v="1500"/>
    <n v="1500"/>
    <n v="0"/>
    <n v="0"/>
    <n v="1"/>
    <n v="0"/>
    <n v="0.85"/>
  </r>
  <r>
    <s v="APT-00690"/>
    <d v="2025-09-10T00:00:00"/>
    <x v="2"/>
    <x v="3"/>
    <s v="Evening"/>
    <x v="0"/>
    <s v="Palakkad"/>
    <x v="9"/>
    <s v="PT-1070"/>
    <s v="Follow-up"/>
    <x v="5"/>
    <s v="Self Pay"/>
    <s v="Corporate Wellness"/>
    <x v="1"/>
    <n v="90"/>
    <n v="0"/>
    <n v="117.9"/>
    <n v="1900"/>
    <n v="0"/>
    <n v="1900"/>
    <n v="1"/>
    <n v="0"/>
    <n v="0"/>
    <n v="0.85"/>
  </r>
  <r>
    <s v="APT-00691"/>
    <d v="2025-10-30T00:00:00"/>
    <x v="7"/>
    <x v="2"/>
    <s v="Midday"/>
    <x v="0"/>
    <s v="Palakkad"/>
    <x v="6"/>
    <s v="PT-1175"/>
    <s v="Chronic Pain"/>
    <x v="3"/>
    <s v="Government Scheme"/>
    <s v="Neurologist"/>
    <x v="2"/>
    <n v="30"/>
    <n v="0"/>
    <n v="37.9"/>
    <n v="550"/>
    <n v="0"/>
    <n v="550"/>
    <n v="0"/>
    <n v="0"/>
    <n v="1"/>
    <n v="0.85"/>
  </r>
  <r>
    <s v="APT-00692"/>
    <d v="2025-01-07T00:00:00"/>
    <x v="11"/>
    <x v="0"/>
    <s v="Morning"/>
    <x v="2"/>
    <s v="Ernakulam"/>
    <x v="8"/>
    <s v="PT-1457"/>
    <s v="Follow-up"/>
    <x v="0"/>
    <s v="Corporate Tie-up"/>
    <s v="Hospital Discharge"/>
    <x v="0"/>
    <n v="75"/>
    <n v="75"/>
    <n v="97.5"/>
    <n v="1700"/>
    <n v="1700"/>
    <n v="0"/>
    <n v="0"/>
    <n v="1"/>
    <n v="0"/>
    <n v="0.85"/>
  </r>
  <r>
    <s v="APT-00693"/>
    <d v="2025-01-25T00:00:00"/>
    <x v="11"/>
    <x v="5"/>
    <s v="Afternoon"/>
    <x v="1"/>
    <s v="Thrissur"/>
    <x v="10"/>
    <s v="PT-1501"/>
    <s v="Follow-up"/>
    <x v="3"/>
    <s v="Private Insurance"/>
    <s v="Hospital Discharge"/>
    <x v="1"/>
    <n v="60"/>
    <n v="0"/>
    <n v="80.900000000000006"/>
    <n v="1350"/>
    <n v="0"/>
    <n v="1350"/>
    <n v="1"/>
    <n v="0"/>
    <n v="0"/>
    <n v="0.85"/>
  </r>
  <r>
    <s v="APT-00694"/>
    <d v="2025-01-29T00:00:00"/>
    <x v="11"/>
    <x v="3"/>
    <s v="Evening"/>
    <x v="0"/>
    <s v="Palakkad"/>
    <x v="11"/>
    <s v="PT-1062"/>
    <s v="Sports Injury"/>
    <x v="1"/>
    <s v="Self Pay"/>
    <s v="Corporate Wellness"/>
    <x v="0"/>
    <n v="45"/>
    <n v="45"/>
    <n v="53.5"/>
    <n v="950"/>
    <n v="950"/>
    <n v="0"/>
    <n v="0"/>
    <n v="1"/>
    <n v="0"/>
    <n v="0.85"/>
  </r>
  <r>
    <s v="APT-00695"/>
    <d v="2025-01-11T00:00:00"/>
    <x v="11"/>
    <x v="5"/>
    <s v="Evening"/>
    <x v="2"/>
    <s v="Ernakulam"/>
    <x v="8"/>
    <s v="PT-1372"/>
    <s v="Follow-up"/>
    <x v="0"/>
    <s v="Private Insurance"/>
    <s v="Corporate Wellness"/>
    <x v="0"/>
    <n v="60"/>
    <n v="60"/>
    <n v="67.900000000000006"/>
    <n v="1500"/>
    <n v="1500"/>
    <n v="0"/>
    <n v="0"/>
    <n v="1"/>
    <n v="0"/>
    <n v="0.85"/>
  </r>
  <r>
    <s v="APT-00696"/>
    <d v="2025-08-29T00:00:00"/>
    <x v="9"/>
    <x v="4"/>
    <s v="Midday"/>
    <x v="2"/>
    <s v="Ernakulam"/>
    <x v="8"/>
    <s v="PT-1606"/>
    <s v="Follow-up"/>
    <x v="3"/>
    <s v="Private Insurance"/>
    <s v="Hospital Discharge"/>
    <x v="0"/>
    <n v="45"/>
    <n v="45"/>
    <n v="53.8"/>
    <n v="1100"/>
    <n v="1100"/>
    <n v="0"/>
    <n v="0"/>
    <n v="1"/>
    <n v="0"/>
    <n v="0.85"/>
  </r>
  <r>
    <s v="APT-00697"/>
    <d v="2025-11-13T00:00:00"/>
    <x v="1"/>
    <x v="2"/>
    <s v="Afternoon"/>
    <x v="0"/>
    <s v="Palakkad"/>
    <x v="11"/>
    <s v="PT-1379"/>
    <s v="Sports Injury"/>
    <x v="0"/>
    <s v="Government Scheme"/>
    <s v="Self Referral"/>
    <x v="0"/>
    <n v="30"/>
    <n v="30"/>
    <n v="32.6"/>
    <n v="550"/>
    <n v="550"/>
    <n v="0"/>
    <n v="0"/>
    <n v="1"/>
    <n v="0"/>
    <n v="0.85"/>
  </r>
  <r>
    <s v="APT-00698"/>
    <d v="2025-11-30T00:00:00"/>
    <x v="1"/>
    <x v="6"/>
    <s v="Afternoon"/>
    <x v="1"/>
    <s v="Thrissur"/>
    <x v="10"/>
    <s v="PT-1554"/>
    <s v="Post-op Rehab"/>
    <x v="1"/>
    <s v="Private Insurance"/>
    <s v="Self Referral"/>
    <x v="0"/>
    <n v="45"/>
    <n v="45"/>
    <n v="53.4"/>
    <n v="1150"/>
    <n v="1150"/>
    <n v="0"/>
    <n v="0"/>
    <n v="1"/>
    <n v="0"/>
    <n v="0.85"/>
  </r>
  <r>
    <s v="APT-00699"/>
    <d v="2025-02-28T00:00:00"/>
    <x v="5"/>
    <x v="4"/>
    <s v="Midday"/>
    <x v="2"/>
    <s v="Ernakulam"/>
    <x v="12"/>
    <s v="PT-1425"/>
    <s v="Follow-up"/>
    <x v="2"/>
    <s v="Self Pay"/>
    <s v="Corporate Wellness"/>
    <x v="1"/>
    <n v="60"/>
    <n v="0"/>
    <n v="68.2"/>
    <n v="1500"/>
    <n v="0"/>
    <n v="1500"/>
    <n v="1"/>
    <n v="0"/>
    <n v="0"/>
    <n v="0.85"/>
  </r>
  <r>
    <s v="APT-00700"/>
    <d v="2025-06-24T00:00:00"/>
    <x v="4"/>
    <x v="0"/>
    <s v="Evening"/>
    <x v="0"/>
    <s v="Palakkad"/>
    <x v="11"/>
    <s v="PT-1090"/>
    <s v="Geriatric Rehab"/>
    <x v="3"/>
    <s v="Self Pay"/>
    <s v="Neurologist"/>
    <x v="0"/>
    <n v="60"/>
    <n v="60"/>
    <n v="81"/>
    <n v="1250"/>
    <n v="1250"/>
    <n v="0"/>
    <n v="0"/>
    <n v="1"/>
    <n v="0"/>
    <n v="0.85"/>
  </r>
  <r>
    <s v="APT-00701"/>
    <d v="2025-03-22T00:00:00"/>
    <x v="3"/>
    <x v="5"/>
    <s v="Midday"/>
    <x v="0"/>
    <s v="Palakkad"/>
    <x v="11"/>
    <s v="PT-1162"/>
    <s v="Post-op Rehab"/>
    <x v="3"/>
    <s v="Private Insurance"/>
    <s v="Online Search"/>
    <x v="0"/>
    <n v="60"/>
    <n v="60"/>
    <n v="76.8"/>
    <n v="1450"/>
    <n v="1450"/>
    <n v="0"/>
    <n v="0"/>
    <n v="1"/>
    <n v="0"/>
    <n v="0.85"/>
  </r>
  <r>
    <s v="APT-00702"/>
    <d v="2025-08-20T00:00:00"/>
    <x v="9"/>
    <x v="3"/>
    <s v="Afternoon"/>
    <x v="1"/>
    <s v="Thrissur"/>
    <x v="10"/>
    <s v="PT-1645"/>
    <s v="Follow-up"/>
    <x v="5"/>
    <s v="Private Insurance"/>
    <s v="Online Search"/>
    <x v="2"/>
    <n v="45"/>
    <n v="0"/>
    <n v="56.7"/>
    <n v="1000"/>
    <n v="0"/>
    <n v="1000"/>
    <n v="0"/>
    <n v="0"/>
    <n v="1"/>
    <n v="0.85"/>
  </r>
  <r>
    <s v="APT-00703"/>
    <d v="2025-04-30T00:00:00"/>
    <x v="6"/>
    <x v="3"/>
    <s v="Morning"/>
    <x v="0"/>
    <s v="Palakkad"/>
    <x v="6"/>
    <s v="PT-1501"/>
    <s v="Post-op Rehab"/>
    <x v="2"/>
    <s v="Corporate Tie-up"/>
    <s v="Orthopedic Doctor"/>
    <x v="0"/>
    <n v="30"/>
    <n v="30"/>
    <n v="39.4"/>
    <n v="650"/>
    <n v="650"/>
    <n v="0"/>
    <n v="0"/>
    <n v="1"/>
    <n v="0"/>
    <n v="0.85"/>
  </r>
  <r>
    <s v="APT-00704"/>
    <d v="2025-01-07T00:00:00"/>
    <x v="11"/>
    <x v="0"/>
    <s v="Evening"/>
    <x v="1"/>
    <s v="Thrissur"/>
    <x v="10"/>
    <s v="PT-1600"/>
    <s v="Post-op Rehab"/>
    <x v="0"/>
    <s v="Government Scheme"/>
    <s v="Self Referral"/>
    <x v="0"/>
    <n v="45"/>
    <n v="45"/>
    <n v="50.9"/>
    <n v="1000"/>
    <n v="1000"/>
    <n v="0"/>
    <n v="0"/>
    <n v="1"/>
    <n v="0"/>
    <n v="0.85"/>
  </r>
  <r>
    <s v="APT-00705"/>
    <d v="2025-12-01T00:00:00"/>
    <x v="0"/>
    <x v="1"/>
    <s v="Afternoon"/>
    <x v="2"/>
    <s v="Ernakulam"/>
    <x v="3"/>
    <s v="PT-1427"/>
    <s v="Chronic Pain"/>
    <x v="2"/>
    <s v="Self Pay"/>
    <s v="Corporate Wellness"/>
    <x v="0"/>
    <n v="75"/>
    <n v="75"/>
    <n v="83.8"/>
    <n v="1900"/>
    <n v="1900"/>
    <n v="0"/>
    <n v="0"/>
    <n v="1"/>
    <n v="0"/>
    <n v="0.85"/>
  </r>
  <r>
    <s v="APT-00706"/>
    <d v="2025-12-23T00:00:00"/>
    <x v="0"/>
    <x v="0"/>
    <s v="Midday"/>
    <x v="2"/>
    <s v="Ernakulam"/>
    <x v="14"/>
    <s v="PT-1015"/>
    <s v="Follow-up"/>
    <x v="2"/>
    <s v="Self Pay"/>
    <s v="Orthopedic Doctor"/>
    <x v="1"/>
    <n v="30"/>
    <n v="0"/>
    <n v="32.6"/>
    <n v="750"/>
    <n v="0"/>
    <n v="750"/>
    <n v="1"/>
    <n v="0"/>
    <n v="0"/>
    <n v="0.85"/>
  </r>
  <r>
    <s v="APT-00707"/>
    <d v="2025-12-25T00:00:00"/>
    <x v="0"/>
    <x v="2"/>
    <s v="Midday"/>
    <x v="1"/>
    <s v="Thrissur"/>
    <x v="2"/>
    <s v="PT-1577"/>
    <s v="Geriatric Rehab"/>
    <x v="0"/>
    <s v="Private Insurance"/>
    <s v="Corporate Wellness"/>
    <x v="0"/>
    <n v="45"/>
    <n v="45"/>
    <n v="51.4"/>
    <n v="1000"/>
    <n v="1000"/>
    <n v="0"/>
    <n v="0"/>
    <n v="1"/>
    <n v="0"/>
    <n v="0.85"/>
  </r>
  <r>
    <s v="APT-00708"/>
    <d v="2025-06-24T00:00:00"/>
    <x v="4"/>
    <x v="0"/>
    <s v="Morning"/>
    <x v="2"/>
    <s v="Ernakulam"/>
    <x v="12"/>
    <s v="PT-1617"/>
    <s v="Post-op Rehab"/>
    <x v="3"/>
    <s v="Private Insurance"/>
    <s v="Neurologist"/>
    <x v="0"/>
    <n v="90"/>
    <n v="90"/>
    <n v="114.8"/>
    <n v="2600"/>
    <n v="2600"/>
    <n v="0"/>
    <n v="0"/>
    <n v="1"/>
    <n v="0"/>
    <n v="0.85"/>
  </r>
  <r>
    <s v="APT-00709"/>
    <d v="2025-01-11T00:00:00"/>
    <x v="11"/>
    <x v="5"/>
    <s v="Afternoon"/>
    <x v="0"/>
    <s v="Palakkad"/>
    <x v="13"/>
    <s v="PT-1273"/>
    <s v="Geriatric Rehab"/>
    <x v="1"/>
    <s v="Private Insurance"/>
    <s v="Self Referral"/>
    <x v="0"/>
    <n v="60"/>
    <n v="60"/>
    <n v="72.599999999999994"/>
    <n v="1250"/>
    <n v="1250"/>
    <n v="0"/>
    <n v="0"/>
    <n v="1"/>
    <n v="0"/>
    <n v="0.85"/>
  </r>
  <r>
    <s v="APT-00710"/>
    <d v="2025-09-12T00:00:00"/>
    <x v="2"/>
    <x v="4"/>
    <s v="Morning"/>
    <x v="2"/>
    <s v="Ernakulam"/>
    <x v="8"/>
    <s v="PT-1251"/>
    <s v="Post-op Rehab"/>
    <x v="3"/>
    <s v="Private Insurance"/>
    <s v="Hospital Discharge"/>
    <x v="0"/>
    <n v="30"/>
    <n v="30"/>
    <n v="38.4"/>
    <n v="850"/>
    <n v="850"/>
    <n v="0"/>
    <n v="0"/>
    <n v="1"/>
    <n v="0"/>
    <n v="0.85"/>
  </r>
  <r>
    <s v="APT-00711"/>
    <d v="2025-04-09T00:00:00"/>
    <x v="6"/>
    <x v="3"/>
    <s v="Morning"/>
    <x v="0"/>
    <s v="Palakkad"/>
    <x v="11"/>
    <s v="PT-1510"/>
    <s v="Post-op Rehab"/>
    <x v="4"/>
    <s v="Corporate Tie-up"/>
    <s v="Self Referral"/>
    <x v="0"/>
    <n v="30"/>
    <n v="30"/>
    <n v="33.1"/>
    <n v="650"/>
    <n v="650"/>
    <n v="0"/>
    <n v="0"/>
    <n v="1"/>
    <n v="0"/>
    <n v="0.85"/>
  </r>
  <r>
    <s v="APT-00712"/>
    <d v="2025-03-04T00:00:00"/>
    <x v="3"/>
    <x v="0"/>
    <s v="Midday"/>
    <x v="2"/>
    <s v="Ernakulam"/>
    <x v="14"/>
    <s v="PT-1312"/>
    <s v="Sports Injury"/>
    <x v="5"/>
    <s v="Private Insurance"/>
    <s v="Corporate Wellness"/>
    <x v="0"/>
    <n v="60"/>
    <n v="60"/>
    <n v="75.400000000000006"/>
    <n v="1500"/>
    <n v="1500"/>
    <n v="0"/>
    <n v="0"/>
    <n v="1"/>
    <n v="0"/>
    <n v="0.85"/>
  </r>
  <r>
    <s v="APT-00713"/>
    <d v="2025-09-02T00:00:00"/>
    <x v="2"/>
    <x v="0"/>
    <s v="Afternoon"/>
    <x v="2"/>
    <s v="Ernakulam"/>
    <x v="3"/>
    <s v="PT-1159"/>
    <s v="New Patient"/>
    <x v="3"/>
    <s v="Private Insurance"/>
    <s v="Corporate Wellness"/>
    <x v="0"/>
    <n v="30"/>
    <n v="30"/>
    <n v="39.200000000000003"/>
    <n v="900"/>
    <n v="900"/>
    <n v="0"/>
    <n v="0"/>
    <n v="1"/>
    <n v="0"/>
    <n v="0.85"/>
  </r>
  <r>
    <s v="APT-00714"/>
    <d v="2025-03-06T00:00:00"/>
    <x v="3"/>
    <x v="2"/>
    <s v="Afternoon"/>
    <x v="0"/>
    <s v="Palakkad"/>
    <x v="11"/>
    <s v="PT-1133"/>
    <s v="New Patient"/>
    <x v="1"/>
    <s v="Private Insurance"/>
    <s v="Hospital Discharge"/>
    <x v="0"/>
    <n v="60"/>
    <n v="60"/>
    <n v="76.2"/>
    <n v="1500"/>
    <n v="1500"/>
    <n v="0"/>
    <n v="0"/>
    <n v="1"/>
    <n v="0"/>
    <n v="0.85"/>
  </r>
  <r>
    <s v="APT-00715"/>
    <d v="2025-06-16T00:00:00"/>
    <x v="4"/>
    <x v="1"/>
    <s v="Afternoon"/>
    <x v="2"/>
    <s v="Ernakulam"/>
    <x v="4"/>
    <s v="PT-1464"/>
    <s v="New Patient"/>
    <x v="5"/>
    <s v="Self Pay"/>
    <s v="Self Referral"/>
    <x v="1"/>
    <n v="60"/>
    <n v="0"/>
    <n v="69.400000000000006"/>
    <n v="1800"/>
    <n v="0"/>
    <n v="1800"/>
    <n v="1"/>
    <n v="0"/>
    <n v="0"/>
    <n v="0.85"/>
  </r>
  <r>
    <s v="APT-00716"/>
    <d v="2025-11-13T00:00:00"/>
    <x v="1"/>
    <x v="2"/>
    <s v="Evening"/>
    <x v="1"/>
    <s v="Thrissur"/>
    <x v="10"/>
    <s v="PT-1391"/>
    <s v="Geriatric Rehab"/>
    <x v="0"/>
    <s v="Government Scheme"/>
    <s v="Hospital Discharge"/>
    <x v="0"/>
    <n v="60"/>
    <n v="60"/>
    <n v="78.8"/>
    <n v="1150"/>
    <n v="1150"/>
    <n v="0"/>
    <n v="0"/>
    <n v="1"/>
    <n v="0"/>
    <n v="0.85"/>
  </r>
  <r>
    <s v="APT-00717"/>
    <d v="2025-08-21T00:00:00"/>
    <x v="9"/>
    <x v="2"/>
    <s v="Afternoon"/>
    <x v="2"/>
    <s v="Ernakulam"/>
    <x v="8"/>
    <s v="PT-1422"/>
    <s v="Follow-up"/>
    <x v="1"/>
    <s v="Private Insurance"/>
    <s v="Orthopedic Doctor"/>
    <x v="0"/>
    <n v="45"/>
    <n v="45"/>
    <n v="51.2"/>
    <n v="1100"/>
    <n v="1100"/>
    <n v="0"/>
    <n v="0"/>
    <n v="1"/>
    <n v="0"/>
    <n v="0.85"/>
  </r>
  <r>
    <s v="APT-00718"/>
    <d v="2025-05-05T00:00:00"/>
    <x v="10"/>
    <x v="1"/>
    <s v="Evening"/>
    <x v="1"/>
    <s v="Thrissur"/>
    <x v="7"/>
    <s v="PT-1347"/>
    <s v="Post-op Rehab"/>
    <x v="2"/>
    <s v="Self Pay"/>
    <s v="Online Search"/>
    <x v="0"/>
    <n v="60"/>
    <n v="60"/>
    <n v="70"/>
    <n v="1550"/>
    <n v="1550"/>
    <n v="0"/>
    <n v="0"/>
    <n v="1"/>
    <n v="0"/>
    <n v="0.85"/>
  </r>
  <r>
    <s v="APT-00719"/>
    <d v="2025-10-18T00:00:00"/>
    <x v="7"/>
    <x v="5"/>
    <s v="Midday"/>
    <x v="0"/>
    <s v="Palakkad"/>
    <x v="9"/>
    <s v="PT-1262"/>
    <s v="New Patient"/>
    <x v="4"/>
    <s v="Self Pay"/>
    <s v="Online Search"/>
    <x v="0"/>
    <n v="45"/>
    <n v="45"/>
    <n v="51.2"/>
    <n v="1100"/>
    <n v="1100"/>
    <n v="0"/>
    <n v="0"/>
    <n v="1"/>
    <n v="0"/>
    <n v="0.85"/>
  </r>
  <r>
    <s v="APT-00720"/>
    <d v="2025-04-10T00:00:00"/>
    <x v="6"/>
    <x v="2"/>
    <s v="Morning"/>
    <x v="1"/>
    <s v="Thrissur"/>
    <x v="1"/>
    <s v="PT-1238"/>
    <s v="Sports Injury"/>
    <x v="1"/>
    <s v="Self Pay"/>
    <s v="Neurologist"/>
    <x v="0"/>
    <n v="30"/>
    <n v="30"/>
    <n v="35.5"/>
    <n v="700"/>
    <n v="700"/>
    <n v="0"/>
    <n v="0"/>
    <n v="1"/>
    <n v="0"/>
    <n v="0.85"/>
  </r>
  <r>
    <s v="APT-00721"/>
    <d v="2025-01-22T00:00:00"/>
    <x v="11"/>
    <x v="3"/>
    <s v="Afternoon"/>
    <x v="2"/>
    <s v="Ernakulam"/>
    <x v="14"/>
    <s v="PT-1472"/>
    <s v="Chronic Pain"/>
    <x v="0"/>
    <s v="Self Pay"/>
    <s v="Online Search"/>
    <x v="0"/>
    <n v="75"/>
    <n v="75"/>
    <n v="83.5"/>
    <n v="1900"/>
    <n v="1900"/>
    <n v="0"/>
    <n v="0"/>
    <n v="1"/>
    <n v="0"/>
    <n v="0.85"/>
  </r>
  <r>
    <s v="APT-00722"/>
    <d v="2025-06-05T00:00:00"/>
    <x v="4"/>
    <x v="2"/>
    <s v="Morning"/>
    <x v="0"/>
    <s v="Palakkad"/>
    <x v="9"/>
    <s v="PT-1310"/>
    <s v="Follow-up"/>
    <x v="5"/>
    <s v="Self Pay"/>
    <s v="Corporate Wellness"/>
    <x v="0"/>
    <n v="45"/>
    <n v="45"/>
    <n v="55.6"/>
    <n v="950"/>
    <n v="950"/>
    <n v="0"/>
    <n v="0"/>
    <n v="1"/>
    <n v="0"/>
    <n v="0.85"/>
  </r>
  <r>
    <s v="APT-00723"/>
    <d v="2025-03-11T00:00:00"/>
    <x v="3"/>
    <x v="0"/>
    <s v="Midday"/>
    <x v="0"/>
    <s v="Palakkad"/>
    <x v="9"/>
    <s v="PT-1274"/>
    <s v="Sports Injury"/>
    <x v="2"/>
    <s v="Self Pay"/>
    <s v="Hospital Discharge"/>
    <x v="0"/>
    <n v="60"/>
    <n v="60"/>
    <n v="66.599999999999994"/>
    <n v="1250"/>
    <n v="1250"/>
    <n v="0"/>
    <n v="0"/>
    <n v="1"/>
    <n v="0"/>
    <n v="0.85"/>
  </r>
  <r>
    <s v="APT-00724"/>
    <d v="2025-12-08T00:00:00"/>
    <x v="0"/>
    <x v="1"/>
    <s v="Morning"/>
    <x v="2"/>
    <s v="Ernakulam"/>
    <x v="14"/>
    <s v="PT-1291"/>
    <s v="Post-op Rehab"/>
    <x v="0"/>
    <s v="Self Pay"/>
    <s v="Corporate Wellness"/>
    <x v="0"/>
    <n v="45"/>
    <n v="45"/>
    <n v="50.2"/>
    <n v="1300"/>
    <n v="1300"/>
    <n v="0"/>
    <n v="0"/>
    <n v="1"/>
    <n v="0"/>
    <n v="0.85"/>
  </r>
  <r>
    <s v="APT-00725"/>
    <d v="2025-01-13T00:00:00"/>
    <x v="11"/>
    <x v="1"/>
    <s v="Morning"/>
    <x v="1"/>
    <s v="Thrissur"/>
    <x v="7"/>
    <s v="PT-1416"/>
    <s v="Sports Injury"/>
    <x v="1"/>
    <s v="Self Pay"/>
    <s v="Corporate Wellness"/>
    <x v="0"/>
    <n v="30"/>
    <n v="30"/>
    <n v="36.200000000000003"/>
    <n v="700"/>
    <n v="700"/>
    <n v="0"/>
    <n v="0"/>
    <n v="1"/>
    <n v="0"/>
    <n v="0.85"/>
  </r>
  <r>
    <s v="APT-00726"/>
    <d v="2025-06-27T00:00:00"/>
    <x v="4"/>
    <x v="4"/>
    <s v="Evening"/>
    <x v="0"/>
    <s v="Palakkad"/>
    <x v="9"/>
    <s v="PT-1205"/>
    <s v="Follow-up"/>
    <x v="3"/>
    <s v="Corporate Tie-up"/>
    <s v="Online Search"/>
    <x v="0"/>
    <n v="45"/>
    <n v="45"/>
    <n v="60.3"/>
    <n v="850"/>
    <n v="850"/>
    <n v="0"/>
    <n v="0"/>
    <n v="1"/>
    <n v="0"/>
    <n v="0.85"/>
  </r>
  <r>
    <s v="APT-00727"/>
    <d v="2025-04-14T00:00:00"/>
    <x v="6"/>
    <x v="1"/>
    <s v="Afternoon"/>
    <x v="1"/>
    <s v="Thrissur"/>
    <x v="7"/>
    <s v="PT-1203"/>
    <s v="Sports Injury"/>
    <x v="2"/>
    <s v="Self Pay"/>
    <s v="Hospital Discharge"/>
    <x v="1"/>
    <n v="60"/>
    <n v="0"/>
    <n v="76.5"/>
    <n v="1350"/>
    <n v="0"/>
    <n v="1350"/>
    <n v="1"/>
    <n v="0"/>
    <n v="0"/>
    <n v="0.85"/>
  </r>
  <r>
    <s v="APT-00728"/>
    <d v="2025-11-10T00:00:00"/>
    <x v="1"/>
    <x v="1"/>
    <s v="Midday"/>
    <x v="1"/>
    <s v="Thrissur"/>
    <x v="10"/>
    <s v="PT-1124"/>
    <s v="Geriatric Rehab"/>
    <x v="5"/>
    <s v="Self Pay"/>
    <s v="Corporate Wellness"/>
    <x v="0"/>
    <n v="45"/>
    <n v="45"/>
    <n v="59.6"/>
    <n v="1000"/>
    <n v="1000"/>
    <n v="0"/>
    <n v="0"/>
    <n v="1"/>
    <n v="0"/>
    <n v="0.85"/>
  </r>
  <r>
    <s v="APT-00729"/>
    <d v="2025-06-02T00:00:00"/>
    <x v="4"/>
    <x v="1"/>
    <s v="Afternoon"/>
    <x v="1"/>
    <s v="Thrissur"/>
    <x v="2"/>
    <s v="PT-1197"/>
    <s v="Sports Injury"/>
    <x v="5"/>
    <s v="Private Insurance"/>
    <s v="Online Search"/>
    <x v="0"/>
    <n v="45"/>
    <n v="45"/>
    <n v="55.3"/>
    <n v="1000"/>
    <n v="1000"/>
    <n v="0"/>
    <n v="0"/>
    <n v="1"/>
    <n v="0"/>
    <n v="0.85"/>
  </r>
  <r>
    <s v="APT-00730"/>
    <d v="2025-07-14T00:00:00"/>
    <x v="8"/>
    <x v="1"/>
    <s v="Evening"/>
    <x v="2"/>
    <s v="Ernakulam"/>
    <x v="14"/>
    <s v="PT-1208"/>
    <s v="New Patient"/>
    <x v="3"/>
    <s v="Self Pay"/>
    <s v="Corporate Wellness"/>
    <x v="0"/>
    <n v="60"/>
    <n v="60"/>
    <n v="72"/>
    <n v="1800"/>
    <n v="1800"/>
    <n v="0"/>
    <n v="0"/>
    <n v="1"/>
    <n v="0"/>
    <n v="0.85"/>
  </r>
  <r>
    <s v="APT-00731"/>
    <d v="2025-03-10T00:00:00"/>
    <x v="3"/>
    <x v="1"/>
    <s v="Evening"/>
    <x v="0"/>
    <s v="Palakkad"/>
    <x v="11"/>
    <s v="PT-1484"/>
    <s v="New Patient"/>
    <x v="4"/>
    <s v="Self Pay"/>
    <s v="Orthopedic Doctor"/>
    <x v="0"/>
    <n v="90"/>
    <n v="90"/>
    <n v="114.5"/>
    <n v="2250"/>
    <n v="2250"/>
    <n v="0"/>
    <n v="0"/>
    <n v="1"/>
    <n v="0"/>
    <n v="0.85"/>
  </r>
  <r>
    <s v="APT-00732"/>
    <d v="2025-06-02T00:00:00"/>
    <x v="4"/>
    <x v="1"/>
    <s v="Evening"/>
    <x v="2"/>
    <s v="Ernakulam"/>
    <x v="12"/>
    <s v="PT-1565"/>
    <s v="Post-op Rehab"/>
    <x v="2"/>
    <s v="Self Pay"/>
    <s v="Online Search"/>
    <x v="1"/>
    <n v="60"/>
    <n v="0"/>
    <n v="70.7"/>
    <n v="1700"/>
    <n v="0"/>
    <n v="1700"/>
    <n v="1"/>
    <n v="0"/>
    <n v="0"/>
    <n v="0.85"/>
  </r>
  <r>
    <s v="APT-00733"/>
    <d v="2025-11-03T00:00:00"/>
    <x v="1"/>
    <x v="1"/>
    <s v="Evening"/>
    <x v="0"/>
    <s v="Palakkad"/>
    <x v="11"/>
    <s v="PT-1070"/>
    <s v="Geriatric Rehab"/>
    <x v="3"/>
    <s v="Government Scheme"/>
    <s v="Neurologist"/>
    <x v="3"/>
    <n v="60"/>
    <n v="0"/>
    <n v="75.599999999999994"/>
    <n v="1050"/>
    <n v="0"/>
    <n v="0"/>
    <n v="0"/>
    <n v="0"/>
    <n v="0"/>
    <n v="0.85"/>
  </r>
  <r>
    <s v="APT-00734"/>
    <d v="2025-09-23T00:00:00"/>
    <x v="2"/>
    <x v="0"/>
    <s v="Midday"/>
    <x v="2"/>
    <s v="Ernakulam"/>
    <x v="8"/>
    <s v="PT-1554"/>
    <s v="Follow-up"/>
    <x v="4"/>
    <s v="Private Insurance"/>
    <s v="Neurologist"/>
    <x v="0"/>
    <n v="60"/>
    <n v="60"/>
    <n v="68"/>
    <n v="1500"/>
    <n v="1500"/>
    <n v="0"/>
    <n v="0"/>
    <n v="1"/>
    <n v="0"/>
    <n v="0.85"/>
  </r>
  <r>
    <s v="APT-00735"/>
    <d v="2025-09-22T00:00:00"/>
    <x v="2"/>
    <x v="1"/>
    <s v="Morning"/>
    <x v="2"/>
    <s v="Ernakulam"/>
    <x v="14"/>
    <s v="PT-1196"/>
    <s v="Follow-up"/>
    <x v="0"/>
    <s v="Private Insurance"/>
    <s v="Orthopedic Doctor"/>
    <x v="0"/>
    <n v="45"/>
    <n v="45"/>
    <n v="57.4"/>
    <n v="1100"/>
    <n v="1100"/>
    <n v="0"/>
    <n v="0"/>
    <n v="1"/>
    <n v="0"/>
    <n v="0.85"/>
  </r>
  <r>
    <s v="APT-00736"/>
    <d v="2025-08-05T00:00:00"/>
    <x v="9"/>
    <x v="0"/>
    <s v="Morning"/>
    <x v="2"/>
    <s v="Ernakulam"/>
    <x v="14"/>
    <s v="PT-1292"/>
    <s v="Follow-up"/>
    <x v="5"/>
    <s v="Self Pay"/>
    <s v="Online Search"/>
    <x v="0"/>
    <n v="60"/>
    <n v="60"/>
    <n v="77.599999999999994"/>
    <n v="1500"/>
    <n v="1500"/>
    <n v="0"/>
    <n v="0"/>
    <n v="1"/>
    <n v="0"/>
    <n v="0.85"/>
  </r>
  <r>
    <s v="APT-00737"/>
    <d v="2025-09-29T00:00:00"/>
    <x v="2"/>
    <x v="1"/>
    <s v="Midday"/>
    <x v="2"/>
    <s v="Ernakulam"/>
    <x v="14"/>
    <s v="PT-1518"/>
    <s v="Post-op Rehab"/>
    <x v="0"/>
    <s v="Self Pay"/>
    <s v="Corporate Wellness"/>
    <x v="1"/>
    <n v="60"/>
    <n v="0"/>
    <n v="77.8"/>
    <n v="1700"/>
    <n v="0"/>
    <n v="1700"/>
    <n v="1"/>
    <n v="0"/>
    <n v="0"/>
    <n v="0.85"/>
  </r>
  <r>
    <s v="APT-00738"/>
    <d v="2025-08-19T00:00:00"/>
    <x v="9"/>
    <x v="0"/>
    <s v="Evening"/>
    <x v="2"/>
    <s v="Ernakulam"/>
    <x v="14"/>
    <s v="PT-1082"/>
    <s v="Post-op Rehab"/>
    <x v="0"/>
    <s v="Self Pay"/>
    <s v="Neurologist"/>
    <x v="0"/>
    <n v="30"/>
    <n v="30"/>
    <n v="39.200000000000003"/>
    <n v="850"/>
    <n v="850"/>
    <n v="0"/>
    <n v="0"/>
    <n v="1"/>
    <n v="0"/>
    <n v="0.85"/>
  </r>
  <r>
    <s v="APT-00739"/>
    <d v="2025-08-12T00:00:00"/>
    <x v="9"/>
    <x v="0"/>
    <s v="Midday"/>
    <x v="2"/>
    <s v="Ernakulam"/>
    <x v="3"/>
    <s v="PT-1699"/>
    <s v="Follow-up"/>
    <x v="2"/>
    <s v="Self Pay"/>
    <s v="Self Referral"/>
    <x v="0"/>
    <n v="45"/>
    <n v="45"/>
    <n v="56.6"/>
    <n v="1100"/>
    <n v="1100"/>
    <n v="0"/>
    <n v="0"/>
    <n v="1"/>
    <n v="0"/>
    <n v="0.85"/>
  </r>
  <r>
    <s v="APT-00740"/>
    <d v="2025-09-01T00:00:00"/>
    <x v="2"/>
    <x v="1"/>
    <s v="Midday"/>
    <x v="0"/>
    <s v="Palakkad"/>
    <x v="6"/>
    <s v="PT-1219"/>
    <s v="Follow-up"/>
    <x v="2"/>
    <s v="Self Pay"/>
    <s v="Orthopedic Doctor"/>
    <x v="0"/>
    <n v="75"/>
    <n v="75"/>
    <n v="100.8"/>
    <n v="1550"/>
    <n v="1550"/>
    <n v="0"/>
    <n v="0"/>
    <n v="1"/>
    <n v="0"/>
    <n v="0.85"/>
  </r>
  <r>
    <s v="APT-00741"/>
    <d v="2025-05-21T00:00:00"/>
    <x v="10"/>
    <x v="3"/>
    <s v="Afternoon"/>
    <x v="2"/>
    <s v="Ernakulam"/>
    <x v="12"/>
    <s v="PT-1679"/>
    <s v="Sports Injury"/>
    <x v="0"/>
    <s v="Self Pay"/>
    <s v="Self Referral"/>
    <x v="0"/>
    <n v="45"/>
    <n v="45"/>
    <n v="53.9"/>
    <n v="1100"/>
    <n v="1100"/>
    <n v="0"/>
    <n v="0"/>
    <n v="1"/>
    <n v="0"/>
    <n v="0.85"/>
  </r>
  <r>
    <s v="APT-00742"/>
    <d v="2025-07-26T00:00:00"/>
    <x v="8"/>
    <x v="5"/>
    <s v="Afternoon"/>
    <x v="2"/>
    <s v="Ernakulam"/>
    <x v="8"/>
    <s v="PT-1130"/>
    <s v="Chronic Pain"/>
    <x v="3"/>
    <s v="Self Pay"/>
    <s v="Corporate Wellness"/>
    <x v="1"/>
    <n v="30"/>
    <n v="0"/>
    <n v="38.5"/>
    <n v="750"/>
    <n v="0"/>
    <n v="750"/>
    <n v="1"/>
    <n v="0"/>
    <n v="0"/>
    <n v="0.85"/>
  </r>
  <r>
    <s v="APT-00743"/>
    <d v="2025-12-20T00:00:00"/>
    <x v="0"/>
    <x v="5"/>
    <s v="Evening"/>
    <x v="2"/>
    <s v="Ernakulam"/>
    <x v="3"/>
    <s v="PT-1469"/>
    <s v="Follow-up"/>
    <x v="1"/>
    <s v="Self Pay"/>
    <s v="Corporate Wellness"/>
    <x v="0"/>
    <n v="30"/>
    <n v="30"/>
    <n v="40.200000000000003"/>
    <n v="750"/>
    <n v="750"/>
    <n v="0"/>
    <n v="0"/>
    <n v="1"/>
    <n v="0"/>
    <n v="0.85"/>
  </r>
  <r>
    <s v="APT-00744"/>
    <d v="2025-02-24T00:00:00"/>
    <x v="5"/>
    <x v="1"/>
    <s v="Evening"/>
    <x v="2"/>
    <s v="Ernakulam"/>
    <x v="8"/>
    <s v="PT-1311"/>
    <s v="Chronic Pain"/>
    <x v="5"/>
    <s v="Private Insurance"/>
    <s v="Orthopedic Doctor"/>
    <x v="0"/>
    <n v="60"/>
    <n v="60"/>
    <n v="75.5"/>
    <n v="1500"/>
    <n v="1500"/>
    <n v="0"/>
    <n v="0"/>
    <n v="1"/>
    <n v="0"/>
    <n v="0.85"/>
  </r>
  <r>
    <s v="APT-00745"/>
    <d v="2025-07-28T00:00:00"/>
    <x v="8"/>
    <x v="1"/>
    <s v="Evening"/>
    <x v="0"/>
    <s v="Palakkad"/>
    <x v="11"/>
    <s v="PT-1043"/>
    <s v="Follow-up"/>
    <x v="2"/>
    <s v="Private Insurance"/>
    <s v="Hospital Discharge"/>
    <x v="0"/>
    <n v="45"/>
    <n v="45"/>
    <n v="49.7"/>
    <n v="950"/>
    <n v="950"/>
    <n v="0"/>
    <n v="0"/>
    <n v="1"/>
    <n v="0"/>
    <n v="0.85"/>
  </r>
  <r>
    <s v="APT-00746"/>
    <d v="2025-07-05T00:00:00"/>
    <x v="8"/>
    <x v="5"/>
    <s v="Afternoon"/>
    <x v="2"/>
    <s v="Ernakulam"/>
    <x v="12"/>
    <s v="PT-1318"/>
    <s v="Follow-up"/>
    <x v="3"/>
    <s v="Private Insurance"/>
    <s v="Hospital Discharge"/>
    <x v="0"/>
    <n v="60"/>
    <n v="60"/>
    <n v="68"/>
    <n v="1500"/>
    <n v="1500"/>
    <n v="0"/>
    <n v="0"/>
    <n v="1"/>
    <n v="0"/>
    <n v="0.85"/>
  </r>
  <r>
    <s v="APT-00747"/>
    <d v="2025-09-01T00:00:00"/>
    <x v="2"/>
    <x v="1"/>
    <s v="Evening"/>
    <x v="1"/>
    <s v="Thrissur"/>
    <x v="7"/>
    <s v="PT-1433"/>
    <s v="New Patient"/>
    <x v="4"/>
    <s v="Private Insurance"/>
    <s v="Orthopedic Doctor"/>
    <x v="0"/>
    <n v="60"/>
    <n v="60"/>
    <n v="73.599999999999994"/>
    <n v="1600"/>
    <n v="1600"/>
    <n v="0"/>
    <n v="0"/>
    <n v="1"/>
    <n v="0"/>
    <n v="0.85"/>
  </r>
  <r>
    <s v="APT-00748"/>
    <d v="2025-11-09T00:00:00"/>
    <x v="1"/>
    <x v="6"/>
    <s v="Afternoon"/>
    <x v="0"/>
    <s v="Palakkad"/>
    <x v="6"/>
    <s v="PT-1358"/>
    <s v="Post-op Rehab"/>
    <x v="1"/>
    <s v="Self Pay"/>
    <s v="Neurologist"/>
    <x v="0"/>
    <n v="45"/>
    <n v="45"/>
    <n v="49.6"/>
    <n v="1100"/>
    <n v="1100"/>
    <n v="0"/>
    <n v="0"/>
    <n v="1"/>
    <n v="0"/>
    <n v="0.85"/>
  </r>
  <r>
    <s v="APT-00749"/>
    <d v="2025-07-15T00:00:00"/>
    <x v="8"/>
    <x v="0"/>
    <s v="Midday"/>
    <x v="1"/>
    <s v="Thrissur"/>
    <x v="2"/>
    <s v="PT-1080"/>
    <s v="Follow-up"/>
    <x v="1"/>
    <s v="Corporate Tie-up"/>
    <s v="Orthopedic Doctor"/>
    <x v="0"/>
    <n v="60"/>
    <n v="60"/>
    <n v="66.400000000000006"/>
    <n v="1250"/>
    <n v="1250"/>
    <n v="0"/>
    <n v="0"/>
    <n v="1"/>
    <n v="0"/>
    <n v="0.85"/>
  </r>
  <r>
    <s v="APT-00750"/>
    <d v="2025-01-28T00:00:00"/>
    <x v="11"/>
    <x v="0"/>
    <s v="Evening"/>
    <x v="0"/>
    <s v="Palakkad"/>
    <x v="11"/>
    <s v="PT-1429"/>
    <s v="Follow-up"/>
    <x v="4"/>
    <s v="Private Insurance"/>
    <s v="Corporate Wellness"/>
    <x v="0"/>
    <n v="45"/>
    <n v="45"/>
    <n v="58.8"/>
    <n v="950"/>
    <n v="950"/>
    <n v="0"/>
    <n v="0"/>
    <n v="1"/>
    <n v="0"/>
    <n v="0.85"/>
  </r>
  <r>
    <s v="APT-00751"/>
    <d v="2025-08-21T00:00:00"/>
    <x v="9"/>
    <x v="2"/>
    <s v="Midday"/>
    <x v="0"/>
    <s v="Palakkad"/>
    <x v="0"/>
    <s v="PT-1503"/>
    <s v="Follow-up"/>
    <x v="3"/>
    <s v="Corporate Tie-up"/>
    <s v="Online Search"/>
    <x v="0"/>
    <n v="45"/>
    <n v="45"/>
    <n v="52.8"/>
    <n v="850"/>
    <n v="850"/>
    <n v="0"/>
    <n v="0"/>
    <n v="1"/>
    <n v="0"/>
    <n v="0.85"/>
  </r>
  <r>
    <s v="APT-00752"/>
    <d v="2025-09-03T00:00:00"/>
    <x v="2"/>
    <x v="3"/>
    <s v="Evening"/>
    <x v="2"/>
    <s v="Ernakulam"/>
    <x v="4"/>
    <s v="PT-1197"/>
    <s v="Follow-up"/>
    <x v="2"/>
    <s v="Government Scheme"/>
    <s v="Hospital Discharge"/>
    <x v="0"/>
    <n v="60"/>
    <n v="60"/>
    <n v="73.8"/>
    <n v="1300"/>
    <n v="1300"/>
    <n v="0"/>
    <n v="0"/>
    <n v="1"/>
    <n v="0"/>
    <n v="0.85"/>
  </r>
  <r>
    <s v="APT-00753"/>
    <d v="2025-07-09T00:00:00"/>
    <x v="8"/>
    <x v="3"/>
    <s v="Afternoon"/>
    <x v="1"/>
    <s v="Thrissur"/>
    <x v="1"/>
    <s v="PT-1207"/>
    <s v="Follow-up"/>
    <x v="5"/>
    <s v="Self Pay"/>
    <s v="Self Referral"/>
    <x v="0"/>
    <n v="60"/>
    <n v="60"/>
    <n v="70.2"/>
    <n v="1350"/>
    <n v="1350"/>
    <n v="0"/>
    <n v="0"/>
    <n v="1"/>
    <n v="0"/>
    <n v="0.85"/>
  </r>
  <r>
    <s v="APT-00754"/>
    <d v="2025-09-01T00:00:00"/>
    <x v="2"/>
    <x v="1"/>
    <s v="Midday"/>
    <x v="1"/>
    <s v="Thrissur"/>
    <x v="5"/>
    <s v="PT-1635"/>
    <s v="Chronic Pain"/>
    <x v="4"/>
    <s v="Private Insurance"/>
    <s v="Self Referral"/>
    <x v="0"/>
    <n v="45"/>
    <n v="45"/>
    <n v="51"/>
    <n v="1000"/>
    <n v="1000"/>
    <n v="0"/>
    <n v="0"/>
    <n v="1"/>
    <n v="0"/>
    <n v="0.85"/>
  </r>
  <r>
    <s v="APT-00755"/>
    <d v="2025-07-22T00:00:00"/>
    <x v="8"/>
    <x v="0"/>
    <s v="Midday"/>
    <x v="1"/>
    <s v="Thrissur"/>
    <x v="10"/>
    <s v="PT-1549"/>
    <s v="Chronic Pain"/>
    <x v="5"/>
    <s v="Self Pay"/>
    <s v="Neurologist"/>
    <x v="0"/>
    <n v="30"/>
    <n v="30"/>
    <n v="32.700000000000003"/>
    <n v="700"/>
    <n v="700"/>
    <n v="0"/>
    <n v="0"/>
    <n v="1"/>
    <n v="0"/>
    <n v="0.85"/>
  </r>
  <r>
    <s v="APT-00756"/>
    <d v="2025-12-30T00:00:00"/>
    <x v="0"/>
    <x v="0"/>
    <s v="Midday"/>
    <x v="2"/>
    <s v="Ernakulam"/>
    <x v="8"/>
    <s v="PT-1635"/>
    <s v="Geriatric Rehab"/>
    <x v="3"/>
    <s v="Private Insurance"/>
    <s v="Neurologist"/>
    <x v="0"/>
    <n v="30"/>
    <n v="30"/>
    <n v="38.799999999999997"/>
    <n v="750"/>
    <n v="750"/>
    <n v="0"/>
    <n v="0"/>
    <n v="1"/>
    <n v="0"/>
    <n v="0.85"/>
  </r>
  <r>
    <s v="APT-00757"/>
    <d v="2025-08-15T00:00:00"/>
    <x v="9"/>
    <x v="4"/>
    <s v="Evening"/>
    <x v="2"/>
    <s v="Ernakulam"/>
    <x v="14"/>
    <s v="PT-1036"/>
    <s v="New Patient"/>
    <x v="1"/>
    <s v="Corporate Tie-up"/>
    <s v="Corporate Wellness"/>
    <x v="1"/>
    <n v="45"/>
    <n v="0"/>
    <n v="58.7"/>
    <n v="1250"/>
    <n v="0"/>
    <n v="1250"/>
    <n v="1"/>
    <n v="0"/>
    <n v="0"/>
    <n v="0.85"/>
  </r>
  <r>
    <s v="APT-00758"/>
    <d v="2025-07-02T00:00:00"/>
    <x v="8"/>
    <x v="3"/>
    <s v="Afternoon"/>
    <x v="1"/>
    <s v="Thrissur"/>
    <x v="7"/>
    <s v="PT-1520"/>
    <s v="Post-op Rehab"/>
    <x v="3"/>
    <s v="Self Pay"/>
    <s v="Hospital Discharge"/>
    <x v="0"/>
    <n v="90"/>
    <n v="90"/>
    <n v="119.9"/>
    <n v="2350"/>
    <n v="2350"/>
    <n v="0"/>
    <n v="0"/>
    <n v="1"/>
    <n v="0"/>
    <n v="0.85"/>
  </r>
  <r>
    <s v="APT-00759"/>
    <d v="2025-10-23T00:00:00"/>
    <x v="7"/>
    <x v="2"/>
    <s v="Morning"/>
    <x v="1"/>
    <s v="Thrissur"/>
    <x v="2"/>
    <s v="PT-1079"/>
    <s v="Chronic Pain"/>
    <x v="3"/>
    <s v="Corporate Tie-up"/>
    <s v="Online Search"/>
    <x v="0"/>
    <n v="60"/>
    <n v="60"/>
    <n v="80.5"/>
    <n v="1250"/>
    <n v="1250"/>
    <n v="0"/>
    <n v="0"/>
    <n v="1"/>
    <n v="0"/>
    <n v="0.85"/>
  </r>
  <r>
    <s v="APT-00760"/>
    <d v="2025-10-20T00:00:00"/>
    <x v="7"/>
    <x v="1"/>
    <s v="Morning"/>
    <x v="1"/>
    <s v="Thrissur"/>
    <x v="10"/>
    <s v="PT-1261"/>
    <s v="Post-op Rehab"/>
    <x v="0"/>
    <s v="Private Insurance"/>
    <s v="Self Referral"/>
    <x v="0"/>
    <n v="45"/>
    <n v="45"/>
    <n v="53.1"/>
    <n v="1150"/>
    <n v="1150"/>
    <n v="0"/>
    <n v="0"/>
    <n v="1"/>
    <n v="0"/>
    <n v="0.85"/>
  </r>
  <r>
    <s v="APT-00761"/>
    <d v="2025-04-14T00:00:00"/>
    <x v="6"/>
    <x v="1"/>
    <s v="Midday"/>
    <x v="0"/>
    <s v="Palakkad"/>
    <x v="13"/>
    <s v="PT-1257"/>
    <s v="Post-op Rehab"/>
    <x v="2"/>
    <s v="Self Pay"/>
    <s v="Online Search"/>
    <x v="0"/>
    <n v="75"/>
    <n v="75"/>
    <n v="86"/>
    <n v="1800"/>
    <n v="1800"/>
    <n v="0"/>
    <n v="0"/>
    <n v="1"/>
    <n v="0"/>
    <n v="0.85"/>
  </r>
  <r>
    <s v="APT-00762"/>
    <d v="2025-01-18T00:00:00"/>
    <x v="11"/>
    <x v="5"/>
    <s v="Afternoon"/>
    <x v="1"/>
    <s v="Thrissur"/>
    <x v="5"/>
    <s v="PT-1493"/>
    <s v="Follow-up"/>
    <x v="5"/>
    <s v="Self Pay"/>
    <s v="Neurologist"/>
    <x v="0"/>
    <n v="45"/>
    <n v="45"/>
    <n v="56.6"/>
    <n v="1000"/>
    <n v="1000"/>
    <n v="0"/>
    <n v="0"/>
    <n v="1"/>
    <n v="0"/>
    <n v="0.85"/>
  </r>
  <r>
    <s v="APT-00763"/>
    <d v="2025-01-21T00:00:00"/>
    <x v="11"/>
    <x v="0"/>
    <s v="Morning"/>
    <x v="0"/>
    <s v="Palakkad"/>
    <x v="0"/>
    <s v="PT-1036"/>
    <s v="Post-op Rehab"/>
    <x v="4"/>
    <s v="Self Pay"/>
    <s v="Online Search"/>
    <x v="0"/>
    <n v="60"/>
    <n v="60"/>
    <n v="75.8"/>
    <n v="1450"/>
    <n v="1450"/>
    <n v="0"/>
    <n v="0"/>
    <n v="1"/>
    <n v="0"/>
    <n v="0.85"/>
  </r>
  <r>
    <s v="APT-00764"/>
    <d v="2025-08-27T00:00:00"/>
    <x v="9"/>
    <x v="3"/>
    <s v="Morning"/>
    <x v="0"/>
    <s v="Palakkad"/>
    <x v="9"/>
    <s v="PT-1413"/>
    <s v="Follow-up"/>
    <x v="0"/>
    <s v="Self Pay"/>
    <s v="Corporate Wellness"/>
    <x v="1"/>
    <n v="45"/>
    <n v="0"/>
    <n v="56.7"/>
    <n v="950"/>
    <n v="0"/>
    <n v="950"/>
    <n v="1"/>
    <n v="0"/>
    <n v="0"/>
    <n v="0.85"/>
  </r>
  <r>
    <s v="APT-00765"/>
    <d v="2025-09-24T00:00:00"/>
    <x v="2"/>
    <x v="3"/>
    <s v="Evening"/>
    <x v="2"/>
    <s v="Ernakulam"/>
    <x v="3"/>
    <s v="PT-1052"/>
    <s v="Follow-up"/>
    <x v="3"/>
    <s v="Government Scheme"/>
    <s v="Orthopedic Doctor"/>
    <x v="0"/>
    <n v="60"/>
    <n v="60"/>
    <n v="71.2"/>
    <n v="1300"/>
    <n v="1300"/>
    <n v="0"/>
    <n v="0"/>
    <n v="1"/>
    <n v="0"/>
    <n v="0.85"/>
  </r>
  <r>
    <s v="APT-00766"/>
    <d v="2025-01-13T00:00:00"/>
    <x v="11"/>
    <x v="1"/>
    <s v="Midday"/>
    <x v="0"/>
    <s v="Palakkad"/>
    <x v="11"/>
    <s v="PT-1248"/>
    <s v="Post-op Rehab"/>
    <x v="5"/>
    <s v="Private Insurance"/>
    <s v="Neurologist"/>
    <x v="1"/>
    <n v="45"/>
    <n v="0"/>
    <n v="53.3"/>
    <n v="1100"/>
    <n v="0"/>
    <n v="1100"/>
    <n v="1"/>
    <n v="0"/>
    <n v="0"/>
    <n v="0.85"/>
  </r>
  <r>
    <s v="APT-00767"/>
    <d v="2025-02-03T00:00:00"/>
    <x v="5"/>
    <x v="1"/>
    <s v="Morning"/>
    <x v="0"/>
    <s v="Palakkad"/>
    <x v="0"/>
    <s v="PT-1318"/>
    <s v="New Patient"/>
    <x v="4"/>
    <s v="Private Insurance"/>
    <s v="Neurologist"/>
    <x v="0"/>
    <n v="75"/>
    <n v="75"/>
    <n v="99.3"/>
    <n v="1900"/>
    <n v="1900"/>
    <n v="0"/>
    <n v="0"/>
    <n v="1"/>
    <n v="0"/>
    <n v="0.85"/>
  </r>
  <r>
    <s v="APT-00768"/>
    <d v="2025-10-03T00:00:00"/>
    <x v="7"/>
    <x v="4"/>
    <s v="Midday"/>
    <x v="2"/>
    <s v="Ernakulam"/>
    <x v="4"/>
    <s v="PT-1043"/>
    <s v="Follow-up"/>
    <x v="4"/>
    <s v="Private Insurance"/>
    <s v="Orthopedic Doctor"/>
    <x v="0"/>
    <n v="90"/>
    <n v="90"/>
    <n v="113.2"/>
    <n v="2250"/>
    <n v="2250"/>
    <n v="0"/>
    <n v="0"/>
    <n v="1"/>
    <n v="0"/>
    <n v="0.85"/>
  </r>
  <r>
    <s v="APT-00769"/>
    <d v="2025-11-17T00:00:00"/>
    <x v="1"/>
    <x v="1"/>
    <s v="Midday"/>
    <x v="1"/>
    <s v="Thrissur"/>
    <x v="10"/>
    <s v="PT-1624"/>
    <s v="Follow-up"/>
    <x v="0"/>
    <s v="Self Pay"/>
    <s v="Self Referral"/>
    <x v="0"/>
    <n v="60"/>
    <n v="60"/>
    <n v="68.3"/>
    <n v="1350"/>
    <n v="1350"/>
    <n v="0"/>
    <n v="0"/>
    <n v="1"/>
    <n v="0"/>
    <n v="0.85"/>
  </r>
  <r>
    <s v="APT-00770"/>
    <d v="2025-09-18T00:00:00"/>
    <x v="2"/>
    <x v="2"/>
    <s v="Midday"/>
    <x v="1"/>
    <s v="Thrissur"/>
    <x v="7"/>
    <s v="PT-1502"/>
    <s v="Follow-up"/>
    <x v="0"/>
    <s v="Private Insurance"/>
    <s v="Online Search"/>
    <x v="3"/>
    <n v="90"/>
    <n v="0"/>
    <n v="109.4"/>
    <n v="2000"/>
    <n v="0"/>
    <n v="0"/>
    <n v="0"/>
    <n v="0"/>
    <n v="0"/>
    <n v="0.85"/>
  </r>
  <r>
    <s v="APT-00771"/>
    <d v="2025-06-23T00:00:00"/>
    <x v="4"/>
    <x v="1"/>
    <s v="Afternoon"/>
    <x v="1"/>
    <s v="Thrissur"/>
    <x v="7"/>
    <s v="PT-1582"/>
    <s v="New Patient"/>
    <x v="1"/>
    <s v="Private Insurance"/>
    <s v="Hospital Discharge"/>
    <x v="0"/>
    <n v="45"/>
    <n v="45"/>
    <n v="58"/>
    <n v="1200"/>
    <n v="1200"/>
    <n v="0"/>
    <n v="0"/>
    <n v="1"/>
    <n v="0"/>
    <n v="0.85"/>
  </r>
  <r>
    <s v="APT-00772"/>
    <d v="2025-04-28T00:00:00"/>
    <x v="6"/>
    <x v="1"/>
    <s v="Morning"/>
    <x v="1"/>
    <s v="Thrissur"/>
    <x v="2"/>
    <s v="PT-1438"/>
    <s v="Follow-up"/>
    <x v="3"/>
    <s v="Self Pay"/>
    <s v="Online Search"/>
    <x v="0"/>
    <n v="30"/>
    <n v="30"/>
    <n v="39"/>
    <n v="700"/>
    <n v="700"/>
    <n v="0"/>
    <n v="0"/>
    <n v="1"/>
    <n v="0"/>
    <n v="0.85"/>
  </r>
  <r>
    <s v="APT-00773"/>
    <d v="2025-11-01T00:00:00"/>
    <x v="1"/>
    <x v="5"/>
    <s v="Morning"/>
    <x v="1"/>
    <s v="Thrissur"/>
    <x v="10"/>
    <s v="PT-1050"/>
    <s v="Post-op Rehab"/>
    <x v="0"/>
    <s v="Private Insurance"/>
    <s v="Orthopedic Doctor"/>
    <x v="1"/>
    <n v="60"/>
    <n v="0"/>
    <n v="73"/>
    <n v="1550"/>
    <n v="0"/>
    <n v="1550"/>
    <n v="1"/>
    <n v="0"/>
    <n v="0"/>
    <n v="0.85"/>
  </r>
  <r>
    <s v="APT-00774"/>
    <d v="2025-12-03T00:00:00"/>
    <x v="0"/>
    <x v="3"/>
    <s v="Morning"/>
    <x v="2"/>
    <s v="Ernakulam"/>
    <x v="12"/>
    <s v="PT-1634"/>
    <s v="Follow-up"/>
    <x v="2"/>
    <s v="Self Pay"/>
    <s v="Hospital Discharge"/>
    <x v="0"/>
    <n v="45"/>
    <n v="45"/>
    <n v="57"/>
    <n v="1100"/>
    <n v="1100"/>
    <n v="0"/>
    <n v="0"/>
    <n v="1"/>
    <n v="0"/>
    <n v="0.85"/>
  </r>
  <r>
    <s v="APT-00775"/>
    <d v="2025-11-18T00:00:00"/>
    <x v="1"/>
    <x v="0"/>
    <s v="Afternoon"/>
    <x v="1"/>
    <s v="Thrissur"/>
    <x v="1"/>
    <s v="PT-1142"/>
    <s v="New Patient"/>
    <x v="1"/>
    <s v="Private Insurance"/>
    <s v="Online Search"/>
    <x v="0"/>
    <n v="60"/>
    <n v="60"/>
    <n v="72.5"/>
    <n v="1600"/>
    <n v="1600"/>
    <n v="0"/>
    <n v="0"/>
    <n v="1"/>
    <n v="0"/>
    <n v="0.85"/>
  </r>
  <r>
    <s v="APT-00776"/>
    <d v="2025-09-05T00:00:00"/>
    <x v="2"/>
    <x v="4"/>
    <s v="Midday"/>
    <x v="2"/>
    <s v="Ernakulam"/>
    <x v="8"/>
    <s v="PT-1423"/>
    <s v="Follow-up"/>
    <x v="0"/>
    <s v="Self Pay"/>
    <s v="Neurologist"/>
    <x v="0"/>
    <n v="30"/>
    <n v="30"/>
    <n v="38.1"/>
    <n v="750"/>
    <n v="750"/>
    <n v="0"/>
    <n v="0"/>
    <n v="1"/>
    <n v="0"/>
    <n v="0.85"/>
  </r>
  <r>
    <s v="APT-00777"/>
    <d v="2025-05-28T00:00:00"/>
    <x v="10"/>
    <x v="3"/>
    <s v="Midday"/>
    <x v="2"/>
    <s v="Ernakulam"/>
    <x v="8"/>
    <s v="PT-1292"/>
    <s v="Sports Injury"/>
    <x v="2"/>
    <s v="Private Insurance"/>
    <s v="Neurologist"/>
    <x v="0"/>
    <n v="60"/>
    <n v="60"/>
    <n v="74.3"/>
    <n v="1500"/>
    <n v="1500"/>
    <n v="0"/>
    <n v="0"/>
    <n v="1"/>
    <n v="0"/>
    <n v="0.85"/>
  </r>
  <r>
    <s v="APT-00778"/>
    <d v="2025-10-18T00:00:00"/>
    <x v="7"/>
    <x v="5"/>
    <s v="Midday"/>
    <x v="1"/>
    <s v="Thrissur"/>
    <x v="10"/>
    <s v="PT-1054"/>
    <s v="Chronic Pain"/>
    <x v="5"/>
    <s v="Self Pay"/>
    <s v="Neurologist"/>
    <x v="0"/>
    <n v="60"/>
    <n v="60"/>
    <n v="75.5"/>
    <n v="1350"/>
    <n v="1350"/>
    <n v="0"/>
    <n v="0"/>
    <n v="1"/>
    <n v="0"/>
    <n v="0.85"/>
  </r>
  <r>
    <s v="APT-00779"/>
    <d v="2025-03-10T00:00:00"/>
    <x v="3"/>
    <x v="1"/>
    <s v="Midday"/>
    <x v="0"/>
    <s v="Palakkad"/>
    <x v="11"/>
    <s v="PT-1356"/>
    <s v="Post-op Rehab"/>
    <x v="2"/>
    <s v="Government Scheme"/>
    <s v="Neurologist"/>
    <x v="0"/>
    <n v="45"/>
    <n v="45"/>
    <n v="60.7"/>
    <n v="900"/>
    <n v="900"/>
    <n v="0"/>
    <n v="0"/>
    <n v="1"/>
    <n v="0"/>
    <n v="0.85"/>
  </r>
  <r>
    <s v="APT-00780"/>
    <d v="2025-03-07T00:00:00"/>
    <x v="3"/>
    <x v="4"/>
    <s v="Midday"/>
    <x v="0"/>
    <s v="Palakkad"/>
    <x v="11"/>
    <s v="PT-1438"/>
    <s v="Chronic Pain"/>
    <x v="1"/>
    <s v="Private Insurance"/>
    <s v="Self Referral"/>
    <x v="0"/>
    <n v="45"/>
    <n v="45"/>
    <n v="49.6"/>
    <n v="950"/>
    <n v="950"/>
    <n v="0"/>
    <n v="0"/>
    <n v="1"/>
    <n v="0"/>
    <n v="0.85"/>
  </r>
  <r>
    <s v="APT-00781"/>
    <d v="2025-06-09T00:00:00"/>
    <x v="4"/>
    <x v="1"/>
    <s v="Midday"/>
    <x v="2"/>
    <s v="Ernakulam"/>
    <x v="3"/>
    <s v="PT-1258"/>
    <s v="Chronic Pain"/>
    <x v="2"/>
    <s v="Self Pay"/>
    <s v="Self Referral"/>
    <x v="2"/>
    <n v="45"/>
    <n v="0"/>
    <n v="49.5"/>
    <n v="1100"/>
    <n v="0"/>
    <n v="1100"/>
    <n v="0"/>
    <n v="0"/>
    <n v="1"/>
    <n v="0.85"/>
  </r>
  <r>
    <s v="APT-00782"/>
    <d v="2025-10-02T00:00:00"/>
    <x v="7"/>
    <x v="2"/>
    <s v="Midday"/>
    <x v="0"/>
    <s v="Palakkad"/>
    <x v="0"/>
    <s v="PT-1372"/>
    <s v="Geriatric Rehab"/>
    <x v="0"/>
    <s v="Private Insurance"/>
    <s v="Orthopedic Doctor"/>
    <x v="0"/>
    <n v="60"/>
    <n v="60"/>
    <n v="74.099999999999994"/>
    <n v="1250"/>
    <n v="1250"/>
    <n v="0"/>
    <n v="0"/>
    <n v="1"/>
    <n v="0"/>
    <n v="0.85"/>
  </r>
  <r>
    <s v="APT-00783"/>
    <d v="2025-07-14T00:00:00"/>
    <x v="8"/>
    <x v="1"/>
    <s v="Afternoon"/>
    <x v="2"/>
    <s v="Ernakulam"/>
    <x v="8"/>
    <s v="PT-1523"/>
    <s v="New Patient"/>
    <x v="4"/>
    <s v="Self Pay"/>
    <s v="Neurologist"/>
    <x v="0"/>
    <n v="60"/>
    <n v="60"/>
    <n v="77.3"/>
    <n v="1800"/>
    <n v="1800"/>
    <n v="0"/>
    <n v="0"/>
    <n v="1"/>
    <n v="0"/>
    <n v="0.85"/>
  </r>
  <r>
    <s v="APT-00784"/>
    <d v="2025-07-05T00:00:00"/>
    <x v="8"/>
    <x v="5"/>
    <s v="Midday"/>
    <x v="2"/>
    <s v="Ernakulam"/>
    <x v="8"/>
    <s v="PT-1099"/>
    <s v="Sports Injury"/>
    <x v="1"/>
    <s v="Self Pay"/>
    <s v="Corporate Wellness"/>
    <x v="0"/>
    <n v="75"/>
    <n v="75"/>
    <n v="92.3"/>
    <n v="1900"/>
    <n v="1900"/>
    <n v="0"/>
    <n v="0"/>
    <n v="1"/>
    <n v="0"/>
    <n v="0.85"/>
  </r>
  <r>
    <s v="APT-00785"/>
    <d v="2025-11-14T00:00:00"/>
    <x v="1"/>
    <x v="4"/>
    <s v="Afternoon"/>
    <x v="1"/>
    <s v="Thrissur"/>
    <x v="10"/>
    <s v="PT-1321"/>
    <s v="Geriatric Rehab"/>
    <x v="1"/>
    <s v="Self Pay"/>
    <s v="Neurologist"/>
    <x v="0"/>
    <n v="60"/>
    <n v="60"/>
    <n v="78.099999999999994"/>
    <n v="1350"/>
    <n v="1350"/>
    <n v="0"/>
    <n v="0"/>
    <n v="1"/>
    <n v="0"/>
    <n v="0.85"/>
  </r>
  <r>
    <s v="APT-00786"/>
    <d v="2025-04-18T00:00:00"/>
    <x v="6"/>
    <x v="4"/>
    <s v="Midday"/>
    <x v="1"/>
    <s v="Thrissur"/>
    <x v="7"/>
    <s v="PT-1697"/>
    <s v="Chronic Pain"/>
    <x v="5"/>
    <s v="Self Pay"/>
    <s v="Orthopedic Doctor"/>
    <x v="0"/>
    <n v="45"/>
    <n v="45"/>
    <n v="60"/>
    <n v="1000"/>
    <n v="1000"/>
    <n v="0"/>
    <n v="0"/>
    <n v="1"/>
    <n v="0"/>
    <n v="0.85"/>
  </r>
  <r>
    <s v="APT-00787"/>
    <d v="2025-06-10T00:00:00"/>
    <x v="4"/>
    <x v="0"/>
    <s v="Midday"/>
    <x v="0"/>
    <s v="Palakkad"/>
    <x v="13"/>
    <s v="PT-1227"/>
    <s v="Sports Injury"/>
    <x v="1"/>
    <s v="Private Insurance"/>
    <s v="Orthopedic Doctor"/>
    <x v="0"/>
    <n v="60"/>
    <n v="60"/>
    <n v="80.5"/>
    <n v="1250"/>
    <n v="1250"/>
    <n v="0"/>
    <n v="0"/>
    <n v="1"/>
    <n v="0"/>
    <n v="0.85"/>
  </r>
  <r>
    <s v="APT-00788"/>
    <d v="2025-06-30T00:00:00"/>
    <x v="4"/>
    <x v="1"/>
    <s v="Morning"/>
    <x v="1"/>
    <s v="Thrissur"/>
    <x v="10"/>
    <s v="PT-1476"/>
    <s v="Sports Injury"/>
    <x v="2"/>
    <s v="Self Pay"/>
    <s v="Hospital Discharge"/>
    <x v="0"/>
    <n v="60"/>
    <n v="60"/>
    <n v="70.400000000000006"/>
    <n v="1350"/>
    <n v="1350"/>
    <n v="0"/>
    <n v="0"/>
    <n v="1"/>
    <n v="0"/>
    <n v="0.85"/>
  </r>
  <r>
    <s v="APT-00789"/>
    <d v="2025-02-17T00:00:00"/>
    <x v="5"/>
    <x v="1"/>
    <s v="Evening"/>
    <x v="0"/>
    <s v="Palakkad"/>
    <x v="0"/>
    <s v="PT-1179"/>
    <s v="New Patient"/>
    <x v="3"/>
    <s v="Self Pay"/>
    <s v="Online Search"/>
    <x v="0"/>
    <n v="60"/>
    <n v="60"/>
    <n v="71.2"/>
    <n v="1500"/>
    <n v="1500"/>
    <n v="0"/>
    <n v="0"/>
    <n v="1"/>
    <n v="0"/>
    <n v="0.85"/>
  </r>
  <r>
    <s v="APT-00790"/>
    <d v="2025-09-22T00:00:00"/>
    <x v="2"/>
    <x v="1"/>
    <s v="Midday"/>
    <x v="0"/>
    <s v="Palakkad"/>
    <x v="9"/>
    <s v="PT-1551"/>
    <s v="Follow-up"/>
    <x v="0"/>
    <s v="Self Pay"/>
    <s v="Corporate Wellness"/>
    <x v="0"/>
    <n v="45"/>
    <n v="45"/>
    <n v="50.8"/>
    <n v="950"/>
    <n v="950"/>
    <n v="0"/>
    <n v="0"/>
    <n v="1"/>
    <n v="0"/>
    <n v="0.85"/>
  </r>
  <r>
    <s v="APT-00791"/>
    <d v="2025-12-30T00:00:00"/>
    <x v="0"/>
    <x v="0"/>
    <s v="Afternoon"/>
    <x v="2"/>
    <s v="Ernakulam"/>
    <x v="12"/>
    <s v="PT-1508"/>
    <s v="Chronic Pain"/>
    <x v="4"/>
    <s v="Government Scheme"/>
    <s v="Self Referral"/>
    <x v="0"/>
    <n v="60"/>
    <n v="60"/>
    <n v="69.400000000000006"/>
    <n v="1300"/>
    <n v="1300"/>
    <n v="0"/>
    <n v="0"/>
    <n v="1"/>
    <n v="0"/>
    <n v="0.85"/>
  </r>
  <r>
    <s v="APT-00792"/>
    <d v="2025-02-05T00:00:00"/>
    <x v="5"/>
    <x v="3"/>
    <s v="Morning"/>
    <x v="2"/>
    <s v="Ernakulam"/>
    <x v="4"/>
    <s v="PT-1108"/>
    <s v="Follow-up"/>
    <x v="4"/>
    <s v="Government Scheme"/>
    <s v="Online Search"/>
    <x v="0"/>
    <n v="60"/>
    <n v="60"/>
    <n v="71.400000000000006"/>
    <n v="1300"/>
    <n v="1300"/>
    <n v="0"/>
    <n v="0"/>
    <n v="1"/>
    <n v="0"/>
    <n v="0.85"/>
  </r>
  <r>
    <s v="APT-00793"/>
    <d v="2025-08-25T00:00:00"/>
    <x v="9"/>
    <x v="1"/>
    <s v="Evening"/>
    <x v="1"/>
    <s v="Thrissur"/>
    <x v="2"/>
    <s v="PT-1110"/>
    <s v="Chronic Pain"/>
    <x v="0"/>
    <s v="Self Pay"/>
    <s v="Neurologist"/>
    <x v="0"/>
    <n v="60"/>
    <n v="60"/>
    <n v="67"/>
    <n v="1350"/>
    <n v="1350"/>
    <n v="0"/>
    <n v="0"/>
    <n v="1"/>
    <n v="0"/>
    <n v="0.85"/>
  </r>
  <r>
    <s v="APT-00794"/>
    <d v="2025-03-25T00:00:00"/>
    <x v="3"/>
    <x v="0"/>
    <s v="Morning"/>
    <x v="1"/>
    <s v="Thrissur"/>
    <x v="10"/>
    <s v="PT-1491"/>
    <s v="New Patient"/>
    <x v="0"/>
    <s v="Corporate Tie-up"/>
    <s v="Neurologist"/>
    <x v="0"/>
    <n v="60"/>
    <n v="60"/>
    <n v="70.400000000000006"/>
    <n v="1500"/>
    <n v="1500"/>
    <n v="0"/>
    <n v="0"/>
    <n v="1"/>
    <n v="0"/>
    <n v="0.85"/>
  </r>
  <r>
    <s v="APT-00795"/>
    <d v="2025-03-06T00:00:00"/>
    <x v="3"/>
    <x v="2"/>
    <s v="Midday"/>
    <x v="0"/>
    <s v="Palakkad"/>
    <x v="13"/>
    <s v="PT-1224"/>
    <s v="New Patient"/>
    <x v="1"/>
    <s v="Self Pay"/>
    <s v="Self Referral"/>
    <x v="1"/>
    <n v="75"/>
    <n v="0"/>
    <n v="89.6"/>
    <n v="1900"/>
    <n v="0"/>
    <n v="1900"/>
    <n v="1"/>
    <n v="0"/>
    <n v="0"/>
    <n v="0.85"/>
  </r>
  <r>
    <s v="APT-00796"/>
    <d v="2025-06-14T00:00:00"/>
    <x v="4"/>
    <x v="5"/>
    <s v="Afternoon"/>
    <x v="2"/>
    <s v="Ernakulam"/>
    <x v="4"/>
    <s v="PT-1086"/>
    <s v="New Patient"/>
    <x v="1"/>
    <s v="Self Pay"/>
    <s v="Orthopedic Doctor"/>
    <x v="1"/>
    <n v="60"/>
    <n v="0"/>
    <n v="76.599999999999994"/>
    <n v="1800"/>
    <n v="0"/>
    <n v="1800"/>
    <n v="1"/>
    <n v="0"/>
    <n v="0"/>
    <n v="0.85"/>
  </r>
  <r>
    <s v="APT-00797"/>
    <d v="2025-09-15T00:00:00"/>
    <x v="2"/>
    <x v="1"/>
    <s v="Midday"/>
    <x v="0"/>
    <s v="Palakkad"/>
    <x v="11"/>
    <s v="PT-1391"/>
    <s v="Geriatric Rehab"/>
    <x v="4"/>
    <s v="Self Pay"/>
    <s v="Self Referral"/>
    <x v="2"/>
    <n v="60"/>
    <n v="0"/>
    <n v="79.7"/>
    <n v="1250"/>
    <n v="0"/>
    <n v="1250"/>
    <n v="0"/>
    <n v="0"/>
    <n v="1"/>
    <n v="0.85"/>
  </r>
  <r>
    <s v="APT-00798"/>
    <d v="2025-06-17T00:00:00"/>
    <x v="4"/>
    <x v="0"/>
    <s v="Afternoon"/>
    <x v="1"/>
    <s v="Thrissur"/>
    <x v="2"/>
    <s v="PT-1034"/>
    <s v="Follow-up"/>
    <x v="5"/>
    <s v="Self Pay"/>
    <s v="Neurologist"/>
    <x v="2"/>
    <n v="45"/>
    <n v="0"/>
    <n v="53.8"/>
    <n v="1000"/>
    <n v="0"/>
    <n v="1000"/>
    <n v="0"/>
    <n v="0"/>
    <n v="1"/>
    <n v="0.85"/>
  </r>
  <r>
    <s v="APT-00799"/>
    <d v="2025-03-21T00:00:00"/>
    <x v="3"/>
    <x v="4"/>
    <s v="Evening"/>
    <x v="1"/>
    <s v="Thrissur"/>
    <x v="7"/>
    <s v="PT-1272"/>
    <s v="Geriatric Rehab"/>
    <x v="1"/>
    <s v="Government Scheme"/>
    <s v="Online Search"/>
    <x v="0"/>
    <n v="45"/>
    <n v="45"/>
    <n v="52.6"/>
    <n v="850"/>
    <n v="850"/>
    <n v="0"/>
    <n v="0"/>
    <n v="1"/>
    <n v="0"/>
    <n v="0.85"/>
  </r>
  <r>
    <s v="APT-00800"/>
    <d v="2025-01-15T00:00:00"/>
    <x v="11"/>
    <x v="3"/>
    <s v="Evening"/>
    <x v="0"/>
    <s v="Palakkad"/>
    <x v="11"/>
    <s v="PT-1427"/>
    <s v="Geriatric Rehab"/>
    <x v="0"/>
    <s v="Self Pay"/>
    <s v="Online Search"/>
    <x v="0"/>
    <n v="90"/>
    <n v="90"/>
    <n v="112.9"/>
    <n v="1900"/>
    <n v="1900"/>
    <n v="0"/>
    <n v="0"/>
    <n v="1"/>
    <n v="0"/>
    <n v="0.85"/>
  </r>
  <r>
    <s v="APT-00801"/>
    <d v="2025-12-27T00:00:00"/>
    <x v="0"/>
    <x v="5"/>
    <s v="Midday"/>
    <x v="0"/>
    <s v="Palakkad"/>
    <x v="11"/>
    <s v="PT-1591"/>
    <s v="Geriatric Rehab"/>
    <x v="5"/>
    <s v="Self Pay"/>
    <s v="Self Referral"/>
    <x v="0"/>
    <n v="30"/>
    <n v="30"/>
    <n v="38"/>
    <n v="600"/>
    <n v="600"/>
    <n v="0"/>
    <n v="0"/>
    <n v="1"/>
    <n v="0"/>
    <n v="0.85"/>
  </r>
  <r>
    <s v="APT-00802"/>
    <d v="2025-12-11T00:00:00"/>
    <x v="0"/>
    <x v="2"/>
    <s v="Midday"/>
    <x v="0"/>
    <s v="Palakkad"/>
    <x v="13"/>
    <s v="PT-1349"/>
    <s v="Follow-up"/>
    <x v="1"/>
    <s v="Self Pay"/>
    <s v="Orthopedic Doctor"/>
    <x v="1"/>
    <n v="60"/>
    <n v="0"/>
    <n v="73.099999999999994"/>
    <n v="1250"/>
    <n v="0"/>
    <n v="1250"/>
    <n v="1"/>
    <n v="0"/>
    <n v="0"/>
    <n v="0.85"/>
  </r>
  <r>
    <s v="APT-00803"/>
    <d v="2025-09-06T00:00:00"/>
    <x v="2"/>
    <x v="5"/>
    <s v="Evening"/>
    <x v="0"/>
    <s v="Palakkad"/>
    <x v="9"/>
    <s v="PT-1054"/>
    <s v="New Patient"/>
    <x v="1"/>
    <s v="Government Scheme"/>
    <s v="Corporate Wellness"/>
    <x v="0"/>
    <n v="90"/>
    <n v="90"/>
    <n v="111.7"/>
    <n v="1900"/>
    <n v="1900"/>
    <n v="0"/>
    <n v="0"/>
    <n v="1"/>
    <n v="0"/>
    <n v="0.85"/>
  </r>
  <r>
    <s v="APT-00804"/>
    <d v="2025-03-31T00:00:00"/>
    <x v="3"/>
    <x v="1"/>
    <s v="Evening"/>
    <x v="1"/>
    <s v="Thrissur"/>
    <x v="7"/>
    <s v="PT-1553"/>
    <s v="Follow-up"/>
    <x v="2"/>
    <s v="Self Pay"/>
    <s v="Online Search"/>
    <x v="0"/>
    <n v="60"/>
    <n v="60"/>
    <n v="72.3"/>
    <n v="1350"/>
    <n v="1350"/>
    <n v="0"/>
    <n v="0"/>
    <n v="1"/>
    <n v="0"/>
    <n v="0.85"/>
  </r>
  <r>
    <s v="APT-00805"/>
    <d v="2025-10-10T00:00:00"/>
    <x v="7"/>
    <x v="4"/>
    <s v="Afternoon"/>
    <x v="2"/>
    <s v="Ernakulam"/>
    <x v="8"/>
    <s v="PT-1071"/>
    <s v="Sports Injury"/>
    <x v="0"/>
    <s v="Self Pay"/>
    <s v="Neurologist"/>
    <x v="0"/>
    <n v="30"/>
    <n v="30"/>
    <n v="40.200000000000003"/>
    <n v="750"/>
    <n v="750"/>
    <n v="0"/>
    <n v="0"/>
    <n v="1"/>
    <n v="0"/>
    <n v="0.85"/>
  </r>
  <r>
    <s v="APT-00806"/>
    <d v="2025-10-08T00:00:00"/>
    <x v="7"/>
    <x v="3"/>
    <s v="Morning"/>
    <x v="1"/>
    <s v="Thrissur"/>
    <x v="1"/>
    <s v="PT-1571"/>
    <s v="Sports Injury"/>
    <x v="2"/>
    <s v="Self Pay"/>
    <s v="Online Search"/>
    <x v="0"/>
    <n v="90"/>
    <n v="90"/>
    <n v="106.8"/>
    <n v="2000"/>
    <n v="2000"/>
    <n v="0"/>
    <n v="0"/>
    <n v="1"/>
    <n v="0"/>
    <n v="0.85"/>
  </r>
  <r>
    <s v="APT-00807"/>
    <d v="2025-03-19T00:00:00"/>
    <x v="3"/>
    <x v="3"/>
    <s v="Afternoon"/>
    <x v="0"/>
    <s v="Palakkad"/>
    <x v="13"/>
    <s v="PT-1246"/>
    <s v="Sports Injury"/>
    <x v="2"/>
    <s v="Corporate Tie-up"/>
    <s v="Hospital Discharge"/>
    <x v="0"/>
    <n v="60"/>
    <n v="60"/>
    <n v="74.8"/>
    <n v="1150"/>
    <n v="1150"/>
    <n v="0"/>
    <n v="0"/>
    <n v="1"/>
    <n v="0"/>
    <n v="0.85"/>
  </r>
  <r>
    <s v="APT-00808"/>
    <d v="2025-10-29T00:00:00"/>
    <x v="7"/>
    <x v="3"/>
    <s v="Morning"/>
    <x v="1"/>
    <s v="Thrissur"/>
    <x v="2"/>
    <s v="PT-1534"/>
    <s v="Sports Injury"/>
    <x v="1"/>
    <s v="Private Insurance"/>
    <s v="Online Search"/>
    <x v="0"/>
    <n v="60"/>
    <n v="60"/>
    <n v="68.099999999999994"/>
    <n v="1350"/>
    <n v="1350"/>
    <n v="0"/>
    <n v="0"/>
    <n v="1"/>
    <n v="0"/>
    <n v="0.85"/>
  </r>
  <r>
    <s v="APT-00809"/>
    <d v="2025-03-25T00:00:00"/>
    <x v="3"/>
    <x v="0"/>
    <s v="Morning"/>
    <x v="0"/>
    <s v="Palakkad"/>
    <x v="11"/>
    <s v="PT-1055"/>
    <s v="Follow-up"/>
    <x v="2"/>
    <s v="Self Pay"/>
    <s v="Online Search"/>
    <x v="1"/>
    <n v="60"/>
    <n v="0"/>
    <n v="78.8"/>
    <n v="1250"/>
    <n v="0"/>
    <n v="1250"/>
    <n v="1"/>
    <n v="0"/>
    <n v="0"/>
    <n v="0.85"/>
  </r>
  <r>
    <s v="APT-00810"/>
    <d v="2025-12-22T00:00:00"/>
    <x v="0"/>
    <x v="1"/>
    <s v="Afternoon"/>
    <x v="1"/>
    <s v="Thrissur"/>
    <x v="2"/>
    <s v="PT-1232"/>
    <s v="Follow-up"/>
    <x v="5"/>
    <s v="Self Pay"/>
    <s v="Orthopedic Doctor"/>
    <x v="1"/>
    <n v="60"/>
    <n v="0"/>
    <n v="72.400000000000006"/>
    <n v="1350"/>
    <n v="0"/>
    <n v="1350"/>
    <n v="1"/>
    <n v="0"/>
    <n v="0"/>
    <n v="0.85"/>
  </r>
  <r>
    <s v="APT-00811"/>
    <d v="2025-04-09T00:00:00"/>
    <x v="6"/>
    <x v="3"/>
    <s v="Evening"/>
    <x v="0"/>
    <s v="Palakkad"/>
    <x v="13"/>
    <s v="PT-1314"/>
    <s v="Geriatric Rehab"/>
    <x v="2"/>
    <s v="Private Insurance"/>
    <s v="Hospital Discharge"/>
    <x v="1"/>
    <n v="45"/>
    <n v="0"/>
    <n v="52.8"/>
    <n v="950"/>
    <n v="0"/>
    <n v="950"/>
    <n v="1"/>
    <n v="0"/>
    <n v="0"/>
    <n v="0.85"/>
  </r>
  <r>
    <s v="APT-00812"/>
    <d v="2025-10-03T00:00:00"/>
    <x v="7"/>
    <x v="4"/>
    <s v="Midday"/>
    <x v="2"/>
    <s v="Ernakulam"/>
    <x v="3"/>
    <s v="PT-1501"/>
    <s v="Sports Injury"/>
    <x v="4"/>
    <s v="Government Scheme"/>
    <s v="Hospital Discharge"/>
    <x v="0"/>
    <n v="45"/>
    <n v="45"/>
    <n v="51.6"/>
    <n v="950"/>
    <n v="950"/>
    <n v="0"/>
    <n v="0"/>
    <n v="1"/>
    <n v="0"/>
    <n v="0.85"/>
  </r>
  <r>
    <s v="APT-00813"/>
    <d v="2025-02-08T00:00:00"/>
    <x v="5"/>
    <x v="5"/>
    <s v="Morning"/>
    <x v="0"/>
    <s v="Palakkad"/>
    <x v="11"/>
    <s v="PT-1292"/>
    <s v="Follow-up"/>
    <x v="1"/>
    <s v="Self Pay"/>
    <s v="Self Referral"/>
    <x v="0"/>
    <n v="45"/>
    <n v="45"/>
    <n v="56"/>
    <n v="950"/>
    <n v="950"/>
    <n v="0"/>
    <n v="0"/>
    <n v="1"/>
    <n v="0"/>
    <n v="0.85"/>
  </r>
  <r>
    <s v="APT-00814"/>
    <d v="2025-11-29T00:00:00"/>
    <x v="1"/>
    <x v="5"/>
    <s v="Morning"/>
    <x v="1"/>
    <s v="Thrissur"/>
    <x v="1"/>
    <s v="PT-1177"/>
    <s v="Follow-up"/>
    <x v="3"/>
    <s v="Government Scheme"/>
    <s v="Corporate Wellness"/>
    <x v="0"/>
    <n v="60"/>
    <n v="60"/>
    <n v="66.3"/>
    <n v="1150"/>
    <n v="1150"/>
    <n v="0"/>
    <n v="0"/>
    <n v="1"/>
    <n v="0"/>
    <n v="0.85"/>
  </r>
  <r>
    <s v="APT-00815"/>
    <d v="2025-05-20T00:00:00"/>
    <x v="10"/>
    <x v="0"/>
    <s v="Evening"/>
    <x v="2"/>
    <s v="Ernakulam"/>
    <x v="8"/>
    <s v="PT-1028"/>
    <s v="Chronic Pain"/>
    <x v="1"/>
    <s v="Self Pay"/>
    <s v="Online Search"/>
    <x v="0"/>
    <n v="45"/>
    <n v="45"/>
    <n v="53.8"/>
    <n v="1100"/>
    <n v="1100"/>
    <n v="0"/>
    <n v="0"/>
    <n v="1"/>
    <n v="0"/>
    <n v="0.85"/>
  </r>
  <r>
    <s v="APT-00816"/>
    <d v="2025-02-05T00:00:00"/>
    <x v="5"/>
    <x v="3"/>
    <s v="Afternoon"/>
    <x v="1"/>
    <s v="Thrissur"/>
    <x v="7"/>
    <s v="PT-1122"/>
    <s v="New Patient"/>
    <x v="5"/>
    <s v="Corporate Tie-up"/>
    <s v="Self Referral"/>
    <x v="0"/>
    <n v="45"/>
    <n v="45"/>
    <n v="51.6"/>
    <n v="1100"/>
    <n v="1100"/>
    <n v="0"/>
    <n v="0"/>
    <n v="1"/>
    <n v="0"/>
    <n v="0.85"/>
  </r>
  <r>
    <s v="APT-00817"/>
    <d v="2025-12-14T00:00:00"/>
    <x v="0"/>
    <x v="6"/>
    <s v="Morning"/>
    <x v="2"/>
    <s v="Ernakulam"/>
    <x v="3"/>
    <s v="PT-1320"/>
    <s v="Follow-up"/>
    <x v="1"/>
    <s v="Self Pay"/>
    <s v="Online Search"/>
    <x v="0"/>
    <n v="60"/>
    <n v="60"/>
    <n v="77.099999999999994"/>
    <n v="1500"/>
    <n v="1500"/>
    <n v="0"/>
    <n v="0"/>
    <n v="1"/>
    <n v="0"/>
    <n v="0.85"/>
  </r>
  <r>
    <s v="APT-00818"/>
    <d v="2025-10-03T00:00:00"/>
    <x v="7"/>
    <x v="4"/>
    <s v="Evening"/>
    <x v="1"/>
    <s v="Thrissur"/>
    <x v="5"/>
    <s v="PT-1208"/>
    <s v="Follow-up"/>
    <x v="1"/>
    <s v="Private Insurance"/>
    <s v="Neurologist"/>
    <x v="2"/>
    <n v="60"/>
    <n v="0"/>
    <n v="71.400000000000006"/>
    <n v="1350"/>
    <n v="0"/>
    <n v="1350"/>
    <n v="0"/>
    <n v="0"/>
    <n v="1"/>
    <n v="0.85"/>
  </r>
  <r>
    <s v="APT-00819"/>
    <d v="2025-03-17T00:00:00"/>
    <x v="3"/>
    <x v="1"/>
    <s v="Afternoon"/>
    <x v="1"/>
    <s v="Thrissur"/>
    <x v="5"/>
    <s v="PT-1438"/>
    <s v="Follow-up"/>
    <x v="4"/>
    <s v="Private Insurance"/>
    <s v="Orthopedic Doctor"/>
    <x v="2"/>
    <n v="30"/>
    <n v="0"/>
    <n v="38.5"/>
    <n v="700"/>
    <n v="0"/>
    <n v="700"/>
    <n v="0"/>
    <n v="0"/>
    <n v="1"/>
    <n v="0.85"/>
  </r>
  <r>
    <s v="APT-00820"/>
    <d v="2025-03-08T00:00:00"/>
    <x v="3"/>
    <x v="5"/>
    <s v="Evening"/>
    <x v="0"/>
    <s v="Palakkad"/>
    <x v="13"/>
    <s v="PT-1351"/>
    <s v="New Patient"/>
    <x v="3"/>
    <s v="Self Pay"/>
    <s v="Corporate Wellness"/>
    <x v="0"/>
    <n v="60"/>
    <n v="60"/>
    <n v="80.900000000000006"/>
    <n v="1500"/>
    <n v="1500"/>
    <n v="0"/>
    <n v="0"/>
    <n v="1"/>
    <n v="0"/>
    <n v="0.85"/>
  </r>
  <r>
    <s v="APT-00821"/>
    <d v="2025-01-17T00:00:00"/>
    <x v="11"/>
    <x v="4"/>
    <s v="Afternoon"/>
    <x v="2"/>
    <s v="Ernakulam"/>
    <x v="14"/>
    <s v="PT-1341"/>
    <s v="Chronic Pain"/>
    <x v="3"/>
    <s v="Private Insurance"/>
    <s v="Self Referral"/>
    <x v="0"/>
    <n v="75"/>
    <n v="75"/>
    <n v="93.8"/>
    <n v="1900"/>
    <n v="1900"/>
    <n v="0"/>
    <n v="0"/>
    <n v="1"/>
    <n v="0"/>
    <n v="0.85"/>
  </r>
  <r>
    <s v="APT-00822"/>
    <d v="2025-01-18T00:00:00"/>
    <x v="11"/>
    <x v="5"/>
    <s v="Afternoon"/>
    <x v="0"/>
    <s v="Palakkad"/>
    <x v="11"/>
    <s v="PT-1405"/>
    <s v="Follow-up"/>
    <x v="2"/>
    <s v="Corporate Tie-up"/>
    <s v="Hospital Discharge"/>
    <x v="2"/>
    <n v="45"/>
    <n v="0"/>
    <n v="55.3"/>
    <n v="850"/>
    <n v="0"/>
    <n v="850"/>
    <n v="0"/>
    <n v="0"/>
    <n v="1"/>
    <n v="0.85"/>
  </r>
  <r>
    <s v="APT-00823"/>
    <d v="2025-12-31T00:00:00"/>
    <x v="0"/>
    <x v="3"/>
    <s v="Evening"/>
    <x v="2"/>
    <s v="Ernakulam"/>
    <x v="12"/>
    <s v="PT-1602"/>
    <s v="Geriatric Rehab"/>
    <x v="0"/>
    <s v="Self Pay"/>
    <s v="Orthopedic Doctor"/>
    <x v="0"/>
    <n v="60"/>
    <n v="60"/>
    <n v="75"/>
    <n v="1500"/>
    <n v="1500"/>
    <n v="0"/>
    <n v="0"/>
    <n v="1"/>
    <n v="0"/>
    <n v="0.85"/>
  </r>
  <r>
    <s v="APT-00824"/>
    <d v="2025-12-17T00:00:00"/>
    <x v="0"/>
    <x v="3"/>
    <s v="Evening"/>
    <x v="1"/>
    <s v="Thrissur"/>
    <x v="10"/>
    <s v="PT-1220"/>
    <s v="Follow-up"/>
    <x v="0"/>
    <s v="Government Scheme"/>
    <s v="Self Referral"/>
    <x v="0"/>
    <n v="45"/>
    <n v="45"/>
    <n v="50.1"/>
    <n v="850"/>
    <n v="850"/>
    <n v="0"/>
    <n v="0"/>
    <n v="1"/>
    <n v="0"/>
    <n v="0.85"/>
  </r>
  <r>
    <s v="APT-00825"/>
    <d v="2025-09-17T00:00:00"/>
    <x v="2"/>
    <x v="3"/>
    <s v="Midday"/>
    <x v="2"/>
    <s v="Ernakulam"/>
    <x v="3"/>
    <s v="PT-1269"/>
    <s v="Follow-up"/>
    <x v="0"/>
    <s v="Private Insurance"/>
    <s v="Corporate Wellness"/>
    <x v="0"/>
    <n v="60"/>
    <n v="60"/>
    <n v="70.7"/>
    <n v="1500"/>
    <n v="1500"/>
    <n v="0"/>
    <n v="0"/>
    <n v="1"/>
    <n v="0"/>
    <n v="0.85"/>
  </r>
  <r>
    <s v="APT-00826"/>
    <d v="2025-11-29T00:00:00"/>
    <x v="1"/>
    <x v="5"/>
    <s v="Midday"/>
    <x v="2"/>
    <s v="Ernakulam"/>
    <x v="3"/>
    <s v="PT-1465"/>
    <s v="Chronic Pain"/>
    <x v="3"/>
    <s v="Private Insurance"/>
    <s v="Online Search"/>
    <x v="1"/>
    <n v="60"/>
    <n v="0"/>
    <n v="71.099999999999994"/>
    <n v="1500"/>
    <n v="0"/>
    <n v="1500"/>
    <n v="1"/>
    <n v="0"/>
    <n v="0"/>
    <n v="0.85"/>
  </r>
  <r>
    <s v="APT-00827"/>
    <d v="2025-07-31T00:00:00"/>
    <x v="8"/>
    <x v="2"/>
    <s v="Morning"/>
    <x v="0"/>
    <s v="Palakkad"/>
    <x v="6"/>
    <s v="PT-1185"/>
    <s v="Chronic Pain"/>
    <x v="0"/>
    <s v="Private Insurance"/>
    <s v="Corporate Wellness"/>
    <x v="0"/>
    <n v="30"/>
    <n v="30"/>
    <n v="33.799999999999997"/>
    <n v="600"/>
    <n v="600"/>
    <n v="0"/>
    <n v="0"/>
    <n v="1"/>
    <n v="0"/>
    <n v="0.85"/>
  </r>
  <r>
    <s v="APT-00828"/>
    <d v="2025-02-22T00:00:00"/>
    <x v="5"/>
    <x v="5"/>
    <s v="Evening"/>
    <x v="1"/>
    <s v="Thrissur"/>
    <x v="10"/>
    <s v="PT-1431"/>
    <s v="Follow-up"/>
    <x v="0"/>
    <s v="Government Scheme"/>
    <s v="Neurologist"/>
    <x v="0"/>
    <n v="60"/>
    <n v="60"/>
    <n v="65.7"/>
    <n v="1150"/>
    <n v="1150"/>
    <n v="0"/>
    <n v="0"/>
    <n v="1"/>
    <n v="0"/>
    <n v="0.85"/>
  </r>
  <r>
    <s v="APT-00829"/>
    <d v="2025-11-03T00:00:00"/>
    <x v="1"/>
    <x v="1"/>
    <s v="Evening"/>
    <x v="1"/>
    <s v="Thrissur"/>
    <x v="2"/>
    <s v="PT-1606"/>
    <s v="Post-op Rehab"/>
    <x v="3"/>
    <s v="Corporate Tie-up"/>
    <s v="Neurologist"/>
    <x v="0"/>
    <n v="45"/>
    <n v="45"/>
    <n v="50"/>
    <n v="1050"/>
    <n v="1050"/>
    <n v="0"/>
    <n v="0"/>
    <n v="1"/>
    <n v="0"/>
    <n v="0.85"/>
  </r>
  <r>
    <s v="APT-00830"/>
    <d v="2025-09-04T00:00:00"/>
    <x v="2"/>
    <x v="2"/>
    <s v="Afternoon"/>
    <x v="1"/>
    <s v="Thrissur"/>
    <x v="1"/>
    <s v="PT-1021"/>
    <s v="New Patient"/>
    <x v="1"/>
    <s v="Private Insurance"/>
    <s v="Corporate Wellness"/>
    <x v="0"/>
    <n v="60"/>
    <n v="60"/>
    <n v="77.599999999999994"/>
    <n v="1600"/>
    <n v="1600"/>
    <n v="0"/>
    <n v="0"/>
    <n v="1"/>
    <n v="0"/>
    <n v="0.85"/>
  </r>
  <r>
    <s v="APT-00831"/>
    <d v="2025-04-29T00:00:00"/>
    <x v="6"/>
    <x v="0"/>
    <s v="Afternoon"/>
    <x v="2"/>
    <s v="Ernakulam"/>
    <x v="3"/>
    <s v="PT-1498"/>
    <s v="Post-op Rehab"/>
    <x v="1"/>
    <s v="Self Pay"/>
    <s v="Orthopedic Doctor"/>
    <x v="0"/>
    <n v="45"/>
    <n v="45"/>
    <n v="58.4"/>
    <n v="1300"/>
    <n v="1300"/>
    <n v="0"/>
    <n v="0"/>
    <n v="1"/>
    <n v="0"/>
    <n v="0.85"/>
  </r>
  <r>
    <s v="APT-00832"/>
    <d v="2025-01-31T00:00:00"/>
    <x v="11"/>
    <x v="4"/>
    <s v="Evening"/>
    <x v="1"/>
    <s v="Thrissur"/>
    <x v="7"/>
    <s v="PT-1432"/>
    <s v="Follow-up"/>
    <x v="0"/>
    <s v="Corporate Tie-up"/>
    <s v="Online Search"/>
    <x v="0"/>
    <n v="60"/>
    <n v="60"/>
    <n v="80.400000000000006"/>
    <n v="1250"/>
    <n v="1250"/>
    <n v="0"/>
    <n v="0"/>
    <n v="1"/>
    <n v="0"/>
    <n v="0.85"/>
  </r>
  <r>
    <s v="APT-00833"/>
    <d v="2025-09-26T00:00:00"/>
    <x v="2"/>
    <x v="4"/>
    <s v="Afternoon"/>
    <x v="2"/>
    <s v="Ernakulam"/>
    <x v="12"/>
    <s v="PT-1508"/>
    <s v="Sports Injury"/>
    <x v="5"/>
    <s v="Government Scheme"/>
    <s v="Orthopedic Doctor"/>
    <x v="0"/>
    <n v="45"/>
    <n v="45"/>
    <n v="50.2"/>
    <n v="950"/>
    <n v="950"/>
    <n v="0"/>
    <n v="0"/>
    <n v="1"/>
    <n v="0"/>
    <n v="0.85"/>
  </r>
  <r>
    <s v="APT-00834"/>
    <d v="2025-09-27T00:00:00"/>
    <x v="2"/>
    <x v="5"/>
    <s v="Midday"/>
    <x v="2"/>
    <s v="Ernakulam"/>
    <x v="3"/>
    <s v="PT-1116"/>
    <s v="Geriatric Rehab"/>
    <x v="0"/>
    <s v="Self Pay"/>
    <s v="Corporate Wellness"/>
    <x v="1"/>
    <n v="60"/>
    <n v="0"/>
    <n v="66.900000000000006"/>
    <n v="1500"/>
    <n v="0"/>
    <n v="1500"/>
    <n v="1"/>
    <n v="0"/>
    <n v="0"/>
    <n v="0.85"/>
  </r>
  <r>
    <s v="APT-00835"/>
    <d v="2025-06-02T00:00:00"/>
    <x v="4"/>
    <x v="1"/>
    <s v="Evening"/>
    <x v="2"/>
    <s v="Ernakulam"/>
    <x v="12"/>
    <s v="PT-1314"/>
    <s v="Post-op Rehab"/>
    <x v="4"/>
    <s v="Self Pay"/>
    <s v="Corporate Wellness"/>
    <x v="0"/>
    <n v="60"/>
    <n v="60"/>
    <n v="69.7"/>
    <n v="1700"/>
    <n v="1700"/>
    <n v="0"/>
    <n v="0"/>
    <n v="1"/>
    <n v="0"/>
    <n v="0.85"/>
  </r>
  <r>
    <s v="APT-00836"/>
    <d v="2025-02-10T00:00:00"/>
    <x v="5"/>
    <x v="1"/>
    <s v="Evening"/>
    <x v="2"/>
    <s v="Ernakulam"/>
    <x v="3"/>
    <s v="PT-1553"/>
    <s v="Follow-up"/>
    <x v="5"/>
    <s v="Private Insurance"/>
    <s v="Hospital Discharge"/>
    <x v="0"/>
    <n v="60"/>
    <n v="60"/>
    <n v="72.7"/>
    <n v="1500"/>
    <n v="1500"/>
    <n v="0"/>
    <n v="0"/>
    <n v="1"/>
    <n v="0"/>
    <n v="0.85"/>
  </r>
  <r>
    <s v="APT-00837"/>
    <d v="2025-09-27T00:00:00"/>
    <x v="2"/>
    <x v="5"/>
    <s v="Morning"/>
    <x v="0"/>
    <s v="Palakkad"/>
    <x v="0"/>
    <s v="PT-1526"/>
    <s v="Post-op Rehab"/>
    <x v="0"/>
    <s v="Self Pay"/>
    <s v="Neurologist"/>
    <x v="1"/>
    <n v="45"/>
    <n v="0"/>
    <n v="56.2"/>
    <n v="1100"/>
    <n v="0"/>
    <n v="1100"/>
    <n v="1"/>
    <n v="0"/>
    <n v="0"/>
    <n v="0.85"/>
  </r>
  <r>
    <s v="APT-00838"/>
    <d v="2025-03-19T00:00:00"/>
    <x v="3"/>
    <x v="3"/>
    <s v="Morning"/>
    <x v="0"/>
    <s v="Palakkad"/>
    <x v="13"/>
    <s v="PT-1335"/>
    <s v="Post-op Rehab"/>
    <x v="4"/>
    <s v="Private Insurance"/>
    <s v="Self Referral"/>
    <x v="0"/>
    <n v="45"/>
    <n v="45"/>
    <n v="51.4"/>
    <n v="1100"/>
    <n v="1100"/>
    <n v="0"/>
    <n v="0"/>
    <n v="1"/>
    <n v="0"/>
    <n v="0.85"/>
  </r>
  <r>
    <s v="APT-00839"/>
    <d v="2025-10-15T00:00:00"/>
    <x v="7"/>
    <x v="3"/>
    <s v="Afternoon"/>
    <x v="2"/>
    <s v="Ernakulam"/>
    <x v="3"/>
    <s v="PT-1592"/>
    <s v="Follow-up"/>
    <x v="0"/>
    <s v="Self Pay"/>
    <s v="Hospital Discharge"/>
    <x v="0"/>
    <n v="30"/>
    <n v="30"/>
    <n v="38.5"/>
    <n v="750"/>
    <n v="750"/>
    <n v="0"/>
    <n v="0"/>
    <n v="1"/>
    <n v="0"/>
    <n v="0.85"/>
  </r>
  <r>
    <s v="APT-00840"/>
    <d v="2025-09-23T00:00:00"/>
    <x v="2"/>
    <x v="0"/>
    <s v="Midday"/>
    <x v="2"/>
    <s v="Ernakulam"/>
    <x v="8"/>
    <s v="PT-1485"/>
    <s v="Sports Injury"/>
    <x v="2"/>
    <s v="Private Insurance"/>
    <s v="Online Search"/>
    <x v="0"/>
    <n v="60"/>
    <n v="60"/>
    <n v="69.7"/>
    <n v="1500"/>
    <n v="1500"/>
    <n v="0"/>
    <n v="0"/>
    <n v="1"/>
    <n v="0"/>
    <n v="0.85"/>
  </r>
  <r>
    <s v="APT-00841"/>
    <d v="2025-12-05T00:00:00"/>
    <x v="0"/>
    <x v="4"/>
    <s v="Morning"/>
    <x v="2"/>
    <s v="Ernakulam"/>
    <x v="14"/>
    <s v="PT-1329"/>
    <s v="New Patient"/>
    <x v="1"/>
    <s v="Private Insurance"/>
    <s v="Orthopedic Doctor"/>
    <x v="0"/>
    <n v="60"/>
    <n v="60"/>
    <n v="75.599999999999994"/>
    <n v="1800"/>
    <n v="1800"/>
    <n v="0"/>
    <n v="0"/>
    <n v="1"/>
    <n v="0"/>
    <n v="0.85"/>
  </r>
  <r>
    <s v="APT-00842"/>
    <d v="2025-06-13T00:00:00"/>
    <x v="4"/>
    <x v="4"/>
    <s v="Morning"/>
    <x v="1"/>
    <s v="Thrissur"/>
    <x v="5"/>
    <s v="PT-1582"/>
    <s v="Chronic Pain"/>
    <x v="2"/>
    <s v="Private Insurance"/>
    <s v="Orthopedic Doctor"/>
    <x v="0"/>
    <n v="60"/>
    <n v="60"/>
    <n v="75.599999999999994"/>
    <n v="1350"/>
    <n v="1350"/>
    <n v="0"/>
    <n v="0"/>
    <n v="1"/>
    <n v="0"/>
    <n v="0.85"/>
  </r>
  <r>
    <s v="APT-00843"/>
    <d v="2025-08-23T00:00:00"/>
    <x v="9"/>
    <x v="5"/>
    <s v="Evening"/>
    <x v="1"/>
    <s v="Thrissur"/>
    <x v="7"/>
    <s v="PT-1186"/>
    <s v="Follow-up"/>
    <x v="0"/>
    <s v="Self Pay"/>
    <s v="Self Referral"/>
    <x v="2"/>
    <n v="45"/>
    <n v="0"/>
    <n v="50.2"/>
    <n v="1000"/>
    <n v="0"/>
    <n v="1000"/>
    <n v="0"/>
    <n v="0"/>
    <n v="1"/>
    <n v="0.85"/>
  </r>
  <r>
    <s v="APT-00844"/>
    <d v="2025-04-15T00:00:00"/>
    <x v="6"/>
    <x v="0"/>
    <s v="Evening"/>
    <x v="0"/>
    <s v="Palakkad"/>
    <x v="6"/>
    <s v="PT-1691"/>
    <s v="Follow-up"/>
    <x v="5"/>
    <s v="Corporate Tie-up"/>
    <s v="Hospital Discharge"/>
    <x v="0"/>
    <n v="60"/>
    <n v="60"/>
    <n v="65.5"/>
    <n v="1150"/>
    <n v="1150"/>
    <n v="0"/>
    <n v="0"/>
    <n v="1"/>
    <n v="0"/>
    <n v="0.85"/>
  </r>
  <r>
    <s v="APT-00845"/>
    <d v="2025-12-30T00:00:00"/>
    <x v="0"/>
    <x v="0"/>
    <s v="Evening"/>
    <x v="1"/>
    <s v="Thrissur"/>
    <x v="5"/>
    <s v="PT-1260"/>
    <s v="Chronic Pain"/>
    <x v="1"/>
    <s v="Corporate Tie-up"/>
    <s v="Neurologist"/>
    <x v="0"/>
    <n v="90"/>
    <n v="90"/>
    <n v="107"/>
    <n v="1850"/>
    <n v="1850"/>
    <n v="0"/>
    <n v="0"/>
    <n v="1"/>
    <n v="0"/>
    <n v="0.85"/>
  </r>
  <r>
    <s v="APT-00846"/>
    <d v="2025-04-28T00:00:00"/>
    <x v="6"/>
    <x v="1"/>
    <s v="Afternoon"/>
    <x v="1"/>
    <s v="Thrissur"/>
    <x v="2"/>
    <s v="PT-1206"/>
    <s v="Sports Injury"/>
    <x v="2"/>
    <s v="Self Pay"/>
    <s v="Neurologist"/>
    <x v="0"/>
    <n v="30"/>
    <n v="30"/>
    <n v="35"/>
    <n v="700"/>
    <n v="700"/>
    <n v="0"/>
    <n v="0"/>
    <n v="1"/>
    <n v="0"/>
    <n v="0.85"/>
  </r>
  <r>
    <s v="APT-00847"/>
    <d v="2025-04-05T00:00:00"/>
    <x v="6"/>
    <x v="5"/>
    <s v="Afternoon"/>
    <x v="0"/>
    <s v="Palakkad"/>
    <x v="11"/>
    <s v="PT-1281"/>
    <s v="Follow-up"/>
    <x v="4"/>
    <s v="Private Insurance"/>
    <s v="Hospital Discharge"/>
    <x v="0"/>
    <n v="60"/>
    <n v="60"/>
    <n v="79.900000000000006"/>
    <n v="1250"/>
    <n v="1250"/>
    <n v="0"/>
    <n v="0"/>
    <n v="1"/>
    <n v="0"/>
    <n v="0.85"/>
  </r>
  <r>
    <s v="APT-00848"/>
    <d v="2025-07-01T00:00:00"/>
    <x v="8"/>
    <x v="0"/>
    <s v="Afternoon"/>
    <x v="1"/>
    <s v="Thrissur"/>
    <x v="1"/>
    <s v="PT-1279"/>
    <s v="Post-op Rehab"/>
    <x v="0"/>
    <s v="Private Insurance"/>
    <s v="Corporate Wellness"/>
    <x v="0"/>
    <n v="90"/>
    <n v="90"/>
    <n v="98.6"/>
    <n v="2350"/>
    <n v="2350"/>
    <n v="0"/>
    <n v="0"/>
    <n v="1"/>
    <n v="0"/>
    <n v="0.85"/>
  </r>
  <r>
    <s v="APT-00849"/>
    <d v="2025-12-06T00:00:00"/>
    <x v="0"/>
    <x v="5"/>
    <s v="Evening"/>
    <x v="1"/>
    <s v="Thrissur"/>
    <x v="1"/>
    <s v="PT-1542"/>
    <s v="Post-op Rehab"/>
    <x v="5"/>
    <s v="Private Insurance"/>
    <s v="Online Search"/>
    <x v="2"/>
    <n v="30"/>
    <n v="0"/>
    <n v="34.200000000000003"/>
    <n v="800"/>
    <n v="0"/>
    <n v="800"/>
    <n v="0"/>
    <n v="0"/>
    <n v="1"/>
    <n v="0.85"/>
  </r>
  <r>
    <s v="APT-00850"/>
    <d v="2025-10-06T00:00:00"/>
    <x v="7"/>
    <x v="1"/>
    <s v="Morning"/>
    <x v="1"/>
    <s v="Thrissur"/>
    <x v="7"/>
    <s v="PT-1335"/>
    <s v="Sports Injury"/>
    <x v="2"/>
    <s v="Self Pay"/>
    <s v="Online Search"/>
    <x v="0"/>
    <n v="60"/>
    <n v="60"/>
    <n v="68.7"/>
    <n v="1350"/>
    <n v="1350"/>
    <n v="0"/>
    <n v="0"/>
    <n v="1"/>
    <n v="0"/>
    <n v="0.85"/>
  </r>
  <r>
    <s v="APT-00851"/>
    <d v="2025-07-28T00:00:00"/>
    <x v="8"/>
    <x v="1"/>
    <s v="Morning"/>
    <x v="1"/>
    <s v="Thrissur"/>
    <x v="7"/>
    <s v="PT-1062"/>
    <s v="Follow-up"/>
    <x v="5"/>
    <s v="Self Pay"/>
    <s v="Online Search"/>
    <x v="0"/>
    <n v="60"/>
    <n v="60"/>
    <n v="68.7"/>
    <n v="1350"/>
    <n v="1350"/>
    <n v="0"/>
    <n v="0"/>
    <n v="1"/>
    <n v="0"/>
    <n v="0.85"/>
  </r>
  <r>
    <s v="APT-00852"/>
    <d v="2025-09-16T00:00:00"/>
    <x v="2"/>
    <x v="0"/>
    <s v="Morning"/>
    <x v="2"/>
    <s v="Ernakulam"/>
    <x v="14"/>
    <s v="PT-1203"/>
    <s v="Follow-up"/>
    <x v="4"/>
    <s v="Self Pay"/>
    <s v="Hospital Discharge"/>
    <x v="0"/>
    <n v="90"/>
    <n v="90"/>
    <n v="110.2"/>
    <n v="2250"/>
    <n v="2250"/>
    <n v="0"/>
    <n v="0"/>
    <n v="1"/>
    <n v="0"/>
    <n v="0.85"/>
  </r>
  <r>
    <s v="APT-00853"/>
    <d v="2025-09-25T00:00:00"/>
    <x v="2"/>
    <x v="2"/>
    <s v="Evening"/>
    <x v="1"/>
    <s v="Thrissur"/>
    <x v="7"/>
    <s v="PT-1653"/>
    <s v="Follow-up"/>
    <x v="5"/>
    <s v="Self Pay"/>
    <s v="Online Search"/>
    <x v="0"/>
    <n v="60"/>
    <n v="60"/>
    <n v="66.8"/>
    <n v="1350"/>
    <n v="1350"/>
    <n v="0"/>
    <n v="0"/>
    <n v="1"/>
    <n v="0"/>
    <n v="0.85"/>
  </r>
  <r>
    <s v="APT-00854"/>
    <d v="2025-06-16T00:00:00"/>
    <x v="4"/>
    <x v="1"/>
    <s v="Evening"/>
    <x v="2"/>
    <s v="Ernakulam"/>
    <x v="12"/>
    <s v="PT-1254"/>
    <s v="Geriatric Rehab"/>
    <x v="2"/>
    <s v="Private Insurance"/>
    <s v="Online Search"/>
    <x v="0"/>
    <n v="60"/>
    <n v="60"/>
    <n v="70.900000000000006"/>
    <n v="1500"/>
    <n v="1500"/>
    <n v="0"/>
    <n v="0"/>
    <n v="1"/>
    <n v="0"/>
    <n v="0.85"/>
  </r>
  <r>
    <s v="APT-00855"/>
    <d v="2025-07-10T00:00:00"/>
    <x v="8"/>
    <x v="2"/>
    <s v="Evening"/>
    <x v="0"/>
    <s v="Palakkad"/>
    <x v="13"/>
    <s v="PT-1274"/>
    <s v="Post-op Rehab"/>
    <x v="1"/>
    <s v="Self Pay"/>
    <s v="Neurologist"/>
    <x v="1"/>
    <n v="45"/>
    <n v="0"/>
    <n v="51.1"/>
    <n v="1100"/>
    <n v="0"/>
    <n v="1100"/>
    <n v="1"/>
    <n v="0"/>
    <n v="0"/>
    <n v="0.85"/>
  </r>
  <r>
    <s v="APT-00856"/>
    <d v="2025-08-06T00:00:00"/>
    <x v="9"/>
    <x v="3"/>
    <s v="Morning"/>
    <x v="2"/>
    <s v="Ernakulam"/>
    <x v="14"/>
    <s v="PT-1487"/>
    <s v="New Patient"/>
    <x v="4"/>
    <s v="Self Pay"/>
    <s v="Hospital Discharge"/>
    <x v="0"/>
    <n v="45"/>
    <n v="45"/>
    <n v="55.2"/>
    <n v="1350"/>
    <n v="1350"/>
    <n v="0"/>
    <n v="0"/>
    <n v="1"/>
    <n v="0"/>
    <n v="0.85"/>
  </r>
  <r>
    <s v="APT-00857"/>
    <d v="2025-08-13T00:00:00"/>
    <x v="9"/>
    <x v="3"/>
    <s v="Morning"/>
    <x v="1"/>
    <s v="Thrissur"/>
    <x v="7"/>
    <s v="PT-1040"/>
    <s v="Chronic Pain"/>
    <x v="3"/>
    <s v="Self Pay"/>
    <s v="Orthopedic Doctor"/>
    <x v="1"/>
    <n v="60"/>
    <n v="0"/>
    <n v="73.599999999999994"/>
    <n v="1350"/>
    <n v="0"/>
    <n v="1350"/>
    <n v="1"/>
    <n v="0"/>
    <n v="0"/>
    <n v="0.85"/>
  </r>
  <r>
    <s v="APT-00858"/>
    <d v="2025-05-07T00:00:00"/>
    <x v="10"/>
    <x v="3"/>
    <s v="Afternoon"/>
    <x v="0"/>
    <s v="Palakkad"/>
    <x v="13"/>
    <s v="PT-1658"/>
    <s v="Follow-up"/>
    <x v="3"/>
    <s v="Self Pay"/>
    <s v="Corporate Wellness"/>
    <x v="0"/>
    <n v="60"/>
    <n v="60"/>
    <n v="66.8"/>
    <n v="1250"/>
    <n v="1250"/>
    <n v="0"/>
    <n v="0"/>
    <n v="1"/>
    <n v="0"/>
    <n v="0.85"/>
  </r>
  <r>
    <s v="APT-00859"/>
    <d v="2025-07-05T00:00:00"/>
    <x v="8"/>
    <x v="5"/>
    <s v="Midday"/>
    <x v="2"/>
    <s v="Ernakulam"/>
    <x v="8"/>
    <s v="PT-1563"/>
    <s v="Chronic Pain"/>
    <x v="0"/>
    <s v="Self Pay"/>
    <s v="Online Search"/>
    <x v="1"/>
    <n v="45"/>
    <n v="0"/>
    <n v="50.7"/>
    <n v="1100"/>
    <n v="0"/>
    <n v="1100"/>
    <n v="1"/>
    <n v="0"/>
    <n v="0"/>
    <n v="0.85"/>
  </r>
  <r>
    <s v="APT-00860"/>
    <d v="2025-04-03T00:00:00"/>
    <x v="6"/>
    <x v="2"/>
    <s v="Afternoon"/>
    <x v="2"/>
    <s v="Ernakulam"/>
    <x v="12"/>
    <s v="PT-1112"/>
    <s v="Chronic Pain"/>
    <x v="3"/>
    <s v="Self Pay"/>
    <s v="Corporate Wellness"/>
    <x v="0"/>
    <n v="60"/>
    <n v="60"/>
    <n v="71.400000000000006"/>
    <n v="1500"/>
    <n v="1500"/>
    <n v="0"/>
    <n v="0"/>
    <n v="1"/>
    <n v="0"/>
    <n v="0.85"/>
  </r>
  <r>
    <s v="APT-00861"/>
    <d v="2025-01-13T00:00:00"/>
    <x v="11"/>
    <x v="1"/>
    <s v="Midday"/>
    <x v="2"/>
    <s v="Ernakulam"/>
    <x v="14"/>
    <s v="PT-1265"/>
    <s v="Follow-up"/>
    <x v="4"/>
    <s v="Self Pay"/>
    <s v="Online Search"/>
    <x v="0"/>
    <n v="45"/>
    <n v="45"/>
    <n v="49.5"/>
    <n v="1100"/>
    <n v="1100"/>
    <n v="0"/>
    <n v="0"/>
    <n v="1"/>
    <n v="0"/>
    <n v="0.85"/>
  </r>
  <r>
    <s v="APT-00862"/>
    <d v="2025-08-29T00:00:00"/>
    <x v="9"/>
    <x v="4"/>
    <s v="Morning"/>
    <x v="2"/>
    <s v="Ernakulam"/>
    <x v="8"/>
    <s v="PT-1267"/>
    <s v="Sports Injury"/>
    <x v="1"/>
    <s v="Self Pay"/>
    <s v="Orthopedic Doctor"/>
    <x v="0"/>
    <n v="75"/>
    <n v="75"/>
    <n v="94.2"/>
    <n v="1900"/>
    <n v="1900"/>
    <n v="0"/>
    <n v="0"/>
    <n v="1"/>
    <n v="0"/>
    <n v="0.85"/>
  </r>
  <r>
    <s v="APT-00863"/>
    <d v="2025-05-06T00:00:00"/>
    <x v="10"/>
    <x v="0"/>
    <s v="Morning"/>
    <x v="0"/>
    <s v="Palakkad"/>
    <x v="11"/>
    <s v="PT-1627"/>
    <s v="Chronic Pain"/>
    <x v="2"/>
    <s v="Corporate Tie-up"/>
    <s v="Online Search"/>
    <x v="0"/>
    <n v="45"/>
    <n v="45"/>
    <n v="51.8"/>
    <n v="850"/>
    <n v="850"/>
    <n v="0"/>
    <n v="0"/>
    <n v="1"/>
    <n v="0"/>
    <n v="0.85"/>
  </r>
  <r>
    <s v="APT-00864"/>
    <d v="2025-02-18T00:00:00"/>
    <x v="5"/>
    <x v="0"/>
    <s v="Afternoon"/>
    <x v="0"/>
    <s v="Palakkad"/>
    <x v="13"/>
    <s v="PT-1036"/>
    <s v="Post-op Rehab"/>
    <x v="4"/>
    <s v="Government Scheme"/>
    <s v="Corporate Wellness"/>
    <x v="1"/>
    <n v="60"/>
    <n v="0"/>
    <n v="73.8"/>
    <n v="1200"/>
    <n v="0"/>
    <n v="1200"/>
    <n v="1"/>
    <n v="0"/>
    <n v="0"/>
    <n v="0.85"/>
  </r>
  <r>
    <s v="APT-00865"/>
    <d v="2025-09-18T00:00:00"/>
    <x v="2"/>
    <x v="2"/>
    <s v="Morning"/>
    <x v="2"/>
    <s v="Ernakulam"/>
    <x v="12"/>
    <s v="PT-1192"/>
    <s v="New Patient"/>
    <x v="2"/>
    <s v="Self Pay"/>
    <s v="Hospital Discharge"/>
    <x v="0"/>
    <n v="90"/>
    <n v="90"/>
    <n v="111.5"/>
    <n v="2700"/>
    <n v="2700"/>
    <n v="0"/>
    <n v="0"/>
    <n v="1"/>
    <n v="0"/>
    <n v="0.85"/>
  </r>
  <r>
    <s v="APT-00866"/>
    <d v="2025-09-25T00:00:00"/>
    <x v="2"/>
    <x v="2"/>
    <s v="Evening"/>
    <x v="2"/>
    <s v="Ernakulam"/>
    <x v="12"/>
    <s v="PT-1307"/>
    <s v="Chronic Pain"/>
    <x v="0"/>
    <s v="Self Pay"/>
    <s v="Neurologist"/>
    <x v="2"/>
    <n v="45"/>
    <n v="0"/>
    <n v="55.5"/>
    <n v="1100"/>
    <n v="0"/>
    <n v="1100"/>
    <n v="0"/>
    <n v="0"/>
    <n v="1"/>
    <n v="0.85"/>
  </r>
  <r>
    <s v="APT-00867"/>
    <d v="2025-08-09T00:00:00"/>
    <x v="9"/>
    <x v="5"/>
    <s v="Afternoon"/>
    <x v="0"/>
    <s v="Palakkad"/>
    <x v="9"/>
    <s v="PT-1107"/>
    <s v="Post-op Rehab"/>
    <x v="4"/>
    <s v="Self Pay"/>
    <s v="Online Search"/>
    <x v="1"/>
    <n v="60"/>
    <n v="0"/>
    <n v="66.099999999999994"/>
    <n v="1450"/>
    <n v="0"/>
    <n v="1450"/>
    <n v="1"/>
    <n v="0"/>
    <n v="0"/>
    <n v="0.85"/>
  </r>
  <r>
    <s v="APT-00868"/>
    <d v="2025-03-19T00:00:00"/>
    <x v="3"/>
    <x v="3"/>
    <s v="Midday"/>
    <x v="2"/>
    <s v="Ernakulam"/>
    <x v="14"/>
    <s v="PT-1482"/>
    <s v="New Patient"/>
    <x v="2"/>
    <s v="Private Insurance"/>
    <s v="Self Referral"/>
    <x v="1"/>
    <n v="60"/>
    <n v="0"/>
    <n v="68"/>
    <n v="1800"/>
    <n v="0"/>
    <n v="1800"/>
    <n v="1"/>
    <n v="0"/>
    <n v="0"/>
    <n v="0.85"/>
  </r>
  <r>
    <s v="APT-00869"/>
    <d v="2025-09-30T00:00:00"/>
    <x v="2"/>
    <x v="0"/>
    <s v="Midday"/>
    <x v="2"/>
    <s v="Ernakulam"/>
    <x v="8"/>
    <s v="PT-1031"/>
    <s v="New Patient"/>
    <x v="4"/>
    <s v="Private Insurance"/>
    <s v="Orthopedic Doctor"/>
    <x v="0"/>
    <n v="75"/>
    <n v="75"/>
    <n v="87.1"/>
    <n v="2250"/>
    <n v="2250"/>
    <n v="0"/>
    <n v="0"/>
    <n v="1"/>
    <n v="0"/>
    <n v="0.85"/>
  </r>
  <r>
    <s v="APT-00870"/>
    <d v="2025-04-14T00:00:00"/>
    <x v="6"/>
    <x v="1"/>
    <s v="Evening"/>
    <x v="1"/>
    <s v="Thrissur"/>
    <x v="1"/>
    <s v="PT-1340"/>
    <s v="Follow-up"/>
    <x v="4"/>
    <s v="Self Pay"/>
    <s v="Corporate Wellness"/>
    <x v="0"/>
    <n v="45"/>
    <n v="45"/>
    <n v="55.4"/>
    <n v="1000"/>
    <n v="1000"/>
    <n v="0"/>
    <n v="0"/>
    <n v="1"/>
    <n v="0"/>
    <n v="0.85"/>
  </r>
  <r>
    <s v="APT-00871"/>
    <d v="2025-05-19T00:00:00"/>
    <x v="10"/>
    <x v="1"/>
    <s v="Midday"/>
    <x v="1"/>
    <s v="Thrissur"/>
    <x v="1"/>
    <s v="PT-1255"/>
    <s v="New Patient"/>
    <x v="1"/>
    <s v="Self Pay"/>
    <s v="Neurologist"/>
    <x v="3"/>
    <n v="60"/>
    <n v="0"/>
    <n v="79.599999999999994"/>
    <n v="1600"/>
    <n v="0"/>
    <n v="0"/>
    <n v="0"/>
    <n v="0"/>
    <n v="0"/>
    <n v="0.85"/>
  </r>
  <r>
    <s v="APT-00872"/>
    <d v="2025-10-08T00:00:00"/>
    <x v="7"/>
    <x v="3"/>
    <s v="Midday"/>
    <x v="1"/>
    <s v="Thrissur"/>
    <x v="10"/>
    <s v="PT-1596"/>
    <s v="Chronic Pain"/>
    <x v="5"/>
    <s v="Corporate Tie-up"/>
    <s v="Online Search"/>
    <x v="0"/>
    <n v="45"/>
    <n v="45"/>
    <n v="58.8"/>
    <n v="950"/>
    <n v="950"/>
    <n v="0"/>
    <n v="0"/>
    <n v="1"/>
    <n v="0"/>
    <n v="0.85"/>
  </r>
  <r>
    <s v="APT-00873"/>
    <d v="2025-12-30T00:00:00"/>
    <x v="0"/>
    <x v="0"/>
    <s v="Morning"/>
    <x v="1"/>
    <s v="Thrissur"/>
    <x v="1"/>
    <s v="PT-1070"/>
    <s v="Chronic Pain"/>
    <x v="5"/>
    <s v="Self Pay"/>
    <s v="Self Referral"/>
    <x v="2"/>
    <n v="45"/>
    <n v="0"/>
    <n v="53.1"/>
    <n v="1000"/>
    <n v="0"/>
    <n v="1000"/>
    <n v="0"/>
    <n v="0"/>
    <n v="1"/>
    <n v="0.85"/>
  </r>
  <r>
    <s v="APT-00874"/>
    <d v="2025-11-17T00:00:00"/>
    <x v="1"/>
    <x v="1"/>
    <s v="Midday"/>
    <x v="1"/>
    <s v="Thrissur"/>
    <x v="7"/>
    <s v="PT-1509"/>
    <s v="Geriatric Rehab"/>
    <x v="4"/>
    <s v="Self Pay"/>
    <s v="Orthopedic Doctor"/>
    <x v="0"/>
    <n v="60"/>
    <n v="60"/>
    <n v="80.900000000000006"/>
    <n v="1350"/>
    <n v="1350"/>
    <n v="0"/>
    <n v="0"/>
    <n v="1"/>
    <n v="0"/>
    <n v="0.85"/>
  </r>
  <r>
    <s v="APT-00875"/>
    <d v="2025-09-08T00:00:00"/>
    <x v="2"/>
    <x v="1"/>
    <s v="Morning"/>
    <x v="0"/>
    <s v="Palakkad"/>
    <x v="6"/>
    <s v="PT-1394"/>
    <s v="New Patient"/>
    <x v="3"/>
    <s v="Private Insurance"/>
    <s v="Hospital Discharge"/>
    <x v="0"/>
    <n v="45"/>
    <n v="45"/>
    <n v="50.3"/>
    <n v="1100"/>
    <n v="1100"/>
    <n v="0"/>
    <n v="0"/>
    <n v="1"/>
    <n v="0"/>
    <n v="0.85"/>
  </r>
  <r>
    <s v="APT-00876"/>
    <d v="2025-10-30T00:00:00"/>
    <x v="7"/>
    <x v="2"/>
    <s v="Morning"/>
    <x v="1"/>
    <s v="Thrissur"/>
    <x v="1"/>
    <s v="PT-1578"/>
    <s v="Post-op Rehab"/>
    <x v="1"/>
    <s v="Private Insurance"/>
    <s v="Orthopedic Doctor"/>
    <x v="0"/>
    <n v="60"/>
    <n v="60"/>
    <n v="78.900000000000006"/>
    <n v="1550"/>
    <n v="1550"/>
    <n v="0"/>
    <n v="0"/>
    <n v="1"/>
    <n v="0"/>
    <n v="0.85"/>
  </r>
  <r>
    <s v="APT-00877"/>
    <d v="2025-08-21T00:00:00"/>
    <x v="9"/>
    <x v="2"/>
    <s v="Midday"/>
    <x v="1"/>
    <s v="Thrissur"/>
    <x v="7"/>
    <s v="PT-1295"/>
    <s v="Geriatric Rehab"/>
    <x v="5"/>
    <s v="Private Insurance"/>
    <s v="Orthopedic Doctor"/>
    <x v="0"/>
    <n v="30"/>
    <n v="30"/>
    <n v="38.299999999999997"/>
    <n v="700"/>
    <n v="700"/>
    <n v="0"/>
    <n v="0"/>
    <n v="1"/>
    <n v="0"/>
    <n v="0.85"/>
  </r>
  <r>
    <s v="APT-00878"/>
    <d v="2025-08-08T00:00:00"/>
    <x v="9"/>
    <x v="4"/>
    <s v="Evening"/>
    <x v="2"/>
    <s v="Ernakulam"/>
    <x v="8"/>
    <s v="PT-1214"/>
    <s v="Post-op Rehab"/>
    <x v="2"/>
    <s v="Government Scheme"/>
    <s v="Corporate Wellness"/>
    <x v="0"/>
    <n v="60"/>
    <n v="60"/>
    <n v="80.5"/>
    <n v="1450"/>
    <n v="1450"/>
    <n v="0"/>
    <n v="0"/>
    <n v="1"/>
    <n v="0"/>
    <n v="0.85"/>
  </r>
  <r>
    <s v="APT-00879"/>
    <d v="2025-09-17T00:00:00"/>
    <x v="2"/>
    <x v="3"/>
    <s v="Morning"/>
    <x v="1"/>
    <s v="Thrissur"/>
    <x v="10"/>
    <s v="PT-1617"/>
    <s v="Chronic Pain"/>
    <x v="4"/>
    <s v="Self Pay"/>
    <s v="Hospital Discharge"/>
    <x v="0"/>
    <n v="45"/>
    <n v="45"/>
    <n v="53.3"/>
    <n v="1000"/>
    <n v="1000"/>
    <n v="0"/>
    <n v="0"/>
    <n v="1"/>
    <n v="0"/>
    <n v="0.85"/>
  </r>
  <r>
    <s v="APT-00880"/>
    <d v="2025-07-05T00:00:00"/>
    <x v="8"/>
    <x v="5"/>
    <s v="Afternoon"/>
    <x v="2"/>
    <s v="Ernakulam"/>
    <x v="12"/>
    <s v="PT-1107"/>
    <s v="Follow-up"/>
    <x v="0"/>
    <s v="Private Insurance"/>
    <s v="Self Referral"/>
    <x v="0"/>
    <n v="45"/>
    <n v="45"/>
    <n v="58"/>
    <n v="1100"/>
    <n v="1100"/>
    <n v="0"/>
    <n v="0"/>
    <n v="1"/>
    <n v="0"/>
    <n v="0.85"/>
  </r>
  <r>
    <s v="APT-00881"/>
    <d v="2025-04-06T00:00:00"/>
    <x v="6"/>
    <x v="6"/>
    <s v="Morning"/>
    <x v="2"/>
    <s v="Ernakulam"/>
    <x v="4"/>
    <s v="PT-1563"/>
    <s v="Follow-up"/>
    <x v="2"/>
    <s v="Corporate Tie-up"/>
    <s v="Orthopedic Doctor"/>
    <x v="0"/>
    <n v="45"/>
    <n v="45"/>
    <n v="50.2"/>
    <n v="1050"/>
    <n v="1050"/>
    <n v="0"/>
    <n v="0"/>
    <n v="1"/>
    <n v="0"/>
    <n v="0.85"/>
  </r>
  <r>
    <s v="APT-00882"/>
    <d v="2025-12-18T00:00:00"/>
    <x v="0"/>
    <x v="2"/>
    <s v="Midday"/>
    <x v="1"/>
    <s v="Thrissur"/>
    <x v="7"/>
    <s v="PT-1258"/>
    <s v="Follow-up"/>
    <x v="3"/>
    <s v="Self Pay"/>
    <s v="Neurologist"/>
    <x v="0"/>
    <n v="45"/>
    <n v="45"/>
    <n v="49.7"/>
    <n v="1000"/>
    <n v="1000"/>
    <n v="0"/>
    <n v="0"/>
    <n v="1"/>
    <n v="0"/>
    <n v="0.85"/>
  </r>
  <r>
    <s v="APT-00883"/>
    <d v="2025-11-14T00:00:00"/>
    <x v="1"/>
    <x v="4"/>
    <s v="Evening"/>
    <x v="0"/>
    <s v="Palakkad"/>
    <x v="6"/>
    <s v="PT-1343"/>
    <s v="Follow-up"/>
    <x v="5"/>
    <s v="Private Insurance"/>
    <s v="Online Search"/>
    <x v="0"/>
    <n v="30"/>
    <n v="30"/>
    <n v="35.700000000000003"/>
    <n v="600"/>
    <n v="600"/>
    <n v="0"/>
    <n v="0"/>
    <n v="1"/>
    <n v="0"/>
    <n v="0.85"/>
  </r>
  <r>
    <s v="APT-00884"/>
    <d v="2025-06-19T00:00:00"/>
    <x v="4"/>
    <x v="2"/>
    <s v="Morning"/>
    <x v="1"/>
    <s v="Thrissur"/>
    <x v="7"/>
    <s v="PT-1681"/>
    <s v="Chronic Pain"/>
    <x v="3"/>
    <s v="Self Pay"/>
    <s v="Self Referral"/>
    <x v="0"/>
    <n v="60"/>
    <n v="60"/>
    <n v="74.3"/>
    <n v="1350"/>
    <n v="1350"/>
    <n v="0"/>
    <n v="0"/>
    <n v="1"/>
    <n v="0"/>
    <n v="0.85"/>
  </r>
  <r>
    <s v="APT-00885"/>
    <d v="2025-05-07T00:00:00"/>
    <x v="10"/>
    <x v="3"/>
    <s v="Evening"/>
    <x v="2"/>
    <s v="Ernakulam"/>
    <x v="4"/>
    <s v="PT-1455"/>
    <s v="Chronic Pain"/>
    <x v="5"/>
    <s v="Self Pay"/>
    <s v="Neurologist"/>
    <x v="1"/>
    <n v="60"/>
    <n v="0"/>
    <n v="72.8"/>
    <n v="1500"/>
    <n v="0"/>
    <n v="1500"/>
    <n v="1"/>
    <n v="0"/>
    <n v="0"/>
    <n v="0.85"/>
  </r>
  <r>
    <s v="APT-00886"/>
    <d v="2025-11-19T00:00:00"/>
    <x v="1"/>
    <x v="3"/>
    <s v="Midday"/>
    <x v="2"/>
    <s v="Ernakulam"/>
    <x v="3"/>
    <s v="PT-1468"/>
    <s v="Sports Injury"/>
    <x v="0"/>
    <s v="Private Insurance"/>
    <s v="Orthopedic Doctor"/>
    <x v="3"/>
    <n v="45"/>
    <n v="0"/>
    <n v="57.5"/>
    <n v="1100"/>
    <n v="0"/>
    <n v="0"/>
    <n v="0"/>
    <n v="0"/>
    <n v="0"/>
    <n v="0.85"/>
  </r>
  <r>
    <s v="APT-00887"/>
    <d v="2025-11-13T00:00:00"/>
    <x v="1"/>
    <x v="2"/>
    <s v="Evening"/>
    <x v="2"/>
    <s v="Ernakulam"/>
    <x v="3"/>
    <s v="PT-1444"/>
    <s v="New Patient"/>
    <x v="5"/>
    <s v="Private Insurance"/>
    <s v="Neurologist"/>
    <x v="0"/>
    <n v="60"/>
    <n v="60"/>
    <n v="75.8"/>
    <n v="1800"/>
    <n v="1800"/>
    <n v="0"/>
    <n v="0"/>
    <n v="1"/>
    <n v="0"/>
    <n v="0.85"/>
  </r>
  <r>
    <s v="APT-00888"/>
    <d v="2025-03-03T00:00:00"/>
    <x v="3"/>
    <x v="1"/>
    <s v="Evening"/>
    <x v="1"/>
    <s v="Thrissur"/>
    <x v="1"/>
    <s v="PT-1385"/>
    <s v="Post-op Rehab"/>
    <x v="5"/>
    <s v="Self Pay"/>
    <s v="Online Search"/>
    <x v="0"/>
    <n v="30"/>
    <n v="30"/>
    <n v="38.9"/>
    <n v="800"/>
    <n v="800"/>
    <n v="0"/>
    <n v="0"/>
    <n v="1"/>
    <n v="0"/>
    <n v="0.85"/>
  </r>
  <r>
    <s v="APT-00889"/>
    <d v="2025-08-13T00:00:00"/>
    <x v="9"/>
    <x v="3"/>
    <s v="Morning"/>
    <x v="1"/>
    <s v="Thrissur"/>
    <x v="2"/>
    <s v="PT-1123"/>
    <s v="New Patient"/>
    <x v="5"/>
    <s v="Self Pay"/>
    <s v="Orthopedic Doctor"/>
    <x v="1"/>
    <n v="90"/>
    <n v="0"/>
    <n v="116.6"/>
    <n v="2450"/>
    <n v="0"/>
    <n v="2450"/>
    <n v="1"/>
    <n v="0"/>
    <n v="0"/>
    <n v="0.85"/>
  </r>
  <r>
    <s v="APT-00890"/>
    <d v="2025-03-03T00:00:00"/>
    <x v="3"/>
    <x v="1"/>
    <s v="Afternoon"/>
    <x v="0"/>
    <s v="Palakkad"/>
    <x v="11"/>
    <s v="PT-1548"/>
    <s v="New Patient"/>
    <x v="4"/>
    <s v="Self Pay"/>
    <s v="Online Search"/>
    <x v="0"/>
    <n v="30"/>
    <n v="30"/>
    <n v="35.299999999999997"/>
    <n v="750"/>
    <n v="750"/>
    <n v="0"/>
    <n v="0"/>
    <n v="1"/>
    <n v="0"/>
    <n v="0.85"/>
  </r>
  <r>
    <s v="APT-00891"/>
    <d v="2025-10-21T00:00:00"/>
    <x v="7"/>
    <x v="0"/>
    <s v="Midday"/>
    <x v="0"/>
    <s v="Palakkad"/>
    <x v="11"/>
    <s v="PT-1414"/>
    <s v="Sports Injury"/>
    <x v="5"/>
    <s v="Private Insurance"/>
    <s v="Hospital Discharge"/>
    <x v="0"/>
    <n v="75"/>
    <n v="75"/>
    <n v="99.8"/>
    <n v="1550"/>
    <n v="1550"/>
    <n v="0"/>
    <n v="0"/>
    <n v="1"/>
    <n v="0"/>
    <n v="0.85"/>
  </r>
  <r>
    <s v="APT-00892"/>
    <d v="2025-06-05T00:00:00"/>
    <x v="4"/>
    <x v="2"/>
    <s v="Afternoon"/>
    <x v="2"/>
    <s v="Ernakulam"/>
    <x v="3"/>
    <s v="PT-1135"/>
    <s v="Follow-up"/>
    <x v="4"/>
    <s v="Self Pay"/>
    <s v="Neurologist"/>
    <x v="0"/>
    <n v="45"/>
    <n v="45"/>
    <n v="53.6"/>
    <n v="1100"/>
    <n v="1100"/>
    <n v="0"/>
    <n v="0"/>
    <n v="1"/>
    <n v="0"/>
    <n v="0.85"/>
  </r>
  <r>
    <s v="APT-00893"/>
    <d v="2025-03-26T00:00:00"/>
    <x v="3"/>
    <x v="3"/>
    <s v="Midday"/>
    <x v="1"/>
    <s v="Thrissur"/>
    <x v="2"/>
    <s v="PT-1156"/>
    <s v="New Patient"/>
    <x v="1"/>
    <s v="Government Scheme"/>
    <s v="Corporate Wellness"/>
    <x v="0"/>
    <n v="75"/>
    <n v="75"/>
    <n v="99.1"/>
    <n v="1700"/>
    <n v="1700"/>
    <n v="0"/>
    <n v="0"/>
    <n v="1"/>
    <n v="0"/>
    <n v="0.85"/>
  </r>
  <r>
    <s v="APT-00894"/>
    <d v="2025-12-14T00:00:00"/>
    <x v="0"/>
    <x v="6"/>
    <s v="Morning"/>
    <x v="2"/>
    <s v="Ernakulam"/>
    <x v="3"/>
    <s v="PT-1269"/>
    <s v="Post-op Rehab"/>
    <x v="3"/>
    <s v="Private Insurance"/>
    <s v="Hospital Discharge"/>
    <x v="0"/>
    <n v="45"/>
    <n v="45"/>
    <n v="59.2"/>
    <n v="1300"/>
    <n v="1300"/>
    <n v="0"/>
    <n v="0"/>
    <n v="1"/>
    <n v="0"/>
    <n v="0.85"/>
  </r>
  <r>
    <s v="APT-00895"/>
    <d v="2025-10-13T00:00:00"/>
    <x v="7"/>
    <x v="1"/>
    <s v="Afternoon"/>
    <x v="0"/>
    <s v="Palakkad"/>
    <x v="13"/>
    <s v="PT-1071"/>
    <s v="New Patient"/>
    <x v="2"/>
    <s v="Corporate Tie-up"/>
    <s v="Neurologist"/>
    <x v="0"/>
    <n v="30"/>
    <n v="30"/>
    <n v="36.700000000000003"/>
    <n v="700"/>
    <n v="700"/>
    <n v="0"/>
    <n v="0"/>
    <n v="1"/>
    <n v="0"/>
    <n v="0.85"/>
  </r>
  <r>
    <s v="APT-00896"/>
    <d v="2025-12-26T00:00:00"/>
    <x v="0"/>
    <x v="4"/>
    <s v="Midday"/>
    <x v="2"/>
    <s v="Ernakulam"/>
    <x v="14"/>
    <s v="PT-1086"/>
    <s v="New Patient"/>
    <x v="0"/>
    <s v="Private Insurance"/>
    <s v="Orthopedic Doctor"/>
    <x v="1"/>
    <n v="45"/>
    <n v="0"/>
    <n v="49.5"/>
    <n v="1350"/>
    <n v="0"/>
    <n v="1350"/>
    <n v="1"/>
    <n v="0"/>
    <n v="0"/>
    <n v="0.85"/>
  </r>
  <r>
    <s v="APT-00897"/>
    <d v="2025-01-14T00:00:00"/>
    <x v="11"/>
    <x v="0"/>
    <s v="Midday"/>
    <x v="2"/>
    <s v="Ernakulam"/>
    <x v="3"/>
    <s v="PT-1347"/>
    <s v="Chronic Pain"/>
    <x v="4"/>
    <s v="Government Scheme"/>
    <s v="Orthopedic Doctor"/>
    <x v="0"/>
    <n v="90"/>
    <n v="90"/>
    <n v="117.3"/>
    <n v="1900"/>
    <n v="1900"/>
    <n v="0"/>
    <n v="0"/>
    <n v="1"/>
    <n v="0"/>
    <n v="0.85"/>
  </r>
  <r>
    <s v="APT-00898"/>
    <d v="2025-05-05T00:00:00"/>
    <x v="10"/>
    <x v="1"/>
    <s v="Midday"/>
    <x v="2"/>
    <s v="Ernakulam"/>
    <x v="12"/>
    <s v="PT-1184"/>
    <s v="Sports Injury"/>
    <x v="3"/>
    <s v="Self Pay"/>
    <s v="Orthopedic Doctor"/>
    <x v="0"/>
    <n v="60"/>
    <n v="60"/>
    <n v="67.900000000000006"/>
    <n v="1500"/>
    <n v="1500"/>
    <n v="0"/>
    <n v="0"/>
    <n v="1"/>
    <n v="0"/>
    <n v="0.85"/>
  </r>
  <r>
    <s v="APT-00899"/>
    <d v="2025-07-12T00:00:00"/>
    <x v="8"/>
    <x v="5"/>
    <s v="Midday"/>
    <x v="2"/>
    <s v="Ernakulam"/>
    <x v="12"/>
    <s v="PT-1479"/>
    <s v="Follow-up"/>
    <x v="5"/>
    <s v="Government Scheme"/>
    <s v="Online Search"/>
    <x v="0"/>
    <n v="75"/>
    <n v="75"/>
    <n v="83.4"/>
    <n v="1600"/>
    <n v="1600"/>
    <n v="0"/>
    <n v="0"/>
    <n v="1"/>
    <n v="0"/>
    <n v="0.85"/>
  </r>
  <r>
    <s v="APT-00900"/>
    <d v="2025-12-08T00:00:00"/>
    <x v="0"/>
    <x v="1"/>
    <s v="Midday"/>
    <x v="2"/>
    <s v="Ernakulam"/>
    <x v="8"/>
    <s v="PT-1229"/>
    <s v="Post-op Rehab"/>
    <x v="5"/>
    <s v="Corporate Tie-up"/>
    <s v="Online Search"/>
    <x v="0"/>
    <n v="45"/>
    <n v="45"/>
    <n v="60.6"/>
    <n v="1200"/>
    <n v="1200"/>
    <n v="0"/>
    <n v="0"/>
    <n v="1"/>
    <n v="0"/>
    <n v="0.85"/>
  </r>
  <r>
    <s v="APT-00901"/>
    <d v="2025-03-17T00:00:00"/>
    <x v="3"/>
    <x v="1"/>
    <s v="Morning"/>
    <x v="0"/>
    <s v="Palakkad"/>
    <x v="0"/>
    <s v="PT-1671"/>
    <s v="Chronic Pain"/>
    <x v="0"/>
    <s v="Self Pay"/>
    <s v="Online Search"/>
    <x v="1"/>
    <n v="45"/>
    <n v="0"/>
    <n v="59.1"/>
    <n v="950"/>
    <n v="0"/>
    <n v="950"/>
    <n v="1"/>
    <n v="0"/>
    <n v="0"/>
    <n v="0.85"/>
  </r>
  <r>
    <s v="APT-00902"/>
    <d v="2025-10-01T00:00:00"/>
    <x v="7"/>
    <x v="3"/>
    <s v="Midday"/>
    <x v="0"/>
    <s v="Palakkad"/>
    <x v="11"/>
    <s v="PT-1323"/>
    <s v="Sports Injury"/>
    <x v="1"/>
    <s v="Private Insurance"/>
    <s v="Online Search"/>
    <x v="1"/>
    <n v="60"/>
    <n v="0"/>
    <n v="80.2"/>
    <n v="1250"/>
    <n v="0"/>
    <n v="1250"/>
    <n v="1"/>
    <n v="0"/>
    <n v="0"/>
    <n v="0.85"/>
  </r>
  <r>
    <s v="APT-00903"/>
    <d v="2025-08-08T00:00:00"/>
    <x v="9"/>
    <x v="4"/>
    <s v="Evening"/>
    <x v="2"/>
    <s v="Ernakulam"/>
    <x v="14"/>
    <s v="PT-1054"/>
    <s v="Follow-up"/>
    <x v="2"/>
    <s v="Corporate Tie-up"/>
    <s v="Hospital Discharge"/>
    <x v="0"/>
    <n v="60"/>
    <n v="60"/>
    <n v="78.2"/>
    <n v="1400"/>
    <n v="1400"/>
    <n v="0"/>
    <n v="0"/>
    <n v="1"/>
    <n v="0"/>
    <n v="0.85"/>
  </r>
  <r>
    <s v="APT-00904"/>
    <d v="2025-12-16T00:00:00"/>
    <x v="0"/>
    <x v="0"/>
    <s v="Midday"/>
    <x v="2"/>
    <s v="Ernakulam"/>
    <x v="8"/>
    <s v="PT-1303"/>
    <s v="Post-op Rehab"/>
    <x v="0"/>
    <s v="Corporate Tie-up"/>
    <s v="Online Search"/>
    <x v="0"/>
    <n v="60"/>
    <n v="60"/>
    <n v="70"/>
    <n v="1600"/>
    <n v="1600"/>
    <n v="0"/>
    <n v="0"/>
    <n v="1"/>
    <n v="0"/>
    <n v="0.85"/>
  </r>
  <r>
    <s v="APT-00905"/>
    <d v="2025-11-11T00:00:00"/>
    <x v="1"/>
    <x v="0"/>
    <s v="Afternoon"/>
    <x v="2"/>
    <s v="Ernakulam"/>
    <x v="4"/>
    <s v="PT-1541"/>
    <s v="Chronic Pain"/>
    <x v="2"/>
    <s v="Corporate Tie-up"/>
    <s v="Hospital Discharge"/>
    <x v="0"/>
    <n v="45"/>
    <n v="45"/>
    <n v="51.4"/>
    <n v="1050"/>
    <n v="1050"/>
    <n v="0"/>
    <n v="0"/>
    <n v="1"/>
    <n v="0"/>
    <n v="0.85"/>
  </r>
  <r>
    <s v="APT-00906"/>
    <d v="2025-03-01T00:00:00"/>
    <x v="3"/>
    <x v="5"/>
    <s v="Afternoon"/>
    <x v="0"/>
    <s v="Palakkad"/>
    <x v="11"/>
    <s v="PT-1133"/>
    <s v="Sports Injury"/>
    <x v="0"/>
    <s v="Self Pay"/>
    <s v="Neurologist"/>
    <x v="0"/>
    <n v="60"/>
    <n v="60"/>
    <n v="72.400000000000006"/>
    <n v="1250"/>
    <n v="1250"/>
    <n v="0"/>
    <n v="0"/>
    <n v="1"/>
    <n v="0"/>
    <n v="0.85"/>
  </r>
  <r>
    <s v="APT-00907"/>
    <d v="2025-08-18T00:00:00"/>
    <x v="9"/>
    <x v="1"/>
    <s v="Morning"/>
    <x v="0"/>
    <s v="Palakkad"/>
    <x v="11"/>
    <s v="PT-1123"/>
    <s v="Follow-up"/>
    <x v="0"/>
    <s v="Self Pay"/>
    <s v="Hospital Discharge"/>
    <x v="1"/>
    <n v="60"/>
    <n v="0"/>
    <n v="78.8"/>
    <n v="1250"/>
    <n v="0"/>
    <n v="1250"/>
    <n v="1"/>
    <n v="0"/>
    <n v="0"/>
    <n v="0.85"/>
  </r>
  <r>
    <s v="APT-00908"/>
    <d v="2025-09-10T00:00:00"/>
    <x v="2"/>
    <x v="3"/>
    <s v="Morning"/>
    <x v="2"/>
    <s v="Ernakulam"/>
    <x v="8"/>
    <s v="PT-1575"/>
    <s v="Post-op Rehab"/>
    <x v="3"/>
    <s v="Private Insurance"/>
    <s v="Self Referral"/>
    <x v="0"/>
    <n v="90"/>
    <n v="90"/>
    <n v="100.1"/>
    <n v="2600"/>
    <n v="2600"/>
    <n v="0"/>
    <n v="0"/>
    <n v="1"/>
    <n v="0"/>
    <n v="0.85"/>
  </r>
  <r>
    <s v="APT-00909"/>
    <d v="2025-01-28T00:00:00"/>
    <x v="11"/>
    <x v="0"/>
    <s v="Morning"/>
    <x v="2"/>
    <s v="Ernakulam"/>
    <x v="3"/>
    <s v="PT-1124"/>
    <s v="Follow-up"/>
    <x v="3"/>
    <s v="Self Pay"/>
    <s v="Orthopedic Doctor"/>
    <x v="0"/>
    <n v="60"/>
    <n v="60"/>
    <n v="66.099999999999994"/>
    <n v="1500"/>
    <n v="1500"/>
    <n v="0"/>
    <n v="0"/>
    <n v="1"/>
    <n v="0"/>
    <n v="0.85"/>
  </r>
  <r>
    <s v="APT-00910"/>
    <d v="2025-03-27T00:00:00"/>
    <x v="3"/>
    <x v="2"/>
    <s v="Morning"/>
    <x v="2"/>
    <s v="Ernakulam"/>
    <x v="14"/>
    <s v="PT-1031"/>
    <s v="Follow-up"/>
    <x v="4"/>
    <s v="Private Insurance"/>
    <s v="Orthopedic Doctor"/>
    <x v="0"/>
    <n v="60"/>
    <n v="60"/>
    <n v="80.900000000000006"/>
    <n v="1500"/>
    <n v="1500"/>
    <n v="0"/>
    <n v="0"/>
    <n v="1"/>
    <n v="0"/>
    <n v="0.85"/>
  </r>
  <r>
    <s v="APT-00911"/>
    <d v="2025-06-05T00:00:00"/>
    <x v="4"/>
    <x v="2"/>
    <s v="Afternoon"/>
    <x v="0"/>
    <s v="Palakkad"/>
    <x v="11"/>
    <s v="PT-1472"/>
    <s v="Post-op Rehab"/>
    <x v="2"/>
    <s v="Private Insurance"/>
    <s v="Hospital Discharge"/>
    <x v="0"/>
    <n v="90"/>
    <n v="90"/>
    <n v="112.7"/>
    <n v="2150"/>
    <n v="2150"/>
    <n v="0"/>
    <n v="0"/>
    <n v="1"/>
    <n v="0"/>
    <n v="0.85"/>
  </r>
  <r>
    <s v="APT-00912"/>
    <d v="2025-10-29T00:00:00"/>
    <x v="7"/>
    <x v="3"/>
    <s v="Morning"/>
    <x v="0"/>
    <s v="Palakkad"/>
    <x v="13"/>
    <s v="PT-1273"/>
    <s v="Post-op Rehab"/>
    <x v="3"/>
    <s v="Private Insurance"/>
    <s v="Self Referral"/>
    <x v="0"/>
    <n v="60"/>
    <n v="60"/>
    <n v="79.8"/>
    <n v="1450"/>
    <n v="1450"/>
    <n v="0"/>
    <n v="0"/>
    <n v="1"/>
    <n v="0"/>
    <n v="0.85"/>
  </r>
  <r>
    <s v="APT-00913"/>
    <d v="2025-02-18T00:00:00"/>
    <x v="5"/>
    <x v="0"/>
    <s v="Evening"/>
    <x v="1"/>
    <s v="Thrissur"/>
    <x v="2"/>
    <s v="PT-1267"/>
    <s v="Post-op Rehab"/>
    <x v="0"/>
    <s v="Self Pay"/>
    <s v="Neurologist"/>
    <x v="0"/>
    <n v="75"/>
    <n v="75"/>
    <n v="93.8"/>
    <n v="1950"/>
    <n v="1950"/>
    <n v="0"/>
    <n v="0"/>
    <n v="1"/>
    <n v="0"/>
    <n v="0.85"/>
  </r>
  <r>
    <s v="APT-00914"/>
    <d v="2025-07-05T00:00:00"/>
    <x v="8"/>
    <x v="5"/>
    <s v="Morning"/>
    <x v="0"/>
    <s v="Palakkad"/>
    <x v="0"/>
    <s v="PT-1438"/>
    <s v="Follow-up"/>
    <x v="0"/>
    <s v="Self Pay"/>
    <s v="Corporate Wellness"/>
    <x v="0"/>
    <n v="60"/>
    <n v="60"/>
    <n v="67.7"/>
    <n v="1250"/>
    <n v="1250"/>
    <n v="0"/>
    <n v="0"/>
    <n v="1"/>
    <n v="0"/>
    <n v="0.85"/>
  </r>
  <r>
    <s v="APT-00915"/>
    <d v="2025-02-17T00:00:00"/>
    <x v="5"/>
    <x v="1"/>
    <s v="Morning"/>
    <x v="0"/>
    <s v="Palakkad"/>
    <x v="0"/>
    <s v="PT-1441"/>
    <s v="Follow-up"/>
    <x v="4"/>
    <s v="Private Insurance"/>
    <s v="Online Search"/>
    <x v="0"/>
    <n v="60"/>
    <n v="60"/>
    <n v="72.8"/>
    <n v="1250"/>
    <n v="1250"/>
    <n v="0"/>
    <n v="0"/>
    <n v="1"/>
    <n v="0"/>
    <n v="0.85"/>
  </r>
  <r>
    <s v="APT-00916"/>
    <d v="2025-06-28T00:00:00"/>
    <x v="4"/>
    <x v="5"/>
    <s v="Evening"/>
    <x v="0"/>
    <s v="Palakkad"/>
    <x v="6"/>
    <s v="PT-1533"/>
    <s v="Post-op Rehab"/>
    <x v="3"/>
    <s v="Self Pay"/>
    <s v="Self Referral"/>
    <x v="1"/>
    <n v="45"/>
    <n v="0"/>
    <n v="56.4"/>
    <n v="1100"/>
    <n v="0"/>
    <n v="1100"/>
    <n v="1"/>
    <n v="0"/>
    <n v="0"/>
    <n v="0.85"/>
  </r>
  <r>
    <s v="APT-00917"/>
    <d v="2025-09-25T00:00:00"/>
    <x v="2"/>
    <x v="2"/>
    <s v="Midday"/>
    <x v="1"/>
    <s v="Thrissur"/>
    <x v="1"/>
    <s v="PT-1125"/>
    <s v="Follow-up"/>
    <x v="5"/>
    <s v="Corporate Tie-up"/>
    <s v="Corporate Wellness"/>
    <x v="0"/>
    <n v="60"/>
    <n v="60"/>
    <n v="69.8"/>
    <n v="1250"/>
    <n v="1250"/>
    <n v="0"/>
    <n v="0"/>
    <n v="1"/>
    <n v="0"/>
    <n v="0.85"/>
  </r>
  <r>
    <s v="APT-00918"/>
    <d v="2025-06-05T00:00:00"/>
    <x v="4"/>
    <x v="2"/>
    <s v="Afternoon"/>
    <x v="0"/>
    <s v="Palakkad"/>
    <x v="11"/>
    <s v="PT-1084"/>
    <s v="Follow-up"/>
    <x v="2"/>
    <s v="Self Pay"/>
    <s v="Corporate Wellness"/>
    <x v="0"/>
    <n v="30"/>
    <n v="30"/>
    <n v="33.700000000000003"/>
    <n v="600"/>
    <n v="600"/>
    <n v="0"/>
    <n v="0"/>
    <n v="1"/>
    <n v="0"/>
    <n v="0.85"/>
  </r>
  <r>
    <s v="APT-00919"/>
    <d v="2025-07-22T00:00:00"/>
    <x v="8"/>
    <x v="0"/>
    <s v="Morning"/>
    <x v="1"/>
    <s v="Thrissur"/>
    <x v="2"/>
    <s v="PT-1127"/>
    <s v="New Patient"/>
    <x v="0"/>
    <s v="Government Scheme"/>
    <s v="Corporate Wellness"/>
    <x v="0"/>
    <n v="60"/>
    <n v="60"/>
    <n v="71.099999999999994"/>
    <n v="1400"/>
    <n v="1400"/>
    <n v="0"/>
    <n v="0"/>
    <n v="1"/>
    <n v="0"/>
    <n v="0.85"/>
  </r>
  <r>
    <s v="APT-00920"/>
    <d v="2025-07-26T00:00:00"/>
    <x v="8"/>
    <x v="5"/>
    <s v="Evening"/>
    <x v="2"/>
    <s v="Ernakulam"/>
    <x v="12"/>
    <s v="PT-1381"/>
    <s v="Follow-up"/>
    <x v="5"/>
    <s v="Self Pay"/>
    <s v="Neurologist"/>
    <x v="1"/>
    <n v="45"/>
    <n v="0"/>
    <n v="57.8"/>
    <n v="1100"/>
    <n v="0"/>
    <n v="1100"/>
    <n v="1"/>
    <n v="0"/>
    <n v="0"/>
    <n v="0.85"/>
  </r>
  <r>
    <s v="APT-00921"/>
    <d v="2025-12-02T00:00:00"/>
    <x v="0"/>
    <x v="0"/>
    <s v="Afternoon"/>
    <x v="2"/>
    <s v="Ernakulam"/>
    <x v="14"/>
    <s v="PT-1443"/>
    <s v="Post-op Rehab"/>
    <x v="1"/>
    <s v="Private Insurance"/>
    <s v="Neurologist"/>
    <x v="0"/>
    <n v="60"/>
    <n v="60"/>
    <n v="78.5"/>
    <n v="1700"/>
    <n v="1700"/>
    <n v="0"/>
    <n v="0"/>
    <n v="1"/>
    <n v="0"/>
    <n v="0.85"/>
  </r>
  <r>
    <s v="APT-00922"/>
    <d v="2025-04-19T00:00:00"/>
    <x v="6"/>
    <x v="5"/>
    <s v="Midday"/>
    <x v="0"/>
    <s v="Palakkad"/>
    <x v="0"/>
    <s v="PT-1552"/>
    <s v="Follow-up"/>
    <x v="4"/>
    <s v="Self Pay"/>
    <s v="Orthopedic Doctor"/>
    <x v="0"/>
    <n v="60"/>
    <n v="60"/>
    <n v="65.5"/>
    <n v="1250"/>
    <n v="1250"/>
    <n v="0"/>
    <n v="0"/>
    <n v="1"/>
    <n v="0"/>
    <n v="0.85"/>
  </r>
  <r>
    <s v="APT-00923"/>
    <d v="2025-10-11T00:00:00"/>
    <x v="7"/>
    <x v="5"/>
    <s v="Evening"/>
    <x v="1"/>
    <s v="Thrissur"/>
    <x v="7"/>
    <s v="PT-1131"/>
    <s v="New Patient"/>
    <x v="5"/>
    <s v="Self Pay"/>
    <s v="Corporate Wellness"/>
    <x v="0"/>
    <n v="60"/>
    <n v="60"/>
    <n v="70.599999999999994"/>
    <n v="1600"/>
    <n v="1600"/>
    <n v="0"/>
    <n v="0"/>
    <n v="1"/>
    <n v="0"/>
    <n v="0.85"/>
  </r>
  <r>
    <s v="APT-00924"/>
    <d v="2025-12-20T00:00:00"/>
    <x v="0"/>
    <x v="5"/>
    <s v="Midday"/>
    <x v="0"/>
    <s v="Palakkad"/>
    <x v="6"/>
    <s v="PT-1376"/>
    <s v="Follow-up"/>
    <x v="5"/>
    <s v="Private Insurance"/>
    <s v="Orthopedic Doctor"/>
    <x v="1"/>
    <n v="60"/>
    <n v="0"/>
    <n v="66.2"/>
    <n v="1250"/>
    <n v="0"/>
    <n v="1250"/>
    <n v="1"/>
    <n v="0"/>
    <n v="0"/>
    <n v="0.85"/>
  </r>
  <r>
    <s v="APT-00925"/>
    <d v="2025-05-15T00:00:00"/>
    <x v="10"/>
    <x v="2"/>
    <s v="Midday"/>
    <x v="2"/>
    <s v="Ernakulam"/>
    <x v="8"/>
    <s v="PT-1120"/>
    <s v="Geriatric Rehab"/>
    <x v="1"/>
    <s v="Self Pay"/>
    <s v="Hospital Discharge"/>
    <x v="0"/>
    <n v="30"/>
    <n v="30"/>
    <n v="34.9"/>
    <n v="750"/>
    <n v="750"/>
    <n v="0"/>
    <n v="0"/>
    <n v="1"/>
    <n v="0"/>
    <n v="0.85"/>
  </r>
  <r>
    <s v="APT-00926"/>
    <d v="2025-09-15T00:00:00"/>
    <x v="2"/>
    <x v="1"/>
    <s v="Afternoon"/>
    <x v="2"/>
    <s v="Ernakulam"/>
    <x v="12"/>
    <s v="PT-1246"/>
    <s v="New Patient"/>
    <x v="4"/>
    <s v="Private Insurance"/>
    <s v="Online Search"/>
    <x v="0"/>
    <n v="45"/>
    <n v="45"/>
    <n v="53.9"/>
    <n v="1350"/>
    <n v="1350"/>
    <n v="0"/>
    <n v="0"/>
    <n v="1"/>
    <n v="0"/>
    <n v="0.85"/>
  </r>
  <r>
    <s v="APT-00927"/>
    <d v="2025-06-28T00:00:00"/>
    <x v="4"/>
    <x v="5"/>
    <s v="Evening"/>
    <x v="1"/>
    <s v="Thrissur"/>
    <x v="10"/>
    <s v="PT-1693"/>
    <s v="Follow-up"/>
    <x v="4"/>
    <s v="Private Insurance"/>
    <s v="Hospital Discharge"/>
    <x v="0"/>
    <n v="75"/>
    <n v="75"/>
    <n v="86.4"/>
    <n v="1700"/>
    <n v="1700"/>
    <n v="0"/>
    <n v="0"/>
    <n v="1"/>
    <n v="0"/>
    <n v="0.85"/>
  </r>
  <r>
    <s v="APT-00928"/>
    <d v="2025-05-31T00:00:00"/>
    <x v="10"/>
    <x v="5"/>
    <s v="Evening"/>
    <x v="2"/>
    <s v="Ernakulam"/>
    <x v="8"/>
    <s v="PT-1067"/>
    <s v="New Patient"/>
    <x v="0"/>
    <s v="Private Insurance"/>
    <s v="Self Referral"/>
    <x v="1"/>
    <n v="45"/>
    <n v="0"/>
    <n v="60.7"/>
    <n v="1350"/>
    <n v="0"/>
    <n v="1350"/>
    <n v="1"/>
    <n v="0"/>
    <n v="0"/>
    <n v="0.85"/>
  </r>
  <r>
    <s v="APT-00929"/>
    <d v="2025-04-15T00:00:00"/>
    <x v="6"/>
    <x v="0"/>
    <s v="Morning"/>
    <x v="1"/>
    <s v="Thrissur"/>
    <x v="7"/>
    <s v="PT-1168"/>
    <s v="Follow-up"/>
    <x v="5"/>
    <s v="Corporate Tie-up"/>
    <s v="Self Referral"/>
    <x v="0"/>
    <n v="45"/>
    <n v="45"/>
    <n v="51.3"/>
    <n v="950"/>
    <n v="950"/>
    <n v="0"/>
    <n v="0"/>
    <n v="1"/>
    <n v="0"/>
    <n v="0.85"/>
  </r>
  <r>
    <s v="APT-00930"/>
    <d v="2025-11-08T00:00:00"/>
    <x v="1"/>
    <x v="5"/>
    <s v="Midday"/>
    <x v="1"/>
    <s v="Thrissur"/>
    <x v="5"/>
    <s v="PT-1277"/>
    <s v="Follow-up"/>
    <x v="5"/>
    <s v="Self Pay"/>
    <s v="Orthopedic Doctor"/>
    <x v="0"/>
    <n v="90"/>
    <n v="90"/>
    <n v="111.8"/>
    <n v="2000"/>
    <n v="2000"/>
    <n v="0"/>
    <n v="0"/>
    <n v="1"/>
    <n v="0"/>
    <n v="0.85"/>
  </r>
  <r>
    <s v="APT-00931"/>
    <d v="2025-09-20T00:00:00"/>
    <x v="2"/>
    <x v="5"/>
    <s v="Afternoon"/>
    <x v="2"/>
    <s v="Ernakulam"/>
    <x v="12"/>
    <s v="PT-1329"/>
    <s v="Chronic Pain"/>
    <x v="3"/>
    <s v="Self Pay"/>
    <s v="Self Referral"/>
    <x v="0"/>
    <n v="45"/>
    <n v="45"/>
    <n v="49"/>
    <n v="1100"/>
    <n v="1100"/>
    <n v="0"/>
    <n v="0"/>
    <n v="1"/>
    <n v="0"/>
    <n v="0.85"/>
  </r>
  <r>
    <s v="APT-00932"/>
    <d v="2025-07-02T00:00:00"/>
    <x v="8"/>
    <x v="3"/>
    <s v="Midday"/>
    <x v="2"/>
    <s v="Ernakulam"/>
    <x v="14"/>
    <s v="PT-1533"/>
    <s v="New Patient"/>
    <x v="3"/>
    <s v="Private Insurance"/>
    <s v="Online Search"/>
    <x v="0"/>
    <n v="60"/>
    <n v="60"/>
    <n v="76.099999999999994"/>
    <n v="1800"/>
    <n v="1800"/>
    <n v="0"/>
    <n v="0"/>
    <n v="1"/>
    <n v="0"/>
    <n v="0.85"/>
  </r>
  <r>
    <s v="APT-00933"/>
    <d v="2025-01-07T00:00:00"/>
    <x v="11"/>
    <x v="0"/>
    <s v="Midday"/>
    <x v="1"/>
    <s v="Thrissur"/>
    <x v="10"/>
    <s v="PT-1466"/>
    <s v="Sports Injury"/>
    <x v="3"/>
    <s v="Self Pay"/>
    <s v="Neurologist"/>
    <x v="0"/>
    <n v="45"/>
    <n v="45"/>
    <n v="50.4"/>
    <n v="1000"/>
    <n v="1000"/>
    <n v="0"/>
    <n v="0"/>
    <n v="1"/>
    <n v="0"/>
    <n v="0.85"/>
  </r>
  <r>
    <s v="APT-00934"/>
    <d v="2025-05-19T00:00:00"/>
    <x v="10"/>
    <x v="1"/>
    <s v="Afternoon"/>
    <x v="0"/>
    <s v="Palakkad"/>
    <x v="6"/>
    <s v="PT-1050"/>
    <s v="Follow-up"/>
    <x v="0"/>
    <s v="Self Pay"/>
    <s v="Orthopedic Doctor"/>
    <x v="1"/>
    <n v="45"/>
    <n v="0"/>
    <n v="58.8"/>
    <n v="950"/>
    <n v="0"/>
    <n v="950"/>
    <n v="1"/>
    <n v="0"/>
    <n v="0"/>
    <n v="0.85"/>
  </r>
  <r>
    <s v="APT-00935"/>
    <d v="2025-05-17T00:00:00"/>
    <x v="10"/>
    <x v="5"/>
    <s v="Evening"/>
    <x v="0"/>
    <s v="Palakkad"/>
    <x v="9"/>
    <s v="PT-1458"/>
    <s v="Chronic Pain"/>
    <x v="5"/>
    <s v="Self Pay"/>
    <s v="Corporate Wellness"/>
    <x v="0"/>
    <n v="45"/>
    <n v="45"/>
    <n v="60.1"/>
    <n v="950"/>
    <n v="950"/>
    <n v="0"/>
    <n v="0"/>
    <n v="1"/>
    <n v="0"/>
    <n v="0.85"/>
  </r>
  <r>
    <s v="APT-00936"/>
    <d v="2025-02-25T00:00:00"/>
    <x v="5"/>
    <x v="0"/>
    <s v="Evening"/>
    <x v="0"/>
    <s v="Palakkad"/>
    <x v="0"/>
    <s v="PT-1471"/>
    <s v="New Patient"/>
    <x v="3"/>
    <s v="Private Insurance"/>
    <s v="Neurologist"/>
    <x v="2"/>
    <n v="60"/>
    <n v="0"/>
    <n v="65.400000000000006"/>
    <n v="1500"/>
    <n v="0"/>
    <n v="1500"/>
    <n v="0"/>
    <n v="0"/>
    <n v="1"/>
    <n v="0.85"/>
  </r>
  <r>
    <s v="APT-00937"/>
    <d v="2025-02-12T00:00:00"/>
    <x v="5"/>
    <x v="3"/>
    <s v="Afternoon"/>
    <x v="2"/>
    <s v="Ernakulam"/>
    <x v="3"/>
    <s v="PT-1513"/>
    <s v="Geriatric Rehab"/>
    <x v="1"/>
    <s v="Self Pay"/>
    <s v="Online Search"/>
    <x v="0"/>
    <n v="45"/>
    <n v="45"/>
    <n v="50"/>
    <n v="1100"/>
    <n v="1100"/>
    <n v="0"/>
    <n v="0"/>
    <n v="1"/>
    <n v="0"/>
    <n v="0.85"/>
  </r>
  <r>
    <s v="APT-00938"/>
    <d v="2025-02-28T00:00:00"/>
    <x v="5"/>
    <x v="4"/>
    <s v="Evening"/>
    <x v="2"/>
    <s v="Ernakulam"/>
    <x v="3"/>
    <s v="PT-1066"/>
    <s v="Follow-up"/>
    <x v="5"/>
    <s v="Government Scheme"/>
    <s v="Corporate Wellness"/>
    <x v="2"/>
    <n v="30"/>
    <n v="0"/>
    <n v="34"/>
    <n v="650"/>
    <n v="0"/>
    <n v="650"/>
    <n v="0"/>
    <n v="0"/>
    <n v="1"/>
    <n v="0.85"/>
  </r>
  <r>
    <s v="APT-00939"/>
    <d v="2025-03-05T00:00:00"/>
    <x v="3"/>
    <x v="3"/>
    <s v="Evening"/>
    <x v="2"/>
    <s v="Ernakulam"/>
    <x v="4"/>
    <s v="PT-1551"/>
    <s v="Sports Injury"/>
    <x v="4"/>
    <s v="Self Pay"/>
    <s v="Hospital Discharge"/>
    <x v="0"/>
    <n v="60"/>
    <n v="60"/>
    <n v="76.400000000000006"/>
    <n v="1500"/>
    <n v="1500"/>
    <n v="0"/>
    <n v="0"/>
    <n v="1"/>
    <n v="0"/>
    <n v="0.85"/>
  </r>
  <r>
    <s v="APT-00940"/>
    <d v="2025-06-02T00:00:00"/>
    <x v="4"/>
    <x v="1"/>
    <s v="Afternoon"/>
    <x v="1"/>
    <s v="Thrissur"/>
    <x v="10"/>
    <s v="PT-1519"/>
    <s v="Post-op Rehab"/>
    <x v="0"/>
    <s v="Private Insurance"/>
    <s v="Self Referral"/>
    <x v="0"/>
    <n v="45"/>
    <n v="45"/>
    <n v="59.4"/>
    <n v="1150"/>
    <n v="1150"/>
    <n v="0"/>
    <n v="0"/>
    <n v="1"/>
    <n v="0"/>
    <n v="0.85"/>
  </r>
  <r>
    <s v="APT-00941"/>
    <d v="2025-07-24T00:00:00"/>
    <x v="8"/>
    <x v="2"/>
    <s v="Evening"/>
    <x v="1"/>
    <s v="Thrissur"/>
    <x v="1"/>
    <s v="PT-1132"/>
    <s v="Geriatric Rehab"/>
    <x v="5"/>
    <s v="Corporate Tie-up"/>
    <s v="Orthopedic Doctor"/>
    <x v="0"/>
    <n v="60"/>
    <n v="60"/>
    <n v="71.5"/>
    <n v="1250"/>
    <n v="1250"/>
    <n v="0"/>
    <n v="0"/>
    <n v="1"/>
    <n v="0"/>
    <n v="0.85"/>
  </r>
  <r>
    <s v="APT-00942"/>
    <d v="2025-06-05T00:00:00"/>
    <x v="4"/>
    <x v="2"/>
    <s v="Midday"/>
    <x v="2"/>
    <s v="Ernakulam"/>
    <x v="4"/>
    <s v="PT-1133"/>
    <s v="Chronic Pain"/>
    <x v="2"/>
    <s v="Government Scheme"/>
    <s v="Neurologist"/>
    <x v="0"/>
    <n v="90"/>
    <n v="90"/>
    <n v="105"/>
    <n v="1900"/>
    <n v="1900"/>
    <n v="0"/>
    <n v="0"/>
    <n v="1"/>
    <n v="0"/>
    <n v="0.85"/>
  </r>
  <r>
    <s v="APT-00943"/>
    <d v="2025-09-11T00:00:00"/>
    <x v="2"/>
    <x v="2"/>
    <s v="Morning"/>
    <x v="1"/>
    <s v="Thrissur"/>
    <x v="10"/>
    <s v="PT-1188"/>
    <s v="Post-op Rehab"/>
    <x v="1"/>
    <s v="Government Scheme"/>
    <s v="Hospital Discharge"/>
    <x v="1"/>
    <n v="30"/>
    <n v="0"/>
    <n v="35.700000000000003"/>
    <n v="650"/>
    <n v="0"/>
    <n v="650"/>
    <n v="1"/>
    <n v="0"/>
    <n v="0"/>
    <n v="0.85"/>
  </r>
  <r>
    <s v="APT-00944"/>
    <d v="2025-09-04T00:00:00"/>
    <x v="2"/>
    <x v="2"/>
    <s v="Morning"/>
    <x v="1"/>
    <s v="Thrissur"/>
    <x v="2"/>
    <s v="PT-1231"/>
    <s v="Follow-up"/>
    <x v="3"/>
    <s v="Self Pay"/>
    <s v="Neurologist"/>
    <x v="1"/>
    <n v="90"/>
    <n v="0"/>
    <n v="116.3"/>
    <n v="2000"/>
    <n v="0"/>
    <n v="2000"/>
    <n v="1"/>
    <n v="0"/>
    <n v="0"/>
    <n v="0.85"/>
  </r>
  <r>
    <s v="APT-00945"/>
    <d v="2025-08-28T00:00:00"/>
    <x v="9"/>
    <x v="2"/>
    <s v="Midday"/>
    <x v="0"/>
    <s v="Palakkad"/>
    <x v="6"/>
    <s v="PT-1087"/>
    <s v="Follow-up"/>
    <x v="5"/>
    <s v="Self Pay"/>
    <s v="Hospital Discharge"/>
    <x v="0"/>
    <n v="45"/>
    <n v="45"/>
    <n v="49.6"/>
    <n v="950"/>
    <n v="950"/>
    <n v="0"/>
    <n v="0"/>
    <n v="1"/>
    <n v="0"/>
    <n v="0.85"/>
  </r>
  <r>
    <s v="APT-00946"/>
    <d v="2025-07-10T00:00:00"/>
    <x v="8"/>
    <x v="2"/>
    <s v="Evening"/>
    <x v="2"/>
    <s v="Ernakulam"/>
    <x v="3"/>
    <s v="PT-1594"/>
    <s v="Chronic Pain"/>
    <x v="3"/>
    <s v="Self Pay"/>
    <s v="Corporate Wellness"/>
    <x v="0"/>
    <n v="60"/>
    <n v="60"/>
    <n v="66.8"/>
    <n v="1500"/>
    <n v="1500"/>
    <n v="0"/>
    <n v="0"/>
    <n v="1"/>
    <n v="0"/>
    <n v="0.85"/>
  </r>
  <r>
    <s v="APT-00947"/>
    <d v="2025-07-10T00:00:00"/>
    <x v="8"/>
    <x v="2"/>
    <s v="Afternoon"/>
    <x v="0"/>
    <s v="Palakkad"/>
    <x v="11"/>
    <s v="PT-1686"/>
    <s v="Post-op Rehab"/>
    <x v="0"/>
    <s v="Self Pay"/>
    <s v="Corporate Wellness"/>
    <x v="1"/>
    <n v="45"/>
    <n v="0"/>
    <n v="53.5"/>
    <n v="1100"/>
    <n v="0"/>
    <n v="1100"/>
    <n v="1"/>
    <n v="0"/>
    <n v="0"/>
    <n v="0.85"/>
  </r>
  <r>
    <s v="APT-00948"/>
    <d v="2025-12-19T00:00:00"/>
    <x v="0"/>
    <x v="4"/>
    <s v="Midday"/>
    <x v="1"/>
    <s v="Thrissur"/>
    <x v="2"/>
    <s v="PT-1122"/>
    <s v="Sports Injury"/>
    <x v="1"/>
    <s v="Self Pay"/>
    <s v="Online Search"/>
    <x v="0"/>
    <n v="90"/>
    <n v="90"/>
    <n v="102"/>
    <n v="2000"/>
    <n v="2000"/>
    <n v="0"/>
    <n v="0"/>
    <n v="1"/>
    <n v="0"/>
    <n v="0.85"/>
  </r>
  <r>
    <s v="APT-00949"/>
    <d v="2025-04-21T00:00:00"/>
    <x v="6"/>
    <x v="1"/>
    <s v="Evening"/>
    <x v="2"/>
    <s v="Ernakulam"/>
    <x v="8"/>
    <s v="PT-1110"/>
    <s v="Follow-up"/>
    <x v="4"/>
    <s v="Self Pay"/>
    <s v="Hospital Discharge"/>
    <x v="0"/>
    <n v="45"/>
    <n v="45"/>
    <n v="55.8"/>
    <n v="1100"/>
    <n v="1100"/>
    <n v="0"/>
    <n v="0"/>
    <n v="1"/>
    <n v="0"/>
    <n v="0.85"/>
  </r>
  <r>
    <s v="APT-00950"/>
    <d v="2025-10-11T00:00:00"/>
    <x v="7"/>
    <x v="5"/>
    <s v="Midday"/>
    <x v="1"/>
    <s v="Thrissur"/>
    <x v="1"/>
    <s v="PT-1503"/>
    <s v="Sports Injury"/>
    <x v="3"/>
    <s v="Corporate Tie-up"/>
    <s v="Hospital Discharge"/>
    <x v="0"/>
    <n v="45"/>
    <n v="45"/>
    <n v="56.6"/>
    <n v="950"/>
    <n v="950"/>
    <n v="0"/>
    <n v="0"/>
    <n v="1"/>
    <n v="0"/>
    <n v="0.85"/>
  </r>
  <r>
    <s v="APT-00951"/>
    <d v="2025-10-10T00:00:00"/>
    <x v="7"/>
    <x v="4"/>
    <s v="Midday"/>
    <x v="2"/>
    <s v="Ernakulam"/>
    <x v="8"/>
    <s v="PT-1359"/>
    <s v="Post-op Rehab"/>
    <x v="0"/>
    <s v="Private Insurance"/>
    <s v="Corporate Wellness"/>
    <x v="0"/>
    <n v="45"/>
    <n v="45"/>
    <n v="54.8"/>
    <n v="1300"/>
    <n v="1300"/>
    <n v="0"/>
    <n v="0"/>
    <n v="1"/>
    <n v="0"/>
    <n v="0.85"/>
  </r>
  <r>
    <s v="APT-00952"/>
    <d v="2025-04-02T00:00:00"/>
    <x v="6"/>
    <x v="3"/>
    <s v="Evening"/>
    <x v="1"/>
    <s v="Thrissur"/>
    <x v="5"/>
    <s v="PT-1181"/>
    <s v="New Patient"/>
    <x v="4"/>
    <s v="Self Pay"/>
    <s v="Corporate Wellness"/>
    <x v="0"/>
    <n v="30"/>
    <n v="30"/>
    <n v="34.799999999999997"/>
    <n v="800"/>
    <n v="800"/>
    <n v="0"/>
    <n v="0"/>
    <n v="1"/>
    <n v="0"/>
    <n v="0.85"/>
  </r>
  <r>
    <s v="APT-00953"/>
    <d v="2025-07-24T00:00:00"/>
    <x v="8"/>
    <x v="2"/>
    <s v="Midday"/>
    <x v="1"/>
    <s v="Thrissur"/>
    <x v="2"/>
    <s v="PT-1190"/>
    <s v="Post-op Rehab"/>
    <x v="0"/>
    <s v="Self Pay"/>
    <s v="Hospital Discharge"/>
    <x v="0"/>
    <n v="60"/>
    <n v="60"/>
    <n v="69.8"/>
    <n v="1550"/>
    <n v="1550"/>
    <n v="0"/>
    <n v="0"/>
    <n v="1"/>
    <n v="0"/>
    <n v="0.85"/>
  </r>
  <r>
    <s v="APT-00954"/>
    <d v="2025-04-07T00:00:00"/>
    <x v="6"/>
    <x v="1"/>
    <s v="Morning"/>
    <x v="1"/>
    <s v="Thrissur"/>
    <x v="1"/>
    <s v="PT-1098"/>
    <s v="Chronic Pain"/>
    <x v="2"/>
    <s v="Private Insurance"/>
    <s v="Self Referral"/>
    <x v="0"/>
    <n v="60"/>
    <n v="60"/>
    <n v="67"/>
    <n v="1350"/>
    <n v="1350"/>
    <n v="0"/>
    <n v="0"/>
    <n v="1"/>
    <n v="0"/>
    <n v="0.85"/>
  </r>
  <r>
    <s v="APT-00955"/>
    <d v="2025-11-20T00:00:00"/>
    <x v="1"/>
    <x v="2"/>
    <s v="Morning"/>
    <x v="1"/>
    <s v="Thrissur"/>
    <x v="2"/>
    <s v="PT-1006"/>
    <s v="Post-op Rehab"/>
    <x v="1"/>
    <s v="Private Insurance"/>
    <s v="Orthopedic Doctor"/>
    <x v="0"/>
    <n v="60"/>
    <n v="60"/>
    <n v="69.900000000000006"/>
    <n v="1550"/>
    <n v="1550"/>
    <n v="0"/>
    <n v="0"/>
    <n v="1"/>
    <n v="0"/>
    <n v="0.85"/>
  </r>
  <r>
    <s v="APT-00956"/>
    <d v="2025-11-28T00:00:00"/>
    <x v="1"/>
    <x v="4"/>
    <s v="Midday"/>
    <x v="2"/>
    <s v="Ernakulam"/>
    <x v="3"/>
    <s v="PT-1610"/>
    <s v="Chronic Pain"/>
    <x v="5"/>
    <s v="Private Insurance"/>
    <s v="Self Referral"/>
    <x v="0"/>
    <n v="30"/>
    <n v="30"/>
    <n v="35.5"/>
    <n v="750"/>
    <n v="750"/>
    <n v="0"/>
    <n v="0"/>
    <n v="1"/>
    <n v="0"/>
    <n v="0.85"/>
  </r>
  <r>
    <s v="APT-00957"/>
    <d v="2025-06-09T00:00:00"/>
    <x v="4"/>
    <x v="1"/>
    <s v="Morning"/>
    <x v="0"/>
    <s v="Palakkad"/>
    <x v="0"/>
    <s v="PT-1554"/>
    <s v="Follow-up"/>
    <x v="3"/>
    <s v="Self Pay"/>
    <s v="Online Search"/>
    <x v="0"/>
    <n v="45"/>
    <n v="45"/>
    <n v="56.2"/>
    <n v="950"/>
    <n v="950"/>
    <n v="0"/>
    <n v="0"/>
    <n v="1"/>
    <n v="0"/>
    <n v="0.85"/>
  </r>
  <r>
    <s v="APT-00958"/>
    <d v="2025-04-30T00:00:00"/>
    <x v="6"/>
    <x v="3"/>
    <s v="Evening"/>
    <x v="1"/>
    <s v="Thrissur"/>
    <x v="1"/>
    <s v="PT-1246"/>
    <s v="Chronic Pain"/>
    <x v="1"/>
    <s v="Self Pay"/>
    <s v="Hospital Discharge"/>
    <x v="2"/>
    <n v="45"/>
    <n v="0"/>
    <n v="49.4"/>
    <n v="1000"/>
    <n v="0"/>
    <n v="1000"/>
    <n v="0"/>
    <n v="0"/>
    <n v="1"/>
    <n v="0.85"/>
  </r>
  <r>
    <s v="APT-00959"/>
    <d v="2025-01-09T00:00:00"/>
    <x v="11"/>
    <x v="2"/>
    <s v="Afternoon"/>
    <x v="0"/>
    <s v="Palakkad"/>
    <x v="9"/>
    <s v="PT-1342"/>
    <s v="Post-op Rehab"/>
    <x v="3"/>
    <s v="Corporate Tie-up"/>
    <s v="Corporate Wellness"/>
    <x v="0"/>
    <n v="60"/>
    <n v="60"/>
    <n v="72.3"/>
    <n v="1300"/>
    <n v="1300"/>
    <n v="0"/>
    <n v="0"/>
    <n v="1"/>
    <n v="0"/>
    <n v="0.85"/>
  </r>
  <r>
    <s v="APT-00960"/>
    <d v="2025-04-28T00:00:00"/>
    <x v="6"/>
    <x v="1"/>
    <s v="Midday"/>
    <x v="0"/>
    <s v="Palakkad"/>
    <x v="0"/>
    <s v="PT-1510"/>
    <s v="Follow-up"/>
    <x v="4"/>
    <s v="Self Pay"/>
    <s v="Orthopedic Doctor"/>
    <x v="0"/>
    <n v="60"/>
    <n v="60"/>
    <n v="72.099999999999994"/>
    <n v="1250"/>
    <n v="1250"/>
    <n v="0"/>
    <n v="0"/>
    <n v="1"/>
    <n v="0"/>
    <n v="0.85"/>
  </r>
  <r>
    <s v="APT-00961"/>
    <d v="2025-07-21T00:00:00"/>
    <x v="8"/>
    <x v="1"/>
    <s v="Morning"/>
    <x v="0"/>
    <s v="Palakkad"/>
    <x v="0"/>
    <s v="PT-1514"/>
    <s v="Post-op Rehab"/>
    <x v="5"/>
    <s v="Private Insurance"/>
    <s v="Self Referral"/>
    <x v="1"/>
    <n v="90"/>
    <n v="0"/>
    <n v="114.8"/>
    <n v="2150"/>
    <n v="0"/>
    <n v="2150"/>
    <n v="1"/>
    <n v="0"/>
    <n v="0"/>
    <n v="0.85"/>
  </r>
  <r>
    <s v="APT-00962"/>
    <d v="2025-08-18T00:00:00"/>
    <x v="9"/>
    <x v="1"/>
    <s v="Afternoon"/>
    <x v="1"/>
    <s v="Thrissur"/>
    <x v="10"/>
    <s v="PT-1192"/>
    <s v="Follow-up"/>
    <x v="0"/>
    <s v="Self Pay"/>
    <s v="Hospital Discharge"/>
    <x v="0"/>
    <n v="60"/>
    <n v="60"/>
    <n v="69.099999999999994"/>
    <n v="1350"/>
    <n v="1350"/>
    <n v="0"/>
    <n v="0"/>
    <n v="1"/>
    <n v="0"/>
    <n v="0.85"/>
  </r>
  <r>
    <s v="APT-00963"/>
    <d v="2025-08-01T00:00:00"/>
    <x v="9"/>
    <x v="4"/>
    <s v="Midday"/>
    <x v="0"/>
    <s v="Palakkad"/>
    <x v="6"/>
    <s v="PT-1341"/>
    <s v="Chronic Pain"/>
    <x v="2"/>
    <s v="Private Insurance"/>
    <s v="Neurologist"/>
    <x v="1"/>
    <n v="45"/>
    <n v="0"/>
    <n v="51.9"/>
    <n v="950"/>
    <n v="0"/>
    <n v="950"/>
    <n v="1"/>
    <n v="0"/>
    <n v="0"/>
    <n v="0.85"/>
  </r>
  <r>
    <s v="APT-00964"/>
    <d v="2025-07-18T00:00:00"/>
    <x v="8"/>
    <x v="4"/>
    <s v="Morning"/>
    <x v="1"/>
    <s v="Thrissur"/>
    <x v="1"/>
    <s v="PT-1661"/>
    <s v="Chronic Pain"/>
    <x v="1"/>
    <s v="Private Insurance"/>
    <s v="Corporate Wellness"/>
    <x v="3"/>
    <n v="60"/>
    <n v="0"/>
    <n v="67"/>
    <n v="1350"/>
    <n v="0"/>
    <n v="0"/>
    <n v="0"/>
    <n v="0"/>
    <n v="0"/>
    <n v="0.85"/>
  </r>
  <r>
    <s v="APT-00965"/>
    <d v="2025-03-26T00:00:00"/>
    <x v="3"/>
    <x v="3"/>
    <s v="Afternoon"/>
    <x v="2"/>
    <s v="Ernakulam"/>
    <x v="8"/>
    <s v="PT-1144"/>
    <s v="Follow-up"/>
    <x v="1"/>
    <s v="Corporate Tie-up"/>
    <s v="Online Search"/>
    <x v="0"/>
    <n v="60"/>
    <n v="60"/>
    <n v="70.400000000000006"/>
    <n v="1400"/>
    <n v="1400"/>
    <n v="0"/>
    <n v="0"/>
    <n v="1"/>
    <n v="0"/>
    <n v="0.85"/>
  </r>
  <r>
    <s v="APT-00966"/>
    <d v="2025-11-11T00:00:00"/>
    <x v="1"/>
    <x v="0"/>
    <s v="Midday"/>
    <x v="2"/>
    <s v="Ernakulam"/>
    <x v="12"/>
    <s v="PT-1639"/>
    <s v="Follow-up"/>
    <x v="1"/>
    <s v="Corporate Tie-up"/>
    <s v="Hospital Discharge"/>
    <x v="0"/>
    <n v="45"/>
    <n v="45"/>
    <n v="53.4"/>
    <n v="1050"/>
    <n v="1050"/>
    <n v="0"/>
    <n v="0"/>
    <n v="1"/>
    <n v="0"/>
    <n v="0.85"/>
  </r>
  <r>
    <s v="APT-00967"/>
    <d v="2025-02-24T00:00:00"/>
    <x v="5"/>
    <x v="1"/>
    <s v="Afternoon"/>
    <x v="2"/>
    <s v="Ernakulam"/>
    <x v="8"/>
    <s v="PT-1424"/>
    <s v="New Patient"/>
    <x v="2"/>
    <s v="Self Pay"/>
    <s v="Orthopedic Doctor"/>
    <x v="1"/>
    <n v="45"/>
    <n v="0"/>
    <n v="52.1"/>
    <n v="1350"/>
    <n v="0"/>
    <n v="1350"/>
    <n v="1"/>
    <n v="0"/>
    <n v="0"/>
    <n v="0.85"/>
  </r>
  <r>
    <s v="APT-00968"/>
    <d v="2025-12-08T00:00:00"/>
    <x v="0"/>
    <x v="1"/>
    <s v="Afternoon"/>
    <x v="0"/>
    <s v="Palakkad"/>
    <x v="6"/>
    <s v="PT-1208"/>
    <s v="Follow-up"/>
    <x v="1"/>
    <s v="Corporate Tie-up"/>
    <s v="Orthopedic Doctor"/>
    <x v="0"/>
    <n v="45"/>
    <n v="45"/>
    <n v="50.4"/>
    <n v="850"/>
    <n v="850"/>
    <n v="0"/>
    <n v="0"/>
    <n v="1"/>
    <n v="0"/>
    <n v="0.85"/>
  </r>
  <r>
    <s v="APT-00969"/>
    <d v="2025-10-27T00:00:00"/>
    <x v="7"/>
    <x v="1"/>
    <s v="Midday"/>
    <x v="2"/>
    <s v="Ernakulam"/>
    <x v="3"/>
    <s v="PT-1547"/>
    <s v="Post-op Rehab"/>
    <x v="1"/>
    <s v="Corporate Tie-up"/>
    <s v="Online Search"/>
    <x v="0"/>
    <n v="75"/>
    <n v="75"/>
    <n v="88.7"/>
    <n v="2000"/>
    <n v="2000"/>
    <n v="0"/>
    <n v="0"/>
    <n v="1"/>
    <n v="0"/>
    <n v="0.85"/>
  </r>
  <r>
    <s v="APT-00970"/>
    <d v="2025-10-06T00:00:00"/>
    <x v="7"/>
    <x v="1"/>
    <s v="Morning"/>
    <x v="0"/>
    <s v="Palakkad"/>
    <x v="13"/>
    <s v="PT-1179"/>
    <s v="Follow-up"/>
    <x v="2"/>
    <s v="Private Insurance"/>
    <s v="Hospital Discharge"/>
    <x v="0"/>
    <n v="60"/>
    <n v="60"/>
    <n v="73.900000000000006"/>
    <n v="1250"/>
    <n v="1250"/>
    <n v="0"/>
    <n v="0"/>
    <n v="1"/>
    <n v="0"/>
    <n v="0.85"/>
  </r>
  <r>
    <s v="APT-00971"/>
    <d v="2025-11-13T00:00:00"/>
    <x v="1"/>
    <x v="2"/>
    <s v="Evening"/>
    <x v="1"/>
    <s v="Thrissur"/>
    <x v="7"/>
    <s v="PT-1505"/>
    <s v="Sports Injury"/>
    <x v="5"/>
    <s v="Private Insurance"/>
    <s v="Hospital Discharge"/>
    <x v="3"/>
    <n v="60"/>
    <n v="0"/>
    <n v="80"/>
    <n v="1350"/>
    <n v="0"/>
    <n v="0"/>
    <n v="0"/>
    <n v="0"/>
    <n v="0"/>
    <n v="0.85"/>
  </r>
  <r>
    <s v="APT-00972"/>
    <d v="2025-04-02T00:00:00"/>
    <x v="6"/>
    <x v="3"/>
    <s v="Morning"/>
    <x v="2"/>
    <s v="Ernakulam"/>
    <x v="4"/>
    <s v="PT-1457"/>
    <s v="Chronic Pain"/>
    <x v="5"/>
    <s v="Private Insurance"/>
    <s v="Self Referral"/>
    <x v="0"/>
    <n v="45"/>
    <n v="45"/>
    <n v="52.2"/>
    <n v="1100"/>
    <n v="1100"/>
    <n v="0"/>
    <n v="0"/>
    <n v="1"/>
    <n v="0"/>
    <n v="0.85"/>
  </r>
  <r>
    <s v="APT-00973"/>
    <d v="2025-02-28T00:00:00"/>
    <x v="5"/>
    <x v="4"/>
    <s v="Afternoon"/>
    <x v="0"/>
    <s v="Palakkad"/>
    <x v="13"/>
    <s v="PT-1697"/>
    <s v="Follow-up"/>
    <x v="3"/>
    <s v="Private Insurance"/>
    <s v="Online Search"/>
    <x v="0"/>
    <n v="30"/>
    <n v="30"/>
    <n v="38"/>
    <n v="600"/>
    <n v="600"/>
    <n v="0"/>
    <n v="0"/>
    <n v="1"/>
    <n v="0"/>
    <n v="0.85"/>
  </r>
  <r>
    <s v="APT-00974"/>
    <d v="2025-07-08T00:00:00"/>
    <x v="8"/>
    <x v="0"/>
    <s v="Afternoon"/>
    <x v="0"/>
    <s v="Palakkad"/>
    <x v="0"/>
    <s v="PT-1506"/>
    <s v="New Patient"/>
    <x v="0"/>
    <s v="Self Pay"/>
    <s v="Online Search"/>
    <x v="1"/>
    <n v="60"/>
    <n v="0"/>
    <n v="76.099999999999994"/>
    <n v="1500"/>
    <n v="0"/>
    <n v="1500"/>
    <n v="1"/>
    <n v="0"/>
    <n v="0"/>
    <n v="0.85"/>
  </r>
  <r>
    <s v="APT-00975"/>
    <d v="2025-06-15T00:00:00"/>
    <x v="4"/>
    <x v="6"/>
    <s v="Evening"/>
    <x v="0"/>
    <s v="Palakkad"/>
    <x v="9"/>
    <s v="PT-1646"/>
    <s v="Post-op Rehab"/>
    <x v="2"/>
    <s v="Private Insurance"/>
    <s v="Self Referral"/>
    <x v="0"/>
    <n v="45"/>
    <n v="45"/>
    <n v="54.5"/>
    <n v="1100"/>
    <n v="1100"/>
    <n v="0"/>
    <n v="0"/>
    <n v="1"/>
    <n v="0"/>
    <n v="0.85"/>
  </r>
  <r>
    <s v="APT-00976"/>
    <d v="2025-03-06T00:00:00"/>
    <x v="3"/>
    <x v="2"/>
    <s v="Midday"/>
    <x v="2"/>
    <s v="Ernakulam"/>
    <x v="3"/>
    <s v="PT-1296"/>
    <s v="Follow-up"/>
    <x v="3"/>
    <s v="Self Pay"/>
    <s v="Hospital Discharge"/>
    <x v="0"/>
    <n v="30"/>
    <n v="30"/>
    <n v="36"/>
    <n v="750"/>
    <n v="750"/>
    <n v="0"/>
    <n v="0"/>
    <n v="1"/>
    <n v="0"/>
    <n v="0.85"/>
  </r>
  <r>
    <s v="APT-00977"/>
    <d v="2025-12-16T00:00:00"/>
    <x v="0"/>
    <x v="0"/>
    <s v="Midday"/>
    <x v="2"/>
    <s v="Ernakulam"/>
    <x v="14"/>
    <s v="PT-1376"/>
    <s v="Sports Injury"/>
    <x v="1"/>
    <s v="Private Insurance"/>
    <s v="Corporate Wellness"/>
    <x v="0"/>
    <n v="45"/>
    <n v="45"/>
    <n v="57"/>
    <n v="1100"/>
    <n v="1100"/>
    <n v="0"/>
    <n v="0"/>
    <n v="1"/>
    <n v="0"/>
    <n v="0.85"/>
  </r>
  <r>
    <s v="APT-00978"/>
    <d v="2025-02-12T00:00:00"/>
    <x v="5"/>
    <x v="3"/>
    <s v="Evening"/>
    <x v="0"/>
    <s v="Palakkad"/>
    <x v="0"/>
    <s v="PT-1406"/>
    <s v="Post-op Rehab"/>
    <x v="0"/>
    <s v="Self Pay"/>
    <s v="Corporate Wellness"/>
    <x v="3"/>
    <n v="60"/>
    <n v="0"/>
    <n v="75.5"/>
    <n v="1450"/>
    <n v="0"/>
    <n v="0"/>
    <n v="0"/>
    <n v="0"/>
    <n v="0"/>
    <n v="0.85"/>
  </r>
  <r>
    <s v="APT-00979"/>
    <d v="2025-10-21T00:00:00"/>
    <x v="7"/>
    <x v="0"/>
    <s v="Midday"/>
    <x v="0"/>
    <s v="Palakkad"/>
    <x v="9"/>
    <s v="PT-1210"/>
    <s v="Follow-up"/>
    <x v="0"/>
    <s v="Private Insurance"/>
    <s v="Orthopedic Doctor"/>
    <x v="0"/>
    <n v="60"/>
    <n v="60"/>
    <n v="70.599999999999994"/>
    <n v="1250"/>
    <n v="1250"/>
    <n v="0"/>
    <n v="0"/>
    <n v="1"/>
    <n v="0"/>
    <n v="0.85"/>
  </r>
  <r>
    <s v="APT-00980"/>
    <d v="2025-08-08T00:00:00"/>
    <x v="9"/>
    <x v="4"/>
    <s v="Morning"/>
    <x v="0"/>
    <s v="Palakkad"/>
    <x v="6"/>
    <s v="PT-1398"/>
    <s v="Sports Injury"/>
    <x v="4"/>
    <s v="Private Insurance"/>
    <s v="Self Referral"/>
    <x v="1"/>
    <n v="45"/>
    <n v="0"/>
    <n v="59.7"/>
    <n v="950"/>
    <n v="0"/>
    <n v="950"/>
    <n v="1"/>
    <n v="0"/>
    <n v="0"/>
    <n v="0.85"/>
  </r>
  <r>
    <s v="APT-00981"/>
    <d v="2025-08-13T00:00:00"/>
    <x v="9"/>
    <x v="3"/>
    <s v="Morning"/>
    <x v="2"/>
    <s v="Ernakulam"/>
    <x v="4"/>
    <s v="PT-1677"/>
    <s v="Post-op Rehab"/>
    <x v="2"/>
    <s v="Private Insurance"/>
    <s v="Hospital Discharge"/>
    <x v="0"/>
    <n v="60"/>
    <n v="60"/>
    <n v="76.7"/>
    <n v="1700"/>
    <n v="1700"/>
    <n v="0"/>
    <n v="0"/>
    <n v="1"/>
    <n v="0"/>
    <n v="0.85"/>
  </r>
  <r>
    <s v="APT-00982"/>
    <d v="2025-06-19T00:00:00"/>
    <x v="4"/>
    <x v="2"/>
    <s v="Morning"/>
    <x v="1"/>
    <s v="Thrissur"/>
    <x v="1"/>
    <s v="PT-1217"/>
    <s v="Chronic Pain"/>
    <x v="5"/>
    <s v="Private Insurance"/>
    <s v="Corporate Wellness"/>
    <x v="1"/>
    <n v="60"/>
    <n v="0"/>
    <n v="78.400000000000006"/>
    <n v="1350"/>
    <n v="0"/>
    <n v="1350"/>
    <n v="1"/>
    <n v="0"/>
    <n v="0"/>
    <n v="0.85"/>
  </r>
  <r>
    <s v="APT-00983"/>
    <d v="2025-03-19T00:00:00"/>
    <x v="3"/>
    <x v="3"/>
    <s v="Evening"/>
    <x v="0"/>
    <s v="Palakkad"/>
    <x v="0"/>
    <s v="PT-1026"/>
    <s v="New Patient"/>
    <x v="0"/>
    <s v="Corporate Tie-up"/>
    <s v="Orthopedic Doctor"/>
    <x v="0"/>
    <n v="60"/>
    <n v="60"/>
    <n v="65.8"/>
    <n v="1400"/>
    <n v="1400"/>
    <n v="0"/>
    <n v="0"/>
    <n v="1"/>
    <n v="0"/>
    <n v="0.85"/>
  </r>
  <r>
    <s v="APT-00984"/>
    <d v="2025-12-13T00:00:00"/>
    <x v="0"/>
    <x v="5"/>
    <s v="Evening"/>
    <x v="1"/>
    <s v="Thrissur"/>
    <x v="7"/>
    <s v="PT-1562"/>
    <s v="Chronic Pain"/>
    <x v="3"/>
    <s v="Self Pay"/>
    <s v="Corporate Wellness"/>
    <x v="0"/>
    <n v="45"/>
    <n v="45"/>
    <n v="50.7"/>
    <n v="1000"/>
    <n v="1000"/>
    <n v="0"/>
    <n v="0"/>
    <n v="1"/>
    <n v="0"/>
    <n v="0.85"/>
  </r>
  <r>
    <s v="APT-00985"/>
    <d v="2025-06-16T00:00:00"/>
    <x v="4"/>
    <x v="1"/>
    <s v="Morning"/>
    <x v="1"/>
    <s v="Thrissur"/>
    <x v="5"/>
    <s v="PT-1620"/>
    <s v="New Patient"/>
    <x v="5"/>
    <s v="Self Pay"/>
    <s v="Orthopedic Doctor"/>
    <x v="0"/>
    <n v="30"/>
    <n v="30"/>
    <n v="36.200000000000003"/>
    <n v="800"/>
    <n v="800"/>
    <n v="0"/>
    <n v="0"/>
    <n v="1"/>
    <n v="0"/>
    <n v="0.85"/>
  </r>
  <r>
    <s v="APT-00986"/>
    <d v="2025-12-31T00:00:00"/>
    <x v="0"/>
    <x v="3"/>
    <s v="Afternoon"/>
    <x v="2"/>
    <s v="Ernakulam"/>
    <x v="4"/>
    <s v="PT-1688"/>
    <s v="Sports Injury"/>
    <x v="0"/>
    <s v="Self Pay"/>
    <s v="Online Search"/>
    <x v="0"/>
    <n v="45"/>
    <n v="45"/>
    <n v="51.4"/>
    <n v="1100"/>
    <n v="1100"/>
    <n v="0"/>
    <n v="0"/>
    <n v="1"/>
    <n v="0"/>
    <n v="0.85"/>
  </r>
  <r>
    <s v="APT-00987"/>
    <d v="2025-08-18T00:00:00"/>
    <x v="9"/>
    <x v="1"/>
    <s v="Midday"/>
    <x v="2"/>
    <s v="Ernakulam"/>
    <x v="12"/>
    <s v="PT-1387"/>
    <s v="New Patient"/>
    <x v="5"/>
    <s v="Self Pay"/>
    <s v="Hospital Discharge"/>
    <x v="0"/>
    <n v="75"/>
    <n v="75"/>
    <n v="95.2"/>
    <n v="2250"/>
    <n v="2250"/>
    <n v="0"/>
    <n v="0"/>
    <n v="1"/>
    <n v="0"/>
    <n v="0.85"/>
  </r>
  <r>
    <s v="APT-00988"/>
    <d v="2025-07-07T00:00:00"/>
    <x v="8"/>
    <x v="1"/>
    <s v="Morning"/>
    <x v="2"/>
    <s v="Ernakulam"/>
    <x v="4"/>
    <s v="PT-1039"/>
    <s v="Chronic Pain"/>
    <x v="1"/>
    <s v="Private Insurance"/>
    <s v="Corporate Wellness"/>
    <x v="0"/>
    <n v="45"/>
    <n v="45"/>
    <n v="58"/>
    <n v="1100"/>
    <n v="1100"/>
    <n v="0"/>
    <n v="0"/>
    <n v="1"/>
    <n v="0"/>
    <n v="0.85"/>
  </r>
  <r>
    <s v="APT-00989"/>
    <d v="2025-10-28T00:00:00"/>
    <x v="7"/>
    <x v="0"/>
    <s v="Midday"/>
    <x v="1"/>
    <s v="Thrissur"/>
    <x v="7"/>
    <s v="PT-1309"/>
    <s v="Geriatric Rehab"/>
    <x v="2"/>
    <s v="Private Insurance"/>
    <s v="Hospital Discharge"/>
    <x v="0"/>
    <n v="60"/>
    <n v="60"/>
    <n v="65.5"/>
    <n v="1350"/>
    <n v="1350"/>
    <n v="0"/>
    <n v="0"/>
    <n v="1"/>
    <n v="0"/>
    <n v="0.85"/>
  </r>
  <r>
    <s v="APT-00990"/>
    <d v="2025-08-22T00:00:00"/>
    <x v="9"/>
    <x v="4"/>
    <s v="Morning"/>
    <x v="1"/>
    <s v="Thrissur"/>
    <x v="10"/>
    <s v="PT-1127"/>
    <s v="Sports Injury"/>
    <x v="3"/>
    <s v="Self Pay"/>
    <s v="Orthopedic Doctor"/>
    <x v="2"/>
    <n v="30"/>
    <n v="0"/>
    <n v="35.299999999999997"/>
    <n v="700"/>
    <n v="0"/>
    <n v="700"/>
    <n v="0"/>
    <n v="0"/>
    <n v="1"/>
    <n v="0.85"/>
  </r>
  <r>
    <s v="APT-00991"/>
    <d v="2025-02-01T00:00:00"/>
    <x v="5"/>
    <x v="5"/>
    <s v="Midday"/>
    <x v="0"/>
    <s v="Palakkad"/>
    <x v="13"/>
    <s v="PT-1232"/>
    <s v="Chronic Pain"/>
    <x v="1"/>
    <s v="Private Insurance"/>
    <s v="Self Referral"/>
    <x v="1"/>
    <n v="45"/>
    <n v="0"/>
    <n v="56.4"/>
    <n v="950"/>
    <n v="0"/>
    <n v="950"/>
    <n v="1"/>
    <n v="0"/>
    <n v="0"/>
    <n v="0.85"/>
  </r>
  <r>
    <s v="APT-00992"/>
    <d v="2025-02-24T00:00:00"/>
    <x v="5"/>
    <x v="1"/>
    <s v="Afternoon"/>
    <x v="0"/>
    <s v="Palakkad"/>
    <x v="0"/>
    <s v="PT-1087"/>
    <s v="Chronic Pain"/>
    <x v="2"/>
    <s v="Self Pay"/>
    <s v="Hospital Discharge"/>
    <x v="0"/>
    <n v="45"/>
    <n v="45"/>
    <n v="54.8"/>
    <n v="950"/>
    <n v="950"/>
    <n v="0"/>
    <n v="0"/>
    <n v="1"/>
    <n v="0"/>
    <n v="0.85"/>
  </r>
  <r>
    <s v="APT-00993"/>
    <d v="2025-08-08T00:00:00"/>
    <x v="9"/>
    <x v="4"/>
    <s v="Midday"/>
    <x v="2"/>
    <s v="Ernakulam"/>
    <x v="3"/>
    <s v="PT-1641"/>
    <s v="Sports Injury"/>
    <x v="0"/>
    <s v="Self Pay"/>
    <s v="Self Referral"/>
    <x v="0"/>
    <n v="90"/>
    <n v="90"/>
    <n v="106.9"/>
    <n v="2250"/>
    <n v="2250"/>
    <n v="0"/>
    <n v="0"/>
    <n v="1"/>
    <n v="0"/>
    <n v="0.85"/>
  </r>
  <r>
    <s v="APT-00994"/>
    <d v="2025-10-27T00:00:00"/>
    <x v="7"/>
    <x v="1"/>
    <s v="Midday"/>
    <x v="2"/>
    <s v="Ernakulam"/>
    <x v="12"/>
    <s v="PT-1289"/>
    <s v="Follow-up"/>
    <x v="0"/>
    <s v="Self Pay"/>
    <s v="Orthopedic Doctor"/>
    <x v="0"/>
    <n v="90"/>
    <n v="90"/>
    <n v="110.7"/>
    <n v="2250"/>
    <n v="2250"/>
    <n v="0"/>
    <n v="0"/>
    <n v="1"/>
    <n v="0"/>
    <n v="0.85"/>
  </r>
  <r>
    <s v="APT-00995"/>
    <d v="2025-04-28T00:00:00"/>
    <x v="6"/>
    <x v="1"/>
    <s v="Midday"/>
    <x v="0"/>
    <s v="Palakkad"/>
    <x v="9"/>
    <s v="PT-1376"/>
    <s v="Geriatric Rehab"/>
    <x v="4"/>
    <s v="Self Pay"/>
    <s v="Corporate Wellness"/>
    <x v="1"/>
    <n v="60"/>
    <n v="0"/>
    <n v="81"/>
    <n v="1250"/>
    <n v="0"/>
    <n v="1250"/>
    <n v="1"/>
    <n v="0"/>
    <n v="0"/>
    <n v="0.85"/>
  </r>
  <r>
    <s v="APT-00996"/>
    <d v="2025-12-19T00:00:00"/>
    <x v="0"/>
    <x v="4"/>
    <s v="Midday"/>
    <x v="0"/>
    <s v="Palakkad"/>
    <x v="9"/>
    <s v="PT-1259"/>
    <s v="Sports Injury"/>
    <x v="1"/>
    <s v="Self Pay"/>
    <s v="Online Search"/>
    <x v="0"/>
    <n v="75"/>
    <n v="75"/>
    <n v="85.3"/>
    <n v="1550"/>
    <n v="1550"/>
    <n v="0"/>
    <n v="0"/>
    <n v="1"/>
    <n v="0"/>
    <n v="0.85"/>
  </r>
  <r>
    <s v="APT-00997"/>
    <d v="2025-07-01T00:00:00"/>
    <x v="8"/>
    <x v="0"/>
    <s v="Afternoon"/>
    <x v="1"/>
    <s v="Thrissur"/>
    <x v="1"/>
    <s v="PT-1140"/>
    <s v="Follow-up"/>
    <x v="1"/>
    <s v="Private Insurance"/>
    <s v="Hospital Discharge"/>
    <x v="2"/>
    <n v="30"/>
    <n v="0"/>
    <n v="38.200000000000003"/>
    <n v="700"/>
    <n v="0"/>
    <n v="700"/>
    <n v="0"/>
    <n v="0"/>
    <n v="1"/>
    <n v="0.85"/>
  </r>
  <r>
    <s v="APT-00998"/>
    <d v="2025-12-10T00:00:00"/>
    <x v="0"/>
    <x v="3"/>
    <s v="Evening"/>
    <x v="1"/>
    <s v="Thrissur"/>
    <x v="10"/>
    <s v="PT-1485"/>
    <s v="Chronic Pain"/>
    <x v="2"/>
    <s v="Self Pay"/>
    <s v="Self Referral"/>
    <x v="3"/>
    <n v="90"/>
    <n v="0"/>
    <n v="116.4"/>
    <n v="2000"/>
    <n v="0"/>
    <n v="0"/>
    <n v="0"/>
    <n v="0"/>
    <n v="0"/>
    <n v="0.85"/>
  </r>
  <r>
    <s v="APT-00999"/>
    <d v="2025-05-27T00:00:00"/>
    <x v="10"/>
    <x v="0"/>
    <s v="Evening"/>
    <x v="2"/>
    <s v="Ernakulam"/>
    <x v="8"/>
    <s v="PT-1617"/>
    <s v="Follow-up"/>
    <x v="3"/>
    <s v="Self Pay"/>
    <s v="Online Search"/>
    <x v="0"/>
    <n v="60"/>
    <n v="60"/>
    <n v="66.599999999999994"/>
    <n v="1500"/>
    <n v="1500"/>
    <n v="0"/>
    <n v="0"/>
    <n v="1"/>
    <n v="0"/>
    <n v="0.85"/>
  </r>
  <r>
    <s v="APT-01000"/>
    <d v="2025-12-12T00:00:00"/>
    <x v="0"/>
    <x v="4"/>
    <s v="Afternoon"/>
    <x v="2"/>
    <s v="Ernakulam"/>
    <x v="3"/>
    <s v="PT-1467"/>
    <s v="Chronic Pain"/>
    <x v="0"/>
    <s v="Self Pay"/>
    <s v="Neurologist"/>
    <x v="1"/>
    <n v="45"/>
    <n v="0"/>
    <n v="52.2"/>
    <n v="1100"/>
    <n v="0"/>
    <n v="1100"/>
    <n v="1"/>
    <n v="0"/>
    <n v="0"/>
    <n v="0.85"/>
  </r>
  <r>
    <s v="APT-01001"/>
    <d v="2025-08-04T00:00:00"/>
    <x v="9"/>
    <x v="1"/>
    <s v="Midday"/>
    <x v="1"/>
    <s v="Thrissur"/>
    <x v="7"/>
    <s v="PT-1687"/>
    <s v="Follow-up"/>
    <x v="2"/>
    <s v="Private Insurance"/>
    <s v="Self Referral"/>
    <x v="2"/>
    <n v="90"/>
    <n v="0"/>
    <n v="100.5"/>
    <n v="2000"/>
    <n v="0"/>
    <n v="2000"/>
    <n v="0"/>
    <n v="0"/>
    <n v="1"/>
    <n v="0.85"/>
  </r>
  <r>
    <s v="APT-01002"/>
    <d v="2025-05-09T00:00:00"/>
    <x v="10"/>
    <x v="4"/>
    <s v="Evening"/>
    <x v="2"/>
    <s v="Ernakulam"/>
    <x v="4"/>
    <s v="PT-1302"/>
    <s v="New Patient"/>
    <x v="0"/>
    <s v="Government Scheme"/>
    <s v="Corporate Wellness"/>
    <x v="0"/>
    <n v="60"/>
    <n v="60"/>
    <n v="74"/>
    <n v="1550"/>
    <n v="1550"/>
    <n v="0"/>
    <n v="0"/>
    <n v="1"/>
    <n v="0"/>
    <n v="0.85"/>
  </r>
  <r>
    <s v="APT-01003"/>
    <d v="2025-12-13T00:00:00"/>
    <x v="0"/>
    <x v="5"/>
    <s v="Midday"/>
    <x v="1"/>
    <s v="Thrissur"/>
    <x v="2"/>
    <s v="PT-1685"/>
    <s v="Post-op Rehab"/>
    <x v="2"/>
    <s v="Private Insurance"/>
    <s v="Orthopedic Doctor"/>
    <x v="0"/>
    <n v="90"/>
    <n v="90"/>
    <n v="109.8"/>
    <n v="2350"/>
    <n v="2350"/>
    <n v="0"/>
    <n v="0"/>
    <n v="1"/>
    <n v="0"/>
    <n v="0.85"/>
  </r>
  <r>
    <s v="APT-01004"/>
    <d v="2025-05-08T00:00:00"/>
    <x v="10"/>
    <x v="2"/>
    <s v="Afternoon"/>
    <x v="0"/>
    <s v="Palakkad"/>
    <x v="0"/>
    <s v="PT-1502"/>
    <s v="Follow-up"/>
    <x v="0"/>
    <s v="Self Pay"/>
    <s v="Online Search"/>
    <x v="2"/>
    <n v="45"/>
    <n v="0"/>
    <n v="52.8"/>
    <n v="950"/>
    <n v="0"/>
    <n v="950"/>
    <n v="0"/>
    <n v="0"/>
    <n v="1"/>
    <n v="0.85"/>
  </r>
  <r>
    <s v="APT-01005"/>
    <d v="2025-05-19T00:00:00"/>
    <x v="10"/>
    <x v="1"/>
    <s v="Afternoon"/>
    <x v="0"/>
    <s v="Palakkad"/>
    <x v="9"/>
    <s v="PT-1324"/>
    <s v="Post-op Rehab"/>
    <x v="5"/>
    <s v="Private Insurance"/>
    <s v="Neurologist"/>
    <x v="0"/>
    <n v="60"/>
    <n v="60"/>
    <n v="67.400000000000006"/>
    <n v="1450"/>
    <n v="1450"/>
    <n v="0"/>
    <n v="0"/>
    <n v="1"/>
    <n v="0"/>
    <n v="0.85"/>
  </r>
  <r>
    <s v="APT-01006"/>
    <d v="2025-02-18T00:00:00"/>
    <x v="5"/>
    <x v="0"/>
    <s v="Morning"/>
    <x v="0"/>
    <s v="Palakkad"/>
    <x v="0"/>
    <s v="PT-1664"/>
    <s v="Post-op Rehab"/>
    <x v="0"/>
    <s v="Private Insurance"/>
    <s v="Orthopedic Doctor"/>
    <x v="0"/>
    <n v="90"/>
    <n v="90"/>
    <n v="114.6"/>
    <n v="2150"/>
    <n v="2150"/>
    <n v="0"/>
    <n v="0"/>
    <n v="1"/>
    <n v="0"/>
    <n v="0.85"/>
  </r>
  <r>
    <s v="APT-01007"/>
    <d v="2025-07-14T00:00:00"/>
    <x v="8"/>
    <x v="1"/>
    <s v="Midday"/>
    <x v="0"/>
    <s v="Palakkad"/>
    <x v="0"/>
    <s v="PT-1481"/>
    <s v="Follow-up"/>
    <x v="4"/>
    <s v="Self Pay"/>
    <s v="Online Search"/>
    <x v="0"/>
    <n v="45"/>
    <n v="45"/>
    <n v="52"/>
    <n v="950"/>
    <n v="950"/>
    <n v="0"/>
    <n v="0"/>
    <n v="1"/>
    <n v="0"/>
    <n v="0.85"/>
  </r>
  <r>
    <s v="APT-01008"/>
    <d v="2025-11-24T00:00:00"/>
    <x v="1"/>
    <x v="1"/>
    <s v="Midday"/>
    <x v="0"/>
    <s v="Palakkad"/>
    <x v="9"/>
    <s v="PT-1579"/>
    <s v="New Patient"/>
    <x v="1"/>
    <s v="Private Insurance"/>
    <s v="Orthopedic Doctor"/>
    <x v="1"/>
    <n v="60"/>
    <n v="0"/>
    <n v="70.599999999999994"/>
    <n v="1500"/>
    <n v="0"/>
    <n v="1500"/>
    <n v="1"/>
    <n v="0"/>
    <n v="0"/>
    <n v="0.85"/>
  </r>
  <r>
    <s v="APT-01009"/>
    <d v="2025-04-16T00:00:00"/>
    <x v="6"/>
    <x v="3"/>
    <s v="Afternoon"/>
    <x v="0"/>
    <s v="Palakkad"/>
    <x v="0"/>
    <s v="PT-1677"/>
    <s v="Geriatric Rehab"/>
    <x v="4"/>
    <s v="Self Pay"/>
    <s v="Online Search"/>
    <x v="0"/>
    <n v="90"/>
    <n v="90"/>
    <n v="100.1"/>
    <n v="1900"/>
    <n v="1900"/>
    <n v="0"/>
    <n v="0"/>
    <n v="1"/>
    <n v="0"/>
    <n v="0.85"/>
  </r>
  <r>
    <s v="APT-01010"/>
    <d v="2025-08-16T00:00:00"/>
    <x v="9"/>
    <x v="5"/>
    <s v="Afternoon"/>
    <x v="2"/>
    <s v="Ernakulam"/>
    <x v="4"/>
    <s v="PT-1210"/>
    <s v="Post-op Rehab"/>
    <x v="5"/>
    <s v="Self Pay"/>
    <s v="Orthopedic Doctor"/>
    <x v="0"/>
    <n v="60"/>
    <n v="60"/>
    <n v="76.5"/>
    <n v="1700"/>
    <n v="1700"/>
    <n v="0"/>
    <n v="0"/>
    <n v="1"/>
    <n v="0"/>
    <n v="0.85"/>
  </r>
  <r>
    <s v="APT-01011"/>
    <d v="2025-11-19T00:00:00"/>
    <x v="1"/>
    <x v="3"/>
    <s v="Evening"/>
    <x v="2"/>
    <s v="Ernakulam"/>
    <x v="3"/>
    <s v="PT-1522"/>
    <s v="New Patient"/>
    <x v="4"/>
    <s v="Self Pay"/>
    <s v="Self Referral"/>
    <x v="0"/>
    <n v="75"/>
    <n v="75"/>
    <n v="96.7"/>
    <n v="2250"/>
    <n v="2250"/>
    <n v="0"/>
    <n v="0"/>
    <n v="1"/>
    <n v="0"/>
    <n v="0.85"/>
  </r>
  <r>
    <s v="APT-01012"/>
    <d v="2025-12-18T00:00:00"/>
    <x v="0"/>
    <x v="2"/>
    <s v="Afternoon"/>
    <x v="1"/>
    <s v="Thrissur"/>
    <x v="2"/>
    <s v="PT-1029"/>
    <s v="New Patient"/>
    <x v="0"/>
    <s v="Self Pay"/>
    <s v="Orthopedic Doctor"/>
    <x v="0"/>
    <n v="60"/>
    <n v="60"/>
    <n v="80.599999999999994"/>
    <n v="1600"/>
    <n v="1600"/>
    <n v="0"/>
    <n v="0"/>
    <n v="1"/>
    <n v="0"/>
    <n v="0.85"/>
  </r>
  <r>
    <s v="APT-01013"/>
    <d v="2025-02-22T00:00:00"/>
    <x v="5"/>
    <x v="5"/>
    <s v="Afternoon"/>
    <x v="0"/>
    <s v="Palakkad"/>
    <x v="6"/>
    <s v="PT-1582"/>
    <s v="Follow-up"/>
    <x v="3"/>
    <s v="Self Pay"/>
    <s v="Orthopedic Doctor"/>
    <x v="0"/>
    <n v="45"/>
    <n v="45"/>
    <n v="49.8"/>
    <n v="950"/>
    <n v="950"/>
    <n v="0"/>
    <n v="0"/>
    <n v="1"/>
    <n v="0"/>
    <n v="0.85"/>
  </r>
  <r>
    <s v="APT-01014"/>
    <d v="2025-08-01T00:00:00"/>
    <x v="9"/>
    <x v="4"/>
    <s v="Evening"/>
    <x v="2"/>
    <s v="Ernakulam"/>
    <x v="12"/>
    <s v="PT-1261"/>
    <s v="Chronic Pain"/>
    <x v="3"/>
    <s v="Self Pay"/>
    <s v="Orthopedic Doctor"/>
    <x v="0"/>
    <n v="60"/>
    <n v="60"/>
    <n v="69.900000000000006"/>
    <n v="1500"/>
    <n v="1500"/>
    <n v="0"/>
    <n v="0"/>
    <n v="1"/>
    <n v="0"/>
    <n v="0.85"/>
  </r>
  <r>
    <s v="APT-01015"/>
    <d v="2025-10-24T00:00:00"/>
    <x v="7"/>
    <x v="4"/>
    <s v="Morning"/>
    <x v="1"/>
    <s v="Thrissur"/>
    <x v="1"/>
    <s v="PT-1100"/>
    <s v="New Patient"/>
    <x v="0"/>
    <s v="Government Scheme"/>
    <s v="Orthopedic Doctor"/>
    <x v="0"/>
    <n v="60"/>
    <n v="60"/>
    <n v="68.099999999999994"/>
    <n v="1400"/>
    <n v="1400"/>
    <n v="0"/>
    <n v="0"/>
    <n v="1"/>
    <n v="0"/>
    <n v="0.85"/>
  </r>
  <r>
    <s v="APT-01016"/>
    <d v="2025-12-01T00:00:00"/>
    <x v="0"/>
    <x v="1"/>
    <s v="Afternoon"/>
    <x v="1"/>
    <s v="Thrissur"/>
    <x v="2"/>
    <s v="PT-1356"/>
    <s v="Chronic Pain"/>
    <x v="0"/>
    <s v="Corporate Tie-up"/>
    <s v="Hospital Discharge"/>
    <x v="0"/>
    <n v="60"/>
    <n v="60"/>
    <n v="76.2"/>
    <n v="1250"/>
    <n v="1250"/>
    <n v="0"/>
    <n v="0"/>
    <n v="1"/>
    <n v="0"/>
    <n v="0.85"/>
  </r>
  <r>
    <s v="APT-01017"/>
    <d v="2025-10-07T00:00:00"/>
    <x v="7"/>
    <x v="0"/>
    <s v="Afternoon"/>
    <x v="2"/>
    <s v="Ernakulam"/>
    <x v="14"/>
    <s v="PT-1062"/>
    <s v="Post-op Rehab"/>
    <x v="4"/>
    <s v="Self Pay"/>
    <s v="Orthopedic Doctor"/>
    <x v="0"/>
    <n v="75"/>
    <n v="75"/>
    <n v="100.4"/>
    <n v="2150"/>
    <n v="2150"/>
    <n v="0"/>
    <n v="0"/>
    <n v="1"/>
    <n v="0"/>
    <n v="0.85"/>
  </r>
  <r>
    <s v="APT-01018"/>
    <d v="2025-12-18T00:00:00"/>
    <x v="0"/>
    <x v="2"/>
    <s v="Afternoon"/>
    <x v="0"/>
    <s v="Palakkad"/>
    <x v="13"/>
    <s v="PT-1135"/>
    <s v="Follow-up"/>
    <x v="3"/>
    <s v="Corporate Tie-up"/>
    <s v="Orthopedic Doctor"/>
    <x v="0"/>
    <n v="45"/>
    <n v="45"/>
    <n v="54.9"/>
    <n v="850"/>
    <n v="850"/>
    <n v="0"/>
    <n v="0"/>
    <n v="1"/>
    <n v="0"/>
    <n v="0.85"/>
  </r>
  <r>
    <s v="APT-01019"/>
    <d v="2025-12-18T00:00:00"/>
    <x v="0"/>
    <x v="2"/>
    <s v="Midday"/>
    <x v="0"/>
    <s v="Palakkad"/>
    <x v="13"/>
    <s v="PT-1575"/>
    <s v="Follow-up"/>
    <x v="0"/>
    <s v="Self Pay"/>
    <s v="Hospital Discharge"/>
    <x v="0"/>
    <n v="60"/>
    <n v="60"/>
    <n v="73.099999999999994"/>
    <n v="1250"/>
    <n v="1250"/>
    <n v="0"/>
    <n v="0"/>
    <n v="1"/>
    <n v="0"/>
    <n v="0.85"/>
  </r>
  <r>
    <s v="APT-01020"/>
    <d v="2025-02-10T00:00:00"/>
    <x v="5"/>
    <x v="1"/>
    <s v="Midday"/>
    <x v="0"/>
    <s v="Palakkad"/>
    <x v="9"/>
    <s v="PT-1180"/>
    <s v="Follow-up"/>
    <x v="5"/>
    <s v="Self Pay"/>
    <s v="Hospital Discharge"/>
    <x v="1"/>
    <n v="90"/>
    <n v="0"/>
    <n v="113.6"/>
    <n v="1900"/>
    <n v="0"/>
    <n v="1900"/>
    <n v="1"/>
    <n v="0"/>
    <n v="0"/>
    <n v="0.85"/>
  </r>
  <r>
    <s v="APT-01021"/>
    <d v="2025-12-10T00:00:00"/>
    <x v="0"/>
    <x v="3"/>
    <s v="Evening"/>
    <x v="1"/>
    <s v="Thrissur"/>
    <x v="1"/>
    <s v="PT-1465"/>
    <s v="Follow-up"/>
    <x v="5"/>
    <s v="Corporate Tie-up"/>
    <s v="Hospital Discharge"/>
    <x v="0"/>
    <n v="60"/>
    <n v="60"/>
    <n v="76.2"/>
    <n v="1250"/>
    <n v="1250"/>
    <n v="0"/>
    <n v="0"/>
    <n v="1"/>
    <n v="0"/>
    <n v="0.85"/>
  </r>
  <r>
    <s v="APT-01022"/>
    <d v="2025-12-04T00:00:00"/>
    <x v="0"/>
    <x v="2"/>
    <s v="Morning"/>
    <x v="0"/>
    <s v="Palakkad"/>
    <x v="9"/>
    <s v="PT-1480"/>
    <s v="Follow-up"/>
    <x v="2"/>
    <s v="Self Pay"/>
    <s v="Online Search"/>
    <x v="0"/>
    <n v="90"/>
    <n v="90"/>
    <n v="109.2"/>
    <n v="1900"/>
    <n v="1900"/>
    <n v="0"/>
    <n v="0"/>
    <n v="1"/>
    <n v="0"/>
    <n v="0.85"/>
  </r>
  <r>
    <s v="APT-01023"/>
    <d v="2025-04-17T00:00:00"/>
    <x v="6"/>
    <x v="2"/>
    <s v="Evening"/>
    <x v="2"/>
    <s v="Ernakulam"/>
    <x v="14"/>
    <s v="PT-1105"/>
    <s v="New Patient"/>
    <x v="5"/>
    <s v="Private Insurance"/>
    <s v="Orthopedic Doctor"/>
    <x v="0"/>
    <n v="45"/>
    <n v="45"/>
    <n v="52"/>
    <n v="1350"/>
    <n v="1350"/>
    <n v="0"/>
    <n v="0"/>
    <n v="1"/>
    <n v="0"/>
    <n v="0.85"/>
  </r>
  <r>
    <s v="APT-01024"/>
    <d v="2025-11-21T00:00:00"/>
    <x v="1"/>
    <x v="4"/>
    <s v="Midday"/>
    <x v="0"/>
    <s v="Palakkad"/>
    <x v="9"/>
    <s v="PT-1155"/>
    <s v="New Patient"/>
    <x v="0"/>
    <s v="Self Pay"/>
    <s v="Orthopedic Doctor"/>
    <x v="1"/>
    <n v="60"/>
    <n v="0"/>
    <n v="65.8"/>
    <n v="1500"/>
    <n v="0"/>
    <n v="1500"/>
    <n v="1"/>
    <n v="0"/>
    <n v="0"/>
    <n v="0.85"/>
  </r>
  <r>
    <s v="APT-01025"/>
    <d v="2025-01-13T00:00:00"/>
    <x v="11"/>
    <x v="1"/>
    <s v="Evening"/>
    <x v="0"/>
    <s v="Palakkad"/>
    <x v="9"/>
    <s v="PT-1400"/>
    <s v="Follow-up"/>
    <x v="4"/>
    <s v="Self Pay"/>
    <s v="Hospital Discharge"/>
    <x v="0"/>
    <n v="90"/>
    <n v="90"/>
    <n v="99"/>
    <n v="1900"/>
    <n v="1900"/>
    <n v="0"/>
    <n v="0"/>
    <n v="1"/>
    <n v="0"/>
    <n v="0.85"/>
  </r>
  <r>
    <s v="APT-01026"/>
    <d v="2025-07-24T00:00:00"/>
    <x v="8"/>
    <x v="2"/>
    <s v="Evening"/>
    <x v="1"/>
    <s v="Thrissur"/>
    <x v="1"/>
    <s v="PT-1199"/>
    <s v="Geriatric Rehab"/>
    <x v="3"/>
    <s v="Self Pay"/>
    <s v="Corporate Wellness"/>
    <x v="0"/>
    <n v="45"/>
    <n v="45"/>
    <n v="50.4"/>
    <n v="1000"/>
    <n v="1000"/>
    <n v="0"/>
    <n v="0"/>
    <n v="1"/>
    <n v="0"/>
    <n v="0.85"/>
  </r>
  <r>
    <s v="APT-01027"/>
    <d v="2025-08-16T00:00:00"/>
    <x v="9"/>
    <x v="5"/>
    <s v="Afternoon"/>
    <x v="2"/>
    <s v="Ernakulam"/>
    <x v="4"/>
    <s v="PT-1399"/>
    <s v="Sports Injury"/>
    <x v="5"/>
    <s v="Corporate Tie-up"/>
    <s v="Self Referral"/>
    <x v="2"/>
    <n v="60"/>
    <n v="0"/>
    <n v="66.400000000000006"/>
    <n v="1400"/>
    <n v="0"/>
    <n v="1400"/>
    <n v="0"/>
    <n v="0"/>
    <n v="1"/>
    <n v="0.85"/>
  </r>
  <r>
    <s v="APT-01028"/>
    <d v="2025-02-21T00:00:00"/>
    <x v="5"/>
    <x v="4"/>
    <s v="Evening"/>
    <x v="2"/>
    <s v="Ernakulam"/>
    <x v="8"/>
    <s v="PT-1500"/>
    <s v="Sports Injury"/>
    <x v="2"/>
    <s v="Private Insurance"/>
    <s v="Neurologist"/>
    <x v="0"/>
    <n v="75"/>
    <n v="75"/>
    <n v="100.3"/>
    <n v="1900"/>
    <n v="1900"/>
    <n v="0"/>
    <n v="0"/>
    <n v="1"/>
    <n v="0"/>
    <n v="0.85"/>
  </r>
  <r>
    <s v="APT-01029"/>
    <d v="2025-10-28T00:00:00"/>
    <x v="7"/>
    <x v="0"/>
    <s v="Midday"/>
    <x v="1"/>
    <s v="Thrissur"/>
    <x v="1"/>
    <s v="PT-1321"/>
    <s v="Follow-up"/>
    <x v="2"/>
    <s v="Government Scheme"/>
    <s v="Neurologist"/>
    <x v="3"/>
    <n v="45"/>
    <n v="0"/>
    <n v="53.7"/>
    <n v="850"/>
    <n v="0"/>
    <n v="0"/>
    <n v="0"/>
    <n v="0"/>
    <n v="0"/>
    <n v="0.85"/>
  </r>
  <r>
    <s v="APT-01030"/>
    <d v="2025-11-04T00:00:00"/>
    <x v="1"/>
    <x v="0"/>
    <s v="Afternoon"/>
    <x v="2"/>
    <s v="Ernakulam"/>
    <x v="4"/>
    <s v="PT-1525"/>
    <s v="Follow-up"/>
    <x v="0"/>
    <s v="Private Insurance"/>
    <s v="Online Search"/>
    <x v="0"/>
    <n v="45"/>
    <n v="45"/>
    <n v="51.1"/>
    <n v="1100"/>
    <n v="1100"/>
    <n v="0"/>
    <n v="0"/>
    <n v="1"/>
    <n v="0"/>
    <n v="0.85"/>
  </r>
  <r>
    <s v="APT-01031"/>
    <d v="2025-11-28T00:00:00"/>
    <x v="1"/>
    <x v="4"/>
    <s v="Morning"/>
    <x v="2"/>
    <s v="Ernakulam"/>
    <x v="12"/>
    <s v="PT-1640"/>
    <s v="Chronic Pain"/>
    <x v="3"/>
    <s v="Private Insurance"/>
    <s v="Neurologist"/>
    <x v="0"/>
    <n v="75"/>
    <n v="75"/>
    <n v="100.6"/>
    <n v="1900"/>
    <n v="1900"/>
    <n v="0"/>
    <n v="0"/>
    <n v="1"/>
    <n v="0"/>
    <n v="0.85"/>
  </r>
  <r>
    <s v="APT-01032"/>
    <d v="2025-02-15T00:00:00"/>
    <x v="5"/>
    <x v="5"/>
    <s v="Evening"/>
    <x v="1"/>
    <s v="Thrissur"/>
    <x v="5"/>
    <s v="PT-1381"/>
    <s v="Post-op Rehab"/>
    <x v="2"/>
    <s v="Self Pay"/>
    <s v="Online Search"/>
    <x v="0"/>
    <n v="30"/>
    <n v="30"/>
    <n v="36.1"/>
    <n v="800"/>
    <n v="800"/>
    <n v="0"/>
    <n v="0"/>
    <n v="1"/>
    <n v="0"/>
    <n v="0.85"/>
  </r>
  <r>
    <s v="APT-01033"/>
    <d v="2025-05-20T00:00:00"/>
    <x v="10"/>
    <x v="0"/>
    <s v="Midday"/>
    <x v="0"/>
    <s v="Palakkad"/>
    <x v="9"/>
    <s v="PT-1630"/>
    <s v="Geriatric Rehab"/>
    <x v="5"/>
    <s v="Corporate Tie-up"/>
    <s v="Orthopedic Doctor"/>
    <x v="0"/>
    <n v="60"/>
    <n v="60"/>
    <n v="66.2"/>
    <n v="1150"/>
    <n v="1150"/>
    <n v="0"/>
    <n v="0"/>
    <n v="1"/>
    <n v="0"/>
    <n v="0.85"/>
  </r>
  <r>
    <s v="APT-01034"/>
    <d v="2025-03-10T00:00:00"/>
    <x v="3"/>
    <x v="1"/>
    <s v="Afternoon"/>
    <x v="1"/>
    <s v="Thrissur"/>
    <x v="7"/>
    <s v="PT-1636"/>
    <s v="Sports Injury"/>
    <x v="0"/>
    <s v="Private Insurance"/>
    <s v="Corporate Wellness"/>
    <x v="0"/>
    <n v="75"/>
    <n v="75"/>
    <n v="95"/>
    <n v="1700"/>
    <n v="1700"/>
    <n v="0"/>
    <n v="0"/>
    <n v="1"/>
    <n v="0"/>
    <n v="0.85"/>
  </r>
  <r>
    <s v="APT-01035"/>
    <d v="2025-03-24T00:00:00"/>
    <x v="3"/>
    <x v="1"/>
    <s v="Afternoon"/>
    <x v="1"/>
    <s v="Thrissur"/>
    <x v="5"/>
    <s v="PT-1176"/>
    <s v="Post-op Rehab"/>
    <x v="3"/>
    <s v="Corporate Tie-up"/>
    <s v="Self Referral"/>
    <x v="1"/>
    <n v="60"/>
    <n v="0"/>
    <n v="76.599999999999994"/>
    <n v="1450"/>
    <n v="0"/>
    <n v="1450"/>
    <n v="1"/>
    <n v="0"/>
    <n v="0"/>
    <n v="0.85"/>
  </r>
  <r>
    <s v="APT-01036"/>
    <d v="2025-11-19T00:00:00"/>
    <x v="1"/>
    <x v="3"/>
    <s v="Afternoon"/>
    <x v="1"/>
    <s v="Thrissur"/>
    <x v="10"/>
    <s v="PT-1418"/>
    <s v="Post-op Rehab"/>
    <x v="5"/>
    <s v="Corporate Tie-up"/>
    <s v="Orthopedic Doctor"/>
    <x v="3"/>
    <n v="75"/>
    <n v="0"/>
    <n v="82.8"/>
    <n v="1800"/>
    <n v="0"/>
    <n v="0"/>
    <n v="0"/>
    <n v="0"/>
    <n v="0"/>
    <n v="0.85"/>
  </r>
  <r>
    <s v="APT-01037"/>
    <d v="2025-08-09T00:00:00"/>
    <x v="9"/>
    <x v="5"/>
    <s v="Evening"/>
    <x v="0"/>
    <s v="Palakkad"/>
    <x v="13"/>
    <s v="PT-1576"/>
    <s v="Post-op Rehab"/>
    <x v="0"/>
    <s v="Self Pay"/>
    <s v="Hospital Discharge"/>
    <x v="0"/>
    <n v="60"/>
    <n v="60"/>
    <n v="73.7"/>
    <n v="1450"/>
    <n v="1450"/>
    <n v="0"/>
    <n v="0"/>
    <n v="1"/>
    <n v="0"/>
    <n v="0.85"/>
  </r>
  <r>
    <s v="APT-01038"/>
    <d v="2025-08-26T00:00:00"/>
    <x v="9"/>
    <x v="0"/>
    <s v="Midday"/>
    <x v="0"/>
    <s v="Palakkad"/>
    <x v="11"/>
    <s v="PT-1249"/>
    <s v="Follow-up"/>
    <x v="0"/>
    <s v="Self Pay"/>
    <s v="Online Search"/>
    <x v="2"/>
    <n v="60"/>
    <n v="0"/>
    <n v="65.3"/>
    <n v="1250"/>
    <n v="0"/>
    <n v="1250"/>
    <n v="0"/>
    <n v="0"/>
    <n v="1"/>
    <n v="0.85"/>
  </r>
  <r>
    <s v="APT-01039"/>
    <d v="2025-01-01T00:00:00"/>
    <x v="11"/>
    <x v="3"/>
    <s v="Midday"/>
    <x v="0"/>
    <s v="Palakkad"/>
    <x v="0"/>
    <s v="PT-1446"/>
    <s v="Sports Injury"/>
    <x v="2"/>
    <s v="Self Pay"/>
    <s v="Neurologist"/>
    <x v="0"/>
    <n v="45"/>
    <n v="45"/>
    <n v="53.4"/>
    <n v="950"/>
    <n v="950"/>
    <n v="0"/>
    <n v="0"/>
    <n v="1"/>
    <n v="0"/>
    <n v="0.85"/>
  </r>
  <r>
    <s v="APT-01040"/>
    <d v="2025-03-04T00:00:00"/>
    <x v="3"/>
    <x v="0"/>
    <s v="Morning"/>
    <x v="0"/>
    <s v="Palakkad"/>
    <x v="9"/>
    <s v="PT-1464"/>
    <s v="Chronic Pain"/>
    <x v="0"/>
    <s v="Self Pay"/>
    <s v="Orthopedic Doctor"/>
    <x v="0"/>
    <n v="30"/>
    <n v="30"/>
    <n v="36.799999999999997"/>
    <n v="600"/>
    <n v="600"/>
    <n v="0"/>
    <n v="0"/>
    <n v="1"/>
    <n v="0"/>
    <n v="0.85"/>
  </r>
  <r>
    <s v="APT-01041"/>
    <d v="2025-05-23T00:00:00"/>
    <x v="10"/>
    <x v="4"/>
    <s v="Morning"/>
    <x v="2"/>
    <s v="Ernakulam"/>
    <x v="4"/>
    <s v="PT-1304"/>
    <s v="Sports Injury"/>
    <x v="0"/>
    <s v="Corporate Tie-up"/>
    <s v="Hospital Discharge"/>
    <x v="1"/>
    <n v="60"/>
    <n v="0"/>
    <n v="71.7"/>
    <n v="1400"/>
    <n v="0"/>
    <n v="1400"/>
    <n v="1"/>
    <n v="0"/>
    <n v="0"/>
    <n v="0.85"/>
  </r>
  <r>
    <s v="APT-01042"/>
    <d v="2025-08-07T00:00:00"/>
    <x v="9"/>
    <x v="2"/>
    <s v="Evening"/>
    <x v="0"/>
    <s v="Palakkad"/>
    <x v="13"/>
    <s v="PT-1338"/>
    <s v="Follow-up"/>
    <x v="5"/>
    <s v="Government Scheme"/>
    <s v="Online Search"/>
    <x v="0"/>
    <n v="60"/>
    <n v="60"/>
    <n v="70.2"/>
    <n v="1050"/>
    <n v="1050"/>
    <n v="0"/>
    <n v="0"/>
    <n v="1"/>
    <n v="0"/>
    <n v="0.85"/>
  </r>
  <r>
    <s v="APT-01043"/>
    <d v="2025-09-04T00:00:00"/>
    <x v="2"/>
    <x v="2"/>
    <s v="Midday"/>
    <x v="2"/>
    <s v="Ernakulam"/>
    <x v="4"/>
    <s v="PT-1128"/>
    <s v="New Patient"/>
    <x v="1"/>
    <s v="Private Insurance"/>
    <s v="Self Referral"/>
    <x v="0"/>
    <n v="75"/>
    <n v="75"/>
    <n v="81.7"/>
    <n v="2250"/>
    <n v="2250"/>
    <n v="0"/>
    <n v="0"/>
    <n v="1"/>
    <n v="0"/>
    <n v="0.85"/>
  </r>
  <r>
    <s v="APT-01044"/>
    <d v="2025-01-04T00:00:00"/>
    <x v="11"/>
    <x v="5"/>
    <s v="Evening"/>
    <x v="2"/>
    <s v="Ernakulam"/>
    <x v="3"/>
    <s v="PT-1468"/>
    <s v="Follow-up"/>
    <x v="4"/>
    <s v="Government Scheme"/>
    <s v="Neurologist"/>
    <x v="0"/>
    <n v="60"/>
    <n v="60"/>
    <n v="70.900000000000006"/>
    <n v="1300"/>
    <n v="1300"/>
    <n v="0"/>
    <n v="0"/>
    <n v="1"/>
    <n v="0"/>
    <n v="0.85"/>
  </r>
  <r>
    <s v="APT-01045"/>
    <d v="2025-08-12T00:00:00"/>
    <x v="9"/>
    <x v="0"/>
    <s v="Midday"/>
    <x v="0"/>
    <s v="Palakkad"/>
    <x v="0"/>
    <s v="PT-1273"/>
    <s v="Follow-up"/>
    <x v="1"/>
    <s v="Private Insurance"/>
    <s v="Corporate Wellness"/>
    <x v="0"/>
    <n v="60"/>
    <n v="60"/>
    <n v="67.099999999999994"/>
    <n v="1250"/>
    <n v="1250"/>
    <n v="0"/>
    <n v="0"/>
    <n v="1"/>
    <n v="0"/>
    <n v="0.85"/>
  </r>
  <r>
    <s v="APT-01046"/>
    <d v="2025-07-24T00:00:00"/>
    <x v="8"/>
    <x v="2"/>
    <s v="Midday"/>
    <x v="2"/>
    <s v="Ernakulam"/>
    <x v="14"/>
    <s v="PT-1204"/>
    <s v="Follow-up"/>
    <x v="1"/>
    <s v="Self Pay"/>
    <s v="Orthopedic Doctor"/>
    <x v="0"/>
    <n v="45"/>
    <n v="45"/>
    <n v="53"/>
    <n v="1100"/>
    <n v="1100"/>
    <n v="0"/>
    <n v="0"/>
    <n v="1"/>
    <n v="0"/>
    <n v="0.85"/>
  </r>
  <r>
    <s v="APT-01047"/>
    <d v="2025-11-27T00:00:00"/>
    <x v="1"/>
    <x v="2"/>
    <s v="Evening"/>
    <x v="1"/>
    <s v="Thrissur"/>
    <x v="10"/>
    <s v="PT-1454"/>
    <s v="New Patient"/>
    <x v="1"/>
    <s v="Private Insurance"/>
    <s v="Orthopedic Doctor"/>
    <x v="0"/>
    <n v="45"/>
    <n v="45"/>
    <n v="60.5"/>
    <n v="1200"/>
    <n v="1200"/>
    <n v="0"/>
    <n v="0"/>
    <n v="1"/>
    <n v="0"/>
    <n v="0.85"/>
  </r>
  <r>
    <s v="APT-01048"/>
    <d v="2025-06-13T00:00:00"/>
    <x v="4"/>
    <x v="4"/>
    <s v="Midday"/>
    <x v="2"/>
    <s v="Ernakulam"/>
    <x v="8"/>
    <s v="PT-1489"/>
    <s v="Follow-up"/>
    <x v="0"/>
    <s v="Private Insurance"/>
    <s v="Self Referral"/>
    <x v="0"/>
    <n v="60"/>
    <n v="60"/>
    <n v="66.599999999999994"/>
    <n v="1500"/>
    <n v="1500"/>
    <n v="0"/>
    <n v="0"/>
    <n v="1"/>
    <n v="0"/>
    <n v="0.85"/>
  </r>
  <r>
    <s v="APT-01049"/>
    <d v="2025-07-15T00:00:00"/>
    <x v="8"/>
    <x v="0"/>
    <s v="Afternoon"/>
    <x v="1"/>
    <s v="Thrissur"/>
    <x v="5"/>
    <s v="PT-1279"/>
    <s v="New Patient"/>
    <x v="1"/>
    <s v="Private Insurance"/>
    <s v="Neurologist"/>
    <x v="1"/>
    <n v="60"/>
    <n v="0"/>
    <n v="74.099999999999994"/>
    <n v="1600"/>
    <n v="0"/>
    <n v="1600"/>
    <n v="1"/>
    <n v="0"/>
    <n v="0"/>
    <n v="0.85"/>
  </r>
  <r>
    <s v="APT-01050"/>
    <d v="2025-10-16T00:00:00"/>
    <x v="7"/>
    <x v="2"/>
    <s v="Morning"/>
    <x v="1"/>
    <s v="Thrissur"/>
    <x v="7"/>
    <s v="PT-1149"/>
    <s v="Post-op Rehab"/>
    <x v="5"/>
    <s v="Self Pay"/>
    <s v="Online Search"/>
    <x v="0"/>
    <n v="75"/>
    <n v="75"/>
    <n v="99.2"/>
    <n v="1950"/>
    <n v="1950"/>
    <n v="0"/>
    <n v="0"/>
    <n v="1"/>
    <n v="0"/>
    <n v="0.85"/>
  </r>
  <r>
    <s v="APT-01051"/>
    <d v="2025-05-31T00:00:00"/>
    <x v="10"/>
    <x v="5"/>
    <s v="Afternoon"/>
    <x v="1"/>
    <s v="Thrissur"/>
    <x v="7"/>
    <s v="PT-1097"/>
    <s v="New Patient"/>
    <x v="2"/>
    <s v="Self Pay"/>
    <s v="Online Search"/>
    <x v="0"/>
    <n v="60"/>
    <n v="60"/>
    <n v="79.599999999999994"/>
    <n v="1600"/>
    <n v="1600"/>
    <n v="0"/>
    <n v="0"/>
    <n v="1"/>
    <n v="0"/>
    <n v="0.85"/>
  </r>
  <r>
    <s v="APT-01052"/>
    <d v="2025-08-04T00:00:00"/>
    <x v="9"/>
    <x v="1"/>
    <s v="Afternoon"/>
    <x v="2"/>
    <s v="Ernakulam"/>
    <x v="3"/>
    <s v="PT-1257"/>
    <s v="Post-op Rehab"/>
    <x v="0"/>
    <s v="Government Scheme"/>
    <s v="Self Referral"/>
    <x v="0"/>
    <n v="60"/>
    <n v="60"/>
    <n v="66.3"/>
    <n v="1450"/>
    <n v="1450"/>
    <n v="0"/>
    <n v="0"/>
    <n v="1"/>
    <n v="0"/>
    <n v="0.85"/>
  </r>
  <r>
    <s v="APT-01053"/>
    <d v="2025-03-31T00:00:00"/>
    <x v="3"/>
    <x v="1"/>
    <s v="Midday"/>
    <x v="2"/>
    <s v="Ernakulam"/>
    <x v="8"/>
    <s v="PT-1544"/>
    <s v="Post-op Rehab"/>
    <x v="3"/>
    <s v="Self Pay"/>
    <s v="Self Referral"/>
    <x v="0"/>
    <n v="75"/>
    <n v="75"/>
    <n v="87.9"/>
    <n v="2150"/>
    <n v="2150"/>
    <n v="0"/>
    <n v="0"/>
    <n v="1"/>
    <n v="0"/>
    <n v="0.85"/>
  </r>
  <r>
    <s v="APT-01054"/>
    <d v="2025-09-18T00:00:00"/>
    <x v="2"/>
    <x v="2"/>
    <s v="Morning"/>
    <x v="1"/>
    <s v="Thrissur"/>
    <x v="1"/>
    <s v="PT-1643"/>
    <s v="New Patient"/>
    <x v="5"/>
    <s v="Corporate Tie-up"/>
    <s v="Hospital Discharge"/>
    <x v="0"/>
    <n v="75"/>
    <n v="75"/>
    <n v="97.2"/>
    <n v="1850"/>
    <n v="1850"/>
    <n v="0"/>
    <n v="0"/>
    <n v="1"/>
    <n v="0"/>
    <n v="0.85"/>
  </r>
  <r>
    <s v="APT-01055"/>
    <d v="2025-08-07T00:00:00"/>
    <x v="9"/>
    <x v="2"/>
    <s v="Midday"/>
    <x v="2"/>
    <s v="Ernakulam"/>
    <x v="4"/>
    <s v="PT-1646"/>
    <s v="Sports Injury"/>
    <x v="5"/>
    <s v="Corporate Tie-up"/>
    <s v="Corporate Wellness"/>
    <x v="0"/>
    <n v="60"/>
    <n v="60"/>
    <n v="68"/>
    <n v="1400"/>
    <n v="1400"/>
    <n v="0"/>
    <n v="0"/>
    <n v="1"/>
    <n v="0"/>
    <n v="0.85"/>
  </r>
  <r>
    <s v="APT-01056"/>
    <d v="2025-11-27T00:00:00"/>
    <x v="1"/>
    <x v="2"/>
    <s v="Afternoon"/>
    <x v="2"/>
    <s v="Ernakulam"/>
    <x v="8"/>
    <s v="PT-1512"/>
    <s v="Follow-up"/>
    <x v="4"/>
    <s v="Corporate Tie-up"/>
    <s v="Self Referral"/>
    <x v="0"/>
    <n v="75"/>
    <n v="75"/>
    <n v="89.5"/>
    <n v="1700"/>
    <n v="1700"/>
    <n v="0"/>
    <n v="0"/>
    <n v="1"/>
    <n v="0"/>
    <n v="0.85"/>
  </r>
  <r>
    <s v="APT-01057"/>
    <d v="2025-03-01T00:00:00"/>
    <x v="3"/>
    <x v="5"/>
    <s v="Morning"/>
    <x v="0"/>
    <s v="Palakkad"/>
    <x v="9"/>
    <s v="PT-1587"/>
    <s v="Sports Injury"/>
    <x v="4"/>
    <s v="Self Pay"/>
    <s v="Online Search"/>
    <x v="0"/>
    <n v="45"/>
    <n v="45"/>
    <n v="58.9"/>
    <n v="950"/>
    <n v="950"/>
    <n v="0"/>
    <n v="0"/>
    <n v="1"/>
    <n v="0"/>
    <n v="0.85"/>
  </r>
  <r>
    <s v="APT-01058"/>
    <d v="2025-10-17T00:00:00"/>
    <x v="7"/>
    <x v="4"/>
    <s v="Evening"/>
    <x v="1"/>
    <s v="Thrissur"/>
    <x v="7"/>
    <s v="PT-1132"/>
    <s v="Geriatric Rehab"/>
    <x v="2"/>
    <s v="Private Insurance"/>
    <s v="Neurologist"/>
    <x v="0"/>
    <n v="45"/>
    <n v="45"/>
    <n v="58.3"/>
    <n v="1000"/>
    <n v="1000"/>
    <n v="0"/>
    <n v="0"/>
    <n v="1"/>
    <n v="0"/>
    <n v="0.85"/>
  </r>
  <r>
    <s v="APT-01059"/>
    <d v="2025-07-31T00:00:00"/>
    <x v="8"/>
    <x v="2"/>
    <s v="Morning"/>
    <x v="2"/>
    <s v="Ernakulam"/>
    <x v="8"/>
    <s v="PT-1352"/>
    <s v="Geriatric Rehab"/>
    <x v="4"/>
    <s v="Corporate Tie-up"/>
    <s v="Corporate Wellness"/>
    <x v="0"/>
    <n v="30"/>
    <n v="30"/>
    <n v="40.1"/>
    <n v="700"/>
    <n v="700"/>
    <n v="0"/>
    <n v="0"/>
    <n v="1"/>
    <n v="0"/>
    <n v="0.85"/>
  </r>
  <r>
    <s v="APT-01060"/>
    <d v="2025-11-10T00:00:00"/>
    <x v="1"/>
    <x v="1"/>
    <s v="Afternoon"/>
    <x v="0"/>
    <s v="Palakkad"/>
    <x v="11"/>
    <s v="PT-1192"/>
    <s v="Geriatric Rehab"/>
    <x v="0"/>
    <s v="Self Pay"/>
    <s v="Corporate Wellness"/>
    <x v="0"/>
    <n v="30"/>
    <n v="30"/>
    <n v="34"/>
    <n v="600"/>
    <n v="600"/>
    <n v="0"/>
    <n v="0"/>
    <n v="1"/>
    <n v="0"/>
    <n v="0.85"/>
  </r>
  <r>
    <s v="APT-01061"/>
    <d v="2025-03-08T00:00:00"/>
    <x v="3"/>
    <x v="5"/>
    <s v="Midday"/>
    <x v="0"/>
    <s v="Palakkad"/>
    <x v="6"/>
    <s v="PT-1062"/>
    <s v="Geriatric Rehab"/>
    <x v="0"/>
    <s v="Self Pay"/>
    <s v="Neurologist"/>
    <x v="0"/>
    <n v="45"/>
    <n v="45"/>
    <n v="60.4"/>
    <n v="950"/>
    <n v="950"/>
    <n v="0"/>
    <n v="0"/>
    <n v="1"/>
    <n v="0"/>
    <n v="0.85"/>
  </r>
  <r>
    <s v="APT-01062"/>
    <d v="2025-11-22T00:00:00"/>
    <x v="1"/>
    <x v="5"/>
    <s v="Midday"/>
    <x v="1"/>
    <s v="Thrissur"/>
    <x v="7"/>
    <s v="PT-1028"/>
    <s v="Chronic Pain"/>
    <x v="1"/>
    <s v="Self Pay"/>
    <s v="Neurologist"/>
    <x v="0"/>
    <n v="30"/>
    <n v="30"/>
    <n v="38.9"/>
    <n v="700"/>
    <n v="700"/>
    <n v="0"/>
    <n v="0"/>
    <n v="1"/>
    <n v="0"/>
    <n v="0.85"/>
  </r>
  <r>
    <s v="APT-01063"/>
    <d v="2025-03-10T00:00:00"/>
    <x v="3"/>
    <x v="1"/>
    <s v="Morning"/>
    <x v="0"/>
    <s v="Palakkad"/>
    <x v="11"/>
    <s v="PT-1415"/>
    <s v="Post-op Rehab"/>
    <x v="1"/>
    <s v="Corporate Tie-up"/>
    <s v="Online Search"/>
    <x v="0"/>
    <n v="45"/>
    <n v="45"/>
    <n v="54"/>
    <n v="1000"/>
    <n v="1000"/>
    <n v="0"/>
    <n v="0"/>
    <n v="1"/>
    <n v="0"/>
    <n v="0.85"/>
  </r>
  <r>
    <s v="APT-01064"/>
    <d v="2025-08-08T00:00:00"/>
    <x v="9"/>
    <x v="4"/>
    <s v="Evening"/>
    <x v="1"/>
    <s v="Thrissur"/>
    <x v="10"/>
    <s v="PT-1256"/>
    <s v="Post-op Rehab"/>
    <x v="2"/>
    <s v="Self Pay"/>
    <s v="Orthopedic Doctor"/>
    <x v="0"/>
    <n v="45"/>
    <n v="45"/>
    <n v="49.2"/>
    <n v="1150"/>
    <n v="1150"/>
    <n v="0"/>
    <n v="0"/>
    <n v="1"/>
    <n v="0"/>
    <n v="0.85"/>
  </r>
  <r>
    <s v="APT-01065"/>
    <d v="2025-05-31T00:00:00"/>
    <x v="10"/>
    <x v="5"/>
    <s v="Midday"/>
    <x v="0"/>
    <s v="Palakkad"/>
    <x v="11"/>
    <s v="PT-1012"/>
    <s v="Chronic Pain"/>
    <x v="2"/>
    <s v="Private Insurance"/>
    <s v="Self Referral"/>
    <x v="0"/>
    <n v="60"/>
    <n v="60"/>
    <n v="75.599999999999994"/>
    <n v="1250"/>
    <n v="1250"/>
    <n v="0"/>
    <n v="0"/>
    <n v="1"/>
    <n v="0"/>
    <n v="0.85"/>
  </r>
  <r>
    <s v="APT-01066"/>
    <d v="2025-12-11T00:00:00"/>
    <x v="0"/>
    <x v="2"/>
    <s v="Evening"/>
    <x v="2"/>
    <s v="Ernakulam"/>
    <x v="12"/>
    <s v="PT-1254"/>
    <s v="Post-op Rehab"/>
    <x v="3"/>
    <s v="Self Pay"/>
    <s v="Online Search"/>
    <x v="0"/>
    <n v="60"/>
    <n v="60"/>
    <n v="65.900000000000006"/>
    <n v="1700"/>
    <n v="1700"/>
    <n v="0"/>
    <n v="0"/>
    <n v="1"/>
    <n v="0"/>
    <n v="0.85"/>
  </r>
  <r>
    <s v="APT-01067"/>
    <d v="2025-04-30T00:00:00"/>
    <x v="6"/>
    <x v="3"/>
    <s v="Afternoon"/>
    <x v="1"/>
    <s v="Thrissur"/>
    <x v="1"/>
    <s v="PT-1559"/>
    <s v="Geriatric Rehab"/>
    <x v="5"/>
    <s v="Government Scheme"/>
    <s v="Orthopedic Doctor"/>
    <x v="1"/>
    <n v="90"/>
    <n v="0"/>
    <n v="99.2"/>
    <n v="1700"/>
    <n v="0"/>
    <n v="1700"/>
    <n v="1"/>
    <n v="0"/>
    <n v="0"/>
    <n v="0.85"/>
  </r>
  <r>
    <s v="APT-01068"/>
    <d v="2025-07-14T00:00:00"/>
    <x v="8"/>
    <x v="1"/>
    <s v="Midday"/>
    <x v="0"/>
    <s v="Palakkad"/>
    <x v="13"/>
    <s v="PT-1341"/>
    <s v="Follow-up"/>
    <x v="2"/>
    <s v="Private Insurance"/>
    <s v="Hospital Discharge"/>
    <x v="0"/>
    <n v="60"/>
    <n v="60"/>
    <n v="74"/>
    <n v="1250"/>
    <n v="1250"/>
    <n v="0"/>
    <n v="0"/>
    <n v="1"/>
    <n v="0"/>
    <n v="0.85"/>
  </r>
  <r>
    <s v="APT-01069"/>
    <d v="2025-08-12T00:00:00"/>
    <x v="9"/>
    <x v="0"/>
    <s v="Afternoon"/>
    <x v="0"/>
    <s v="Palakkad"/>
    <x v="9"/>
    <s v="PT-1111"/>
    <s v="Follow-up"/>
    <x v="3"/>
    <s v="Corporate Tie-up"/>
    <s v="Corporate Wellness"/>
    <x v="0"/>
    <n v="45"/>
    <n v="45"/>
    <n v="55.8"/>
    <n v="850"/>
    <n v="850"/>
    <n v="0"/>
    <n v="0"/>
    <n v="1"/>
    <n v="0"/>
    <n v="0.85"/>
  </r>
  <r>
    <s v="APT-01070"/>
    <d v="2025-05-20T00:00:00"/>
    <x v="10"/>
    <x v="0"/>
    <s v="Afternoon"/>
    <x v="2"/>
    <s v="Ernakulam"/>
    <x v="4"/>
    <s v="PT-1190"/>
    <s v="New Patient"/>
    <x v="2"/>
    <s v="Corporate Tie-up"/>
    <s v="Hospital Discharge"/>
    <x v="0"/>
    <n v="60"/>
    <n v="60"/>
    <n v="70.2"/>
    <n v="1650"/>
    <n v="1650"/>
    <n v="0"/>
    <n v="0"/>
    <n v="1"/>
    <n v="0"/>
    <n v="0.85"/>
  </r>
  <r>
    <s v="APT-01071"/>
    <d v="2025-06-10T00:00:00"/>
    <x v="4"/>
    <x v="0"/>
    <s v="Morning"/>
    <x v="2"/>
    <s v="Ernakulam"/>
    <x v="14"/>
    <s v="PT-1184"/>
    <s v="Follow-up"/>
    <x v="5"/>
    <s v="Government Scheme"/>
    <s v="Corporate Wellness"/>
    <x v="1"/>
    <n v="30"/>
    <n v="0"/>
    <n v="32.700000000000003"/>
    <n v="650"/>
    <n v="0"/>
    <n v="650"/>
    <n v="1"/>
    <n v="0"/>
    <n v="0"/>
    <n v="0.85"/>
  </r>
  <r>
    <s v="APT-01072"/>
    <d v="2025-06-30T00:00:00"/>
    <x v="4"/>
    <x v="1"/>
    <s v="Morning"/>
    <x v="2"/>
    <s v="Ernakulam"/>
    <x v="3"/>
    <s v="PT-1176"/>
    <s v="Follow-up"/>
    <x v="1"/>
    <s v="Corporate Tie-up"/>
    <s v="Hospital Discharge"/>
    <x v="1"/>
    <n v="45"/>
    <n v="0"/>
    <n v="54.4"/>
    <n v="1050"/>
    <n v="0"/>
    <n v="1050"/>
    <n v="1"/>
    <n v="0"/>
    <n v="0"/>
    <n v="0.85"/>
  </r>
  <r>
    <s v="APT-01073"/>
    <d v="2025-01-16T00:00:00"/>
    <x v="11"/>
    <x v="2"/>
    <s v="Evening"/>
    <x v="0"/>
    <s v="Palakkad"/>
    <x v="11"/>
    <s v="PT-1036"/>
    <s v="Geriatric Rehab"/>
    <x v="2"/>
    <s v="Private Insurance"/>
    <s v="Online Search"/>
    <x v="0"/>
    <n v="60"/>
    <n v="60"/>
    <n v="74.900000000000006"/>
    <n v="1250"/>
    <n v="1250"/>
    <n v="0"/>
    <n v="0"/>
    <n v="1"/>
    <n v="0"/>
    <n v="0.85"/>
  </r>
  <r>
    <s v="APT-01074"/>
    <d v="2025-09-19T00:00:00"/>
    <x v="2"/>
    <x v="4"/>
    <s v="Midday"/>
    <x v="2"/>
    <s v="Ernakulam"/>
    <x v="14"/>
    <s v="PT-1177"/>
    <s v="New Patient"/>
    <x v="4"/>
    <s v="Self Pay"/>
    <s v="Hospital Discharge"/>
    <x v="0"/>
    <n v="60"/>
    <n v="60"/>
    <n v="68.8"/>
    <n v="1800"/>
    <n v="1800"/>
    <n v="0"/>
    <n v="0"/>
    <n v="1"/>
    <n v="0"/>
    <n v="0.85"/>
  </r>
  <r>
    <s v="APT-01075"/>
    <d v="2025-09-16T00:00:00"/>
    <x v="2"/>
    <x v="0"/>
    <s v="Afternoon"/>
    <x v="1"/>
    <s v="Thrissur"/>
    <x v="5"/>
    <s v="PT-1590"/>
    <s v="Sports Injury"/>
    <x v="2"/>
    <s v="Private Insurance"/>
    <s v="Neurologist"/>
    <x v="0"/>
    <n v="75"/>
    <n v="75"/>
    <n v="93.1"/>
    <n v="1700"/>
    <n v="1700"/>
    <n v="0"/>
    <n v="0"/>
    <n v="1"/>
    <n v="0"/>
    <n v="0.85"/>
  </r>
  <r>
    <s v="APT-01076"/>
    <d v="2025-07-12T00:00:00"/>
    <x v="8"/>
    <x v="5"/>
    <s v="Afternoon"/>
    <x v="2"/>
    <s v="Ernakulam"/>
    <x v="12"/>
    <s v="PT-1000"/>
    <s v="Chronic Pain"/>
    <x v="3"/>
    <s v="Self Pay"/>
    <s v="Corporate Wellness"/>
    <x v="0"/>
    <n v="90"/>
    <n v="90"/>
    <n v="100.4"/>
    <n v="2250"/>
    <n v="2250"/>
    <n v="0"/>
    <n v="0"/>
    <n v="1"/>
    <n v="0"/>
    <n v="0.85"/>
  </r>
  <r>
    <s v="APT-01077"/>
    <d v="2025-04-28T00:00:00"/>
    <x v="6"/>
    <x v="1"/>
    <s v="Evening"/>
    <x v="1"/>
    <s v="Thrissur"/>
    <x v="10"/>
    <s v="PT-1129"/>
    <s v="Geriatric Rehab"/>
    <x v="4"/>
    <s v="Private Insurance"/>
    <s v="Neurologist"/>
    <x v="0"/>
    <n v="45"/>
    <n v="45"/>
    <n v="59.3"/>
    <n v="1000"/>
    <n v="1000"/>
    <n v="0"/>
    <n v="0"/>
    <n v="1"/>
    <n v="0"/>
    <n v="0.85"/>
  </r>
  <r>
    <s v="APT-01078"/>
    <d v="2025-02-10T00:00:00"/>
    <x v="5"/>
    <x v="1"/>
    <s v="Evening"/>
    <x v="1"/>
    <s v="Thrissur"/>
    <x v="7"/>
    <s v="PT-1662"/>
    <s v="Follow-up"/>
    <x v="2"/>
    <s v="Self Pay"/>
    <s v="Hospital Discharge"/>
    <x v="0"/>
    <n v="60"/>
    <n v="60"/>
    <n v="70.099999999999994"/>
    <n v="1350"/>
    <n v="1350"/>
    <n v="0"/>
    <n v="0"/>
    <n v="1"/>
    <n v="0"/>
    <n v="0.85"/>
  </r>
  <r>
    <s v="APT-01079"/>
    <d v="2025-02-15T00:00:00"/>
    <x v="5"/>
    <x v="5"/>
    <s v="Afternoon"/>
    <x v="2"/>
    <s v="Ernakulam"/>
    <x v="8"/>
    <s v="PT-1491"/>
    <s v="Follow-up"/>
    <x v="1"/>
    <s v="Government Scheme"/>
    <s v="Online Search"/>
    <x v="0"/>
    <n v="60"/>
    <n v="60"/>
    <n v="68.2"/>
    <n v="1300"/>
    <n v="1300"/>
    <n v="0"/>
    <n v="0"/>
    <n v="1"/>
    <n v="0"/>
    <n v="0.85"/>
  </r>
  <r>
    <s v="APT-01080"/>
    <d v="2025-03-10T00:00:00"/>
    <x v="3"/>
    <x v="1"/>
    <s v="Morning"/>
    <x v="2"/>
    <s v="Ernakulam"/>
    <x v="4"/>
    <s v="PT-1070"/>
    <s v="Post-op Rehab"/>
    <x v="4"/>
    <s v="Self Pay"/>
    <s v="Online Search"/>
    <x v="3"/>
    <n v="60"/>
    <n v="0"/>
    <n v="77.7"/>
    <n v="1700"/>
    <n v="0"/>
    <n v="0"/>
    <n v="0"/>
    <n v="0"/>
    <n v="0"/>
    <n v="0.85"/>
  </r>
  <r>
    <s v="APT-01081"/>
    <d v="2025-08-21T00:00:00"/>
    <x v="9"/>
    <x v="2"/>
    <s v="Afternoon"/>
    <x v="2"/>
    <s v="Ernakulam"/>
    <x v="12"/>
    <s v="PT-1246"/>
    <s v="Post-op Rehab"/>
    <x v="0"/>
    <s v="Self Pay"/>
    <s v="Neurologist"/>
    <x v="0"/>
    <n v="45"/>
    <n v="45"/>
    <n v="52.7"/>
    <n v="1300"/>
    <n v="1300"/>
    <n v="0"/>
    <n v="0"/>
    <n v="1"/>
    <n v="0"/>
    <n v="0.85"/>
  </r>
  <r>
    <s v="APT-01082"/>
    <d v="2025-06-05T00:00:00"/>
    <x v="4"/>
    <x v="2"/>
    <s v="Evening"/>
    <x v="0"/>
    <s v="Palakkad"/>
    <x v="13"/>
    <s v="PT-1162"/>
    <s v="Follow-up"/>
    <x v="5"/>
    <s v="Self Pay"/>
    <s v="Corporate Wellness"/>
    <x v="0"/>
    <n v="45"/>
    <n v="45"/>
    <n v="55.4"/>
    <n v="950"/>
    <n v="950"/>
    <n v="0"/>
    <n v="0"/>
    <n v="1"/>
    <n v="0"/>
    <n v="0.85"/>
  </r>
  <r>
    <s v="APT-01083"/>
    <d v="2025-10-03T00:00:00"/>
    <x v="7"/>
    <x v="4"/>
    <s v="Evening"/>
    <x v="1"/>
    <s v="Thrissur"/>
    <x v="10"/>
    <s v="PT-1543"/>
    <s v="Follow-up"/>
    <x v="3"/>
    <s v="Private Insurance"/>
    <s v="Neurologist"/>
    <x v="0"/>
    <n v="45"/>
    <n v="45"/>
    <n v="56"/>
    <n v="1000"/>
    <n v="1000"/>
    <n v="0"/>
    <n v="0"/>
    <n v="1"/>
    <n v="0"/>
    <n v="0.85"/>
  </r>
  <r>
    <s v="APT-01084"/>
    <d v="2025-01-16T00:00:00"/>
    <x v="11"/>
    <x v="2"/>
    <s v="Morning"/>
    <x v="1"/>
    <s v="Thrissur"/>
    <x v="7"/>
    <s v="PT-1519"/>
    <s v="Sports Injury"/>
    <x v="1"/>
    <s v="Corporate Tie-up"/>
    <s v="Corporate Wellness"/>
    <x v="1"/>
    <n v="60"/>
    <n v="0"/>
    <n v="79.900000000000006"/>
    <n v="1250"/>
    <n v="0"/>
    <n v="1250"/>
    <n v="1"/>
    <n v="0"/>
    <n v="0"/>
    <n v="0.85"/>
  </r>
  <r>
    <s v="APT-01085"/>
    <d v="2025-07-23T00:00:00"/>
    <x v="8"/>
    <x v="3"/>
    <s v="Midday"/>
    <x v="1"/>
    <s v="Thrissur"/>
    <x v="7"/>
    <s v="PT-1082"/>
    <s v="Geriatric Rehab"/>
    <x v="0"/>
    <s v="Self Pay"/>
    <s v="Online Search"/>
    <x v="0"/>
    <n v="60"/>
    <n v="60"/>
    <n v="74.400000000000006"/>
    <n v="1350"/>
    <n v="1350"/>
    <n v="0"/>
    <n v="0"/>
    <n v="1"/>
    <n v="0"/>
    <n v="0.85"/>
  </r>
  <r>
    <s v="APT-01086"/>
    <d v="2025-08-11T00:00:00"/>
    <x v="9"/>
    <x v="1"/>
    <s v="Evening"/>
    <x v="0"/>
    <s v="Palakkad"/>
    <x v="11"/>
    <s v="PT-1168"/>
    <s v="Post-op Rehab"/>
    <x v="4"/>
    <s v="Self Pay"/>
    <s v="Hospital Discharge"/>
    <x v="3"/>
    <n v="45"/>
    <n v="0"/>
    <n v="60.7"/>
    <n v="1100"/>
    <n v="0"/>
    <n v="0"/>
    <n v="0"/>
    <n v="0"/>
    <n v="0"/>
    <n v="0.85"/>
  </r>
  <r>
    <s v="APT-01087"/>
    <d v="2025-10-02T00:00:00"/>
    <x v="7"/>
    <x v="2"/>
    <s v="Morning"/>
    <x v="0"/>
    <s v="Palakkad"/>
    <x v="13"/>
    <s v="PT-1672"/>
    <s v="Geriatric Rehab"/>
    <x v="1"/>
    <s v="Self Pay"/>
    <s v="Hospital Discharge"/>
    <x v="0"/>
    <n v="30"/>
    <n v="30"/>
    <n v="34.700000000000003"/>
    <n v="600"/>
    <n v="600"/>
    <n v="0"/>
    <n v="0"/>
    <n v="1"/>
    <n v="0"/>
    <n v="0.85"/>
  </r>
  <r>
    <s v="APT-01088"/>
    <d v="2025-03-27T00:00:00"/>
    <x v="3"/>
    <x v="2"/>
    <s v="Midday"/>
    <x v="0"/>
    <s v="Palakkad"/>
    <x v="0"/>
    <s v="PT-1282"/>
    <s v="New Patient"/>
    <x v="5"/>
    <s v="Corporate Tie-up"/>
    <s v="Neurologist"/>
    <x v="0"/>
    <n v="60"/>
    <n v="60"/>
    <n v="65.599999999999994"/>
    <n v="1400"/>
    <n v="1400"/>
    <n v="0"/>
    <n v="0"/>
    <n v="1"/>
    <n v="0"/>
    <n v="0.85"/>
  </r>
  <r>
    <s v="APT-01089"/>
    <d v="2025-09-02T00:00:00"/>
    <x v="2"/>
    <x v="0"/>
    <s v="Midday"/>
    <x v="2"/>
    <s v="Ernakulam"/>
    <x v="3"/>
    <s v="PT-1400"/>
    <s v="Chronic Pain"/>
    <x v="2"/>
    <s v="Private Insurance"/>
    <s v="Neurologist"/>
    <x v="1"/>
    <n v="45"/>
    <n v="0"/>
    <n v="49.8"/>
    <n v="1100"/>
    <n v="0"/>
    <n v="1100"/>
    <n v="1"/>
    <n v="0"/>
    <n v="0"/>
    <n v="0.85"/>
  </r>
  <r>
    <s v="APT-01090"/>
    <d v="2025-08-03T00:00:00"/>
    <x v="9"/>
    <x v="6"/>
    <s v="Evening"/>
    <x v="0"/>
    <s v="Palakkad"/>
    <x v="13"/>
    <s v="PT-1486"/>
    <s v="New Patient"/>
    <x v="3"/>
    <s v="Self Pay"/>
    <s v="Hospital Discharge"/>
    <x v="0"/>
    <n v="60"/>
    <n v="60"/>
    <n v="67.7"/>
    <n v="1500"/>
    <n v="1500"/>
    <n v="0"/>
    <n v="0"/>
    <n v="1"/>
    <n v="0"/>
    <n v="0.85"/>
  </r>
  <r>
    <s v="APT-01091"/>
    <d v="2025-07-26T00:00:00"/>
    <x v="8"/>
    <x v="5"/>
    <s v="Morning"/>
    <x v="2"/>
    <s v="Ernakulam"/>
    <x v="4"/>
    <s v="PT-1200"/>
    <s v="Follow-up"/>
    <x v="2"/>
    <s v="Self Pay"/>
    <s v="Orthopedic Doctor"/>
    <x v="0"/>
    <n v="45"/>
    <n v="45"/>
    <n v="51.2"/>
    <n v="1100"/>
    <n v="1100"/>
    <n v="0"/>
    <n v="0"/>
    <n v="1"/>
    <n v="0"/>
    <n v="0.85"/>
  </r>
  <r>
    <s v="APT-01092"/>
    <d v="2025-05-12T00:00:00"/>
    <x v="10"/>
    <x v="1"/>
    <s v="Evening"/>
    <x v="2"/>
    <s v="Ernakulam"/>
    <x v="14"/>
    <s v="PT-1085"/>
    <s v="Follow-up"/>
    <x v="0"/>
    <s v="Government Scheme"/>
    <s v="Neurologist"/>
    <x v="0"/>
    <n v="60"/>
    <n v="60"/>
    <n v="80.7"/>
    <n v="1300"/>
    <n v="1300"/>
    <n v="0"/>
    <n v="0"/>
    <n v="1"/>
    <n v="0"/>
    <n v="0.85"/>
  </r>
  <r>
    <s v="APT-01093"/>
    <d v="2025-08-14T00:00:00"/>
    <x v="9"/>
    <x v="2"/>
    <s v="Afternoon"/>
    <x v="2"/>
    <s v="Ernakulam"/>
    <x v="8"/>
    <s v="PT-1486"/>
    <s v="Sports Injury"/>
    <x v="4"/>
    <s v="Self Pay"/>
    <s v="Corporate Wellness"/>
    <x v="0"/>
    <n v="90"/>
    <n v="90"/>
    <n v="102.6"/>
    <n v="2250"/>
    <n v="2250"/>
    <n v="0"/>
    <n v="0"/>
    <n v="1"/>
    <n v="0"/>
    <n v="0.85"/>
  </r>
  <r>
    <s v="APT-01094"/>
    <d v="2025-12-23T00:00:00"/>
    <x v="0"/>
    <x v="0"/>
    <s v="Afternoon"/>
    <x v="2"/>
    <s v="Ernakulam"/>
    <x v="8"/>
    <s v="PT-1173"/>
    <s v="New Patient"/>
    <x v="2"/>
    <s v="Private Insurance"/>
    <s v="Neurologist"/>
    <x v="0"/>
    <n v="45"/>
    <n v="45"/>
    <n v="59.6"/>
    <n v="1350"/>
    <n v="1350"/>
    <n v="0"/>
    <n v="0"/>
    <n v="1"/>
    <n v="0"/>
    <n v="0.85"/>
  </r>
  <r>
    <s v="APT-01095"/>
    <d v="2025-04-14T00:00:00"/>
    <x v="6"/>
    <x v="1"/>
    <s v="Midday"/>
    <x v="0"/>
    <s v="Palakkad"/>
    <x v="13"/>
    <s v="PT-1415"/>
    <s v="Chronic Pain"/>
    <x v="1"/>
    <s v="Private Insurance"/>
    <s v="Orthopedic Doctor"/>
    <x v="0"/>
    <n v="60"/>
    <n v="60"/>
    <n v="67.599999999999994"/>
    <n v="1250"/>
    <n v="1250"/>
    <n v="0"/>
    <n v="0"/>
    <n v="1"/>
    <n v="0"/>
    <n v="0.85"/>
  </r>
  <r>
    <s v="APT-01096"/>
    <d v="2025-12-01T00:00:00"/>
    <x v="0"/>
    <x v="1"/>
    <s v="Midday"/>
    <x v="1"/>
    <s v="Thrissur"/>
    <x v="7"/>
    <s v="PT-1421"/>
    <s v="New Patient"/>
    <x v="0"/>
    <s v="Self Pay"/>
    <s v="Hospital Discharge"/>
    <x v="0"/>
    <n v="60"/>
    <n v="60"/>
    <n v="74.900000000000006"/>
    <n v="1600"/>
    <n v="1600"/>
    <n v="0"/>
    <n v="0"/>
    <n v="1"/>
    <n v="0"/>
    <n v="0.85"/>
  </r>
  <r>
    <s v="APT-01097"/>
    <d v="2025-11-13T00:00:00"/>
    <x v="1"/>
    <x v="2"/>
    <s v="Afternoon"/>
    <x v="1"/>
    <s v="Thrissur"/>
    <x v="1"/>
    <s v="PT-1085"/>
    <s v="Follow-up"/>
    <x v="5"/>
    <s v="Self Pay"/>
    <s v="Orthopedic Doctor"/>
    <x v="0"/>
    <n v="75"/>
    <n v="75"/>
    <n v="91.2"/>
    <n v="1700"/>
    <n v="1700"/>
    <n v="0"/>
    <n v="0"/>
    <n v="1"/>
    <n v="0"/>
    <n v="0.85"/>
  </r>
  <r>
    <s v="APT-01098"/>
    <d v="2025-01-08T00:00:00"/>
    <x v="11"/>
    <x v="3"/>
    <s v="Morning"/>
    <x v="2"/>
    <s v="Ernakulam"/>
    <x v="14"/>
    <s v="PT-1142"/>
    <s v="Post-op Rehab"/>
    <x v="4"/>
    <s v="Government Scheme"/>
    <s v="Self Referral"/>
    <x v="0"/>
    <n v="60"/>
    <n v="60"/>
    <n v="78.400000000000006"/>
    <n v="1450"/>
    <n v="1450"/>
    <n v="0"/>
    <n v="0"/>
    <n v="1"/>
    <n v="0"/>
    <n v="0.85"/>
  </r>
  <r>
    <s v="APT-01099"/>
    <d v="2025-11-25T00:00:00"/>
    <x v="1"/>
    <x v="0"/>
    <s v="Morning"/>
    <x v="2"/>
    <s v="Ernakulam"/>
    <x v="4"/>
    <s v="PT-1567"/>
    <s v="Post-op Rehab"/>
    <x v="1"/>
    <s v="Self Pay"/>
    <s v="Orthopedic Doctor"/>
    <x v="3"/>
    <n v="90"/>
    <n v="0"/>
    <n v="111.5"/>
    <n v="2600"/>
    <n v="0"/>
    <n v="0"/>
    <n v="0"/>
    <n v="0"/>
    <n v="0"/>
    <n v="0.85"/>
  </r>
  <r>
    <s v="APT-01100"/>
    <d v="2025-05-23T00:00:00"/>
    <x v="10"/>
    <x v="4"/>
    <s v="Midday"/>
    <x v="1"/>
    <s v="Thrissur"/>
    <x v="2"/>
    <s v="PT-1056"/>
    <s v="Chronic Pain"/>
    <x v="2"/>
    <s v="Corporate Tie-up"/>
    <s v="Neurologist"/>
    <x v="2"/>
    <n v="60"/>
    <n v="0"/>
    <n v="71.7"/>
    <n v="1250"/>
    <n v="0"/>
    <n v="1250"/>
    <n v="0"/>
    <n v="0"/>
    <n v="1"/>
    <n v="0.85"/>
  </r>
  <r>
    <s v="APT-01101"/>
    <d v="2025-08-11T00:00:00"/>
    <x v="9"/>
    <x v="1"/>
    <s v="Evening"/>
    <x v="0"/>
    <s v="Palakkad"/>
    <x v="11"/>
    <s v="PT-1432"/>
    <s v="Follow-up"/>
    <x v="2"/>
    <s v="Private Insurance"/>
    <s v="Online Search"/>
    <x v="0"/>
    <n v="30"/>
    <n v="30"/>
    <n v="34.9"/>
    <n v="600"/>
    <n v="600"/>
    <n v="0"/>
    <n v="0"/>
    <n v="1"/>
    <n v="0"/>
    <n v="0.85"/>
  </r>
  <r>
    <s v="APT-01102"/>
    <d v="2025-02-23T00:00:00"/>
    <x v="5"/>
    <x v="6"/>
    <s v="Afternoon"/>
    <x v="1"/>
    <s v="Thrissur"/>
    <x v="10"/>
    <s v="PT-1590"/>
    <s v="Chronic Pain"/>
    <x v="4"/>
    <s v="Corporate Tie-up"/>
    <s v="Self Referral"/>
    <x v="1"/>
    <n v="60"/>
    <n v="0"/>
    <n v="68.099999999999994"/>
    <n v="1250"/>
    <n v="0"/>
    <n v="1250"/>
    <n v="1"/>
    <n v="0"/>
    <n v="0"/>
    <n v="0.85"/>
  </r>
  <r>
    <s v="APT-01103"/>
    <d v="2025-05-17T00:00:00"/>
    <x v="10"/>
    <x v="5"/>
    <s v="Afternoon"/>
    <x v="0"/>
    <s v="Palakkad"/>
    <x v="13"/>
    <s v="PT-1260"/>
    <s v="Geriatric Rehab"/>
    <x v="3"/>
    <s v="Private Insurance"/>
    <s v="Orthopedic Doctor"/>
    <x v="3"/>
    <n v="45"/>
    <n v="0"/>
    <n v="53.5"/>
    <n v="950"/>
    <n v="0"/>
    <n v="0"/>
    <n v="0"/>
    <n v="0"/>
    <n v="0"/>
    <n v="0.85"/>
  </r>
  <r>
    <s v="APT-01104"/>
    <d v="2025-05-21T00:00:00"/>
    <x v="10"/>
    <x v="3"/>
    <s v="Midday"/>
    <x v="0"/>
    <s v="Palakkad"/>
    <x v="13"/>
    <s v="PT-1495"/>
    <s v="New Patient"/>
    <x v="1"/>
    <s v="Private Insurance"/>
    <s v="Online Search"/>
    <x v="0"/>
    <n v="45"/>
    <n v="45"/>
    <n v="50"/>
    <n v="1100"/>
    <n v="1100"/>
    <n v="0"/>
    <n v="0"/>
    <n v="1"/>
    <n v="0"/>
    <n v="0.85"/>
  </r>
  <r>
    <s v="APT-01105"/>
    <d v="2025-01-20T00:00:00"/>
    <x v="11"/>
    <x v="1"/>
    <s v="Midday"/>
    <x v="2"/>
    <s v="Ernakulam"/>
    <x v="8"/>
    <s v="PT-1045"/>
    <s v="Chronic Pain"/>
    <x v="4"/>
    <s v="Corporate Tie-up"/>
    <s v="Neurologist"/>
    <x v="2"/>
    <n v="90"/>
    <n v="0"/>
    <n v="109"/>
    <n v="2050"/>
    <n v="0"/>
    <n v="2050"/>
    <n v="0"/>
    <n v="0"/>
    <n v="1"/>
    <n v="0.85"/>
  </r>
  <r>
    <s v="APT-01106"/>
    <d v="2025-06-27T00:00:00"/>
    <x v="4"/>
    <x v="4"/>
    <s v="Morning"/>
    <x v="0"/>
    <s v="Palakkad"/>
    <x v="6"/>
    <s v="PT-1329"/>
    <s v="Follow-up"/>
    <x v="4"/>
    <s v="Self Pay"/>
    <s v="Corporate Wellness"/>
    <x v="0"/>
    <n v="60"/>
    <n v="60"/>
    <n v="77.7"/>
    <n v="1250"/>
    <n v="1250"/>
    <n v="0"/>
    <n v="0"/>
    <n v="1"/>
    <n v="0"/>
    <n v="0.85"/>
  </r>
  <r>
    <s v="APT-01107"/>
    <d v="2025-04-21T00:00:00"/>
    <x v="6"/>
    <x v="1"/>
    <s v="Midday"/>
    <x v="2"/>
    <s v="Ernakulam"/>
    <x v="8"/>
    <s v="PT-1340"/>
    <s v="Post-op Rehab"/>
    <x v="2"/>
    <s v="Self Pay"/>
    <s v="Hospital Discharge"/>
    <x v="0"/>
    <n v="45"/>
    <n v="45"/>
    <n v="52.5"/>
    <n v="1300"/>
    <n v="1300"/>
    <n v="0"/>
    <n v="0"/>
    <n v="1"/>
    <n v="0"/>
    <n v="0.85"/>
  </r>
  <r>
    <s v="APT-01108"/>
    <d v="2025-05-10T00:00:00"/>
    <x v="10"/>
    <x v="5"/>
    <s v="Morning"/>
    <x v="2"/>
    <s v="Ernakulam"/>
    <x v="12"/>
    <s v="PT-1200"/>
    <s v="Follow-up"/>
    <x v="5"/>
    <s v="Private Insurance"/>
    <s v="Self Referral"/>
    <x v="1"/>
    <n v="45"/>
    <n v="0"/>
    <n v="51.7"/>
    <n v="1100"/>
    <n v="0"/>
    <n v="1100"/>
    <n v="1"/>
    <n v="0"/>
    <n v="0"/>
    <n v="0.85"/>
  </r>
  <r>
    <s v="APT-01109"/>
    <d v="2025-09-24T00:00:00"/>
    <x v="2"/>
    <x v="3"/>
    <s v="Afternoon"/>
    <x v="1"/>
    <s v="Thrissur"/>
    <x v="5"/>
    <s v="PT-1395"/>
    <s v="New Patient"/>
    <x v="1"/>
    <s v="Self Pay"/>
    <s v="Online Search"/>
    <x v="0"/>
    <n v="60"/>
    <n v="60"/>
    <n v="66"/>
    <n v="1600"/>
    <n v="1600"/>
    <n v="0"/>
    <n v="0"/>
    <n v="1"/>
    <n v="0"/>
    <n v="0.85"/>
  </r>
  <r>
    <s v="APT-01110"/>
    <d v="2025-01-27T00:00:00"/>
    <x v="11"/>
    <x v="1"/>
    <s v="Morning"/>
    <x v="0"/>
    <s v="Palakkad"/>
    <x v="9"/>
    <s v="PT-1329"/>
    <s v="Chronic Pain"/>
    <x v="1"/>
    <s v="Self Pay"/>
    <s v="Online Search"/>
    <x v="0"/>
    <n v="60"/>
    <n v="60"/>
    <n v="78.2"/>
    <n v="1250"/>
    <n v="1250"/>
    <n v="0"/>
    <n v="0"/>
    <n v="1"/>
    <n v="0"/>
    <n v="0.85"/>
  </r>
  <r>
    <s v="APT-01111"/>
    <d v="2025-11-10T00:00:00"/>
    <x v="1"/>
    <x v="1"/>
    <s v="Midday"/>
    <x v="1"/>
    <s v="Thrissur"/>
    <x v="2"/>
    <s v="PT-1463"/>
    <s v="Post-op Rehab"/>
    <x v="2"/>
    <s v="Self Pay"/>
    <s v="Hospital Discharge"/>
    <x v="0"/>
    <n v="60"/>
    <n v="60"/>
    <n v="81.099999999999994"/>
    <n v="1550"/>
    <n v="1550"/>
    <n v="0"/>
    <n v="0"/>
    <n v="1"/>
    <n v="0"/>
    <n v="0.85"/>
  </r>
  <r>
    <s v="APT-01112"/>
    <d v="2025-11-28T00:00:00"/>
    <x v="1"/>
    <x v="4"/>
    <s v="Morning"/>
    <x v="1"/>
    <s v="Thrissur"/>
    <x v="5"/>
    <s v="PT-1477"/>
    <s v="Geriatric Rehab"/>
    <x v="1"/>
    <s v="Corporate Tie-up"/>
    <s v="Neurologist"/>
    <x v="0"/>
    <n v="75"/>
    <n v="75"/>
    <n v="85.4"/>
    <n v="1550"/>
    <n v="1550"/>
    <n v="0"/>
    <n v="0"/>
    <n v="1"/>
    <n v="0"/>
    <n v="0.85"/>
  </r>
  <r>
    <s v="APT-01113"/>
    <d v="2025-04-21T00:00:00"/>
    <x v="6"/>
    <x v="1"/>
    <s v="Evening"/>
    <x v="1"/>
    <s v="Thrissur"/>
    <x v="1"/>
    <s v="PT-1281"/>
    <s v="Geriatric Rehab"/>
    <x v="0"/>
    <s v="Self Pay"/>
    <s v="Self Referral"/>
    <x v="1"/>
    <n v="60"/>
    <n v="0"/>
    <n v="67.3"/>
    <n v="1350"/>
    <n v="0"/>
    <n v="1350"/>
    <n v="1"/>
    <n v="0"/>
    <n v="0"/>
    <n v="0.85"/>
  </r>
  <r>
    <s v="APT-01114"/>
    <d v="2025-10-27T00:00:00"/>
    <x v="7"/>
    <x v="1"/>
    <s v="Afternoon"/>
    <x v="0"/>
    <s v="Palakkad"/>
    <x v="13"/>
    <s v="PT-1593"/>
    <s v="New Patient"/>
    <x v="3"/>
    <s v="Self Pay"/>
    <s v="Neurologist"/>
    <x v="0"/>
    <n v="30"/>
    <n v="30"/>
    <n v="37.299999999999997"/>
    <n v="750"/>
    <n v="750"/>
    <n v="0"/>
    <n v="0"/>
    <n v="1"/>
    <n v="0"/>
    <n v="0.85"/>
  </r>
  <r>
    <s v="APT-01115"/>
    <d v="2025-03-07T00:00:00"/>
    <x v="3"/>
    <x v="4"/>
    <s v="Evening"/>
    <x v="1"/>
    <s v="Thrissur"/>
    <x v="5"/>
    <s v="PT-1430"/>
    <s v="Chronic Pain"/>
    <x v="4"/>
    <s v="Self Pay"/>
    <s v="Hospital Discharge"/>
    <x v="2"/>
    <n v="60"/>
    <n v="0"/>
    <n v="76.2"/>
    <n v="1350"/>
    <n v="0"/>
    <n v="1350"/>
    <n v="0"/>
    <n v="0"/>
    <n v="1"/>
    <n v="0.85"/>
  </r>
  <r>
    <s v="APT-01116"/>
    <d v="2025-01-01T00:00:00"/>
    <x v="11"/>
    <x v="3"/>
    <s v="Afternoon"/>
    <x v="0"/>
    <s v="Palakkad"/>
    <x v="11"/>
    <s v="PT-1691"/>
    <s v="Follow-up"/>
    <x v="4"/>
    <s v="Self Pay"/>
    <s v="Orthopedic Doctor"/>
    <x v="0"/>
    <n v="60"/>
    <n v="60"/>
    <n v="68.599999999999994"/>
    <n v="1250"/>
    <n v="1250"/>
    <n v="0"/>
    <n v="0"/>
    <n v="1"/>
    <n v="0"/>
    <n v="0.85"/>
  </r>
  <r>
    <s v="APT-01117"/>
    <d v="2025-08-25T00:00:00"/>
    <x v="9"/>
    <x v="1"/>
    <s v="Afternoon"/>
    <x v="1"/>
    <s v="Thrissur"/>
    <x v="5"/>
    <s v="PT-1017"/>
    <s v="Geriatric Rehab"/>
    <x v="4"/>
    <s v="Private Insurance"/>
    <s v="Corporate Wellness"/>
    <x v="0"/>
    <n v="75"/>
    <n v="75"/>
    <n v="92.8"/>
    <n v="1700"/>
    <n v="1700"/>
    <n v="0"/>
    <n v="0"/>
    <n v="1"/>
    <n v="0"/>
    <n v="0.85"/>
  </r>
  <r>
    <s v="APT-01118"/>
    <d v="2025-03-31T00:00:00"/>
    <x v="3"/>
    <x v="1"/>
    <s v="Evening"/>
    <x v="1"/>
    <s v="Thrissur"/>
    <x v="10"/>
    <s v="PT-1572"/>
    <s v="New Patient"/>
    <x v="3"/>
    <s v="Self Pay"/>
    <s v="Neurologist"/>
    <x v="0"/>
    <n v="60"/>
    <n v="60"/>
    <n v="78.400000000000006"/>
    <n v="1600"/>
    <n v="1600"/>
    <n v="0"/>
    <n v="0"/>
    <n v="1"/>
    <n v="0"/>
    <n v="0.85"/>
  </r>
  <r>
    <s v="APT-01119"/>
    <d v="2025-08-12T00:00:00"/>
    <x v="9"/>
    <x v="0"/>
    <s v="Evening"/>
    <x v="0"/>
    <s v="Palakkad"/>
    <x v="13"/>
    <s v="PT-1659"/>
    <s v="Follow-up"/>
    <x v="0"/>
    <s v="Corporate Tie-up"/>
    <s v="Neurologist"/>
    <x v="0"/>
    <n v="30"/>
    <n v="30"/>
    <n v="35.200000000000003"/>
    <n v="600"/>
    <n v="600"/>
    <n v="0"/>
    <n v="0"/>
    <n v="1"/>
    <n v="0"/>
    <n v="0.85"/>
  </r>
  <r>
    <s v="APT-01120"/>
    <d v="2025-06-05T00:00:00"/>
    <x v="4"/>
    <x v="2"/>
    <s v="Midday"/>
    <x v="0"/>
    <s v="Palakkad"/>
    <x v="11"/>
    <s v="PT-1226"/>
    <s v="Chronic Pain"/>
    <x v="0"/>
    <s v="Self Pay"/>
    <s v="Corporate Wellness"/>
    <x v="0"/>
    <n v="60"/>
    <n v="60"/>
    <n v="69.400000000000006"/>
    <n v="1250"/>
    <n v="1250"/>
    <n v="0"/>
    <n v="0"/>
    <n v="1"/>
    <n v="0"/>
    <n v="0.85"/>
  </r>
  <r>
    <s v="APT-01121"/>
    <d v="2025-01-29T00:00:00"/>
    <x v="11"/>
    <x v="3"/>
    <s v="Morning"/>
    <x v="2"/>
    <s v="Ernakulam"/>
    <x v="12"/>
    <s v="PT-1215"/>
    <s v="Geriatric Rehab"/>
    <x v="1"/>
    <s v="Self Pay"/>
    <s v="Self Referral"/>
    <x v="0"/>
    <n v="45"/>
    <n v="45"/>
    <n v="52.8"/>
    <n v="1100"/>
    <n v="1100"/>
    <n v="0"/>
    <n v="0"/>
    <n v="1"/>
    <n v="0"/>
    <n v="0.85"/>
  </r>
  <r>
    <s v="APT-01122"/>
    <d v="2025-11-24T00:00:00"/>
    <x v="1"/>
    <x v="1"/>
    <s v="Afternoon"/>
    <x v="2"/>
    <s v="Ernakulam"/>
    <x v="12"/>
    <s v="PT-1066"/>
    <s v="Post-op Rehab"/>
    <x v="1"/>
    <s v="Private Insurance"/>
    <s v="Corporate Wellness"/>
    <x v="0"/>
    <n v="30"/>
    <n v="30"/>
    <n v="33.200000000000003"/>
    <n v="850"/>
    <n v="850"/>
    <n v="0"/>
    <n v="0"/>
    <n v="1"/>
    <n v="0"/>
    <n v="0.85"/>
  </r>
  <r>
    <s v="APT-01123"/>
    <d v="2025-07-11T00:00:00"/>
    <x v="8"/>
    <x v="4"/>
    <s v="Afternoon"/>
    <x v="2"/>
    <s v="Ernakulam"/>
    <x v="4"/>
    <s v="PT-1336"/>
    <s v="Post-op Rehab"/>
    <x v="4"/>
    <s v="Corporate Tie-up"/>
    <s v="Corporate Wellness"/>
    <x v="2"/>
    <n v="60"/>
    <n v="0"/>
    <n v="74.2"/>
    <n v="1600"/>
    <n v="0"/>
    <n v="1600"/>
    <n v="0"/>
    <n v="0"/>
    <n v="1"/>
    <n v="0.85"/>
  </r>
  <r>
    <s v="APT-01124"/>
    <d v="2025-02-25T00:00:00"/>
    <x v="5"/>
    <x v="0"/>
    <s v="Afternoon"/>
    <x v="0"/>
    <s v="Palakkad"/>
    <x v="0"/>
    <s v="PT-1578"/>
    <s v="Post-op Rehab"/>
    <x v="0"/>
    <s v="Self Pay"/>
    <s v="Online Search"/>
    <x v="0"/>
    <n v="30"/>
    <n v="30"/>
    <n v="35"/>
    <n v="700"/>
    <n v="700"/>
    <n v="0"/>
    <n v="0"/>
    <n v="1"/>
    <n v="0"/>
    <n v="0.85"/>
  </r>
  <r>
    <s v="APT-01125"/>
    <d v="2025-08-11T00:00:00"/>
    <x v="9"/>
    <x v="1"/>
    <s v="Midday"/>
    <x v="2"/>
    <s v="Ernakulam"/>
    <x v="12"/>
    <s v="PT-1033"/>
    <s v="Geriatric Rehab"/>
    <x v="3"/>
    <s v="Corporate Tie-up"/>
    <s v="Online Search"/>
    <x v="1"/>
    <n v="60"/>
    <n v="0"/>
    <n v="79.400000000000006"/>
    <n v="1400"/>
    <n v="0"/>
    <n v="1400"/>
    <n v="1"/>
    <n v="0"/>
    <n v="0"/>
    <n v="0.85"/>
  </r>
  <r>
    <s v="APT-01126"/>
    <d v="2025-01-24T00:00:00"/>
    <x v="11"/>
    <x v="4"/>
    <s v="Evening"/>
    <x v="1"/>
    <s v="Thrissur"/>
    <x v="10"/>
    <s v="PT-1095"/>
    <s v="Follow-up"/>
    <x v="3"/>
    <s v="Self Pay"/>
    <s v="Neurologist"/>
    <x v="0"/>
    <n v="90"/>
    <n v="90"/>
    <n v="99.3"/>
    <n v="2000"/>
    <n v="2000"/>
    <n v="0"/>
    <n v="0"/>
    <n v="1"/>
    <n v="0"/>
    <n v="0.85"/>
  </r>
  <r>
    <s v="APT-01127"/>
    <d v="2025-06-09T00:00:00"/>
    <x v="4"/>
    <x v="1"/>
    <s v="Midday"/>
    <x v="0"/>
    <s v="Palakkad"/>
    <x v="9"/>
    <s v="PT-1294"/>
    <s v="Follow-up"/>
    <x v="2"/>
    <s v="Self Pay"/>
    <s v="Corporate Wellness"/>
    <x v="1"/>
    <n v="60"/>
    <n v="0"/>
    <n v="68.8"/>
    <n v="1250"/>
    <n v="0"/>
    <n v="1250"/>
    <n v="1"/>
    <n v="0"/>
    <n v="0"/>
    <n v="0.85"/>
  </r>
  <r>
    <s v="APT-01128"/>
    <d v="2025-05-24T00:00:00"/>
    <x v="10"/>
    <x v="5"/>
    <s v="Morning"/>
    <x v="0"/>
    <s v="Palakkad"/>
    <x v="6"/>
    <s v="PT-1664"/>
    <s v="New Patient"/>
    <x v="3"/>
    <s v="Private Insurance"/>
    <s v="Online Search"/>
    <x v="1"/>
    <n v="45"/>
    <n v="0"/>
    <n v="53.4"/>
    <n v="1100"/>
    <n v="0"/>
    <n v="1100"/>
    <n v="1"/>
    <n v="0"/>
    <n v="0"/>
    <n v="0.85"/>
  </r>
  <r>
    <s v="APT-01129"/>
    <d v="2025-12-13T00:00:00"/>
    <x v="0"/>
    <x v="5"/>
    <s v="Midday"/>
    <x v="0"/>
    <s v="Palakkad"/>
    <x v="11"/>
    <s v="PT-1019"/>
    <s v="New Patient"/>
    <x v="4"/>
    <s v="Private Insurance"/>
    <s v="Neurologist"/>
    <x v="0"/>
    <n v="60"/>
    <n v="60"/>
    <n v="72.7"/>
    <n v="1500"/>
    <n v="1500"/>
    <n v="0"/>
    <n v="0"/>
    <n v="1"/>
    <n v="0"/>
    <n v="0.85"/>
  </r>
  <r>
    <s v="APT-01130"/>
    <d v="2025-01-02T00:00:00"/>
    <x v="11"/>
    <x v="2"/>
    <s v="Morning"/>
    <x v="2"/>
    <s v="Ernakulam"/>
    <x v="12"/>
    <s v="PT-1068"/>
    <s v="New Patient"/>
    <x v="4"/>
    <s v="Government Scheme"/>
    <s v="Orthopedic Doctor"/>
    <x v="0"/>
    <n v="60"/>
    <n v="60"/>
    <n v="67.599999999999994"/>
    <n v="1550"/>
    <n v="1550"/>
    <n v="0"/>
    <n v="0"/>
    <n v="1"/>
    <n v="0"/>
    <n v="0.85"/>
  </r>
  <r>
    <s v="APT-01131"/>
    <d v="2025-10-20T00:00:00"/>
    <x v="7"/>
    <x v="1"/>
    <s v="Afternoon"/>
    <x v="0"/>
    <s v="Palakkad"/>
    <x v="0"/>
    <s v="PT-1499"/>
    <s v="New Patient"/>
    <x v="1"/>
    <s v="Self Pay"/>
    <s v="Self Referral"/>
    <x v="0"/>
    <n v="90"/>
    <n v="90"/>
    <n v="112.2"/>
    <n v="2250"/>
    <n v="2250"/>
    <n v="0"/>
    <n v="0"/>
    <n v="1"/>
    <n v="0"/>
    <n v="0.85"/>
  </r>
  <r>
    <s v="APT-01132"/>
    <d v="2025-08-26T00:00:00"/>
    <x v="9"/>
    <x v="0"/>
    <s v="Morning"/>
    <x v="0"/>
    <s v="Palakkad"/>
    <x v="9"/>
    <s v="PT-1470"/>
    <s v="Follow-up"/>
    <x v="0"/>
    <s v="Government Scheme"/>
    <s v="Orthopedic Doctor"/>
    <x v="0"/>
    <n v="60"/>
    <n v="60"/>
    <n v="67.400000000000006"/>
    <n v="1050"/>
    <n v="1050"/>
    <n v="0"/>
    <n v="0"/>
    <n v="1"/>
    <n v="0"/>
    <n v="0.85"/>
  </r>
  <r>
    <s v="APT-01133"/>
    <d v="2025-07-10T00:00:00"/>
    <x v="8"/>
    <x v="2"/>
    <s v="Midday"/>
    <x v="2"/>
    <s v="Ernakulam"/>
    <x v="3"/>
    <s v="PT-1677"/>
    <s v="New Patient"/>
    <x v="3"/>
    <s v="Private Insurance"/>
    <s v="Orthopedic Doctor"/>
    <x v="1"/>
    <n v="60"/>
    <n v="0"/>
    <n v="70.5"/>
    <n v="1800"/>
    <n v="0"/>
    <n v="1800"/>
    <n v="1"/>
    <n v="0"/>
    <n v="0"/>
    <n v="0.85"/>
  </r>
  <r>
    <s v="APT-01134"/>
    <d v="2025-12-16T00:00:00"/>
    <x v="0"/>
    <x v="0"/>
    <s v="Morning"/>
    <x v="2"/>
    <s v="Ernakulam"/>
    <x v="8"/>
    <s v="PT-1395"/>
    <s v="Follow-up"/>
    <x v="2"/>
    <s v="Private Insurance"/>
    <s v="Orthopedic Doctor"/>
    <x v="0"/>
    <n v="75"/>
    <n v="75"/>
    <n v="99.8"/>
    <n v="1900"/>
    <n v="1900"/>
    <n v="0"/>
    <n v="0"/>
    <n v="1"/>
    <n v="0"/>
    <n v="0.85"/>
  </r>
  <r>
    <s v="APT-01135"/>
    <d v="2025-06-11T00:00:00"/>
    <x v="4"/>
    <x v="3"/>
    <s v="Afternoon"/>
    <x v="0"/>
    <s v="Palakkad"/>
    <x v="9"/>
    <s v="PT-1128"/>
    <s v="Post-op Rehab"/>
    <x v="2"/>
    <s v="Private Insurance"/>
    <s v="Online Search"/>
    <x v="1"/>
    <n v="60"/>
    <n v="0"/>
    <n v="66.2"/>
    <n v="1450"/>
    <n v="0"/>
    <n v="1450"/>
    <n v="1"/>
    <n v="0"/>
    <n v="0"/>
    <n v="0.85"/>
  </r>
  <r>
    <s v="APT-01136"/>
    <d v="2025-02-27T00:00:00"/>
    <x v="5"/>
    <x v="2"/>
    <s v="Midday"/>
    <x v="1"/>
    <s v="Thrissur"/>
    <x v="10"/>
    <s v="PT-1112"/>
    <s v="New Patient"/>
    <x v="4"/>
    <s v="Government Scheme"/>
    <s v="Self Referral"/>
    <x v="0"/>
    <n v="60"/>
    <n v="60"/>
    <n v="76"/>
    <n v="1400"/>
    <n v="1400"/>
    <n v="0"/>
    <n v="0"/>
    <n v="1"/>
    <n v="0"/>
    <n v="0.85"/>
  </r>
  <r>
    <s v="APT-01137"/>
    <d v="2025-05-16T00:00:00"/>
    <x v="10"/>
    <x v="4"/>
    <s v="Morning"/>
    <x v="0"/>
    <s v="Palakkad"/>
    <x v="13"/>
    <s v="PT-1140"/>
    <s v="New Patient"/>
    <x v="2"/>
    <s v="Corporate Tie-up"/>
    <s v="Self Referral"/>
    <x v="0"/>
    <n v="90"/>
    <n v="90"/>
    <n v="111.4"/>
    <n v="2050"/>
    <n v="2050"/>
    <n v="0"/>
    <n v="0"/>
    <n v="1"/>
    <n v="0"/>
    <n v="0.85"/>
  </r>
  <r>
    <s v="APT-01138"/>
    <d v="2025-04-02T00:00:00"/>
    <x v="6"/>
    <x v="3"/>
    <s v="Morning"/>
    <x v="0"/>
    <s v="Palakkad"/>
    <x v="13"/>
    <s v="PT-1439"/>
    <s v="Post-op Rehab"/>
    <x v="3"/>
    <s v="Corporate Tie-up"/>
    <s v="Hospital Discharge"/>
    <x v="1"/>
    <n v="60"/>
    <n v="0"/>
    <n v="70.8"/>
    <n v="1300"/>
    <n v="0"/>
    <n v="1300"/>
    <n v="1"/>
    <n v="0"/>
    <n v="0"/>
    <n v="0.85"/>
  </r>
  <r>
    <s v="APT-01139"/>
    <d v="2025-01-30T00:00:00"/>
    <x v="11"/>
    <x v="2"/>
    <s v="Midday"/>
    <x v="0"/>
    <s v="Palakkad"/>
    <x v="11"/>
    <s v="PT-1136"/>
    <s v="Follow-up"/>
    <x v="4"/>
    <s v="Self Pay"/>
    <s v="Orthopedic Doctor"/>
    <x v="0"/>
    <n v="90"/>
    <n v="90"/>
    <n v="102"/>
    <n v="1900"/>
    <n v="1900"/>
    <n v="0"/>
    <n v="0"/>
    <n v="1"/>
    <n v="0"/>
    <n v="0.85"/>
  </r>
  <r>
    <s v="APT-01140"/>
    <d v="2025-09-16T00:00:00"/>
    <x v="2"/>
    <x v="0"/>
    <s v="Morning"/>
    <x v="2"/>
    <s v="Ernakulam"/>
    <x v="8"/>
    <s v="PT-1092"/>
    <s v="Follow-up"/>
    <x v="5"/>
    <s v="Self Pay"/>
    <s v="Self Referral"/>
    <x v="3"/>
    <n v="45"/>
    <n v="0"/>
    <n v="57.6"/>
    <n v="1100"/>
    <n v="0"/>
    <n v="0"/>
    <n v="0"/>
    <n v="0"/>
    <n v="0"/>
    <n v="0.85"/>
  </r>
  <r>
    <s v="APT-01141"/>
    <d v="2025-08-25T00:00:00"/>
    <x v="9"/>
    <x v="1"/>
    <s v="Morning"/>
    <x v="0"/>
    <s v="Palakkad"/>
    <x v="13"/>
    <s v="PT-1205"/>
    <s v="New Patient"/>
    <x v="2"/>
    <s v="Self Pay"/>
    <s v="Neurologist"/>
    <x v="0"/>
    <n v="45"/>
    <n v="45"/>
    <n v="49.9"/>
    <n v="1100"/>
    <n v="1100"/>
    <n v="0"/>
    <n v="0"/>
    <n v="1"/>
    <n v="0"/>
    <n v="0.85"/>
  </r>
  <r>
    <s v="APT-01142"/>
    <d v="2025-02-14T00:00:00"/>
    <x v="5"/>
    <x v="4"/>
    <s v="Afternoon"/>
    <x v="2"/>
    <s v="Ernakulam"/>
    <x v="12"/>
    <s v="PT-1566"/>
    <s v="New Patient"/>
    <x v="1"/>
    <s v="Self Pay"/>
    <s v="Online Search"/>
    <x v="0"/>
    <n v="45"/>
    <n v="45"/>
    <n v="52.6"/>
    <n v="1350"/>
    <n v="1350"/>
    <n v="0"/>
    <n v="0"/>
    <n v="1"/>
    <n v="0"/>
    <n v="0.85"/>
  </r>
  <r>
    <s v="APT-01143"/>
    <d v="2025-05-10T00:00:00"/>
    <x v="10"/>
    <x v="5"/>
    <s v="Midday"/>
    <x v="0"/>
    <s v="Palakkad"/>
    <x v="0"/>
    <s v="PT-1197"/>
    <s v="Follow-up"/>
    <x v="5"/>
    <s v="Private Insurance"/>
    <s v="Hospital Discharge"/>
    <x v="0"/>
    <n v="60"/>
    <n v="60"/>
    <n v="78.400000000000006"/>
    <n v="1250"/>
    <n v="1250"/>
    <n v="0"/>
    <n v="0"/>
    <n v="1"/>
    <n v="0"/>
    <n v="0.85"/>
  </r>
  <r>
    <s v="APT-01144"/>
    <d v="2025-03-05T00:00:00"/>
    <x v="3"/>
    <x v="3"/>
    <s v="Evening"/>
    <x v="2"/>
    <s v="Ernakulam"/>
    <x v="8"/>
    <s v="PT-1171"/>
    <s v="Post-op Rehab"/>
    <x v="1"/>
    <s v="Government Scheme"/>
    <s v="Neurologist"/>
    <x v="0"/>
    <n v="45"/>
    <n v="45"/>
    <n v="55.3"/>
    <n v="1100"/>
    <n v="1100"/>
    <n v="0"/>
    <n v="0"/>
    <n v="1"/>
    <n v="0"/>
    <n v="0.85"/>
  </r>
  <r>
    <s v="APT-01145"/>
    <d v="2025-08-06T00:00:00"/>
    <x v="9"/>
    <x v="3"/>
    <s v="Afternoon"/>
    <x v="0"/>
    <s v="Palakkad"/>
    <x v="6"/>
    <s v="PT-1004"/>
    <s v="Chronic Pain"/>
    <x v="0"/>
    <s v="Corporate Tie-up"/>
    <s v="Orthopedic Doctor"/>
    <x v="0"/>
    <n v="45"/>
    <n v="45"/>
    <n v="59.2"/>
    <n v="850"/>
    <n v="850"/>
    <n v="0"/>
    <n v="0"/>
    <n v="1"/>
    <n v="0"/>
    <n v="0.85"/>
  </r>
  <r>
    <s v="APT-01146"/>
    <d v="2025-07-22T00:00:00"/>
    <x v="8"/>
    <x v="0"/>
    <s v="Midday"/>
    <x v="1"/>
    <s v="Thrissur"/>
    <x v="10"/>
    <s v="PT-1173"/>
    <s v="Follow-up"/>
    <x v="5"/>
    <s v="Corporate Tie-up"/>
    <s v="Self Referral"/>
    <x v="0"/>
    <n v="30"/>
    <n v="30"/>
    <n v="33"/>
    <n v="600"/>
    <n v="600"/>
    <n v="0"/>
    <n v="0"/>
    <n v="1"/>
    <n v="0"/>
    <n v="0.85"/>
  </r>
  <r>
    <s v="APT-01147"/>
    <d v="2025-11-01T00:00:00"/>
    <x v="1"/>
    <x v="5"/>
    <s v="Morning"/>
    <x v="2"/>
    <s v="Ernakulam"/>
    <x v="4"/>
    <s v="PT-1093"/>
    <s v="Follow-up"/>
    <x v="5"/>
    <s v="Self Pay"/>
    <s v="Corporate Wellness"/>
    <x v="0"/>
    <n v="45"/>
    <n v="45"/>
    <n v="60.1"/>
    <n v="1100"/>
    <n v="1100"/>
    <n v="0"/>
    <n v="0"/>
    <n v="1"/>
    <n v="0"/>
    <n v="0.85"/>
  </r>
  <r>
    <s v="APT-01148"/>
    <d v="2025-07-11T00:00:00"/>
    <x v="8"/>
    <x v="4"/>
    <s v="Morning"/>
    <x v="0"/>
    <s v="Palakkad"/>
    <x v="0"/>
    <s v="PT-1032"/>
    <s v="Post-op Rehab"/>
    <x v="0"/>
    <s v="Government Scheme"/>
    <s v="Orthopedic Doctor"/>
    <x v="0"/>
    <n v="45"/>
    <n v="45"/>
    <n v="59.8"/>
    <n v="900"/>
    <n v="900"/>
    <n v="0"/>
    <n v="0"/>
    <n v="1"/>
    <n v="0"/>
    <n v="0.85"/>
  </r>
  <r>
    <s v="APT-01149"/>
    <d v="2025-04-12T00:00:00"/>
    <x v="6"/>
    <x v="5"/>
    <s v="Afternoon"/>
    <x v="2"/>
    <s v="Ernakulam"/>
    <x v="14"/>
    <s v="PT-1584"/>
    <s v="Follow-up"/>
    <x v="5"/>
    <s v="Self Pay"/>
    <s v="Self Referral"/>
    <x v="0"/>
    <n v="45"/>
    <n v="45"/>
    <n v="54.7"/>
    <n v="1100"/>
    <n v="1100"/>
    <n v="0"/>
    <n v="0"/>
    <n v="1"/>
    <n v="0"/>
    <n v="0.85"/>
  </r>
  <r>
    <s v="APT-01150"/>
    <d v="2025-11-15T00:00:00"/>
    <x v="1"/>
    <x v="5"/>
    <s v="Midday"/>
    <x v="0"/>
    <s v="Palakkad"/>
    <x v="6"/>
    <s v="PT-1623"/>
    <s v="Follow-up"/>
    <x v="0"/>
    <s v="Self Pay"/>
    <s v="Neurologist"/>
    <x v="0"/>
    <n v="60"/>
    <n v="60"/>
    <n v="77.599999999999994"/>
    <n v="1250"/>
    <n v="1250"/>
    <n v="0"/>
    <n v="0"/>
    <n v="1"/>
    <n v="0"/>
    <n v="0.85"/>
  </r>
  <r>
    <s v="APT-01151"/>
    <d v="2025-10-24T00:00:00"/>
    <x v="7"/>
    <x v="4"/>
    <s v="Morning"/>
    <x v="1"/>
    <s v="Thrissur"/>
    <x v="7"/>
    <s v="PT-1003"/>
    <s v="Sports Injury"/>
    <x v="2"/>
    <s v="Self Pay"/>
    <s v="Neurologist"/>
    <x v="0"/>
    <n v="45"/>
    <n v="45"/>
    <n v="54"/>
    <n v="1000"/>
    <n v="1000"/>
    <n v="0"/>
    <n v="0"/>
    <n v="1"/>
    <n v="0"/>
    <n v="0.85"/>
  </r>
  <r>
    <s v="APT-01152"/>
    <d v="2025-09-18T00:00:00"/>
    <x v="2"/>
    <x v="2"/>
    <s v="Evening"/>
    <x v="2"/>
    <s v="Ernakulam"/>
    <x v="4"/>
    <s v="PT-1414"/>
    <s v="Follow-up"/>
    <x v="5"/>
    <s v="Self Pay"/>
    <s v="Orthopedic Doctor"/>
    <x v="0"/>
    <n v="60"/>
    <n v="60"/>
    <n v="68.3"/>
    <n v="1500"/>
    <n v="1500"/>
    <n v="0"/>
    <n v="0"/>
    <n v="1"/>
    <n v="0"/>
    <n v="0.85"/>
  </r>
  <r>
    <s v="APT-01153"/>
    <d v="2025-04-15T00:00:00"/>
    <x v="6"/>
    <x v="0"/>
    <s v="Morning"/>
    <x v="2"/>
    <s v="Ernakulam"/>
    <x v="14"/>
    <s v="PT-1653"/>
    <s v="Geriatric Rehab"/>
    <x v="0"/>
    <s v="Corporate Tie-up"/>
    <s v="Orthopedic Doctor"/>
    <x v="0"/>
    <n v="30"/>
    <n v="30"/>
    <n v="39.5"/>
    <n v="700"/>
    <n v="700"/>
    <n v="0"/>
    <n v="0"/>
    <n v="1"/>
    <n v="0"/>
    <n v="0.85"/>
  </r>
  <r>
    <s v="APT-01154"/>
    <d v="2025-12-01T00:00:00"/>
    <x v="0"/>
    <x v="1"/>
    <s v="Afternoon"/>
    <x v="2"/>
    <s v="Ernakulam"/>
    <x v="8"/>
    <s v="PT-1523"/>
    <s v="Chronic Pain"/>
    <x v="4"/>
    <s v="Self Pay"/>
    <s v="Corporate Wellness"/>
    <x v="1"/>
    <n v="30"/>
    <n v="0"/>
    <n v="34.700000000000003"/>
    <n v="750"/>
    <n v="0"/>
    <n v="750"/>
    <n v="1"/>
    <n v="0"/>
    <n v="0"/>
    <n v="0.85"/>
  </r>
  <r>
    <s v="APT-01155"/>
    <d v="2025-07-29T00:00:00"/>
    <x v="8"/>
    <x v="0"/>
    <s v="Morning"/>
    <x v="1"/>
    <s v="Thrissur"/>
    <x v="7"/>
    <s v="PT-1466"/>
    <s v="Follow-up"/>
    <x v="2"/>
    <s v="Private Insurance"/>
    <s v="Orthopedic Doctor"/>
    <x v="1"/>
    <n v="45"/>
    <n v="0"/>
    <n v="58"/>
    <n v="1000"/>
    <n v="0"/>
    <n v="1000"/>
    <n v="1"/>
    <n v="0"/>
    <n v="0"/>
    <n v="0.85"/>
  </r>
  <r>
    <s v="APT-01156"/>
    <d v="2025-02-21T00:00:00"/>
    <x v="5"/>
    <x v="4"/>
    <s v="Evening"/>
    <x v="0"/>
    <s v="Palakkad"/>
    <x v="9"/>
    <s v="PT-1044"/>
    <s v="Chronic Pain"/>
    <x v="1"/>
    <s v="Self Pay"/>
    <s v="Neurologist"/>
    <x v="0"/>
    <n v="75"/>
    <n v="75"/>
    <n v="86.7"/>
    <n v="1550"/>
    <n v="1550"/>
    <n v="0"/>
    <n v="0"/>
    <n v="1"/>
    <n v="0"/>
    <n v="0.85"/>
  </r>
  <r>
    <s v="APT-01157"/>
    <d v="2025-08-18T00:00:00"/>
    <x v="9"/>
    <x v="1"/>
    <s v="Morning"/>
    <x v="2"/>
    <s v="Ernakulam"/>
    <x v="4"/>
    <s v="PT-1614"/>
    <s v="Sports Injury"/>
    <x v="5"/>
    <s v="Self Pay"/>
    <s v="Corporate Wellness"/>
    <x v="0"/>
    <n v="30"/>
    <n v="30"/>
    <n v="33.200000000000003"/>
    <n v="750"/>
    <n v="750"/>
    <n v="0"/>
    <n v="0"/>
    <n v="1"/>
    <n v="0"/>
    <n v="0.85"/>
  </r>
  <r>
    <s v="APT-01158"/>
    <d v="2025-02-05T00:00:00"/>
    <x v="5"/>
    <x v="3"/>
    <s v="Evening"/>
    <x v="0"/>
    <s v="Palakkad"/>
    <x v="0"/>
    <s v="PT-1523"/>
    <s v="Chronic Pain"/>
    <x v="2"/>
    <s v="Corporate Tie-up"/>
    <s v="Corporate Wellness"/>
    <x v="0"/>
    <n v="45"/>
    <n v="45"/>
    <n v="59.3"/>
    <n v="850"/>
    <n v="850"/>
    <n v="0"/>
    <n v="0"/>
    <n v="1"/>
    <n v="0"/>
    <n v="0.85"/>
  </r>
  <r>
    <s v="APT-01159"/>
    <d v="2025-02-01T00:00:00"/>
    <x v="5"/>
    <x v="5"/>
    <s v="Morning"/>
    <x v="2"/>
    <s v="Ernakulam"/>
    <x v="3"/>
    <s v="PT-1059"/>
    <s v="Post-op Rehab"/>
    <x v="3"/>
    <s v="Private Insurance"/>
    <s v="Orthopedic Doctor"/>
    <x v="0"/>
    <n v="45"/>
    <n v="45"/>
    <n v="55.2"/>
    <n v="1300"/>
    <n v="1300"/>
    <n v="0"/>
    <n v="0"/>
    <n v="1"/>
    <n v="0"/>
    <n v="0.85"/>
  </r>
  <r>
    <s v="APT-01160"/>
    <d v="2025-11-20T00:00:00"/>
    <x v="1"/>
    <x v="2"/>
    <s v="Midday"/>
    <x v="1"/>
    <s v="Thrissur"/>
    <x v="10"/>
    <s v="PT-1525"/>
    <s v="New Patient"/>
    <x v="0"/>
    <s v="Corporate Tie-up"/>
    <s v="Corporate Wellness"/>
    <x v="2"/>
    <n v="60"/>
    <n v="0"/>
    <n v="66.599999999999994"/>
    <n v="1500"/>
    <n v="0"/>
    <n v="1500"/>
    <n v="0"/>
    <n v="0"/>
    <n v="1"/>
    <n v="0.85"/>
  </r>
  <r>
    <s v="APT-01161"/>
    <d v="2025-02-13T00:00:00"/>
    <x v="5"/>
    <x v="2"/>
    <s v="Midday"/>
    <x v="2"/>
    <s v="Ernakulam"/>
    <x v="12"/>
    <s v="PT-1200"/>
    <s v="Chronic Pain"/>
    <x v="4"/>
    <s v="Government Scheme"/>
    <s v="Online Search"/>
    <x v="0"/>
    <n v="45"/>
    <n v="45"/>
    <n v="50.3"/>
    <n v="950"/>
    <n v="950"/>
    <n v="0"/>
    <n v="0"/>
    <n v="1"/>
    <n v="0"/>
    <n v="0.85"/>
  </r>
  <r>
    <s v="APT-01162"/>
    <d v="2025-09-03T00:00:00"/>
    <x v="2"/>
    <x v="3"/>
    <s v="Evening"/>
    <x v="0"/>
    <s v="Palakkad"/>
    <x v="11"/>
    <s v="PT-1035"/>
    <s v="Follow-up"/>
    <x v="1"/>
    <s v="Private Insurance"/>
    <s v="Orthopedic Doctor"/>
    <x v="2"/>
    <n v="60"/>
    <n v="0"/>
    <n v="72"/>
    <n v="1250"/>
    <n v="0"/>
    <n v="1250"/>
    <n v="0"/>
    <n v="0"/>
    <n v="1"/>
    <n v="0.85"/>
  </r>
  <r>
    <s v="APT-01163"/>
    <d v="2025-06-15T00:00:00"/>
    <x v="4"/>
    <x v="6"/>
    <s v="Evening"/>
    <x v="1"/>
    <s v="Thrissur"/>
    <x v="1"/>
    <s v="PT-1509"/>
    <s v="Follow-up"/>
    <x v="5"/>
    <s v="Corporate Tie-up"/>
    <s v="Self Referral"/>
    <x v="2"/>
    <n v="60"/>
    <n v="0"/>
    <n v="77.099999999999994"/>
    <n v="1250"/>
    <n v="0"/>
    <n v="1250"/>
    <n v="0"/>
    <n v="0"/>
    <n v="1"/>
    <n v="0.85"/>
  </r>
  <r>
    <s v="APT-01164"/>
    <d v="2025-03-12T00:00:00"/>
    <x v="3"/>
    <x v="3"/>
    <s v="Evening"/>
    <x v="0"/>
    <s v="Palakkad"/>
    <x v="11"/>
    <s v="PT-1294"/>
    <s v="Follow-up"/>
    <x v="5"/>
    <s v="Government Scheme"/>
    <s v="Self Referral"/>
    <x v="0"/>
    <n v="60"/>
    <n v="60"/>
    <n v="72.2"/>
    <n v="1050"/>
    <n v="1050"/>
    <n v="0"/>
    <n v="0"/>
    <n v="1"/>
    <n v="0"/>
    <n v="0.85"/>
  </r>
  <r>
    <s v="APT-01165"/>
    <d v="2025-02-26T00:00:00"/>
    <x v="5"/>
    <x v="3"/>
    <s v="Midday"/>
    <x v="0"/>
    <s v="Palakkad"/>
    <x v="13"/>
    <s v="PT-1020"/>
    <s v="New Patient"/>
    <x v="3"/>
    <s v="Private Insurance"/>
    <s v="Orthopedic Doctor"/>
    <x v="0"/>
    <n v="75"/>
    <n v="75"/>
    <n v="97.4"/>
    <n v="1900"/>
    <n v="1900"/>
    <n v="0"/>
    <n v="0"/>
    <n v="1"/>
    <n v="0"/>
    <n v="0.85"/>
  </r>
  <r>
    <s v="APT-01166"/>
    <d v="2025-12-02T00:00:00"/>
    <x v="0"/>
    <x v="0"/>
    <s v="Morning"/>
    <x v="2"/>
    <s v="Ernakulam"/>
    <x v="8"/>
    <s v="PT-1050"/>
    <s v="Follow-up"/>
    <x v="1"/>
    <s v="Government Scheme"/>
    <s v="Neurologist"/>
    <x v="0"/>
    <n v="45"/>
    <n v="45"/>
    <n v="49"/>
    <n v="950"/>
    <n v="950"/>
    <n v="0"/>
    <n v="0"/>
    <n v="1"/>
    <n v="0"/>
    <n v="0.85"/>
  </r>
  <r>
    <s v="APT-01167"/>
    <d v="2025-10-13T00:00:00"/>
    <x v="7"/>
    <x v="1"/>
    <s v="Midday"/>
    <x v="1"/>
    <s v="Thrissur"/>
    <x v="7"/>
    <s v="PT-1148"/>
    <s v="New Patient"/>
    <x v="5"/>
    <s v="Private Insurance"/>
    <s v="Neurologist"/>
    <x v="0"/>
    <n v="60"/>
    <n v="60"/>
    <n v="76"/>
    <n v="1600"/>
    <n v="1600"/>
    <n v="0"/>
    <n v="0"/>
    <n v="1"/>
    <n v="0"/>
    <n v="0.85"/>
  </r>
  <r>
    <s v="APT-01168"/>
    <d v="2025-12-09T00:00:00"/>
    <x v="0"/>
    <x v="0"/>
    <s v="Evening"/>
    <x v="0"/>
    <s v="Palakkad"/>
    <x v="6"/>
    <s v="PT-1694"/>
    <s v="New Patient"/>
    <x v="5"/>
    <s v="Private Insurance"/>
    <s v="Self Referral"/>
    <x v="0"/>
    <n v="60"/>
    <n v="60"/>
    <n v="75.2"/>
    <n v="1500"/>
    <n v="1500"/>
    <n v="0"/>
    <n v="0"/>
    <n v="1"/>
    <n v="0"/>
    <n v="0.85"/>
  </r>
  <r>
    <s v="APT-01169"/>
    <d v="2025-09-24T00:00:00"/>
    <x v="2"/>
    <x v="3"/>
    <s v="Midday"/>
    <x v="1"/>
    <s v="Thrissur"/>
    <x v="1"/>
    <s v="PT-1392"/>
    <s v="Follow-up"/>
    <x v="1"/>
    <s v="Self Pay"/>
    <s v="Orthopedic Doctor"/>
    <x v="0"/>
    <n v="60"/>
    <n v="60"/>
    <n v="79.099999999999994"/>
    <n v="1350"/>
    <n v="1350"/>
    <n v="0"/>
    <n v="0"/>
    <n v="1"/>
    <n v="0"/>
    <n v="0.85"/>
  </r>
  <r>
    <s v="APT-01170"/>
    <d v="2025-09-27T00:00:00"/>
    <x v="2"/>
    <x v="5"/>
    <s v="Afternoon"/>
    <x v="2"/>
    <s v="Ernakulam"/>
    <x v="8"/>
    <s v="PT-1138"/>
    <s v="Follow-up"/>
    <x v="5"/>
    <s v="Self Pay"/>
    <s v="Self Referral"/>
    <x v="0"/>
    <n v="60"/>
    <n v="60"/>
    <n v="80"/>
    <n v="1500"/>
    <n v="1500"/>
    <n v="0"/>
    <n v="0"/>
    <n v="1"/>
    <n v="0"/>
    <n v="0.85"/>
  </r>
  <r>
    <s v="APT-01171"/>
    <d v="2025-01-17T00:00:00"/>
    <x v="11"/>
    <x v="4"/>
    <s v="Morning"/>
    <x v="1"/>
    <s v="Thrissur"/>
    <x v="2"/>
    <s v="PT-1241"/>
    <s v="Follow-up"/>
    <x v="5"/>
    <s v="Private Insurance"/>
    <s v="Corporate Wellness"/>
    <x v="1"/>
    <n v="60"/>
    <n v="0"/>
    <n v="68.8"/>
    <n v="1350"/>
    <n v="0"/>
    <n v="1350"/>
    <n v="1"/>
    <n v="0"/>
    <n v="0"/>
    <n v="0.85"/>
  </r>
  <r>
    <s v="APT-01172"/>
    <d v="2025-12-28T00:00:00"/>
    <x v="0"/>
    <x v="6"/>
    <s v="Midday"/>
    <x v="1"/>
    <s v="Thrissur"/>
    <x v="10"/>
    <s v="PT-1557"/>
    <s v="Follow-up"/>
    <x v="3"/>
    <s v="Self Pay"/>
    <s v="Orthopedic Doctor"/>
    <x v="0"/>
    <n v="30"/>
    <n v="30"/>
    <n v="40.299999999999997"/>
    <n v="700"/>
    <n v="700"/>
    <n v="0"/>
    <n v="0"/>
    <n v="1"/>
    <n v="0"/>
    <n v="0.85"/>
  </r>
  <r>
    <s v="APT-01173"/>
    <d v="2025-06-16T00:00:00"/>
    <x v="4"/>
    <x v="1"/>
    <s v="Afternoon"/>
    <x v="0"/>
    <s v="Palakkad"/>
    <x v="11"/>
    <s v="PT-1354"/>
    <s v="Follow-up"/>
    <x v="3"/>
    <s v="Self Pay"/>
    <s v="Online Search"/>
    <x v="0"/>
    <n v="75"/>
    <n v="75"/>
    <n v="97.3"/>
    <n v="1550"/>
    <n v="1550"/>
    <n v="0"/>
    <n v="0"/>
    <n v="1"/>
    <n v="0"/>
    <n v="0.85"/>
  </r>
  <r>
    <s v="APT-01174"/>
    <d v="2025-05-14T00:00:00"/>
    <x v="10"/>
    <x v="3"/>
    <s v="Evening"/>
    <x v="2"/>
    <s v="Ernakulam"/>
    <x v="8"/>
    <s v="PT-1210"/>
    <s v="Follow-up"/>
    <x v="3"/>
    <s v="Private Insurance"/>
    <s v="Self Referral"/>
    <x v="0"/>
    <n v="45"/>
    <n v="45"/>
    <n v="53"/>
    <n v="1100"/>
    <n v="1100"/>
    <n v="0"/>
    <n v="0"/>
    <n v="1"/>
    <n v="0"/>
    <n v="0.85"/>
  </r>
  <r>
    <s v="APT-01175"/>
    <d v="2025-12-31T00:00:00"/>
    <x v="0"/>
    <x v="3"/>
    <s v="Evening"/>
    <x v="2"/>
    <s v="Ernakulam"/>
    <x v="4"/>
    <s v="PT-1376"/>
    <s v="Follow-up"/>
    <x v="0"/>
    <s v="Private Insurance"/>
    <s v="Self Referral"/>
    <x v="0"/>
    <n v="60"/>
    <n v="60"/>
    <n v="67.400000000000006"/>
    <n v="1500"/>
    <n v="1500"/>
    <n v="0"/>
    <n v="0"/>
    <n v="1"/>
    <n v="0"/>
    <n v="0.85"/>
  </r>
  <r>
    <s v="APT-01176"/>
    <d v="2025-08-11T00:00:00"/>
    <x v="9"/>
    <x v="1"/>
    <s v="Midday"/>
    <x v="1"/>
    <s v="Thrissur"/>
    <x v="10"/>
    <s v="PT-1677"/>
    <s v="New Patient"/>
    <x v="5"/>
    <s v="Self Pay"/>
    <s v="Online Search"/>
    <x v="0"/>
    <n v="60"/>
    <n v="60"/>
    <n v="75.400000000000006"/>
    <n v="1600"/>
    <n v="1600"/>
    <n v="0"/>
    <n v="0"/>
    <n v="1"/>
    <n v="0"/>
    <n v="0.85"/>
  </r>
  <r>
    <s v="APT-01177"/>
    <d v="2025-04-12T00:00:00"/>
    <x v="6"/>
    <x v="5"/>
    <s v="Midday"/>
    <x v="0"/>
    <s v="Palakkad"/>
    <x v="13"/>
    <s v="PT-1419"/>
    <s v="Chronic Pain"/>
    <x v="2"/>
    <s v="Self Pay"/>
    <s v="Orthopedic Doctor"/>
    <x v="0"/>
    <n v="45"/>
    <n v="45"/>
    <n v="52.7"/>
    <n v="950"/>
    <n v="950"/>
    <n v="0"/>
    <n v="0"/>
    <n v="1"/>
    <n v="0"/>
    <n v="0.85"/>
  </r>
  <r>
    <s v="APT-01178"/>
    <d v="2025-11-07T00:00:00"/>
    <x v="1"/>
    <x v="4"/>
    <s v="Afternoon"/>
    <x v="1"/>
    <s v="Thrissur"/>
    <x v="2"/>
    <s v="PT-1605"/>
    <s v="Follow-up"/>
    <x v="2"/>
    <s v="Private Insurance"/>
    <s v="Orthopedic Doctor"/>
    <x v="0"/>
    <n v="60"/>
    <n v="60"/>
    <n v="67.099999999999994"/>
    <n v="1350"/>
    <n v="1350"/>
    <n v="0"/>
    <n v="0"/>
    <n v="1"/>
    <n v="0"/>
    <n v="0.85"/>
  </r>
  <r>
    <s v="APT-01179"/>
    <d v="2025-06-04T00:00:00"/>
    <x v="4"/>
    <x v="3"/>
    <s v="Evening"/>
    <x v="2"/>
    <s v="Ernakulam"/>
    <x v="8"/>
    <s v="PT-1250"/>
    <s v="Sports Injury"/>
    <x v="3"/>
    <s v="Corporate Tie-up"/>
    <s v="Corporate Wellness"/>
    <x v="0"/>
    <n v="45"/>
    <n v="45"/>
    <n v="49.1"/>
    <n v="1050"/>
    <n v="1050"/>
    <n v="0"/>
    <n v="0"/>
    <n v="1"/>
    <n v="0"/>
    <n v="0.85"/>
  </r>
  <r>
    <s v="APT-01180"/>
    <d v="2025-06-17T00:00:00"/>
    <x v="4"/>
    <x v="0"/>
    <s v="Midday"/>
    <x v="2"/>
    <s v="Ernakulam"/>
    <x v="14"/>
    <s v="PT-1671"/>
    <s v="Follow-up"/>
    <x v="3"/>
    <s v="Private Insurance"/>
    <s v="Corporate Wellness"/>
    <x v="0"/>
    <n v="30"/>
    <n v="30"/>
    <n v="40.299999999999997"/>
    <n v="750"/>
    <n v="750"/>
    <n v="0"/>
    <n v="0"/>
    <n v="1"/>
    <n v="0"/>
    <n v="0.85"/>
  </r>
  <r>
    <s v="APT-01181"/>
    <d v="2025-03-22T00:00:00"/>
    <x v="3"/>
    <x v="5"/>
    <s v="Midday"/>
    <x v="1"/>
    <s v="Thrissur"/>
    <x v="10"/>
    <s v="PT-1677"/>
    <s v="Post-op Rehab"/>
    <x v="5"/>
    <s v="Self Pay"/>
    <s v="Corporate Wellness"/>
    <x v="1"/>
    <n v="30"/>
    <n v="0"/>
    <n v="33.4"/>
    <n v="800"/>
    <n v="0"/>
    <n v="800"/>
    <n v="1"/>
    <n v="0"/>
    <n v="0"/>
    <n v="0.85"/>
  </r>
  <r>
    <s v="APT-01182"/>
    <d v="2025-08-26T00:00:00"/>
    <x v="9"/>
    <x v="0"/>
    <s v="Afternoon"/>
    <x v="1"/>
    <s v="Thrissur"/>
    <x v="2"/>
    <s v="PT-1218"/>
    <s v="New Patient"/>
    <x v="0"/>
    <s v="Self Pay"/>
    <s v="Self Referral"/>
    <x v="0"/>
    <n v="60"/>
    <n v="60"/>
    <n v="65.3"/>
    <n v="1600"/>
    <n v="1600"/>
    <n v="0"/>
    <n v="0"/>
    <n v="1"/>
    <n v="0"/>
    <n v="0.85"/>
  </r>
  <r>
    <s v="APT-01183"/>
    <d v="2025-01-21T00:00:00"/>
    <x v="11"/>
    <x v="0"/>
    <s v="Morning"/>
    <x v="2"/>
    <s v="Ernakulam"/>
    <x v="8"/>
    <s v="PT-1050"/>
    <s v="New Patient"/>
    <x v="1"/>
    <s v="Private Insurance"/>
    <s v="Self Referral"/>
    <x v="0"/>
    <n v="90"/>
    <n v="90"/>
    <n v="100.2"/>
    <n v="2700"/>
    <n v="2700"/>
    <n v="0"/>
    <n v="0"/>
    <n v="1"/>
    <n v="0"/>
    <n v="0.85"/>
  </r>
  <r>
    <s v="APT-01184"/>
    <d v="2025-08-16T00:00:00"/>
    <x v="9"/>
    <x v="5"/>
    <s v="Afternoon"/>
    <x v="1"/>
    <s v="Thrissur"/>
    <x v="5"/>
    <s v="PT-1648"/>
    <s v="Sports Injury"/>
    <x v="5"/>
    <s v="Corporate Tie-up"/>
    <s v="Hospital Discharge"/>
    <x v="0"/>
    <n v="60"/>
    <n v="60"/>
    <n v="69"/>
    <n v="1250"/>
    <n v="1250"/>
    <n v="0"/>
    <n v="0"/>
    <n v="1"/>
    <n v="0"/>
    <n v="0.85"/>
  </r>
  <r>
    <s v="APT-01185"/>
    <d v="2025-02-24T00:00:00"/>
    <x v="5"/>
    <x v="1"/>
    <s v="Evening"/>
    <x v="1"/>
    <s v="Thrissur"/>
    <x v="1"/>
    <s v="PT-1268"/>
    <s v="Geriatric Rehab"/>
    <x v="3"/>
    <s v="Self Pay"/>
    <s v="Self Referral"/>
    <x v="0"/>
    <n v="60"/>
    <n v="60"/>
    <n v="75.900000000000006"/>
    <n v="1350"/>
    <n v="1350"/>
    <n v="0"/>
    <n v="0"/>
    <n v="1"/>
    <n v="0"/>
    <n v="0.85"/>
  </r>
  <r>
    <s v="APT-01186"/>
    <d v="2025-03-17T00:00:00"/>
    <x v="3"/>
    <x v="1"/>
    <s v="Evening"/>
    <x v="2"/>
    <s v="Ernakulam"/>
    <x v="4"/>
    <s v="PT-1545"/>
    <s v="Follow-up"/>
    <x v="4"/>
    <s v="Private Insurance"/>
    <s v="Self Referral"/>
    <x v="0"/>
    <n v="30"/>
    <n v="30"/>
    <n v="37.799999999999997"/>
    <n v="750"/>
    <n v="750"/>
    <n v="0"/>
    <n v="0"/>
    <n v="1"/>
    <n v="0"/>
    <n v="0.85"/>
  </r>
  <r>
    <s v="APT-01187"/>
    <d v="2025-06-20T00:00:00"/>
    <x v="4"/>
    <x v="4"/>
    <s v="Morning"/>
    <x v="0"/>
    <s v="Palakkad"/>
    <x v="13"/>
    <s v="PT-1144"/>
    <s v="Chronic Pain"/>
    <x v="1"/>
    <s v="Private Insurance"/>
    <s v="Online Search"/>
    <x v="0"/>
    <n v="60"/>
    <n v="60"/>
    <n v="72.2"/>
    <n v="1250"/>
    <n v="1250"/>
    <n v="0"/>
    <n v="0"/>
    <n v="1"/>
    <n v="0"/>
    <n v="0.85"/>
  </r>
  <r>
    <s v="APT-01188"/>
    <d v="2025-07-12T00:00:00"/>
    <x v="8"/>
    <x v="5"/>
    <s v="Evening"/>
    <x v="1"/>
    <s v="Thrissur"/>
    <x v="2"/>
    <s v="PT-1358"/>
    <s v="New Patient"/>
    <x v="3"/>
    <s v="Corporate Tie-up"/>
    <s v="Self Referral"/>
    <x v="1"/>
    <n v="60"/>
    <n v="0"/>
    <n v="65.3"/>
    <n v="1500"/>
    <n v="0"/>
    <n v="1500"/>
    <n v="1"/>
    <n v="0"/>
    <n v="0"/>
    <n v="0.85"/>
  </r>
  <r>
    <s v="APT-01189"/>
    <d v="2025-12-12T00:00:00"/>
    <x v="0"/>
    <x v="4"/>
    <s v="Midday"/>
    <x v="1"/>
    <s v="Thrissur"/>
    <x v="5"/>
    <s v="PT-1401"/>
    <s v="New Patient"/>
    <x v="2"/>
    <s v="Private Insurance"/>
    <s v="Hospital Discharge"/>
    <x v="0"/>
    <n v="60"/>
    <n v="60"/>
    <n v="74"/>
    <n v="1600"/>
    <n v="1600"/>
    <n v="0"/>
    <n v="0"/>
    <n v="1"/>
    <n v="0"/>
    <n v="0.85"/>
  </r>
  <r>
    <s v="APT-01190"/>
    <d v="2025-12-06T00:00:00"/>
    <x v="0"/>
    <x v="5"/>
    <s v="Evening"/>
    <x v="1"/>
    <s v="Thrissur"/>
    <x v="2"/>
    <s v="PT-1171"/>
    <s v="New Patient"/>
    <x v="4"/>
    <s v="Self Pay"/>
    <s v="Neurologist"/>
    <x v="2"/>
    <n v="45"/>
    <n v="0"/>
    <n v="55.2"/>
    <n v="1200"/>
    <n v="0"/>
    <n v="1200"/>
    <n v="0"/>
    <n v="0"/>
    <n v="1"/>
    <n v="0.85"/>
  </r>
  <r>
    <s v="APT-01191"/>
    <d v="2025-02-10T00:00:00"/>
    <x v="5"/>
    <x v="1"/>
    <s v="Midday"/>
    <x v="2"/>
    <s v="Ernakulam"/>
    <x v="4"/>
    <s v="PT-1360"/>
    <s v="Follow-up"/>
    <x v="3"/>
    <s v="Government Scheme"/>
    <s v="Hospital Discharge"/>
    <x v="2"/>
    <n v="45"/>
    <n v="0"/>
    <n v="49"/>
    <n v="950"/>
    <n v="0"/>
    <n v="950"/>
    <n v="0"/>
    <n v="0"/>
    <n v="1"/>
    <n v="0.85"/>
  </r>
  <r>
    <s v="APT-01192"/>
    <d v="2025-04-29T00:00:00"/>
    <x v="6"/>
    <x v="0"/>
    <s v="Evening"/>
    <x v="2"/>
    <s v="Ernakulam"/>
    <x v="4"/>
    <s v="PT-1212"/>
    <s v="Post-op Rehab"/>
    <x v="1"/>
    <s v="Private Insurance"/>
    <s v="Orthopedic Doctor"/>
    <x v="0"/>
    <n v="60"/>
    <n v="60"/>
    <n v="66.2"/>
    <n v="1700"/>
    <n v="1700"/>
    <n v="0"/>
    <n v="0"/>
    <n v="1"/>
    <n v="0"/>
    <n v="0.85"/>
  </r>
  <r>
    <s v="APT-01193"/>
    <d v="2025-04-22T00:00:00"/>
    <x v="6"/>
    <x v="0"/>
    <s v="Afternoon"/>
    <x v="2"/>
    <s v="Ernakulam"/>
    <x v="14"/>
    <s v="PT-1388"/>
    <s v="New Patient"/>
    <x v="1"/>
    <s v="Self Pay"/>
    <s v="Corporate Wellness"/>
    <x v="0"/>
    <n v="45"/>
    <n v="45"/>
    <n v="58.7"/>
    <n v="1350"/>
    <n v="1350"/>
    <n v="0"/>
    <n v="0"/>
    <n v="1"/>
    <n v="0"/>
    <n v="0.85"/>
  </r>
  <r>
    <s v="APT-01194"/>
    <d v="2025-03-04T00:00:00"/>
    <x v="3"/>
    <x v="0"/>
    <s v="Morning"/>
    <x v="1"/>
    <s v="Thrissur"/>
    <x v="7"/>
    <s v="PT-1470"/>
    <s v="Chronic Pain"/>
    <x v="0"/>
    <s v="Private Insurance"/>
    <s v="Corporate Wellness"/>
    <x v="0"/>
    <n v="90"/>
    <n v="90"/>
    <n v="100.7"/>
    <n v="2000"/>
    <n v="2000"/>
    <n v="0"/>
    <n v="0"/>
    <n v="1"/>
    <n v="0"/>
    <n v="0.85"/>
  </r>
  <r>
    <s v="APT-01195"/>
    <d v="2025-10-20T00:00:00"/>
    <x v="7"/>
    <x v="1"/>
    <s v="Evening"/>
    <x v="0"/>
    <s v="Palakkad"/>
    <x v="13"/>
    <s v="PT-1252"/>
    <s v="Geriatric Rehab"/>
    <x v="3"/>
    <s v="Self Pay"/>
    <s v="Neurologist"/>
    <x v="0"/>
    <n v="75"/>
    <n v="75"/>
    <n v="98.3"/>
    <n v="1550"/>
    <n v="1550"/>
    <n v="0"/>
    <n v="0"/>
    <n v="1"/>
    <n v="0"/>
    <n v="0.85"/>
  </r>
  <r>
    <s v="APT-01196"/>
    <d v="2025-04-11T00:00:00"/>
    <x v="6"/>
    <x v="4"/>
    <s v="Evening"/>
    <x v="0"/>
    <s v="Palakkad"/>
    <x v="0"/>
    <s v="PT-1204"/>
    <s v="Follow-up"/>
    <x v="1"/>
    <s v="Corporate Tie-up"/>
    <s v="Online Search"/>
    <x v="0"/>
    <n v="45"/>
    <n v="45"/>
    <n v="59"/>
    <n v="850"/>
    <n v="850"/>
    <n v="0"/>
    <n v="0"/>
    <n v="1"/>
    <n v="0"/>
    <n v="0.85"/>
  </r>
  <r>
    <s v="APT-01197"/>
    <d v="2025-04-23T00:00:00"/>
    <x v="6"/>
    <x v="3"/>
    <s v="Afternoon"/>
    <x v="0"/>
    <s v="Palakkad"/>
    <x v="0"/>
    <s v="PT-1334"/>
    <s v="Chronic Pain"/>
    <x v="1"/>
    <s v="Self Pay"/>
    <s v="Neurologist"/>
    <x v="0"/>
    <n v="45"/>
    <n v="45"/>
    <n v="51.6"/>
    <n v="950"/>
    <n v="950"/>
    <n v="0"/>
    <n v="0"/>
    <n v="1"/>
    <n v="0"/>
    <n v="0.85"/>
  </r>
  <r>
    <s v="APT-01198"/>
    <d v="2025-06-23T00:00:00"/>
    <x v="4"/>
    <x v="1"/>
    <s v="Morning"/>
    <x v="0"/>
    <s v="Palakkad"/>
    <x v="11"/>
    <s v="PT-1387"/>
    <s v="Follow-up"/>
    <x v="5"/>
    <s v="Government Scheme"/>
    <s v="Self Referral"/>
    <x v="0"/>
    <n v="60"/>
    <n v="60"/>
    <n v="66.2"/>
    <n v="1050"/>
    <n v="1050"/>
    <n v="0"/>
    <n v="0"/>
    <n v="1"/>
    <n v="0"/>
    <n v="0.85"/>
  </r>
  <r>
    <s v="APT-01199"/>
    <d v="2025-09-08T00:00:00"/>
    <x v="2"/>
    <x v="1"/>
    <s v="Morning"/>
    <x v="2"/>
    <s v="Ernakulam"/>
    <x v="12"/>
    <s v="PT-1111"/>
    <s v="Follow-up"/>
    <x v="5"/>
    <s v="Private Insurance"/>
    <s v="Online Search"/>
    <x v="0"/>
    <n v="60"/>
    <n v="60"/>
    <n v="66.8"/>
    <n v="1500"/>
    <n v="1500"/>
    <n v="0"/>
    <n v="0"/>
    <n v="1"/>
    <n v="0"/>
    <n v="0.85"/>
  </r>
  <r>
    <s v="APT-01200"/>
    <d v="2025-03-28T00:00:00"/>
    <x v="3"/>
    <x v="4"/>
    <s v="Afternoon"/>
    <x v="0"/>
    <s v="Palakkad"/>
    <x v="11"/>
    <s v="PT-1115"/>
    <s v="New Patient"/>
    <x v="2"/>
    <s v="Self Pay"/>
    <s v="Orthopedic Doctor"/>
    <x v="0"/>
    <n v="90"/>
    <n v="90"/>
    <n v="120"/>
    <n v="2250"/>
    <n v="2250"/>
    <n v="0"/>
    <n v="0"/>
    <n v="1"/>
    <n v="0"/>
    <n v="0.85"/>
  </r>
  <r>
    <s v="APT-01201"/>
    <d v="2025-02-25T00:00:00"/>
    <x v="5"/>
    <x v="0"/>
    <s v="Afternoon"/>
    <x v="0"/>
    <s v="Palakkad"/>
    <x v="11"/>
    <s v="PT-1399"/>
    <s v="New Patient"/>
    <x v="3"/>
    <s v="Self Pay"/>
    <s v="Online Search"/>
    <x v="1"/>
    <n v="45"/>
    <n v="0"/>
    <n v="51.7"/>
    <n v="1100"/>
    <n v="0"/>
    <n v="1100"/>
    <n v="1"/>
    <n v="0"/>
    <n v="0"/>
    <n v="0.85"/>
  </r>
  <r>
    <s v="APT-01202"/>
    <d v="2025-10-08T00:00:00"/>
    <x v="7"/>
    <x v="3"/>
    <s v="Evening"/>
    <x v="2"/>
    <s v="Ernakulam"/>
    <x v="3"/>
    <s v="PT-1176"/>
    <s v="New Patient"/>
    <x v="5"/>
    <s v="Private Insurance"/>
    <s v="Hospital Discharge"/>
    <x v="0"/>
    <n v="60"/>
    <n v="60"/>
    <n v="76.599999999999994"/>
    <n v="1800"/>
    <n v="1800"/>
    <n v="0"/>
    <n v="0"/>
    <n v="1"/>
    <n v="0"/>
    <n v="0.85"/>
  </r>
  <r>
    <s v="APT-01203"/>
    <d v="2025-02-07T00:00:00"/>
    <x v="5"/>
    <x v="4"/>
    <s v="Afternoon"/>
    <x v="2"/>
    <s v="Ernakulam"/>
    <x v="3"/>
    <s v="PT-1226"/>
    <s v="Follow-up"/>
    <x v="1"/>
    <s v="Government Scheme"/>
    <s v="Online Search"/>
    <x v="0"/>
    <n v="60"/>
    <n v="60"/>
    <n v="69.5"/>
    <n v="1300"/>
    <n v="1300"/>
    <n v="0"/>
    <n v="0"/>
    <n v="1"/>
    <n v="0"/>
    <n v="0.85"/>
  </r>
  <r>
    <s v="APT-01204"/>
    <d v="2025-04-29T00:00:00"/>
    <x v="6"/>
    <x v="0"/>
    <s v="Morning"/>
    <x v="1"/>
    <s v="Thrissur"/>
    <x v="10"/>
    <s v="PT-1384"/>
    <s v="Post-op Rehab"/>
    <x v="4"/>
    <s v="Self Pay"/>
    <s v="Hospital Discharge"/>
    <x v="1"/>
    <n v="60"/>
    <n v="0"/>
    <n v="72.7"/>
    <n v="1550"/>
    <n v="0"/>
    <n v="1550"/>
    <n v="1"/>
    <n v="0"/>
    <n v="0"/>
    <n v="0.85"/>
  </r>
  <r>
    <s v="APT-01205"/>
    <d v="2025-09-09T00:00:00"/>
    <x v="2"/>
    <x v="0"/>
    <s v="Afternoon"/>
    <x v="2"/>
    <s v="Ernakulam"/>
    <x v="3"/>
    <s v="PT-1131"/>
    <s v="Geriatric Rehab"/>
    <x v="2"/>
    <s v="Private Insurance"/>
    <s v="Self Referral"/>
    <x v="0"/>
    <n v="75"/>
    <n v="75"/>
    <n v="91.7"/>
    <n v="1900"/>
    <n v="1900"/>
    <n v="0"/>
    <n v="0"/>
    <n v="1"/>
    <n v="0"/>
    <n v="0.85"/>
  </r>
  <r>
    <s v="APT-01206"/>
    <d v="2025-05-03T00:00:00"/>
    <x v="10"/>
    <x v="5"/>
    <s v="Morning"/>
    <x v="1"/>
    <s v="Thrissur"/>
    <x v="10"/>
    <s v="PT-1653"/>
    <s v="Follow-up"/>
    <x v="1"/>
    <s v="Self Pay"/>
    <s v="Hospital Discharge"/>
    <x v="0"/>
    <n v="60"/>
    <n v="60"/>
    <n v="73.5"/>
    <n v="1350"/>
    <n v="1350"/>
    <n v="0"/>
    <n v="0"/>
    <n v="1"/>
    <n v="0"/>
    <n v="0.85"/>
  </r>
  <r>
    <s v="APT-01207"/>
    <d v="2025-04-29T00:00:00"/>
    <x v="6"/>
    <x v="0"/>
    <s v="Evening"/>
    <x v="2"/>
    <s v="Ernakulam"/>
    <x v="4"/>
    <s v="PT-1538"/>
    <s v="Geriatric Rehab"/>
    <x v="2"/>
    <s v="Private Insurance"/>
    <s v="Orthopedic Doctor"/>
    <x v="0"/>
    <n v="30"/>
    <n v="30"/>
    <n v="34.200000000000003"/>
    <n v="750"/>
    <n v="750"/>
    <n v="0"/>
    <n v="0"/>
    <n v="1"/>
    <n v="0"/>
    <n v="0.85"/>
  </r>
  <r>
    <s v="APT-01208"/>
    <d v="2025-05-28T00:00:00"/>
    <x v="10"/>
    <x v="3"/>
    <s v="Midday"/>
    <x v="0"/>
    <s v="Palakkad"/>
    <x v="13"/>
    <s v="PT-1028"/>
    <s v="Chronic Pain"/>
    <x v="2"/>
    <s v="Self Pay"/>
    <s v="Hospital Discharge"/>
    <x v="0"/>
    <n v="75"/>
    <n v="75"/>
    <n v="87.8"/>
    <n v="1550"/>
    <n v="1550"/>
    <n v="0"/>
    <n v="0"/>
    <n v="1"/>
    <n v="0"/>
    <n v="0.85"/>
  </r>
  <r>
    <s v="APT-01209"/>
    <d v="2025-07-05T00:00:00"/>
    <x v="8"/>
    <x v="5"/>
    <s v="Midday"/>
    <x v="0"/>
    <s v="Palakkad"/>
    <x v="11"/>
    <s v="PT-1009"/>
    <s v="Geriatric Rehab"/>
    <x v="0"/>
    <s v="Private Insurance"/>
    <s v="Hospital Discharge"/>
    <x v="0"/>
    <n v="45"/>
    <n v="45"/>
    <n v="51"/>
    <n v="950"/>
    <n v="950"/>
    <n v="0"/>
    <n v="0"/>
    <n v="1"/>
    <n v="0"/>
    <n v="0.85"/>
  </r>
  <r>
    <s v="APT-01210"/>
    <d v="2025-06-20T00:00:00"/>
    <x v="4"/>
    <x v="4"/>
    <s v="Evening"/>
    <x v="0"/>
    <s v="Palakkad"/>
    <x v="6"/>
    <s v="PT-1110"/>
    <s v="Post-op Rehab"/>
    <x v="1"/>
    <s v="Private Insurance"/>
    <s v="Online Search"/>
    <x v="0"/>
    <n v="90"/>
    <n v="90"/>
    <n v="98"/>
    <n v="2150"/>
    <n v="2150"/>
    <n v="0"/>
    <n v="0"/>
    <n v="1"/>
    <n v="0"/>
    <n v="0.85"/>
  </r>
  <r>
    <s v="APT-01211"/>
    <d v="2025-06-28T00:00:00"/>
    <x v="4"/>
    <x v="5"/>
    <s v="Midday"/>
    <x v="0"/>
    <s v="Palakkad"/>
    <x v="9"/>
    <s v="PT-1551"/>
    <s v="Follow-up"/>
    <x v="4"/>
    <s v="Self Pay"/>
    <s v="Corporate Wellness"/>
    <x v="0"/>
    <n v="45"/>
    <n v="45"/>
    <n v="59.9"/>
    <n v="950"/>
    <n v="950"/>
    <n v="0"/>
    <n v="0"/>
    <n v="1"/>
    <n v="0"/>
    <n v="0.85"/>
  </r>
  <r>
    <s v="APT-01212"/>
    <d v="2025-09-12T00:00:00"/>
    <x v="2"/>
    <x v="4"/>
    <s v="Morning"/>
    <x v="0"/>
    <s v="Palakkad"/>
    <x v="0"/>
    <s v="PT-1584"/>
    <s v="New Patient"/>
    <x v="1"/>
    <s v="Private Insurance"/>
    <s v="Neurologist"/>
    <x v="1"/>
    <n v="60"/>
    <n v="0"/>
    <n v="73.400000000000006"/>
    <n v="1500"/>
    <n v="0"/>
    <n v="1500"/>
    <n v="1"/>
    <n v="0"/>
    <n v="0"/>
    <n v="0.85"/>
  </r>
  <r>
    <s v="APT-01213"/>
    <d v="2025-03-24T00:00:00"/>
    <x v="3"/>
    <x v="1"/>
    <s v="Midday"/>
    <x v="1"/>
    <s v="Thrissur"/>
    <x v="10"/>
    <s v="PT-1531"/>
    <s v="New Patient"/>
    <x v="4"/>
    <s v="Self Pay"/>
    <s v="Self Referral"/>
    <x v="0"/>
    <n v="75"/>
    <n v="75"/>
    <n v="82"/>
    <n v="2000"/>
    <n v="2000"/>
    <n v="0"/>
    <n v="0"/>
    <n v="1"/>
    <n v="0"/>
    <n v="0.85"/>
  </r>
  <r>
    <s v="APT-01214"/>
    <d v="2025-11-03T00:00:00"/>
    <x v="1"/>
    <x v="1"/>
    <s v="Afternoon"/>
    <x v="1"/>
    <s v="Thrissur"/>
    <x v="10"/>
    <s v="PT-1109"/>
    <s v="Post-op Rehab"/>
    <x v="0"/>
    <s v="Self Pay"/>
    <s v="Orthopedic Doctor"/>
    <x v="0"/>
    <n v="60"/>
    <n v="60"/>
    <n v="72"/>
    <n v="1550"/>
    <n v="1550"/>
    <n v="0"/>
    <n v="0"/>
    <n v="1"/>
    <n v="0"/>
    <n v="0.85"/>
  </r>
  <r>
    <s v="APT-01215"/>
    <d v="2025-03-15T00:00:00"/>
    <x v="3"/>
    <x v="5"/>
    <s v="Evening"/>
    <x v="1"/>
    <s v="Thrissur"/>
    <x v="1"/>
    <s v="PT-1535"/>
    <s v="New Patient"/>
    <x v="4"/>
    <s v="Corporate Tie-up"/>
    <s v="Corporate Wellness"/>
    <x v="0"/>
    <n v="45"/>
    <n v="45"/>
    <n v="53.2"/>
    <n v="1100"/>
    <n v="1100"/>
    <n v="0"/>
    <n v="0"/>
    <n v="1"/>
    <n v="0"/>
    <n v="0.85"/>
  </r>
  <r>
    <s v="APT-01216"/>
    <d v="2025-11-06T00:00:00"/>
    <x v="1"/>
    <x v="2"/>
    <s v="Afternoon"/>
    <x v="0"/>
    <s v="Palakkad"/>
    <x v="11"/>
    <s v="PT-1592"/>
    <s v="Geriatric Rehab"/>
    <x v="3"/>
    <s v="Self Pay"/>
    <s v="Online Search"/>
    <x v="1"/>
    <n v="60"/>
    <n v="0"/>
    <n v="66"/>
    <n v="1250"/>
    <n v="0"/>
    <n v="1250"/>
    <n v="1"/>
    <n v="0"/>
    <n v="0"/>
    <n v="0.85"/>
  </r>
  <r>
    <s v="APT-01217"/>
    <d v="2025-04-25T00:00:00"/>
    <x v="6"/>
    <x v="4"/>
    <s v="Midday"/>
    <x v="2"/>
    <s v="Ernakulam"/>
    <x v="4"/>
    <s v="PT-1403"/>
    <s v="Follow-up"/>
    <x v="5"/>
    <s v="Private Insurance"/>
    <s v="Online Search"/>
    <x v="0"/>
    <n v="45"/>
    <n v="45"/>
    <n v="49.6"/>
    <n v="1100"/>
    <n v="1100"/>
    <n v="0"/>
    <n v="0"/>
    <n v="1"/>
    <n v="0"/>
    <n v="0.85"/>
  </r>
  <r>
    <s v="APT-01218"/>
    <d v="2025-11-27T00:00:00"/>
    <x v="1"/>
    <x v="2"/>
    <s v="Morning"/>
    <x v="1"/>
    <s v="Thrissur"/>
    <x v="10"/>
    <s v="PT-1083"/>
    <s v="Chronic Pain"/>
    <x v="4"/>
    <s v="Government Scheme"/>
    <s v="Corporate Wellness"/>
    <x v="0"/>
    <n v="60"/>
    <n v="60"/>
    <n v="73.400000000000006"/>
    <n v="1150"/>
    <n v="1150"/>
    <n v="0"/>
    <n v="0"/>
    <n v="1"/>
    <n v="0"/>
    <n v="0.85"/>
  </r>
  <r>
    <s v="APT-01219"/>
    <d v="2025-10-13T00:00:00"/>
    <x v="7"/>
    <x v="1"/>
    <s v="Evening"/>
    <x v="1"/>
    <s v="Thrissur"/>
    <x v="2"/>
    <s v="PT-1196"/>
    <s v="New Patient"/>
    <x v="4"/>
    <s v="Corporate Tie-up"/>
    <s v="Hospital Discharge"/>
    <x v="1"/>
    <n v="45"/>
    <n v="0"/>
    <n v="59"/>
    <n v="1100"/>
    <n v="0"/>
    <n v="1100"/>
    <n v="1"/>
    <n v="0"/>
    <n v="0"/>
    <n v="0.85"/>
  </r>
  <r>
    <s v="APT-01220"/>
    <d v="2025-12-22T00:00:00"/>
    <x v="0"/>
    <x v="1"/>
    <s v="Morning"/>
    <x v="1"/>
    <s v="Thrissur"/>
    <x v="5"/>
    <s v="PT-1308"/>
    <s v="New Patient"/>
    <x v="4"/>
    <s v="Corporate Tie-up"/>
    <s v="Corporate Wellness"/>
    <x v="0"/>
    <n v="60"/>
    <n v="60"/>
    <n v="80.7"/>
    <n v="1500"/>
    <n v="1500"/>
    <n v="0"/>
    <n v="0"/>
    <n v="1"/>
    <n v="0"/>
    <n v="0.85"/>
  </r>
  <r>
    <s v="APT-01221"/>
    <d v="2025-08-25T00:00:00"/>
    <x v="9"/>
    <x v="1"/>
    <s v="Evening"/>
    <x v="1"/>
    <s v="Thrissur"/>
    <x v="2"/>
    <s v="PT-1360"/>
    <s v="Follow-up"/>
    <x v="1"/>
    <s v="Self Pay"/>
    <s v="Neurologist"/>
    <x v="0"/>
    <n v="75"/>
    <n v="75"/>
    <n v="85.6"/>
    <n v="1700"/>
    <n v="1700"/>
    <n v="0"/>
    <n v="0"/>
    <n v="1"/>
    <n v="0"/>
    <n v="0.85"/>
  </r>
  <r>
    <s v="APT-01222"/>
    <d v="2025-06-28T00:00:00"/>
    <x v="4"/>
    <x v="5"/>
    <s v="Afternoon"/>
    <x v="0"/>
    <s v="Palakkad"/>
    <x v="6"/>
    <s v="PT-1050"/>
    <s v="Follow-up"/>
    <x v="4"/>
    <s v="Self Pay"/>
    <s v="Corporate Wellness"/>
    <x v="0"/>
    <n v="45"/>
    <n v="45"/>
    <n v="50.2"/>
    <n v="950"/>
    <n v="950"/>
    <n v="0"/>
    <n v="0"/>
    <n v="1"/>
    <n v="0"/>
    <n v="0.85"/>
  </r>
  <r>
    <s v="APT-01223"/>
    <d v="2025-01-27T00:00:00"/>
    <x v="11"/>
    <x v="1"/>
    <s v="Evening"/>
    <x v="2"/>
    <s v="Ernakulam"/>
    <x v="3"/>
    <s v="PT-1473"/>
    <s v="New Patient"/>
    <x v="4"/>
    <s v="Self Pay"/>
    <s v="Orthopedic Doctor"/>
    <x v="0"/>
    <n v="45"/>
    <n v="45"/>
    <n v="49.9"/>
    <n v="1350"/>
    <n v="1350"/>
    <n v="0"/>
    <n v="0"/>
    <n v="1"/>
    <n v="0"/>
    <n v="0.85"/>
  </r>
  <r>
    <s v="APT-01224"/>
    <d v="2025-12-03T00:00:00"/>
    <x v="0"/>
    <x v="3"/>
    <s v="Afternoon"/>
    <x v="0"/>
    <s v="Palakkad"/>
    <x v="0"/>
    <s v="PT-1050"/>
    <s v="Follow-up"/>
    <x v="0"/>
    <s v="Corporate Tie-up"/>
    <s v="Hospital Discharge"/>
    <x v="1"/>
    <n v="45"/>
    <n v="0"/>
    <n v="52.7"/>
    <n v="850"/>
    <n v="0"/>
    <n v="850"/>
    <n v="1"/>
    <n v="0"/>
    <n v="0"/>
    <n v="0.85"/>
  </r>
  <r>
    <s v="APT-01225"/>
    <d v="2025-01-20T00:00:00"/>
    <x v="11"/>
    <x v="1"/>
    <s v="Morning"/>
    <x v="1"/>
    <s v="Thrissur"/>
    <x v="1"/>
    <s v="PT-1044"/>
    <s v="Follow-up"/>
    <x v="0"/>
    <s v="Self Pay"/>
    <s v="Self Referral"/>
    <x v="1"/>
    <n v="60"/>
    <n v="0"/>
    <n v="70.2"/>
    <n v="1350"/>
    <n v="0"/>
    <n v="1350"/>
    <n v="1"/>
    <n v="0"/>
    <n v="0"/>
    <n v="0.85"/>
  </r>
  <r>
    <s v="APT-01226"/>
    <d v="2025-12-31T00:00:00"/>
    <x v="0"/>
    <x v="3"/>
    <s v="Midday"/>
    <x v="1"/>
    <s v="Thrissur"/>
    <x v="7"/>
    <s v="PT-1137"/>
    <s v="New Patient"/>
    <x v="0"/>
    <s v="Self Pay"/>
    <s v="Hospital Discharge"/>
    <x v="0"/>
    <n v="45"/>
    <n v="45"/>
    <n v="58.1"/>
    <n v="1200"/>
    <n v="1200"/>
    <n v="0"/>
    <n v="0"/>
    <n v="1"/>
    <n v="0"/>
    <n v="0.85"/>
  </r>
  <r>
    <s v="APT-01227"/>
    <d v="2025-12-25T00:00:00"/>
    <x v="0"/>
    <x v="2"/>
    <s v="Morning"/>
    <x v="1"/>
    <s v="Thrissur"/>
    <x v="2"/>
    <s v="PT-1070"/>
    <s v="Post-op Rehab"/>
    <x v="0"/>
    <s v="Self Pay"/>
    <s v="Neurologist"/>
    <x v="0"/>
    <n v="60"/>
    <n v="60"/>
    <n v="67.5"/>
    <n v="1550"/>
    <n v="1550"/>
    <n v="0"/>
    <n v="0"/>
    <n v="1"/>
    <n v="0"/>
    <n v="0.85"/>
  </r>
  <r>
    <s v="APT-01228"/>
    <d v="2025-09-16T00:00:00"/>
    <x v="2"/>
    <x v="0"/>
    <s v="Afternoon"/>
    <x v="1"/>
    <s v="Thrissur"/>
    <x v="1"/>
    <s v="PT-1495"/>
    <s v="Follow-up"/>
    <x v="4"/>
    <s v="Private Insurance"/>
    <s v="Online Search"/>
    <x v="0"/>
    <n v="90"/>
    <n v="90"/>
    <n v="103"/>
    <n v="2000"/>
    <n v="2000"/>
    <n v="0"/>
    <n v="0"/>
    <n v="1"/>
    <n v="0"/>
    <n v="0.85"/>
  </r>
  <r>
    <s v="APT-01229"/>
    <d v="2025-06-05T00:00:00"/>
    <x v="4"/>
    <x v="2"/>
    <s v="Evening"/>
    <x v="2"/>
    <s v="Ernakulam"/>
    <x v="8"/>
    <s v="PT-1545"/>
    <s v="Post-op Rehab"/>
    <x v="2"/>
    <s v="Government Scheme"/>
    <s v="Corporate Wellness"/>
    <x v="0"/>
    <n v="30"/>
    <n v="30"/>
    <n v="34.1"/>
    <n v="750"/>
    <n v="750"/>
    <n v="0"/>
    <n v="0"/>
    <n v="1"/>
    <n v="0"/>
    <n v="0.85"/>
  </r>
  <r>
    <s v="APT-01230"/>
    <d v="2025-10-04T00:00:00"/>
    <x v="7"/>
    <x v="5"/>
    <s v="Morning"/>
    <x v="2"/>
    <s v="Ernakulam"/>
    <x v="12"/>
    <s v="PT-1129"/>
    <s v="Sports Injury"/>
    <x v="4"/>
    <s v="Corporate Tie-up"/>
    <s v="Orthopedic Doctor"/>
    <x v="3"/>
    <n v="45"/>
    <n v="0"/>
    <n v="54.6"/>
    <n v="1050"/>
    <n v="0"/>
    <n v="0"/>
    <n v="0"/>
    <n v="0"/>
    <n v="0"/>
    <n v="0.85"/>
  </r>
  <r>
    <s v="APT-01231"/>
    <d v="2025-10-16T00:00:00"/>
    <x v="7"/>
    <x v="2"/>
    <s v="Midday"/>
    <x v="2"/>
    <s v="Ernakulam"/>
    <x v="14"/>
    <s v="PT-1658"/>
    <s v="Follow-up"/>
    <x v="2"/>
    <s v="Self Pay"/>
    <s v="Self Referral"/>
    <x v="3"/>
    <n v="30"/>
    <n v="0"/>
    <n v="33"/>
    <n v="750"/>
    <n v="0"/>
    <n v="0"/>
    <n v="0"/>
    <n v="0"/>
    <n v="0"/>
    <n v="0.85"/>
  </r>
  <r>
    <s v="APT-01232"/>
    <d v="2025-04-17T00:00:00"/>
    <x v="6"/>
    <x v="2"/>
    <s v="Afternoon"/>
    <x v="2"/>
    <s v="Ernakulam"/>
    <x v="12"/>
    <s v="PT-1074"/>
    <s v="New Patient"/>
    <x v="0"/>
    <s v="Self Pay"/>
    <s v="Corporate Wellness"/>
    <x v="3"/>
    <n v="45"/>
    <n v="0"/>
    <n v="60.6"/>
    <n v="1350"/>
    <n v="0"/>
    <n v="0"/>
    <n v="0"/>
    <n v="0"/>
    <n v="0"/>
    <n v="0.85"/>
  </r>
  <r>
    <s v="APT-01233"/>
    <d v="2025-06-28T00:00:00"/>
    <x v="4"/>
    <x v="5"/>
    <s v="Afternoon"/>
    <x v="2"/>
    <s v="Ernakulam"/>
    <x v="3"/>
    <s v="PT-1125"/>
    <s v="New Patient"/>
    <x v="4"/>
    <s v="Private Insurance"/>
    <s v="Corporate Wellness"/>
    <x v="0"/>
    <n v="45"/>
    <n v="45"/>
    <n v="60.7"/>
    <n v="1350"/>
    <n v="1350"/>
    <n v="0"/>
    <n v="0"/>
    <n v="1"/>
    <n v="0"/>
    <n v="0.85"/>
  </r>
  <r>
    <s v="APT-01234"/>
    <d v="2025-06-23T00:00:00"/>
    <x v="4"/>
    <x v="1"/>
    <s v="Afternoon"/>
    <x v="2"/>
    <s v="Ernakulam"/>
    <x v="8"/>
    <s v="PT-1055"/>
    <s v="Follow-up"/>
    <x v="2"/>
    <s v="Self Pay"/>
    <s v="Neurologist"/>
    <x v="0"/>
    <n v="60"/>
    <n v="60"/>
    <n v="75.8"/>
    <n v="1500"/>
    <n v="1500"/>
    <n v="0"/>
    <n v="0"/>
    <n v="1"/>
    <n v="0"/>
    <n v="0.85"/>
  </r>
  <r>
    <s v="APT-01235"/>
    <d v="2025-02-14T00:00:00"/>
    <x v="5"/>
    <x v="4"/>
    <s v="Midday"/>
    <x v="1"/>
    <s v="Thrissur"/>
    <x v="10"/>
    <s v="PT-1375"/>
    <s v="Chronic Pain"/>
    <x v="2"/>
    <s v="Self Pay"/>
    <s v="Corporate Wellness"/>
    <x v="0"/>
    <n v="60"/>
    <n v="60"/>
    <n v="70.900000000000006"/>
    <n v="1350"/>
    <n v="1350"/>
    <n v="0"/>
    <n v="0"/>
    <n v="1"/>
    <n v="0"/>
    <n v="0.85"/>
  </r>
  <r>
    <s v="APT-01236"/>
    <d v="2025-11-29T00:00:00"/>
    <x v="1"/>
    <x v="5"/>
    <s v="Midday"/>
    <x v="2"/>
    <s v="Ernakulam"/>
    <x v="12"/>
    <s v="PT-1470"/>
    <s v="New Patient"/>
    <x v="3"/>
    <s v="Government Scheme"/>
    <s v="Self Referral"/>
    <x v="3"/>
    <n v="60"/>
    <n v="0"/>
    <n v="67"/>
    <n v="1550"/>
    <n v="0"/>
    <n v="0"/>
    <n v="0"/>
    <n v="0"/>
    <n v="0"/>
    <n v="0.85"/>
  </r>
  <r>
    <s v="APT-01237"/>
    <d v="2025-09-08T00:00:00"/>
    <x v="2"/>
    <x v="1"/>
    <s v="Midday"/>
    <x v="1"/>
    <s v="Thrissur"/>
    <x v="10"/>
    <s v="PT-1619"/>
    <s v="Sports Injury"/>
    <x v="3"/>
    <s v="Private Insurance"/>
    <s v="Neurologist"/>
    <x v="0"/>
    <n v="60"/>
    <n v="60"/>
    <n v="70.3"/>
    <n v="1350"/>
    <n v="1350"/>
    <n v="0"/>
    <n v="0"/>
    <n v="1"/>
    <n v="0"/>
    <n v="0.85"/>
  </r>
  <r>
    <s v="APT-01238"/>
    <d v="2025-02-21T00:00:00"/>
    <x v="5"/>
    <x v="4"/>
    <s v="Evening"/>
    <x v="2"/>
    <s v="Ernakulam"/>
    <x v="14"/>
    <s v="PT-1286"/>
    <s v="Follow-up"/>
    <x v="4"/>
    <s v="Government Scheme"/>
    <s v="Hospital Discharge"/>
    <x v="0"/>
    <n v="75"/>
    <n v="75"/>
    <n v="99.5"/>
    <n v="1600"/>
    <n v="1600"/>
    <n v="0"/>
    <n v="0"/>
    <n v="1"/>
    <n v="0"/>
    <n v="0.85"/>
  </r>
  <r>
    <s v="APT-01239"/>
    <d v="2025-01-06T00:00:00"/>
    <x v="11"/>
    <x v="1"/>
    <s v="Morning"/>
    <x v="2"/>
    <s v="Ernakulam"/>
    <x v="14"/>
    <s v="PT-1630"/>
    <s v="Chronic Pain"/>
    <x v="2"/>
    <s v="Self Pay"/>
    <s v="Self Referral"/>
    <x v="1"/>
    <n v="90"/>
    <n v="0"/>
    <n v="119.1"/>
    <n v="2250"/>
    <n v="0"/>
    <n v="2250"/>
    <n v="1"/>
    <n v="0"/>
    <n v="0"/>
    <n v="0.85"/>
  </r>
  <r>
    <s v="APT-01240"/>
    <d v="2025-12-24T00:00:00"/>
    <x v="0"/>
    <x v="3"/>
    <s v="Midday"/>
    <x v="2"/>
    <s v="Ernakulam"/>
    <x v="8"/>
    <s v="PT-1122"/>
    <s v="New Patient"/>
    <x v="0"/>
    <s v="Private Insurance"/>
    <s v="Orthopedic Doctor"/>
    <x v="0"/>
    <n v="45"/>
    <n v="45"/>
    <n v="58"/>
    <n v="1350"/>
    <n v="1350"/>
    <n v="0"/>
    <n v="0"/>
    <n v="1"/>
    <n v="0"/>
    <n v="0.85"/>
  </r>
  <r>
    <s v="APT-01241"/>
    <d v="2025-09-05T00:00:00"/>
    <x v="2"/>
    <x v="4"/>
    <s v="Midday"/>
    <x v="1"/>
    <s v="Thrissur"/>
    <x v="2"/>
    <s v="PT-1514"/>
    <s v="Chronic Pain"/>
    <x v="0"/>
    <s v="Self Pay"/>
    <s v="Online Search"/>
    <x v="0"/>
    <n v="60"/>
    <n v="60"/>
    <n v="67.3"/>
    <n v="1350"/>
    <n v="1350"/>
    <n v="0"/>
    <n v="0"/>
    <n v="1"/>
    <n v="0"/>
    <n v="0.85"/>
  </r>
  <r>
    <s v="APT-01242"/>
    <d v="2025-01-27T00:00:00"/>
    <x v="11"/>
    <x v="1"/>
    <s v="Afternoon"/>
    <x v="2"/>
    <s v="Ernakulam"/>
    <x v="4"/>
    <s v="PT-1250"/>
    <s v="New Patient"/>
    <x v="4"/>
    <s v="Self Pay"/>
    <s v="Corporate Wellness"/>
    <x v="0"/>
    <n v="30"/>
    <n v="30"/>
    <n v="38.200000000000003"/>
    <n v="900"/>
    <n v="900"/>
    <n v="0"/>
    <n v="0"/>
    <n v="1"/>
    <n v="0"/>
    <n v="0.85"/>
  </r>
  <r>
    <s v="APT-01243"/>
    <d v="2025-01-07T00:00:00"/>
    <x v="11"/>
    <x v="0"/>
    <s v="Evening"/>
    <x v="0"/>
    <s v="Palakkad"/>
    <x v="11"/>
    <s v="PT-1156"/>
    <s v="Follow-up"/>
    <x v="4"/>
    <s v="Private Insurance"/>
    <s v="Self Referral"/>
    <x v="1"/>
    <n v="60"/>
    <n v="0"/>
    <n v="66.3"/>
    <n v="1250"/>
    <n v="0"/>
    <n v="1250"/>
    <n v="1"/>
    <n v="0"/>
    <n v="0"/>
    <n v="0.85"/>
  </r>
  <r>
    <s v="APT-01244"/>
    <d v="2025-03-29T00:00:00"/>
    <x v="3"/>
    <x v="5"/>
    <s v="Morning"/>
    <x v="2"/>
    <s v="Ernakulam"/>
    <x v="12"/>
    <s v="PT-1500"/>
    <s v="Follow-up"/>
    <x v="3"/>
    <s v="Private Insurance"/>
    <s v="Online Search"/>
    <x v="0"/>
    <n v="30"/>
    <n v="30"/>
    <n v="37.1"/>
    <n v="750"/>
    <n v="750"/>
    <n v="0"/>
    <n v="0"/>
    <n v="1"/>
    <n v="0"/>
    <n v="0.85"/>
  </r>
  <r>
    <s v="APT-01245"/>
    <d v="2025-08-07T00:00:00"/>
    <x v="9"/>
    <x v="2"/>
    <s v="Morning"/>
    <x v="2"/>
    <s v="Ernakulam"/>
    <x v="8"/>
    <s v="PT-1013"/>
    <s v="New Patient"/>
    <x v="3"/>
    <s v="Self Pay"/>
    <s v="Orthopedic Doctor"/>
    <x v="1"/>
    <n v="60"/>
    <n v="0"/>
    <n v="71.8"/>
    <n v="1800"/>
    <n v="0"/>
    <n v="1800"/>
    <n v="1"/>
    <n v="0"/>
    <n v="0"/>
    <n v="0.85"/>
  </r>
  <r>
    <s v="APT-01246"/>
    <d v="2025-07-04T00:00:00"/>
    <x v="8"/>
    <x v="4"/>
    <s v="Afternoon"/>
    <x v="1"/>
    <s v="Thrissur"/>
    <x v="2"/>
    <s v="PT-1689"/>
    <s v="Post-op Rehab"/>
    <x v="3"/>
    <s v="Private Insurance"/>
    <s v="Online Search"/>
    <x v="0"/>
    <n v="90"/>
    <n v="90"/>
    <n v="98.5"/>
    <n v="2350"/>
    <n v="2350"/>
    <n v="0"/>
    <n v="0"/>
    <n v="1"/>
    <n v="0"/>
    <n v="0.85"/>
  </r>
  <r>
    <s v="APT-01247"/>
    <d v="2025-07-28T00:00:00"/>
    <x v="8"/>
    <x v="1"/>
    <s v="Midday"/>
    <x v="2"/>
    <s v="Ernakulam"/>
    <x v="3"/>
    <s v="PT-1490"/>
    <s v="Follow-up"/>
    <x v="2"/>
    <s v="Government Scheme"/>
    <s v="Self Referral"/>
    <x v="0"/>
    <n v="30"/>
    <n v="30"/>
    <n v="36.299999999999997"/>
    <n v="650"/>
    <n v="650"/>
    <n v="0"/>
    <n v="0"/>
    <n v="1"/>
    <n v="0"/>
    <n v="0.85"/>
  </r>
  <r>
    <s v="APT-01248"/>
    <d v="2025-02-14T00:00:00"/>
    <x v="5"/>
    <x v="4"/>
    <s v="Morning"/>
    <x v="0"/>
    <s v="Palakkad"/>
    <x v="11"/>
    <s v="PT-1335"/>
    <s v="New Patient"/>
    <x v="5"/>
    <s v="Self Pay"/>
    <s v="Orthopedic Doctor"/>
    <x v="0"/>
    <n v="90"/>
    <n v="90"/>
    <n v="102.1"/>
    <n v="2250"/>
    <n v="2250"/>
    <n v="0"/>
    <n v="0"/>
    <n v="1"/>
    <n v="0"/>
    <n v="0.85"/>
  </r>
  <r>
    <s v="APT-01249"/>
    <d v="2025-10-17T00:00:00"/>
    <x v="7"/>
    <x v="4"/>
    <s v="Evening"/>
    <x v="1"/>
    <s v="Thrissur"/>
    <x v="5"/>
    <s v="PT-1626"/>
    <s v="Post-op Rehab"/>
    <x v="0"/>
    <s v="Self Pay"/>
    <s v="Self Referral"/>
    <x v="0"/>
    <n v="90"/>
    <n v="90"/>
    <n v="109"/>
    <n v="2350"/>
    <n v="2350"/>
    <n v="0"/>
    <n v="0"/>
    <n v="1"/>
    <n v="0"/>
    <n v="0.85"/>
  </r>
  <r>
    <s v="APT-01250"/>
    <d v="2025-03-25T00:00:00"/>
    <x v="3"/>
    <x v="0"/>
    <s v="Morning"/>
    <x v="2"/>
    <s v="Ernakulam"/>
    <x v="8"/>
    <s v="PT-1308"/>
    <s v="Post-op Rehab"/>
    <x v="3"/>
    <s v="Corporate Tie-up"/>
    <s v="Corporate Wellness"/>
    <x v="0"/>
    <n v="30"/>
    <n v="30"/>
    <n v="33.700000000000003"/>
    <n v="800"/>
    <n v="800"/>
    <n v="0"/>
    <n v="0"/>
    <n v="1"/>
    <n v="0"/>
    <n v="0.85"/>
  </r>
  <r>
    <s v="APT-01251"/>
    <d v="2025-05-07T00:00:00"/>
    <x v="10"/>
    <x v="3"/>
    <s v="Evening"/>
    <x v="0"/>
    <s v="Palakkad"/>
    <x v="11"/>
    <s v="PT-1196"/>
    <s v="Post-op Rehab"/>
    <x v="0"/>
    <s v="Self Pay"/>
    <s v="Online Search"/>
    <x v="0"/>
    <n v="30"/>
    <n v="30"/>
    <n v="33.200000000000003"/>
    <n v="700"/>
    <n v="700"/>
    <n v="0"/>
    <n v="0"/>
    <n v="1"/>
    <n v="0"/>
    <n v="0.85"/>
  </r>
  <r>
    <s v="APT-01252"/>
    <d v="2025-02-20T00:00:00"/>
    <x v="5"/>
    <x v="2"/>
    <s v="Midday"/>
    <x v="2"/>
    <s v="Ernakulam"/>
    <x v="14"/>
    <s v="PT-1536"/>
    <s v="Post-op Rehab"/>
    <x v="2"/>
    <s v="Self Pay"/>
    <s v="Online Search"/>
    <x v="0"/>
    <n v="30"/>
    <n v="30"/>
    <n v="36.9"/>
    <n v="850"/>
    <n v="850"/>
    <n v="0"/>
    <n v="0"/>
    <n v="1"/>
    <n v="0"/>
    <n v="0.85"/>
  </r>
  <r>
    <s v="APT-01253"/>
    <d v="2025-05-02T00:00:00"/>
    <x v="10"/>
    <x v="4"/>
    <s v="Midday"/>
    <x v="1"/>
    <s v="Thrissur"/>
    <x v="1"/>
    <s v="PT-1697"/>
    <s v="Sports Injury"/>
    <x v="4"/>
    <s v="Private Insurance"/>
    <s v="Online Search"/>
    <x v="0"/>
    <n v="60"/>
    <n v="60"/>
    <n v="71.599999999999994"/>
    <n v="1350"/>
    <n v="1350"/>
    <n v="0"/>
    <n v="0"/>
    <n v="1"/>
    <n v="0"/>
    <n v="0.85"/>
  </r>
  <r>
    <s v="APT-01254"/>
    <d v="2025-08-25T00:00:00"/>
    <x v="9"/>
    <x v="1"/>
    <s v="Midday"/>
    <x v="1"/>
    <s v="Thrissur"/>
    <x v="7"/>
    <s v="PT-1674"/>
    <s v="Follow-up"/>
    <x v="3"/>
    <s v="Private Insurance"/>
    <s v="Online Search"/>
    <x v="1"/>
    <n v="60"/>
    <n v="0"/>
    <n v="76.8"/>
    <n v="1350"/>
    <n v="0"/>
    <n v="1350"/>
    <n v="1"/>
    <n v="0"/>
    <n v="0"/>
    <n v="0.85"/>
  </r>
  <r>
    <s v="APT-01255"/>
    <d v="2025-02-20T00:00:00"/>
    <x v="5"/>
    <x v="2"/>
    <s v="Evening"/>
    <x v="2"/>
    <s v="Ernakulam"/>
    <x v="3"/>
    <s v="PT-1529"/>
    <s v="Sports Injury"/>
    <x v="1"/>
    <s v="Government Scheme"/>
    <s v="Orthopedic Doctor"/>
    <x v="3"/>
    <n v="60"/>
    <n v="0"/>
    <n v="77.5"/>
    <n v="1300"/>
    <n v="0"/>
    <n v="0"/>
    <n v="0"/>
    <n v="0"/>
    <n v="0"/>
    <n v="0.85"/>
  </r>
  <r>
    <s v="APT-01256"/>
    <d v="2025-08-12T00:00:00"/>
    <x v="9"/>
    <x v="0"/>
    <s v="Afternoon"/>
    <x v="2"/>
    <s v="Ernakulam"/>
    <x v="3"/>
    <s v="PT-1139"/>
    <s v="Follow-up"/>
    <x v="2"/>
    <s v="Self Pay"/>
    <s v="Self Referral"/>
    <x v="0"/>
    <n v="60"/>
    <n v="60"/>
    <n v="76.7"/>
    <n v="1500"/>
    <n v="1500"/>
    <n v="0"/>
    <n v="0"/>
    <n v="1"/>
    <n v="0"/>
    <n v="0.85"/>
  </r>
  <r>
    <s v="APT-01257"/>
    <d v="2025-05-02T00:00:00"/>
    <x v="10"/>
    <x v="4"/>
    <s v="Evening"/>
    <x v="2"/>
    <s v="Ernakulam"/>
    <x v="3"/>
    <s v="PT-1298"/>
    <s v="Follow-up"/>
    <x v="5"/>
    <s v="Private Insurance"/>
    <s v="Orthopedic Doctor"/>
    <x v="0"/>
    <n v="45"/>
    <n v="45"/>
    <n v="51.3"/>
    <n v="1100"/>
    <n v="1100"/>
    <n v="0"/>
    <n v="0"/>
    <n v="1"/>
    <n v="0"/>
    <n v="0.85"/>
  </r>
  <r>
    <s v="APT-01258"/>
    <d v="2025-04-11T00:00:00"/>
    <x v="6"/>
    <x v="4"/>
    <s v="Afternoon"/>
    <x v="2"/>
    <s v="Ernakulam"/>
    <x v="3"/>
    <s v="PT-1366"/>
    <s v="Follow-up"/>
    <x v="1"/>
    <s v="Government Scheme"/>
    <s v="Neurologist"/>
    <x v="0"/>
    <n v="75"/>
    <n v="75"/>
    <n v="83"/>
    <n v="1600"/>
    <n v="1600"/>
    <n v="0"/>
    <n v="0"/>
    <n v="1"/>
    <n v="0"/>
    <n v="0.85"/>
  </r>
  <r>
    <s v="APT-01259"/>
    <d v="2025-05-01T00:00:00"/>
    <x v="10"/>
    <x v="2"/>
    <s v="Evening"/>
    <x v="1"/>
    <s v="Thrissur"/>
    <x v="2"/>
    <s v="PT-1472"/>
    <s v="New Patient"/>
    <x v="0"/>
    <s v="Corporate Tie-up"/>
    <s v="Self Referral"/>
    <x v="0"/>
    <n v="30"/>
    <n v="30"/>
    <n v="37.700000000000003"/>
    <n v="750"/>
    <n v="750"/>
    <n v="0"/>
    <n v="0"/>
    <n v="1"/>
    <n v="0"/>
    <n v="0.85"/>
  </r>
  <r>
    <s v="APT-01260"/>
    <d v="2025-12-31T00:00:00"/>
    <x v="0"/>
    <x v="3"/>
    <s v="Midday"/>
    <x v="2"/>
    <s v="Ernakulam"/>
    <x v="8"/>
    <s v="PT-1125"/>
    <s v="Chronic Pain"/>
    <x v="0"/>
    <s v="Corporate Tie-up"/>
    <s v="Orthopedic Doctor"/>
    <x v="2"/>
    <n v="60"/>
    <n v="0"/>
    <n v="75.400000000000006"/>
    <n v="1400"/>
    <n v="0"/>
    <n v="1400"/>
    <n v="0"/>
    <n v="0"/>
    <n v="1"/>
    <n v="0.85"/>
  </r>
  <r>
    <s v="APT-01261"/>
    <d v="2025-05-15T00:00:00"/>
    <x v="10"/>
    <x v="2"/>
    <s v="Midday"/>
    <x v="0"/>
    <s v="Palakkad"/>
    <x v="13"/>
    <s v="PT-1643"/>
    <s v="Post-op Rehab"/>
    <x v="4"/>
    <s v="Self Pay"/>
    <s v="Corporate Wellness"/>
    <x v="0"/>
    <n v="60"/>
    <n v="60"/>
    <n v="77.5"/>
    <n v="1450"/>
    <n v="1450"/>
    <n v="0"/>
    <n v="0"/>
    <n v="1"/>
    <n v="0"/>
    <n v="0.85"/>
  </r>
  <r>
    <s v="APT-01262"/>
    <d v="2025-05-14T00:00:00"/>
    <x v="10"/>
    <x v="3"/>
    <s v="Morning"/>
    <x v="1"/>
    <s v="Thrissur"/>
    <x v="1"/>
    <s v="PT-1499"/>
    <s v="Follow-up"/>
    <x v="1"/>
    <s v="Self Pay"/>
    <s v="Online Search"/>
    <x v="0"/>
    <n v="45"/>
    <n v="45"/>
    <n v="51.4"/>
    <n v="1000"/>
    <n v="1000"/>
    <n v="0"/>
    <n v="0"/>
    <n v="1"/>
    <n v="0"/>
    <n v="0.85"/>
  </r>
  <r>
    <s v="APT-01263"/>
    <d v="2025-04-01T00:00:00"/>
    <x v="6"/>
    <x v="0"/>
    <s v="Afternoon"/>
    <x v="0"/>
    <s v="Palakkad"/>
    <x v="0"/>
    <s v="PT-1624"/>
    <s v="Follow-up"/>
    <x v="2"/>
    <s v="Private Insurance"/>
    <s v="Orthopedic Doctor"/>
    <x v="0"/>
    <n v="45"/>
    <n v="45"/>
    <n v="58.5"/>
    <n v="950"/>
    <n v="950"/>
    <n v="0"/>
    <n v="0"/>
    <n v="1"/>
    <n v="0"/>
    <n v="0.85"/>
  </r>
  <r>
    <s v="APT-01264"/>
    <d v="2025-07-23T00:00:00"/>
    <x v="8"/>
    <x v="3"/>
    <s v="Morning"/>
    <x v="0"/>
    <s v="Palakkad"/>
    <x v="13"/>
    <s v="PT-1645"/>
    <s v="Sports Injury"/>
    <x v="1"/>
    <s v="Corporate Tie-up"/>
    <s v="Neurologist"/>
    <x v="0"/>
    <n v="75"/>
    <n v="75"/>
    <n v="95.8"/>
    <n v="1450"/>
    <n v="1450"/>
    <n v="0"/>
    <n v="0"/>
    <n v="1"/>
    <n v="0"/>
    <n v="0.85"/>
  </r>
  <r>
    <s v="APT-01265"/>
    <d v="2025-09-27T00:00:00"/>
    <x v="2"/>
    <x v="5"/>
    <s v="Morning"/>
    <x v="0"/>
    <s v="Palakkad"/>
    <x v="9"/>
    <s v="PT-1583"/>
    <s v="Follow-up"/>
    <x v="1"/>
    <s v="Self Pay"/>
    <s v="Online Search"/>
    <x v="0"/>
    <n v="45"/>
    <n v="45"/>
    <n v="58.6"/>
    <n v="950"/>
    <n v="950"/>
    <n v="0"/>
    <n v="0"/>
    <n v="1"/>
    <n v="0"/>
    <n v="0.85"/>
  </r>
  <r>
    <s v="APT-01266"/>
    <d v="2025-10-06T00:00:00"/>
    <x v="7"/>
    <x v="1"/>
    <s v="Midday"/>
    <x v="2"/>
    <s v="Ernakulam"/>
    <x v="4"/>
    <s v="PT-1186"/>
    <s v="New Patient"/>
    <x v="1"/>
    <s v="Self Pay"/>
    <s v="Online Search"/>
    <x v="0"/>
    <n v="60"/>
    <n v="60"/>
    <n v="68.2"/>
    <n v="1800"/>
    <n v="1800"/>
    <n v="0"/>
    <n v="0"/>
    <n v="1"/>
    <n v="0"/>
    <n v="0.85"/>
  </r>
  <r>
    <s v="APT-01267"/>
    <d v="2025-10-10T00:00:00"/>
    <x v="7"/>
    <x v="4"/>
    <s v="Afternoon"/>
    <x v="0"/>
    <s v="Palakkad"/>
    <x v="9"/>
    <s v="PT-1007"/>
    <s v="Follow-up"/>
    <x v="5"/>
    <s v="Self Pay"/>
    <s v="Online Search"/>
    <x v="0"/>
    <n v="45"/>
    <n v="45"/>
    <n v="54.7"/>
    <n v="950"/>
    <n v="950"/>
    <n v="0"/>
    <n v="0"/>
    <n v="1"/>
    <n v="0"/>
    <n v="0.85"/>
  </r>
  <r>
    <s v="APT-01268"/>
    <d v="2025-03-05T00:00:00"/>
    <x v="3"/>
    <x v="3"/>
    <s v="Afternoon"/>
    <x v="1"/>
    <s v="Thrissur"/>
    <x v="2"/>
    <s v="PT-1504"/>
    <s v="New Patient"/>
    <x v="1"/>
    <s v="Private Insurance"/>
    <s v="Self Referral"/>
    <x v="1"/>
    <n v="30"/>
    <n v="0"/>
    <n v="32.6"/>
    <n v="800"/>
    <n v="0"/>
    <n v="800"/>
    <n v="1"/>
    <n v="0"/>
    <n v="0"/>
    <n v="0.85"/>
  </r>
  <r>
    <s v="APT-01269"/>
    <d v="2025-07-30T00:00:00"/>
    <x v="8"/>
    <x v="3"/>
    <s v="Evening"/>
    <x v="1"/>
    <s v="Thrissur"/>
    <x v="10"/>
    <s v="PT-1046"/>
    <s v="Follow-up"/>
    <x v="2"/>
    <s v="Private Insurance"/>
    <s v="Self Referral"/>
    <x v="1"/>
    <n v="60"/>
    <n v="0"/>
    <n v="65.5"/>
    <n v="1350"/>
    <n v="0"/>
    <n v="1350"/>
    <n v="1"/>
    <n v="0"/>
    <n v="0"/>
    <n v="0.85"/>
  </r>
  <r>
    <s v="APT-01270"/>
    <d v="2025-05-29T00:00:00"/>
    <x v="10"/>
    <x v="2"/>
    <s v="Evening"/>
    <x v="0"/>
    <s v="Palakkad"/>
    <x v="13"/>
    <s v="PT-1676"/>
    <s v="Post-op Rehab"/>
    <x v="5"/>
    <s v="Self Pay"/>
    <s v="Online Search"/>
    <x v="0"/>
    <n v="45"/>
    <n v="45"/>
    <n v="52.3"/>
    <n v="1100"/>
    <n v="1100"/>
    <n v="0"/>
    <n v="0"/>
    <n v="1"/>
    <n v="0"/>
    <n v="0.85"/>
  </r>
  <r>
    <s v="APT-01271"/>
    <d v="2025-11-29T00:00:00"/>
    <x v="1"/>
    <x v="5"/>
    <s v="Morning"/>
    <x v="0"/>
    <s v="Palakkad"/>
    <x v="13"/>
    <s v="PT-1125"/>
    <s v="Post-op Rehab"/>
    <x v="1"/>
    <s v="Self Pay"/>
    <s v="Orthopedic Doctor"/>
    <x v="3"/>
    <n v="45"/>
    <n v="0"/>
    <n v="57.8"/>
    <n v="1100"/>
    <n v="0"/>
    <n v="0"/>
    <n v="0"/>
    <n v="0"/>
    <n v="0"/>
    <n v="0.85"/>
  </r>
  <r>
    <s v="APT-01272"/>
    <d v="2025-08-03T00:00:00"/>
    <x v="9"/>
    <x v="6"/>
    <s v="Midday"/>
    <x v="0"/>
    <s v="Palakkad"/>
    <x v="13"/>
    <s v="PT-1696"/>
    <s v="Chronic Pain"/>
    <x v="4"/>
    <s v="Government Scheme"/>
    <s v="Self Referral"/>
    <x v="0"/>
    <n v="60"/>
    <n v="60"/>
    <n v="80.599999999999994"/>
    <n v="1050"/>
    <n v="1050"/>
    <n v="0"/>
    <n v="0"/>
    <n v="1"/>
    <n v="0"/>
    <n v="0.85"/>
  </r>
  <r>
    <s v="APT-01273"/>
    <d v="2025-05-01T00:00:00"/>
    <x v="10"/>
    <x v="2"/>
    <s v="Midday"/>
    <x v="0"/>
    <s v="Palakkad"/>
    <x v="6"/>
    <s v="PT-1370"/>
    <s v="Chronic Pain"/>
    <x v="1"/>
    <s v="Self Pay"/>
    <s v="Neurologist"/>
    <x v="0"/>
    <n v="45"/>
    <n v="45"/>
    <n v="52.7"/>
    <n v="950"/>
    <n v="950"/>
    <n v="0"/>
    <n v="0"/>
    <n v="1"/>
    <n v="0"/>
    <n v="0.85"/>
  </r>
  <r>
    <s v="APT-01274"/>
    <d v="2025-05-31T00:00:00"/>
    <x v="10"/>
    <x v="5"/>
    <s v="Midday"/>
    <x v="1"/>
    <s v="Thrissur"/>
    <x v="2"/>
    <s v="PT-1132"/>
    <s v="Follow-up"/>
    <x v="5"/>
    <s v="Government Scheme"/>
    <s v="Hospital Discharge"/>
    <x v="0"/>
    <n v="60"/>
    <n v="60"/>
    <n v="72.3"/>
    <n v="1150"/>
    <n v="1150"/>
    <n v="0"/>
    <n v="0"/>
    <n v="1"/>
    <n v="0"/>
    <n v="0.85"/>
  </r>
  <r>
    <s v="APT-01275"/>
    <d v="2025-09-20T00:00:00"/>
    <x v="2"/>
    <x v="5"/>
    <s v="Midday"/>
    <x v="1"/>
    <s v="Thrissur"/>
    <x v="2"/>
    <s v="PT-1304"/>
    <s v="New Patient"/>
    <x v="1"/>
    <s v="Self Pay"/>
    <s v="Orthopedic Doctor"/>
    <x v="0"/>
    <n v="45"/>
    <n v="45"/>
    <n v="50.3"/>
    <n v="1200"/>
    <n v="1200"/>
    <n v="0"/>
    <n v="0"/>
    <n v="1"/>
    <n v="0"/>
    <n v="0.85"/>
  </r>
  <r>
    <s v="APT-01276"/>
    <d v="2025-06-07T00:00:00"/>
    <x v="4"/>
    <x v="5"/>
    <s v="Afternoon"/>
    <x v="0"/>
    <s v="Palakkad"/>
    <x v="13"/>
    <s v="PT-1059"/>
    <s v="Sports Injury"/>
    <x v="0"/>
    <s v="Corporate Tie-up"/>
    <s v="Self Referral"/>
    <x v="0"/>
    <n v="90"/>
    <n v="90"/>
    <n v="109.4"/>
    <n v="1700"/>
    <n v="1700"/>
    <n v="0"/>
    <n v="0"/>
    <n v="1"/>
    <n v="0"/>
    <n v="0.85"/>
  </r>
  <r>
    <s v="APT-01277"/>
    <d v="2025-12-25T00:00:00"/>
    <x v="0"/>
    <x v="2"/>
    <s v="Morning"/>
    <x v="1"/>
    <s v="Thrissur"/>
    <x v="7"/>
    <s v="PT-1065"/>
    <s v="Sports Injury"/>
    <x v="3"/>
    <s v="Self Pay"/>
    <s v="Hospital Discharge"/>
    <x v="1"/>
    <n v="45"/>
    <n v="0"/>
    <n v="55.2"/>
    <n v="1000"/>
    <n v="0"/>
    <n v="1000"/>
    <n v="1"/>
    <n v="0"/>
    <n v="0"/>
    <n v="0.85"/>
  </r>
  <r>
    <s v="APT-01278"/>
    <d v="2025-06-13T00:00:00"/>
    <x v="4"/>
    <x v="4"/>
    <s v="Midday"/>
    <x v="2"/>
    <s v="Ernakulam"/>
    <x v="3"/>
    <s v="PT-1229"/>
    <s v="Chronic Pain"/>
    <x v="1"/>
    <s v="Private Insurance"/>
    <s v="Orthopedic Doctor"/>
    <x v="0"/>
    <n v="45"/>
    <n v="45"/>
    <n v="56.9"/>
    <n v="1100"/>
    <n v="1100"/>
    <n v="0"/>
    <n v="0"/>
    <n v="1"/>
    <n v="0"/>
    <n v="0.85"/>
  </r>
  <r>
    <s v="APT-01279"/>
    <d v="2025-09-22T00:00:00"/>
    <x v="2"/>
    <x v="1"/>
    <s v="Midday"/>
    <x v="2"/>
    <s v="Ernakulam"/>
    <x v="12"/>
    <s v="PT-1085"/>
    <s v="Chronic Pain"/>
    <x v="5"/>
    <s v="Self Pay"/>
    <s v="Self Referral"/>
    <x v="2"/>
    <n v="75"/>
    <n v="0"/>
    <n v="96.1"/>
    <n v="1900"/>
    <n v="0"/>
    <n v="1900"/>
    <n v="0"/>
    <n v="0"/>
    <n v="1"/>
    <n v="0.85"/>
  </r>
  <r>
    <s v="APT-01280"/>
    <d v="2025-10-13T00:00:00"/>
    <x v="7"/>
    <x v="1"/>
    <s v="Morning"/>
    <x v="1"/>
    <s v="Thrissur"/>
    <x v="2"/>
    <s v="PT-1373"/>
    <s v="Sports Injury"/>
    <x v="4"/>
    <s v="Private Insurance"/>
    <s v="Online Search"/>
    <x v="0"/>
    <n v="60"/>
    <n v="60"/>
    <n v="71.599999999999994"/>
    <n v="1350"/>
    <n v="1350"/>
    <n v="0"/>
    <n v="0"/>
    <n v="1"/>
    <n v="0"/>
    <n v="0.85"/>
  </r>
  <r>
    <s v="APT-01281"/>
    <d v="2025-03-04T00:00:00"/>
    <x v="3"/>
    <x v="0"/>
    <s v="Morning"/>
    <x v="0"/>
    <s v="Palakkad"/>
    <x v="11"/>
    <s v="PT-1554"/>
    <s v="Follow-up"/>
    <x v="3"/>
    <s v="Self Pay"/>
    <s v="Hospital Discharge"/>
    <x v="0"/>
    <n v="45"/>
    <n v="45"/>
    <n v="52.9"/>
    <n v="950"/>
    <n v="950"/>
    <n v="0"/>
    <n v="0"/>
    <n v="1"/>
    <n v="0"/>
    <n v="0.85"/>
  </r>
  <r>
    <s v="APT-01282"/>
    <d v="2025-03-01T00:00:00"/>
    <x v="3"/>
    <x v="5"/>
    <s v="Morning"/>
    <x v="0"/>
    <s v="Palakkad"/>
    <x v="6"/>
    <s v="PT-1229"/>
    <s v="Follow-up"/>
    <x v="4"/>
    <s v="Government Scheme"/>
    <s v="Online Search"/>
    <x v="0"/>
    <n v="60"/>
    <n v="60"/>
    <n v="75.099999999999994"/>
    <n v="1050"/>
    <n v="1050"/>
    <n v="0"/>
    <n v="0"/>
    <n v="1"/>
    <n v="0"/>
    <n v="0.85"/>
  </r>
  <r>
    <s v="APT-01283"/>
    <d v="2025-03-14T00:00:00"/>
    <x v="3"/>
    <x v="4"/>
    <s v="Evening"/>
    <x v="2"/>
    <s v="Ernakulam"/>
    <x v="3"/>
    <s v="PT-1582"/>
    <s v="Follow-up"/>
    <x v="3"/>
    <s v="Private Insurance"/>
    <s v="Online Search"/>
    <x v="0"/>
    <n v="45"/>
    <n v="45"/>
    <n v="51.9"/>
    <n v="1100"/>
    <n v="1100"/>
    <n v="0"/>
    <n v="0"/>
    <n v="1"/>
    <n v="0"/>
    <n v="0.85"/>
  </r>
  <r>
    <s v="APT-01284"/>
    <d v="2025-01-20T00:00:00"/>
    <x v="11"/>
    <x v="1"/>
    <s v="Evening"/>
    <x v="0"/>
    <s v="Palakkad"/>
    <x v="0"/>
    <s v="PT-1519"/>
    <s v="Sports Injury"/>
    <x v="1"/>
    <s v="Self Pay"/>
    <s v="Self Referral"/>
    <x v="0"/>
    <n v="45"/>
    <n v="45"/>
    <n v="52.2"/>
    <n v="950"/>
    <n v="950"/>
    <n v="0"/>
    <n v="0"/>
    <n v="1"/>
    <n v="0"/>
    <n v="0.85"/>
  </r>
  <r>
    <s v="APT-01285"/>
    <d v="2025-09-01T00:00:00"/>
    <x v="2"/>
    <x v="1"/>
    <s v="Morning"/>
    <x v="1"/>
    <s v="Thrissur"/>
    <x v="2"/>
    <s v="PT-1276"/>
    <s v="New Patient"/>
    <x v="0"/>
    <s v="Corporate Tie-up"/>
    <s v="Orthopedic Doctor"/>
    <x v="0"/>
    <n v="75"/>
    <n v="75"/>
    <n v="97.6"/>
    <n v="1850"/>
    <n v="1850"/>
    <n v="0"/>
    <n v="0"/>
    <n v="1"/>
    <n v="0"/>
    <n v="0.85"/>
  </r>
  <r>
    <s v="APT-01286"/>
    <d v="2025-11-10T00:00:00"/>
    <x v="1"/>
    <x v="1"/>
    <s v="Morning"/>
    <x v="2"/>
    <s v="Ernakulam"/>
    <x v="12"/>
    <s v="PT-1050"/>
    <s v="Follow-up"/>
    <x v="4"/>
    <s v="Self Pay"/>
    <s v="Orthopedic Doctor"/>
    <x v="0"/>
    <n v="90"/>
    <n v="90"/>
    <n v="110"/>
    <n v="2250"/>
    <n v="2250"/>
    <n v="0"/>
    <n v="0"/>
    <n v="1"/>
    <n v="0"/>
    <n v="0.85"/>
  </r>
  <r>
    <s v="APT-01287"/>
    <d v="2025-06-23T00:00:00"/>
    <x v="4"/>
    <x v="1"/>
    <s v="Morning"/>
    <x v="1"/>
    <s v="Thrissur"/>
    <x v="1"/>
    <s v="PT-1690"/>
    <s v="Follow-up"/>
    <x v="2"/>
    <s v="Self Pay"/>
    <s v="Corporate Wellness"/>
    <x v="0"/>
    <n v="45"/>
    <n v="45"/>
    <n v="59.9"/>
    <n v="1000"/>
    <n v="1000"/>
    <n v="0"/>
    <n v="0"/>
    <n v="1"/>
    <n v="0"/>
    <n v="0.85"/>
  </r>
  <r>
    <s v="APT-01288"/>
    <d v="2025-11-03T00:00:00"/>
    <x v="1"/>
    <x v="1"/>
    <s v="Morning"/>
    <x v="1"/>
    <s v="Thrissur"/>
    <x v="2"/>
    <s v="PT-1483"/>
    <s v="Follow-up"/>
    <x v="4"/>
    <s v="Self Pay"/>
    <s v="Corporate Wellness"/>
    <x v="0"/>
    <n v="30"/>
    <n v="30"/>
    <n v="35.700000000000003"/>
    <n v="700"/>
    <n v="700"/>
    <n v="0"/>
    <n v="0"/>
    <n v="1"/>
    <n v="0"/>
    <n v="0.85"/>
  </r>
  <r>
    <s v="APT-01289"/>
    <d v="2025-02-08T00:00:00"/>
    <x v="5"/>
    <x v="5"/>
    <s v="Midday"/>
    <x v="0"/>
    <s v="Palakkad"/>
    <x v="0"/>
    <s v="PT-1585"/>
    <s v="Follow-up"/>
    <x v="3"/>
    <s v="Self Pay"/>
    <s v="Corporate Wellness"/>
    <x v="0"/>
    <n v="60"/>
    <n v="60"/>
    <n v="70.099999999999994"/>
    <n v="1250"/>
    <n v="1250"/>
    <n v="0"/>
    <n v="0"/>
    <n v="1"/>
    <n v="0"/>
    <n v="0.85"/>
  </r>
  <r>
    <s v="APT-01290"/>
    <d v="2025-06-28T00:00:00"/>
    <x v="4"/>
    <x v="5"/>
    <s v="Evening"/>
    <x v="2"/>
    <s v="Ernakulam"/>
    <x v="12"/>
    <s v="PT-1328"/>
    <s v="Post-op Rehab"/>
    <x v="5"/>
    <s v="Private Insurance"/>
    <s v="Neurologist"/>
    <x v="0"/>
    <n v="45"/>
    <n v="45"/>
    <n v="56.3"/>
    <n v="1300"/>
    <n v="1300"/>
    <n v="0"/>
    <n v="0"/>
    <n v="1"/>
    <n v="0"/>
    <n v="0.85"/>
  </r>
  <r>
    <s v="APT-01291"/>
    <d v="2025-09-09T00:00:00"/>
    <x v="2"/>
    <x v="0"/>
    <s v="Evening"/>
    <x v="0"/>
    <s v="Palakkad"/>
    <x v="11"/>
    <s v="PT-1247"/>
    <s v="New Patient"/>
    <x v="2"/>
    <s v="Self Pay"/>
    <s v="Hospital Discharge"/>
    <x v="0"/>
    <n v="45"/>
    <n v="45"/>
    <n v="52.5"/>
    <n v="1100"/>
    <n v="1100"/>
    <n v="0"/>
    <n v="0"/>
    <n v="1"/>
    <n v="0"/>
    <n v="0.85"/>
  </r>
  <r>
    <s v="APT-01292"/>
    <d v="2025-04-28T00:00:00"/>
    <x v="6"/>
    <x v="1"/>
    <s v="Afternoon"/>
    <x v="1"/>
    <s v="Thrissur"/>
    <x v="5"/>
    <s v="PT-1631"/>
    <s v="New Patient"/>
    <x v="5"/>
    <s v="Private Insurance"/>
    <s v="Online Search"/>
    <x v="2"/>
    <n v="60"/>
    <n v="0"/>
    <n v="76.2"/>
    <n v="1600"/>
    <n v="0"/>
    <n v="1600"/>
    <n v="0"/>
    <n v="0"/>
    <n v="1"/>
    <n v="0.85"/>
  </r>
  <r>
    <s v="APT-01293"/>
    <d v="2025-08-07T00:00:00"/>
    <x v="9"/>
    <x v="2"/>
    <s v="Evening"/>
    <x v="0"/>
    <s v="Palakkad"/>
    <x v="11"/>
    <s v="PT-1242"/>
    <s v="Follow-up"/>
    <x v="1"/>
    <s v="Self Pay"/>
    <s v="Corporate Wellness"/>
    <x v="0"/>
    <n v="60"/>
    <n v="60"/>
    <n v="73.8"/>
    <n v="1250"/>
    <n v="1250"/>
    <n v="0"/>
    <n v="0"/>
    <n v="1"/>
    <n v="0"/>
    <n v="0.85"/>
  </r>
  <r>
    <s v="APT-01294"/>
    <d v="2025-02-18T00:00:00"/>
    <x v="5"/>
    <x v="0"/>
    <s v="Evening"/>
    <x v="0"/>
    <s v="Palakkad"/>
    <x v="6"/>
    <s v="PT-1026"/>
    <s v="Post-op Rehab"/>
    <x v="4"/>
    <s v="Self Pay"/>
    <s v="Self Referral"/>
    <x v="0"/>
    <n v="75"/>
    <n v="75"/>
    <n v="98.4"/>
    <n v="1800"/>
    <n v="1800"/>
    <n v="0"/>
    <n v="0"/>
    <n v="1"/>
    <n v="0"/>
    <n v="0.85"/>
  </r>
  <r>
    <s v="APT-01295"/>
    <d v="2025-10-02T00:00:00"/>
    <x v="7"/>
    <x v="2"/>
    <s v="Midday"/>
    <x v="1"/>
    <s v="Thrissur"/>
    <x v="10"/>
    <s v="PT-1128"/>
    <s v="Follow-up"/>
    <x v="5"/>
    <s v="Self Pay"/>
    <s v="Corporate Wellness"/>
    <x v="0"/>
    <n v="60"/>
    <n v="60"/>
    <n v="74.2"/>
    <n v="1350"/>
    <n v="1350"/>
    <n v="0"/>
    <n v="0"/>
    <n v="1"/>
    <n v="0"/>
    <n v="0.85"/>
  </r>
  <r>
    <s v="APT-01296"/>
    <d v="2025-07-02T00:00:00"/>
    <x v="8"/>
    <x v="3"/>
    <s v="Morning"/>
    <x v="0"/>
    <s v="Palakkad"/>
    <x v="11"/>
    <s v="PT-1696"/>
    <s v="Follow-up"/>
    <x v="0"/>
    <s v="Self Pay"/>
    <s v="Orthopedic Doctor"/>
    <x v="0"/>
    <n v="45"/>
    <n v="45"/>
    <n v="52.8"/>
    <n v="950"/>
    <n v="950"/>
    <n v="0"/>
    <n v="0"/>
    <n v="1"/>
    <n v="0"/>
    <n v="0.85"/>
  </r>
  <r>
    <s v="APT-01297"/>
    <d v="2025-10-04T00:00:00"/>
    <x v="7"/>
    <x v="5"/>
    <s v="Morning"/>
    <x v="1"/>
    <s v="Thrissur"/>
    <x v="10"/>
    <s v="PT-1081"/>
    <s v="New Patient"/>
    <x v="2"/>
    <s v="Self Pay"/>
    <s v="Online Search"/>
    <x v="1"/>
    <n v="60"/>
    <n v="0"/>
    <n v="65.599999999999994"/>
    <n v="1600"/>
    <n v="0"/>
    <n v="1600"/>
    <n v="1"/>
    <n v="0"/>
    <n v="0"/>
    <n v="0.85"/>
  </r>
  <r>
    <s v="APT-01298"/>
    <d v="2025-03-01T00:00:00"/>
    <x v="3"/>
    <x v="5"/>
    <s v="Morning"/>
    <x v="0"/>
    <s v="Palakkad"/>
    <x v="11"/>
    <s v="PT-1531"/>
    <s v="Post-op Rehab"/>
    <x v="4"/>
    <s v="Private Insurance"/>
    <s v="Neurologist"/>
    <x v="0"/>
    <n v="60"/>
    <n v="60"/>
    <n v="78.5"/>
    <n v="1450"/>
    <n v="1450"/>
    <n v="0"/>
    <n v="0"/>
    <n v="1"/>
    <n v="0"/>
    <n v="0.85"/>
  </r>
  <r>
    <s v="APT-01299"/>
    <d v="2025-11-03T00:00:00"/>
    <x v="1"/>
    <x v="1"/>
    <s v="Evening"/>
    <x v="1"/>
    <s v="Thrissur"/>
    <x v="1"/>
    <s v="PT-1316"/>
    <s v="Follow-up"/>
    <x v="0"/>
    <s v="Private Insurance"/>
    <s v="Online Search"/>
    <x v="2"/>
    <n v="60"/>
    <n v="0"/>
    <n v="77.599999999999994"/>
    <n v="1350"/>
    <n v="0"/>
    <n v="1350"/>
    <n v="0"/>
    <n v="0"/>
    <n v="1"/>
    <n v="0.85"/>
  </r>
  <r>
    <s v="APT-01300"/>
    <d v="2025-07-14T00:00:00"/>
    <x v="8"/>
    <x v="1"/>
    <s v="Midday"/>
    <x v="1"/>
    <s v="Thrissur"/>
    <x v="2"/>
    <s v="PT-1598"/>
    <s v="Post-op Rehab"/>
    <x v="1"/>
    <s v="Private Insurance"/>
    <s v="Online Search"/>
    <x v="1"/>
    <n v="60"/>
    <n v="0"/>
    <n v="65.5"/>
    <n v="1550"/>
    <n v="0"/>
    <n v="1550"/>
    <n v="1"/>
    <n v="0"/>
    <n v="0"/>
    <n v="0.85"/>
  </r>
  <r>
    <s v="APT-01301"/>
    <d v="2025-11-25T00:00:00"/>
    <x v="1"/>
    <x v="0"/>
    <s v="Evening"/>
    <x v="0"/>
    <s v="Palakkad"/>
    <x v="11"/>
    <s v="PT-1087"/>
    <s v="Geriatric Rehab"/>
    <x v="0"/>
    <s v="Corporate Tie-up"/>
    <s v="Self Referral"/>
    <x v="2"/>
    <n v="60"/>
    <n v="0"/>
    <n v="67.8"/>
    <n v="1150"/>
    <n v="0"/>
    <n v="1150"/>
    <n v="0"/>
    <n v="0"/>
    <n v="1"/>
    <n v="0.85"/>
  </r>
  <r>
    <s v="APT-01302"/>
    <d v="2025-07-03T00:00:00"/>
    <x v="8"/>
    <x v="2"/>
    <s v="Evening"/>
    <x v="1"/>
    <s v="Thrissur"/>
    <x v="5"/>
    <s v="PT-1644"/>
    <s v="Geriatric Rehab"/>
    <x v="5"/>
    <s v="Private Insurance"/>
    <s v="Online Search"/>
    <x v="0"/>
    <n v="45"/>
    <n v="45"/>
    <n v="52.6"/>
    <n v="1000"/>
    <n v="1000"/>
    <n v="0"/>
    <n v="0"/>
    <n v="1"/>
    <n v="0"/>
    <n v="0.85"/>
  </r>
  <r>
    <s v="APT-01303"/>
    <d v="2025-06-04T00:00:00"/>
    <x v="4"/>
    <x v="3"/>
    <s v="Morning"/>
    <x v="0"/>
    <s v="Palakkad"/>
    <x v="13"/>
    <s v="PT-1187"/>
    <s v="Chronic Pain"/>
    <x v="0"/>
    <s v="Government Scheme"/>
    <s v="Hospital Discharge"/>
    <x v="0"/>
    <n v="45"/>
    <n v="45"/>
    <n v="55"/>
    <n v="800"/>
    <n v="800"/>
    <n v="0"/>
    <n v="0"/>
    <n v="1"/>
    <n v="0"/>
    <n v="0.85"/>
  </r>
  <r>
    <s v="APT-01304"/>
    <d v="2025-11-17T00:00:00"/>
    <x v="1"/>
    <x v="1"/>
    <s v="Midday"/>
    <x v="1"/>
    <s v="Thrissur"/>
    <x v="7"/>
    <s v="PT-1084"/>
    <s v="Post-op Rehab"/>
    <x v="5"/>
    <s v="Self Pay"/>
    <s v="Self Referral"/>
    <x v="0"/>
    <n v="60"/>
    <n v="60"/>
    <n v="66.5"/>
    <n v="1550"/>
    <n v="1550"/>
    <n v="0"/>
    <n v="0"/>
    <n v="1"/>
    <n v="0"/>
    <n v="0.85"/>
  </r>
  <r>
    <s v="APT-01305"/>
    <d v="2025-06-11T00:00:00"/>
    <x v="4"/>
    <x v="3"/>
    <s v="Midday"/>
    <x v="0"/>
    <s v="Palakkad"/>
    <x v="9"/>
    <s v="PT-1541"/>
    <s v="Sports Injury"/>
    <x v="3"/>
    <s v="Government Scheme"/>
    <s v="Online Search"/>
    <x v="0"/>
    <n v="90"/>
    <n v="90"/>
    <n v="104"/>
    <n v="1600"/>
    <n v="1600"/>
    <n v="0"/>
    <n v="0"/>
    <n v="1"/>
    <n v="0"/>
    <n v="0.85"/>
  </r>
  <r>
    <s v="APT-01306"/>
    <d v="2025-06-12T00:00:00"/>
    <x v="4"/>
    <x v="2"/>
    <s v="Morning"/>
    <x v="0"/>
    <s v="Palakkad"/>
    <x v="0"/>
    <s v="PT-1320"/>
    <s v="Geriatric Rehab"/>
    <x v="2"/>
    <s v="Private Insurance"/>
    <s v="Hospital Discharge"/>
    <x v="0"/>
    <n v="30"/>
    <n v="30"/>
    <n v="33"/>
    <n v="600"/>
    <n v="600"/>
    <n v="0"/>
    <n v="0"/>
    <n v="1"/>
    <n v="0"/>
    <n v="0.85"/>
  </r>
  <r>
    <s v="APT-01307"/>
    <d v="2025-01-17T00:00:00"/>
    <x v="11"/>
    <x v="4"/>
    <s v="Afternoon"/>
    <x v="2"/>
    <s v="Ernakulam"/>
    <x v="8"/>
    <s v="PT-1290"/>
    <s v="New Patient"/>
    <x v="3"/>
    <s v="Corporate Tie-up"/>
    <s v="Online Search"/>
    <x v="0"/>
    <n v="60"/>
    <n v="60"/>
    <n v="72.7"/>
    <n v="1650"/>
    <n v="1650"/>
    <n v="0"/>
    <n v="0"/>
    <n v="1"/>
    <n v="0"/>
    <n v="0.85"/>
  </r>
  <r>
    <s v="APT-01308"/>
    <d v="2025-02-07T00:00:00"/>
    <x v="5"/>
    <x v="4"/>
    <s v="Morning"/>
    <x v="1"/>
    <s v="Thrissur"/>
    <x v="1"/>
    <s v="PT-1397"/>
    <s v="Follow-up"/>
    <x v="0"/>
    <s v="Private Insurance"/>
    <s v="Online Search"/>
    <x v="0"/>
    <n v="75"/>
    <n v="75"/>
    <n v="89.7"/>
    <n v="1700"/>
    <n v="1700"/>
    <n v="0"/>
    <n v="0"/>
    <n v="1"/>
    <n v="0"/>
    <n v="0.85"/>
  </r>
  <r>
    <s v="APT-01309"/>
    <d v="2025-02-12T00:00:00"/>
    <x v="5"/>
    <x v="3"/>
    <s v="Afternoon"/>
    <x v="1"/>
    <s v="Thrissur"/>
    <x v="2"/>
    <s v="PT-1449"/>
    <s v="New Patient"/>
    <x v="1"/>
    <s v="Self Pay"/>
    <s v="Orthopedic Doctor"/>
    <x v="0"/>
    <n v="60"/>
    <n v="60"/>
    <n v="69.400000000000006"/>
    <n v="1600"/>
    <n v="1600"/>
    <n v="0"/>
    <n v="0"/>
    <n v="1"/>
    <n v="0"/>
    <n v="0.85"/>
  </r>
  <r>
    <s v="APT-01310"/>
    <d v="2025-09-12T00:00:00"/>
    <x v="2"/>
    <x v="4"/>
    <s v="Afternoon"/>
    <x v="0"/>
    <s v="Palakkad"/>
    <x v="9"/>
    <s v="PT-1374"/>
    <s v="Follow-up"/>
    <x v="3"/>
    <s v="Private Insurance"/>
    <s v="Online Search"/>
    <x v="0"/>
    <n v="60"/>
    <n v="60"/>
    <n v="69.2"/>
    <n v="1250"/>
    <n v="1250"/>
    <n v="0"/>
    <n v="0"/>
    <n v="1"/>
    <n v="0"/>
    <n v="0.85"/>
  </r>
  <r>
    <s v="APT-01311"/>
    <d v="2025-11-12T00:00:00"/>
    <x v="1"/>
    <x v="3"/>
    <s v="Morning"/>
    <x v="2"/>
    <s v="Ernakulam"/>
    <x v="14"/>
    <s v="PT-1261"/>
    <s v="New Patient"/>
    <x v="3"/>
    <s v="Government Scheme"/>
    <s v="Corporate Wellness"/>
    <x v="0"/>
    <n v="75"/>
    <n v="75"/>
    <n v="84.7"/>
    <n v="1900"/>
    <n v="1900"/>
    <n v="0"/>
    <n v="0"/>
    <n v="1"/>
    <n v="0"/>
    <n v="0.85"/>
  </r>
  <r>
    <s v="APT-01312"/>
    <d v="2025-07-07T00:00:00"/>
    <x v="8"/>
    <x v="1"/>
    <s v="Evening"/>
    <x v="1"/>
    <s v="Thrissur"/>
    <x v="10"/>
    <s v="PT-1235"/>
    <s v="Chronic Pain"/>
    <x v="2"/>
    <s v="Private Insurance"/>
    <s v="Orthopedic Doctor"/>
    <x v="1"/>
    <n v="75"/>
    <n v="0"/>
    <n v="93.7"/>
    <n v="1700"/>
    <n v="0"/>
    <n v="1700"/>
    <n v="1"/>
    <n v="0"/>
    <n v="0"/>
    <n v="0.85"/>
  </r>
  <r>
    <s v="APT-01313"/>
    <d v="2025-02-05T00:00:00"/>
    <x v="5"/>
    <x v="3"/>
    <s v="Morning"/>
    <x v="1"/>
    <s v="Thrissur"/>
    <x v="1"/>
    <s v="PT-1499"/>
    <s v="Chronic Pain"/>
    <x v="5"/>
    <s v="Private Insurance"/>
    <s v="Neurologist"/>
    <x v="0"/>
    <n v="90"/>
    <n v="90"/>
    <n v="99.8"/>
    <n v="2000"/>
    <n v="2000"/>
    <n v="0"/>
    <n v="0"/>
    <n v="1"/>
    <n v="0"/>
    <n v="0.85"/>
  </r>
  <r>
    <s v="APT-01314"/>
    <d v="2025-08-19T00:00:00"/>
    <x v="9"/>
    <x v="0"/>
    <s v="Evening"/>
    <x v="1"/>
    <s v="Thrissur"/>
    <x v="10"/>
    <s v="PT-1293"/>
    <s v="Follow-up"/>
    <x v="2"/>
    <s v="Self Pay"/>
    <s v="Orthopedic Doctor"/>
    <x v="0"/>
    <n v="45"/>
    <n v="45"/>
    <n v="49.5"/>
    <n v="1000"/>
    <n v="1000"/>
    <n v="0"/>
    <n v="0"/>
    <n v="1"/>
    <n v="0"/>
    <n v="0.85"/>
  </r>
  <r>
    <s v="APT-01315"/>
    <d v="2025-11-22T00:00:00"/>
    <x v="1"/>
    <x v="5"/>
    <s v="Midday"/>
    <x v="2"/>
    <s v="Ernakulam"/>
    <x v="12"/>
    <s v="PT-1409"/>
    <s v="Chronic Pain"/>
    <x v="0"/>
    <s v="Government Scheme"/>
    <s v="Online Search"/>
    <x v="0"/>
    <n v="60"/>
    <n v="60"/>
    <n v="68.099999999999994"/>
    <n v="1300"/>
    <n v="1300"/>
    <n v="0"/>
    <n v="0"/>
    <n v="1"/>
    <n v="0"/>
    <n v="0.85"/>
  </r>
  <r>
    <s v="APT-01316"/>
    <d v="2025-03-07T00:00:00"/>
    <x v="3"/>
    <x v="4"/>
    <s v="Evening"/>
    <x v="1"/>
    <s v="Thrissur"/>
    <x v="5"/>
    <s v="PT-1161"/>
    <s v="Sports Injury"/>
    <x v="0"/>
    <s v="Self Pay"/>
    <s v="Hospital Discharge"/>
    <x v="0"/>
    <n v="60"/>
    <n v="60"/>
    <n v="66.400000000000006"/>
    <n v="1350"/>
    <n v="1350"/>
    <n v="0"/>
    <n v="0"/>
    <n v="1"/>
    <n v="0"/>
    <n v="0.85"/>
  </r>
  <r>
    <s v="APT-01317"/>
    <d v="2025-09-05T00:00:00"/>
    <x v="2"/>
    <x v="4"/>
    <s v="Midday"/>
    <x v="1"/>
    <s v="Thrissur"/>
    <x v="10"/>
    <s v="PT-1305"/>
    <s v="Follow-up"/>
    <x v="4"/>
    <s v="Government Scheme"/>
    <s v="Neurologist"/>
    <x v="1"/>
    <n v="75"/>
    <n v="0"/>
    <n v="98.7"/>
    <n v="1450"/>
    <n v="0"/>
    <n v="1450"/>
    <n v="1"/>
    <n v="0"/>
    <n v="0"/>
    <n v="0.85"/>
  </r>
  <r>
    <s v="APT-01318"/>
    <d v="2025-11-19T00:00:00"/>
    <x v="1"/>
    <x v="3"/>
    <s v="Morning"/>
    <x v="1"/>
    <s v="Thrissur"/>
    <x v="2"/>
    <s v="PT-1036"/>
    <s v="Sports Injury"/>
    <x v="2"/>
    <s v="Private Insurance"/>
    <s v="Orthopedic Doctor"/>
    <x v="0"/>
    <n v="60"/>
    <n v="60"/>
    <n v="66.099999999999994"/>
    <n v="1350"/>
    <n v="1350"/>
    <n v="0"/>
    <n v="0"/>
    <n v="1"/>
    <n v="0"/>
    <n v="0.85"/>
  </r>
  <r>
    <s v="APT-01319"/>
    <d v="2025-05-08T00:00:00"/>
    <x v="10"/>
    <x v="2"/>
    <s v="Morning"/>
    <x v="1"/>
    <s v="Thrissur"/>
    <x v="1"/>
    <s v="PT-1039"/>
    <s v="Follow-up"/>
    <x v="3"/>
    <s v="Government Scheme"/>
    <s v="Self Referral"/>
    <x v="1"/>
    <n v="45"/>
    <n v="0"/>
    <n v="52.2"/>
    <n v="850"/>
    <n v="0"/>
    <n v="850"/>
    <n v="1"/>
    <n v="0"/>
    <n v="0"/>
    <n v="0.85"/>
  </r>
  <r>
    <s v="APT-01320"/>
    <d v="2025-11-10T00:00:00"/>
    <x v="1"/>
    <x v="1"/>
    <s v="Morning"/>
    <x v="2"/>
    <s v="Ernakulam"/>
    <x v="8"/>
    <s v="PT-1173"/>
    <s v="Chronic Pain"/>
    <x v="3"/>
    <s v="Self Pay"/>
    <s v="Self Referral"/>
    <x v="0"/>
    <n v="60"/>
    <n v="60"/>
    <n v="76.3"/>
    <n v="1500"/>
    <n v="1500"/>
    <n v="0"/>
    <n v="0"/>
    <n v="1"/>
    <n v="0"/>
    <n v="0.85"/>
  </r>
  <r>
    <s v="APT-01321"/>
    <d v="2025-04-28T00:00:00"/>
    <x v="6"/>
    <x v="1"/>
    <s v="Afternoon"/>
    <x v="2"/>
    <s v="Ernakulam"/>
    <x v="14"/>
    <s v="PT-1399"/>
    <s v="Post-op Rehab"/>
    <x v="2"/>
    <s v="Private Insurance"/>
    <s v="Neurologist"/>
    <x v="1"/>
    <n v="45"/>
    <n v="0"/>
    <n v="55.6"/>
    <n v="1300"/>
    <n v="0"/>
    <n v="1300"/>
    <n v="1"/>
    <n v="0"/>
    <n v="0"/>
    <n v="0.85"/>
  </r>
  <r>
    <s v="APT-01322"/>
    <d v="2025-11-10T00:00:00"/>
    <x v="1"/>
    <x v="1"/>
    <s v="Evening"/>
    <x v="0"/>
    <s v="Palakkad"/>
    <x v="9"/>
    <s v="PT-1090"/>
    <s v="Post-op Rehab"/>
    <x v="3"/>
    <s v="Corporate Tie-up"/>
    <s v="Neurologist"/>
    <x v="1"/>
    <n v="45"/>
    <n v="0"/>
    <n v="49.1"/>
    <n v="1000"/>
    <n v="0"/>
    <n v="1000"/>
    <n v="1"/>
    <n v="0"/>
    <n v="0"/>
    <n v="0.85"/>
  </r>
  <r>
    <s v="APT-01323"/>
    <d v="2025-10-13T00:00:00"/>
    <x v="7"/>
    <x v="1"/>
    <s v="Afternoon"/>
    <x v="2"/>
    <s v="Ernakulam"/>
    <x v="14"/>
    <s v="PT-1350"/>
    <s v="Follow-up"/>
    <x v="2"/>
    <s v="Self Pay"/>
    <s v="Self Referral"/>
    <x v="1"/>
    <n v="45"/>
    <n v="0"/>
    <n v="55.5"/>
    <n v="1100"/>
    <n v="0"/>
    <n v="1100"/>
    <n v="1"/>
    <n v="0"/>
    <n v="0"/>
    <n v="0.85"/>
  </r>
  <r>
    <s v="APT-01324"/>
    <d v="2025-12-02T00:00:00"/>
    <x v="0"/>
    <x v="0"/>
    <s v="Midday"/>
    <x v="0"/>
    <s v="Palakkad"/>
    <x v="0"/>
    <s v="PT-1657"/>
    <s v="Follow-up"/>
    <x v="5"/>
    <s v="Self Pay"/>
    <s v="Hospital Discharge"/>
    <x v="1"/>
    <n v="60"/>
    <n v="0"/>
    <n v="78.400000000000006"/>
    <n v="1250"/>
    <n v="0"/>
    <n v="1250"/>
    <n v="1"/>
    <n v="0"/>
    <n v="0"/>
    <n v="0.85"/>
  </r>
  <r>
    <s v="APT-01325"/>
    <d v="2025-04-14T00:00:00"/>
    <x v="6"/>
    <x v="1"/>
    <s v="Morning"/>
    <x v="1"/>
    <s v="Thrissur"/>
    <x v="10"/>
    <s v="PT-1601"/>
    <s v="Chronic Pain"/>
    <x v="0"/>
    <s v="Self Pay"/>
    <s v="Neurologist"/>
    <x v="1"/>
    <n v="60"/>
    <n v="0"/>
    <n v="72"/>
    <n v="1350"/>
    <n v="0"/>
    <n v="1350"/>
    <n v="1"/>
    <n v="0"/>
    <n v="0"/>
    <n v="0.85"/>
  </r>
  <r>
    <s v="APT-01326"/>
    <d v="2025-06-25T00:00:00"/>
    <x v="4"/>
    <x v="3"/>
    <s v="Morning"/>
    <x v="2"/>
    <s v="Ernakulam"/>
    <x v="14"/>
    <s v="PT-1673"/>
    <s v="Post-op Rehab"/>
    <x v="0"/>
    <s v="Private Insurance"/>
    <s v="Self Referral"/>
    <x v="0"/>
    <n v="45"/>
    <n v="45"/>
    <n v="60.6"/>
    <n v="1300"/>
    <n v="1300"/>
    <n v="0"/>
    <n v="0"/>
    <n v="1"/>
    <n v="0"/>
    <n v="0.85"/>
  </r>
  <r>
    <s v="APT-01327"/>
    <d v="2025-02-19T00:00:00"/>
    <x v="5"/>
    <x v="3"/>
    <s v="Afternoon"/>
    <x v="2"/>
    <s v="Ernakulam"/>
    <x v="3"/>
    <s v="PT-1645"/>
    <s v="New Patient"/>
    <x v="2"/>
    <s v="Private Insurance"/>
    <s v="Corporate Wellness"/>
    <x v="0"/>
    <n v="60"/>
    <n v="60"/>
    <n v="77.400000000000006"/>
    <n v="1800"/>
    <n v="1800"/>
    <n v="0"/>
    <n v="0"/>
    <n v="1"/>
    <n v="0"/>
    <n v="0.85"/>
  </r>
  <r>
    <s v="APT-01328"/>
    <d v="2025-02-18T00:00:00"/>
    <x v="5"/>
    <x v="0"/>
    <s v="Morning"/>
    <x v="0"/>
    <s v="Palakkad"/>
    <x v="11"/>
    <s v="PT-1347"/>
    <s v="New Patient"/>
    <x v="5"/>
    <s v="Private Insurance"/>
    <s v="Online Search"/>
    <x v="0"/>
    <n v="45"/>
    <n v="45"/>
    <n v="59.2"/>
    <n v="1100"/>
    <n v="1100"/>
    <n v="0"/>
    <n v="0"/>
    <n v="1"/>
    <n v="0"/>
    <n v="0.85"/>
  </r>
  <r>
    <s v="APT-01329"/>
    <d v="2025-11-21T00:00:00"/>
    <x v="1"/>
    <x v="4"/>
    <s v="Afternoon"/>
    <x v="1"/>
    <s v="Thrissur"/>
    <x v="2"/>
    <s v="PT-1197"/>
    <s v="Follow-up"/>
    <x v="4"/>
    <s v="Self Pay"/>
    <s v="Self Referral"/>
    <x v="2"/>
    <n v="90"/>
    <n v="0"/>
    <n v="118.2"/>
    <n v="2000"/>
    <n v="0"/>
    <n v="2000"/>
    <n v="0"/>
    <n v="0"/>
    <n v="1"/>
    <n v="0.85"/>
  </r>
  <r>
    <s v="APT-01330"/>
    <d v="2025-11-04T00:00:00"/>
    <x v="1"/>
    <x v="0"/>
    <s v="Afternoon"/>
    <x v="1"/>
    <s v="Thrissur"/>
    <x v="1"/>
    <s v="PT-1071"/>
    <s v="Follow-up"/>
    <x v="2"/>
    <s v="Corporate Tie-up"/>
    <s v="Neurologist"/>
    <x v="0"/>
    <n v="45"/>
    <n v="45"/>
    <n v="60.2"/>
    <n v="950"/>
    <n v="950"/>
    <n v="0"/>
    <n v="0"/>
    <n v="1"/>
    <n v="0"/>
    <n v="0.85"/>
  </r>
  <r>
    <s v="APT-01331"/>
    <d v="2025-10-10T00:00:00"/>
    <x v="7"/>
    <x v="4"/>
    <s v="Morning"/>
    <x v="1"/>
    <s v="Thrissur"/>
    <x v="7"/>
    <s v="PT-1516"/>
    <s v="New Patient"/>
    <x v="5"/>
    <s v="Private Insurance"/>
    <s v="Hospital Discharge"/>
    <x v="0"/>
    <n v="60"/>
    <n v="60"/>
    <n v="77.3"/>
    <n v="1600"/>
    <n v="1600"/>
    <n v="0"/>
    <n v="0"/>
    <n v="1"/>
    <n v="0"/>
    <n v="0.85"/>
  </r>
  <r>
    <s v="APT-01332"/>
    <d v="2025-11-17T00:00:00"/>
    <x v="1"/>
    <x v="1"/>
    <s v="Evening"/>
    <x v="1"/>
    <s v="Thrissur"/>
    <x v="2"/>
    <s v="PT-1263"/>
    <s v="Chronic Pain"/>
    <x v="5"/>
    <s v="Private Insurance"/>
    <s v="Corporate Wellness"/>
    <x v="0"/>
    <n v="45"/>
    <n v="45"/>
    <n v="54.5"/>
    <n v="1000"/>
    <n v="1000"/>
    <n v="0"/>
    <n v="0"/>
    <n v="1"/>
    <n v="0"/>
    <n v="0.85"/>
  </r>
  <r>
    <s v="APT-01333"/>
    <d v="2025-08-16T00:00:00"/>
    <x v="9"/>
    <x v="5"/>
    <s v="Midday"/>
    <x v="1"/>
    <s v="Thrissur"/>
    <x v="7"/>
    <s v="PT-1295"/>
    <s v="Sports Injury"/>
    <x v="5"/>
    <s v="Government Scheme"/>
    <s v="Online Search"/>
    <x v="0"/>
    <n v="75"/>
    <n v="75"/>
    <n v="83"/>
    <n v="1450"/>
    <n v="1450"/>
    <n v="0"/>
    <n v="0"/>
    <n v="1"/>
    <n v="0"/>
    <n v="0.85"/>
  </r>
  <r>
    <s v="APT-01334"/>
    <d v="2025-11-11T00:00:00"/>
    <x v="1"/>
    <x v="0"/>
    <s v="Morning"/>
    <x v="1"/>
    <s v="Thrissur"/>
    <x v="10"/>
    <s v="PT-1445"/>
    <s v="Post-op Rehab"/>
    <x v="0"/>
    <s v="Private Insurance"/>
    <s v="Neurologist"/>
    <x v="0"/>
    <n v="90"/>
    <n v="90"/>
    <n v="115.9"/>
    <n v="2350"/>
    <n v="2350"/>
    <n v="0"/>
    <n v="0"/>
    <n v="1"/>
    <n v="0"/>
    <n v="0.85"/>
  </r>
  <r>
    <s v="APT-01335"/>
    <d v="2025-02-20T00:00:00"/>
    <x v="5"/>
    <x v="2"/>
    <s v="Morning"/>
    <x v="2"/>
    <s v="Ernakulam"/>
    <x v="14"/>
    <s v="PT-1686"/>
    <s v="Follow-up"/>
    <x v="1"/>
    <s v="Self Pay"/>
    <s v="Self Referral"/>
    <x v="0"/>
    <n v="60"/>
    <n v="60"/>
    <n v="75.8"/>
    <n v="1500"/>
    <n v="1500"/>
    <n v="0"/>
    <n v="0"/>
    <n v="1"/>
    <n v="0"/>
    <n v="0.85"/>
  </r>
  <r>
    <s v="APT-01336"/>
    <d v="2025-09-02T00:00:00"/>
    <x v="2"/>
    <x v="0"/>
    <s v="Afternoon"/>
    <x v="2"/>
    <s v="Ernakulam"/>
    <x v="14"/>
    <s v="PT-1557"/>
    <s v="Chronic Pain"/>
    <x v="1"/>
    <s v="Self Pay"/>
    <s v="Corporate Wellness"/>
    <x v="0"/>
    <n v="30"/>
    <n v="30"/>
    <n v="35.5"/>
    <n v="750"/>
    <n v="750"/>
    <n v="0"/>
    <n v="0"/>
    <n v="1"/>
    <n v="0"/>
    <n v="0.85"/>
  </r>
  <r>
    <s v="APT-01337"/>
    <d v="2025-09-05T00:00:00"/>
    <x v="2"/>
    <x v="4"/>
    <s v="Evening"/>
    <x v="1"/>
    <s v="Thrissur"/>
    <x v="5"/>
    <s v="PT-1439"/>
    <s v="Follow-up"/>
    <x v="5"/>
    <s v="Self Pay"/>
    <s v="Orthopedic Doctor"/>
    <x v="3"/>
    <n v="45"/>
    <n v="0"/>
    <n v="58.2"/>
    <n v="1000"/>
    <n v="0"/>
    <n v="0"/>
    <n v="0"/>
    <n v="0"/>
    <n v="0"/>
    <n v="0.85"/>
  </r>
  <r>
    <s v="APT-01338"/>
    <d v="2025-05-12T00:00:00"/>
    <x v="10"/>
    <x v="1"/>
    <s v="Morning"/>
    <x v="1"/>
    <s v="Thrissur"/>
    <x v="1"/>
    <s v="PT-1198"/>
    <s v="Geriatric Rehab"/>
    <x v="2"/>
    <s v="Self Pay"/>
    <s v="Corporate Wellness"/>
    <x v="1"/>
    <n v="60"/>
    <n v="0"/>
    <n v="69"/>
    <n v="1350"/>
    <n v="0"/>
    <n v="1350"/>
    <n v="1"/>
    <n v="0"/>
    <n v="0"/>
    <n v="0.85"/>
  </r>
  <r>
    <s v="APT-01339"/>
    <d v="2025-12-09T00:00:00"/>
    <x v="0"/>
    <x v="0"/>
    <s v="Evening"/>
    <x v="1"/>
    <s v="Thrissur"/>
    <x v="5"/>
    <s v="PT-1283"/>
    <s v="New Patient"/>
    <x v="1"/>
    <s v="Corporate Tie-up"/>
    <s v="Hospital Discharge"/>
    <x v="3"/>
    <n v="45"/>
    <n v="0"/>
    <n v="56.4"/>
    <n v="1100"/>
    <n v="0"/>
    <n v="0"/>
    <n v="0"/>
    <n v="0"/>
    <n v="0"/>
    <n v="0.85"/>
  </r>
  <r>
    <s v="APT-01340"/>
    <d v="2025-02-12T00:00:00"/>
    <x v="5"/>
    <x v="3"/>
    <s v="Evening"/>
    <x v="1"/>
    <s v="Thrissur"/>
    <x v="2"/>
    <s v="PT-1347"/>
    <s v="Follow-up"/>
    <x v="5"/>
    <s v="Corporate Tie-up"/>
    <s v="Hospital Discharge"/>
    <x v="3"/>
    <n v="60"/>
    <n v="0"/>
    <n v="75.2"/>
    <n v="1250"/>
    <n v="0"/>
    <n v="0"/>
    <n v="0"/>
    <n v="0"/>
    <n v="0"/>
    <n v="0.85"/>
  </r>
  <r>
    <s v="APT-01341"/>
    <d v="2025-06-30T00:00:00"/>
    <x v="4"/>
    <x v="1"/>
    <s v="Midday"/>
    <x v="1"/>
    <s v="Thrissur"/>
    <x v="5"/>
    <s v="PT-1186"/>
    <s v="Post-op Rehab"/>
    <x v="1"/>
    <s v="Corporate Tie-up"/>
    <s v="Corporate Wellness"/>
    <x v="1"/>
    <n v="60"/>
    <n v="0"/>
    <n v="72.7"/>
    <n v="1450"/>
    <n v="0"/>
    <n v="1450"/>
    <n v="1"/>
    <n v="0"/>
    <n v="0"/>
    <n v="0.85"/>
  </r>
  <r>
    <s v="APT-01342"/>
    <d v="2025-11-19T00:00:00"/>
    <x v="1"/>
    <x v="3"/>
    <s v="Afternoon"/>
    <x v="0"/>
    <s v="Palakkad"/>
    <x v="9"/>
    <s v="PT-1201"/>
    <s v="Follow-up"/>
    <x v="2"/>
    <s v="Private Insurance"/>
    <s v="Online Search"/>
    <x v="1"/>
    <n v="45"/>
    <n v="0"/>
    <n v="50.4"/>
    <n v="950"/>
    <n v="0"/>
    <n v="950"/>
    <n v="1"/>
    <n v="0"/>
    <n v="0"/>
    <n v="0.85"/>
  </r>
  <r>
    <s v="APT-01343"/>
    <d v="2025-10-28T00:00:00"/>
    <x v="7"/>
    <x v="0"/>
    <s v="Morning"/>
    <x v="2"/>
    <s v="Ernakulam"/>
    <x v="3"/>
    <s v="PT-1161"/>
    <s v="New Patient"/>
    <x v="1"/>
    <s v="Government Scheme"/>
    <s v="Online Search"/>
    <x v="0"/>
    <n v="60"/>
    <n v="60"/>
    <n v="71.900000000000006"/>
    <n v="1550"/>
    <n v="1550"/>
    <n v="0"/>
    <n v="0"/>
    <n v="1"/>
    <n v="0"/>
    <n v="0.85"/>
  </r>
  <r>
    <s v="APT-01344"/>
    <d v="2025-01-01T00:00:00"/>
    <x v="11"/>
    <x v="3"/>
    <s v="Morning"/>
    <x v="1"/>
    <s v="Thrissur"/>
    <x v="5"/>
    <s v="PT-1238"/>
    <s v="Follow-up"/>
    <x v="3"/>
    <s v="Corporate Tie-up"/>
    <s v="Orthopedic Doctor"/>
    <x v="0"/>
    <n v="75"/>
    <n v="75"/>
    <n v="88.1"/>
    <n v="1550"/>
    <n v="1550"/>
    <n v="0"/>
    <n v="0"/>
    <n v="1"/>
    <n v="0"/>
    <n v="0.85"/>
  </r>
  <r>
    <s v="APT-01345"/>
    <d v="2025-11-04T00:00:00"/>
    <x v="1"/>
    <x v="0"/>
    <s v="Afternoon"/>
    <x v="2"/>
    <s v="Ernakulam"/>
    <x v="14"/>
    <s v="PT-1249"/>
    <s v="Follow-up"/>
    <x v="1"/>
    <s v="Government Scheme"/>
    <s v="Online Search"/>
    <x v="0"/>
    <n v="60"/>
    <n v="60"/>
    <n v="71.099999999999994"/>
    <n v="1300"/>
    <n v="1300"/>
    <n v="0"/>
    <n v="0"/>
    <n v="1"/>
    <n v="0"/>
    <n v="0.85"/>
  </r>
  <r>
    <s v="APT-01346"/>
    <d v="2025-01-10T00:00:00"/>
    <x v="11"/>
    <x v="4"/>
    <s v="Evening"/>
    <x v="0"/>
    <s v="Palakkad"/>
    <x v="6"/>
    <s v="PT-1138"/>
    <s v="Follow-up"/>
    <x v="5"/>
    <s v="Government Scheme"/>
    <s v="Corporate Wellness"/>
    <x v="0"/>
    <n v="45"/>
    <n v="45"/>
    <n v="51.2"/>
    <n v="800"/>
    <n v="800"/>
    <n v="0"/>
    <n v="0"/>
    <n v="1"/>
    <n v="0"/>
    <n v="0.85"/>
  </r>
  <r>
    <s v="APT-01347"/>
    <d v="2025-12-01T00:00:00"/>
    <x v="0"/>
    <x v="1"/>
    <s v="Midday"/>
    <x v="1"/>
    <s v="Thrissur"/>
    <x v="7"/>
    <s v="PT-1570"/>
    <s v="Follow-up"/>
    <x v="1"/>
    <s v="Self Pay"/>
    <s v="Hospital Discharge"/>
    <x v="0"/>
    <n v="45"/>
    <n v="45"/>
    <n v="55.3"/>
    <n v="1000"/>
    <n v="1000"/>
    <n v="0"/>
    <n v="0"/>
    <n v="1"/>
    <n v="0"/>
    <n v="0.85"/>
  </r>
  <r>
    <s v="APT-01348"/>
    <d v="2025-10-26T00:00:00"/>
    <x v="7"/>
    <x v="6"/>
    <s v="Afternoon"/>
    <x v="0"/>
    <s v="Palakkad"/>
    <x v="6"/>
    <s v="PT-1172"/>
    <s v="New Patient"/>
    <x v="1"/>
    <s v="Self Pay"/>
    <s v="Online Search"/>
    <x v="2"/>
    <n v="60"/>
    <n v="0"/>
    <n v="70.900000000000006"/>
    <n v="1500"/>
    <n v="0"/>
    <n v="1500"/>
    <n v="0"/>
    <n v="0"/>
    <n v="1"/>
    <n v="0.85"/>
  </r>
  <r>
    <s v="APT-01349"/>
    <d v="2025-03-31T00:00:00"/>
    <x v="3"/>
    <x v="1"/>
    <s v="Morning"/>
    <x v="0"/>
    <s v="Palakkad"/>
    <x v="6"/>
    <s v="PT-1090"/>
    <s v="Post-op Rehab"/>
    <x v="0"/>
    <s v="Private Insurance"/>
    <s v="Hospital Discharge"/>
    <x v="0"/>
    <n v="60"/>
    <n v="60"/>
    <n v="76"/>
    <n v="1450"/>
    <n v="1450"/>
    <n v="0"/>
    <n v="0"/>
    <n v="1"/>
    <n v="0"/>
    <n v="0.85"/>
  </r>
  <r>
    <s v="APT-01350"/>
    <d v="2025-11-18T00:00:00"/>
    <x v="1"/>
    <x v="0"/>
    <s v="Evening"/>
    <x v="2"/>
    <s v="Ernakulam"/>
    <x v="4"/>
    <s v="PT-1232"/>
    <s v="Geriatric Rehab"/>
    <x v="4"/>
    <s v="Government Scheme"/>
    <s v="Self Referral"/>
    <x v="0"/>
    <n v="60"/>
    <n v="60"/>
    <n v="76.5"/>
    <n v="1300"/>
    <n v="1300"/>
    <n v="0"/>
    <n v="0"/>
    <n v="1"/>
    <n v="0"/>
    <n v="0.85"/>
  </r>
  <r>
    <s v="APT-01351"/>
    <d v="2025-11-04T00:00:00"/>
    <x v="1"/>
    <x v="0"/>
    <s v="Afternoon"/>
    <x v="0"/>
    <s v="Palakkad"/>
    <x v="6"/>
    <s v="PT-1505"/>
    <s v="Sports Injury"/>
    <x v="0"/>
    <s v="Private Insurance"/>
    <s v="Corporate Wellness"/>
    <x v="0"/>
    <n v="60"/>
    <n v="60"/>
    <n v="80.2"/>
    <n v="1250"/>
    <n v="1250"/>
    <n v="0"/>
    <n v="0"/>
    <n v="1"/>
    <n v="0"/>
    <n v="0.85"/>
  </r>
  <r>
    <s v="APT-01352"/>
    <d v="2025-02-05T00:00:00"/>
    <x v="5"/>
    <x v="3"/>
    <s v="Midday"/>
    <x v="2"/>
    <s v="Ernakulam"/>
    <x v="12"/>
    <s v="PT-1447"/>
    <s v="New Patient"/>
    <x v="5"/>
    <s v="Government Scheme"/>
    <s v="Neurologist"/>
    <x v="1"/>
    <n v="45"/>
    <n v="0"/>
    <n v="51.6"/>
    <n v="1150"/>
    <n v="0"/>
    <n v="1150"/>
    <n v="1"/>
    <n v="0"/>
    <n v="0"/>
    <n v="0.85"/>
  </r>
  <r>
    <s v="APT-01353"/>
    <d v="2025-02-28T00:00:00"/>
    <x v="5"/>
    <x v="4"/>
    <s v="Afternoon"/>
    <x v="0"/>
    <s v="Palakkad"/>
    <x v="13"/>
    <s v="PT-1266"/>
    <s v="Sports Injury"/>
    <x v="1"/>
    <s v="Corporate Tie-up"/>
    <s v="Self Referral"/>
    <x v="0"/>
    <n v="45"/>
    <n v="45"/>
    <n v="53.2"/>
    <n v="850"/>
    <n v="850"/>
    <n v="0"/>
    <n v="0"/>
    <n v="1"/>
    <n v="0"/>
    <n v="0.85"/>
  </r>
  <r>
    <s v="APT-01354"/>
    <d v="2025-08-29T00:00:00"/>
    <x v="9"/>
    <x v="4"/>
    <s v="Midday"/>
    <x v="1"/>
    <s v="Thrissur"/>
    <x v="5"/>
    <s v="PT-1183"/>
    <s v="Chronic Pain"/>
    <x v="4"/>
    <s v="Self Pay"/>
    <s v="Orthopedic Doctor"/>
    <x v="1"/>
    <n v="60"/>
    <n v="0"/>
    <n v="78.5"/>
    <n v="1350"/>
    <n v="0"/>
    <n v="1350"/>
    <n v="1"/>
    <n v="0"/>
    <n v="0"/>
    <n v="0.85"/>
  </r>
  <r>
    <s v="APT-01355"/>
    <d v="2025-01-24T00:00:00"/>
    <x v="11"/>
    <x v="4"/>
    <s v="Afternoon"/>
    <x v="0"/>
    <s v="Palakkad"/>
    <x v="0"/>
    <s v="PT-1210"/>
    <s v="Follow-up"/>
    <x v="3"/>
    <s v="Government Scheme"/>
    <s v="Self Referral"/>
    <x v="3"/>
    <n v="90"/>
    <n v="0"/>
    <n v="106.3"/>
    <n v="1600"/>
    <n v="0"/>
    <n v="0"/>
    <n v="0"/>
    <n v="0"/>
    <n v="0"/>
    <n v="0.85"/>
  </r>
  <r>
    <s v="APT-01356"/>
    <d v="2025-01-10T00:00:00"/>
    <x v="11"/>
    <x v="4"/>
    <s v="Morning"/>
    <x v="2"/>
    <s v="Ernakulam"/>
    <x v="4"/>
    <s v="PT-1616"/>
    <s v="Follow-up"/>
    <x v="2"/>
    <s v="Corporate Tie-up"/>
    <s v="Corporate Wellness"/>
    <x v="0"/>
    <n v="60"/>
    <n v="60"/>
    <n v="69"/>
    <n v="1400"/>
    <n v="1400"/>
    <n v="0"/>
    <n v="0"/>
    <n v="1"/>
    <n v="0"/>
    <n v="0.85"/>
  </r>
  <r>
    <s v="APT-01357"/>
    <d v="2025-07-05T00:00:00"/>
    <x v="8"/>
    <x v="5"/>
    <s v="Afternoon"/>
    <x v="0"/>
    <s v="Palakkad"/>
    <x v="9"/>
    <s v="PT-1574"/>
    <s v="New Patient"/>
    <x v="3"/>
    <s v="Self Pay"/>
    <s v="Neurologist"/>
    <x v="1"/>
    <n v="75"/>
    <n v="0"/>
    <n v="94.8"/>
    <n v="1900"/>
    <n v="0"/>
    <n v="1900"/>
    <n v="1"/>
    <n v="0"/>
    <n v="0"/>
    <n v="0.85"/>
  </r>
  <r>
    <s v="APT-01358"/>
    <d v="2025-10-23T00:00:00"/>
    <x v="7"/>
    <x v="2"/>
    <s v="Afternoon"/>
    <x v="2"/>
    <s v="Ernakulam"/>
    <x v="12"/>
    <s v="PT-1509"/>
    <s v="Follow-up"/>
    <x v="1"/>
    <s v="Self Pay"/>
    <s v="Orthopedic Doctor"/>
    <x v="0"/>
    <n v="45"/>
    <n v="45"/>
    <n v="58.8"/>
    <n v="1100"/>
    <n v="1100"/>
    <n v="0"/>
    <n v="0"/>
    <n v="1"/>
    <n v="0"/>
    <n v="0.85"/>
  </r>
  <r>
    <s v="APT-01359"/>
    <d v="2025-09-01T00:00:00"/>
    <x v="2"/>
    <x v="1"/>
    <s v="Morning"/>
    <x v="1"/>
    <s v="Thrissur"/>
    <x v="2"/>
    <s v="PT-1321"/>
    <s v="Follow-up"/>
    <x v="1"/>
    <s v="Self Pay"/>
    <s v="Online Search"/>
    <x v="0"/>
    <n v="60"/>
    <n v="60"/>
    <n v="69"/>
    <n v="1350"/>
    <n v="1350"/>
    <n v="0"/>
    <n v="0"/>
    <n v="1"/>
    <n v="0"/>
    <n v="0.85"/>
  </r>
  <r>
    <s v="APT-01360"/>
    <d v="2025-03-04T00:00:00"/>
    <x v="3"/>
    <x v="0"/>
    <s v="Morning"/>
    <x v="0"/>
    <s v="Palakkad"/>
    <x v="6"/>
    <s v="PT-1220"/>
    <s v="Post-op Rehab"/>
    <x v="0"/>
    <s v="Private Insurance"/>
    <s v="Corporate Wellness"/>
    <x v="0"/>
    <n v="30"/>
    <n v="30"/>
    <n v="37.299999999999997"/>
    <n v="700"/>
    <n v="700"/>
    <n v="0"/>
    <n v="0"/>
    <n v="1"/>
    <n v="0"/>
    <n v="0.85"/>
  </r>
  <r>
    <s v="APT-01361"/>
    <d v="2025-06-16T00:00:00"/>
    <x v="4"/>
    <x v="1"/>
    <s v="Evening"/>
    <x v="1"/>
    <s v="Thrissur"/>
    <x v="2"/>
    <s v="PT-1500"/>
    <s v="Chronic Pain"/>
    <x v="5"/>
    <s v="Government Scheme"/>
    <s v="Online Search"/>
    <x v="0"/>
    <n v="45"/>
    <n v="45"/>
    <n v="57.5"/>
    <n v="850"/>
    <n v="850"/>
    <n v="0"/>
    <n v="0"/>
    <n v="1"/>
    <n v="0"/>
    <n v="0.85"/>
  </r>
  <r>
    <s v="APT-01362"/>
    <d v="2025-04-21T00:00:00"/>
    <x v="6"/>
    <x v="1"/>
    <s v="Midday"/>
    <x v="2"/>
    <s v="Ernakulam"/>
    <x v="8"/>
    <s v="PT-1364"/>
    <s v="Follow-up"/>
    <x v="1"/>
    <s v="Self Pay"/>
    <s v="Orthopedic Doctor"/>
    <x v="0"/>
    <n v="90"/>
    <n v="90"/>
    <n v="99.1"/>
    <n v="2250"/>
    <n v="2250"/>
    <n v="0"/>
    <n v="0"/>
    <n v="1"/>
    <n v="0"/>
    <n v="0.85"/>
  </r>
  <r>
    <s v="APT-01363"/>
    <d v="2025-09-08T00:00:00"/>
    <x v="2"/>
    <x v="1"/>
    <s v="Midday"/>
    <x v="2"/>
    <s v="Ernakulam"/>
    <x v="3"/>
    <s v="PT-1013"/>
    <s v="Follow-up"/>
    <x v="3"/>
    <s v="Government Scheme"/>
    <s v="Hospital Discharge"/>
    <x v="0"/>
    <n v="75"/>
    <n v="75"/>
    <n v="101.3"/>
    <n v="1600"/>
    <n v="1600"/>
    <n v="0"/>
    <n v="0"/>
    <n v="1"/>
    <n v="0"/>
    <n v="0.85"/>
  </r>
  <r>
    <s v="APT-01364"/>
    <d v="2025-03-14T00:00:00"/>
    <x v="3"/>
    <x v="4"/>
    <s v="Midday"/>
    <x v="2"/>
    <s v="Ernakulam"/>
    <x v="4"/>
    <s v="PT-1389"/>
    <s v="Follow-up"/>
    <x v="0"/>
    <s v="Private Insurance"/>
    <s v="Corporate Wellness"/>
    <x v="0"/>
    <n v="90"/>
    <n v="90"/>
    <n v="116.1"/>
    <n v="2250"/>
    <n v="2250"/>
    <n v="0"/>
    <n v="0"/>
    <n v="1"/>
    <n v="0"/>
    <n v="0.85"/>
  </r>
  <r>
    <s v="APT-01365"/>
    <d v="2025-08-23T00:00:00"/>
    <x v="9"/>
    <x v="5"/>
    <s v="Morning"/>
    <x v="1"/>
    <s v="Thrissur"/>
    <x v="7"/>
    <s v="PT-1321"/>
    <s v="Follow-up"/>
    <x v="0"/>
    <s v="Self Pay"/>
    <s v="Hospital Discharge"/>
    <x v="0"/>
    <n v="75"/>
    <n v="75"/>
    <n v="85"/>
    <n v="1700"/>
    <n v="1700"/>
    <n v="0"/>
    <n v="0"/>
    <n v="1"/>
    <n v="0"/>
    <n v="0.85"/>
  </r>
  <r>
    <s v="APT-01366"/>
    <d v="2025-08-07T00:00:00"/>
    <x v="9"/>
    <x v="2"/>
    <s v="Midday"/>
    <x v="0"/>
    <s v="Palakkad"/>
    <x v="6"/>
    <s v="PT-1154"/>
    <s v="Post-op Rehab"/>
    <x v="5"/>
    <s v="Private Insurance"/>
    <s v="Self Referral"/>
    <x v="0"/>
    <n v="90"/>
    <n v="90"/>
    <n v="113.5"/>
    <n v="2150"/>
    <n v="2150"/>
    <n v="0"/>
    <n v="0"/>
    <n v="1"/>
    <n v="0"/>
    <n v="0.85"/>
  </r>
  <r>
    <s v="APT-01367"/>
    <d v="2025-02-26T00:00:00"/>
    <x v="5"/>
    <x v="3"/>
    <s v="Morning"/>
    <x v="2"/>
    <s v="Ernakulam"/>
    <x v="12"/>
    <s v="PT-1429"/>
    <s v="Follow-up"/>
    <x v="0"/>
    <s v="Corporate Tie-up"/>
    <s v="Neurologist"/>
    <x v="0"/>
    <n v="60"/>
    <n v="60"/>
    <n v="67.099999999999994"/>
    <n v="1400"/>
    <n v="1400"/>
    <n v="0"/>
    <n v="0"/>
    <n v="1"/>
    <n v="0"/>
    <n v="0.85"/>
  </r>
  <r>
    <s v="APT-01368"/>
    <d v="2025-08-25T00:00:00"/>
    <x v="9"/>
    <x v="1"/>
    <s v="Morning"/>
    <x v="0"/>
    <s v="Palakkad"/>
    <x v="9"/>
    <s v="PT-1612"/>
    <s v="Chronic Pain"/>
    <x v="1"/>
    <s v="Corporate Tie-up"/>
    <s v="Online Search"/>
    <x v="1"/>
    <n v="45"/>
    <n v="0"/>
    <n v="60.7"/>
    <n v="850"/>
    <n v="0"/>
    <n v="850"/>
    <n v="1"/>
    <n v="0"/>
    <n v="0"/>
    <n v="0.85"/>
  </r>
  <r>
    <s v="APT-01369"/>
    <d v="2025-09-24T00:00:00"/>
    <x v="2"/>
    <x v="3"/>
    <s v="Midday"/>
    <x v="0"/>
    <s v="Palakkad"/>
    <x v="0"/>
    <s v="PT-1025"/>
    <s v="Sports Injury"/>
    <x v="1"/>
    <s v="Self Pay"/>
    <s v="Self Referral"/>
    <x v="0"/>
    <n v="60"/>
    <n v="60"/>
    <n v="72.2"/>
    <n v="1250"/>
    <n v="1250"/>
    <n v="0"/>
    <n v="0"/>
    <n v="1"/>
    <n v="0"/>
    <n v="0.85"/>
  </r>
  <r>
    <s v="APT-01370"/>
    <d v="2025-05-21T00:00:00"/>
    <x v="10"/>
    <x v="3"/>
    <s v="Midday"/>
    <x v="0"/>
    <s v="Palakkad"/>
    <x v="0"/>
    <s v="PT-1603"/>
    <s v="Sports Injury"/>
    <x v="5"/>
    <s v="Self Pay"/>
    <s v="Neurologist"/>
    <x v="1"/>
    <n v="60"/>
    <n v="0"/>
    <n v="66.400000000000006"/>
    <n v="1250"/>
    <n v="0"/>
    <n v="1250"/>
    <n v="1"/>
    <n v="0"/>
    <n v="0"/>
    <n v="0.85"/>
  </r>
  <r>
    <s v="APT-01371"/>
    <d v="2025-08-06T00:00:00"/>
    <x v="9"/>
    <x v="3"/>
    <s v="Evening"/>
    <x v="2"/>
    <s v="Ernakulam"/>
    <x v="3"/>
    <s v="PT-1614"/>
    <s v="New Patient"/>
    <x v="5"/>
    <s v="Private Insurance"/>
    <s v="Hospital Discharge"/>
    <x v="0"/>
    <n v="60"/>
    <n v="60"/>
    <n v="67.900000000000006"/>
    <n v="1800"/>
    <n v="1800"/>
    <n v="0"/>
    <n v="0"/>
    <n v="1"/>
    <n v="0"/>
    <n v="0.85"/>
  </r>
  <r>
    <s v="APT-01372"/>
    <d v="2025-09-24T00:00:00"/>
    <x v="2"/>
    <x v="3"/>
    <s v="Morning"/>
    <x v="0"/>
    <s v="Palakkad"/>
    <x v="9"/>
    <s v="PT-1649"/>
    <s v="Chronic Pain"/>
    <x v="1"/>
    <s v="Private Insurance"/>
    <s v="Self Referral"/>
    <x v="0"/>
    <n v="30"/>
    <n v="30"/>
    <n v="36.4"/>
    <n v="600"/>
    <n v="600"/>
    <n v="0"/>
    <n v="0"/>
    <n v="1"/>
    <n v="0"/>
    <n v="0.85"/>
  </r>
  <r>
    <s v="APT-01373"/>
    <d v="2025-06-26T00:00:00"/>
    <x v="4"/>
    <x v="2"/>
    <s v="Midday"/>
    <x v="1"/>
    <s v="Thrissur"/>
    <x v="1"/>
    <s v="PT-1339"/>
    <s v="Follow-up"/>
    <x v="0"/>
    <s v="Self Pay"/>
    <s v="Online Search"/>
    <x v="0"/>
    <n v="60"/>
    <n v="60"/>
    <n v="75.2"/>
    <n v="1350"/>
    <n v="1350"/>
    <n v="0"/>
    <n v="0"/>
    <n v="1"/>
    <n v="0"/>
    <n v="0.85"/>
  </r>
  <r>
    <s v="APT-01374"/>
    <d v="2025-01-04T00:00:00"/>
    <x v="11"/>
    <x v="5"/>
    <s v="Morning"/>
    <x v="2"/>
    <s v="Ernakulam"/>
    <x v="12"/>
    <s v="PT-1144"/>
    <s v="Chronic Pain"/>
    <x v="2"/>
    <s v="Private Insurance"/>
    <s v="Orthopedic Doctor"/>
    <x v="0"/>
    <n v="90"/>
    <n v="90"/>
    <n v="104.3"/>
    <n v="2250"/>
    <n v="2250"/>
    <n v="0"/>
    <n v="0"/>
    <n v="1"/>
    <n v="0"/>
    <n v="0.85"/>
  </r>
  <r>
    <s v="APT-01375"/>
    <d v="2025-02-07T00:00:00"/>
    <x v="5"/>
    <x v="4"/>
    <s v="Evening"/>
    <x v="2"/>
    <s v="Ernakulam"/>
    <x v="3"/>
    <s v="PT-1025"/>
    <s v="Follow-up"/>
    <x v="0"/>
    <s v="Self Pay"/>
    <s v="Corporate Wellness"/>
    <x v="0"/>
    <n v="45"/>
    <n v="45"/>
    <n v="54.3"/>
    <n v="1100"/>
    <n v="1100"/>
    <n v="0"/>
    <n v="0"/>
    <n v="1"/>
    <n v="0"/>
    <n v="0.85"/>
  </r>
  <r>
    <s v="APT-01376"/>
    <d v="2025-02-06T00:00:00"/>
    <x v="5"/>
    <x v="2"/>
    <s v="Morning"/>
    <x v="2"/>
    <s v="Ernakulam"/>
    <x v="14"/>
    <s v="PT-1188"/>
    <s v="Post-op Rehab"/>
    <x v="4"/>
    <s v="Government Scheme"/>
    <s v="Online Search"/>
    <x v="2"/>
    <n v="30"/>
    <n v="0"/>
    <n v="36.799999999999997"/>
    <n v="750"/>
    <n v="0"/>
    <n v="750"/>
    <n v="0"/>
    <n v="0"/>
    <n v="1"/>
    <n v="0.85"/>
  </r>
  <r>
    <s v="APT-01377"/>
    <d v="2025-11-04T00:00:00"/>
    <x v="1"/>
    <x v="0"/>
    <s v="Afternoon"/>
    <x v="1"/>
    <s v="Thrissur"/>
    <x v="2"/>
    <s v="PT-1065"/>
    <s v="Sports Injury"/>
    <x v="5"/>
    <s v="Private Insurance"/>
    <s v="Self Referral"/>
    <x v="0"/>
    <n v="45"/>
    <n v="45"/>
    <n v="50.8"/>
    <n v="1000"/>
    <n v="1000"/>
    <n v="0"/>
    <n v="0"/>
    <n v="1"/>
    <n v="0"/>
    <n v="0.85"/>
  </r>
  <r>
    <s v="APT-01378"/>
    <d v="2025-08-29T00:00:00"/>
    <x v="9"/>
    <x v="4"/>
    <s v="Afternoon"/>
    <x v="0"/>
    <s v="Palakkad"/>
    <x v="9"/>
    <s v="PT-1249"/>
    <s v="New Patient"/>
    <x v="4"/>
    <s v="Government Scheme"/>
    <s v="Orthopedic Doctor"/>
    <x v="0"/>
    <n v="45"/>
    <n v="45"/>
    <n v="55"/>
    <n v="950"/>
    <n v="950"/>
    <n v="0"/>
    <n v="0"/>
    <n v="1"/>
    <n v="0"/>
    <n v="0.85"/>
  </r>
  <r>
    <s v="APT-01379"/>
    <d v="2025-04-01T00:00:00"/>
    <x v="6"/>
    <x v="0"/>
    <s v="Midday"/>
    <x v="2"/>
    <s v="Ernakulam"/>
    <x v="4"/>
    <s v="PT-1495"/>
    <s v="Geriatric Rehab"/>
    <x v="4"/>
    <s v="Self Pay"/>
    <s v="Neurologist"/>
    <x v="0"/>
    <n v="45"/>
    <n v="45"/>
    <n v="54.9"/>
    <n v="1100"/>
    <n v="1100"/>
    <n v="0"/>
    <n v="0"/>
    <n v="1"/>
    <n v="0"/>
    <n v="0.85"/>
  </r>
  <r>
    <s v="APT-01380"/>
    <d v="2025-12-08T00:00:00"/>
    <x v="0"/>
    <x v="1"/>
    <s v="Morning"/>
    <x v="0"/>
    <s v="Palakkad"/>
    <x v="9"/>
    <s v="PT-1036"/>
    <s v="Chronic Pain"/>
    <x v="0"/>
    <s v="Corporate Tie-up"/>
    <s v="Orthopedic Doctor"/>
    <x v="2"/>
    <n v="45"/>
    <n v="0"/>
    <n v="49.3"/>
    <n v="850"/>
    <n v="0"/>
    <n v="850"/>
    <n v="0"/>
    <n v="0"/>
    <n v="1"/>
    <n v="0.85"/>
  </r>
  <r>
    <s v="APT-01381"/>
    <d v="2025-07-17T00:00:00"/>
    <x v="8"/>
    <x v="2"/>
    <s v="Midday"/>
    <x v="0"/>
    <s v="Palakkad"/>
    <x v="11"/>
    <s v="PT-1638"/>
    <s v="Sports Injury"/>
    <x v="3"/>
    <s v="Self Pay"/>
    <s v="Self Referral"/>
    <x v="0"/>
    <n v="45"/>
    <n v="45"/>
    <n v="60.3"/>
    <n v="950"/>
    <n v="950"/>
    <n v="0"/>
    <n v="0"/>
    <n v="1"/>
    <n v="0"/>
    <n v="0.85"/>
  </r>
  <r>
    <s v="APT-01382"/>
    <d v="2025-08-05T00:00:00"/>
    <x v="9"/>
    <x v="0"/>
    <s v="Evening"/>
    <x v="0"/>
    <s v="Palakkad"/>
    <x v="11"/>
    <s v="PT-1497"/>
    <s v="Follow-up"/>
    <x v="2"/>
    <s v="Private Insurance"/>
    <s v="Neurologist"/>
    <x v="2"/>
    <n v="30"/>
    <n v="0"/>
    <n v="37.200000000000003"/>
    <n v="600"/>
    <n v="0"/>
    <n v="600"/>
    <n v="0"/>
    <n v="0"/>
    <n v="1"/>
    <n v="0.85"/>
  </r>
  <r>
    <s v="APT-01383"/>
    <d v="2025-04-01T00:00:00"/>
    <x v="6"/>
    <x v="0"/>
    <s v="Morning"/>
    <x v="2"/>
    <s v="Ernakulam"/>
    <x v="4"/>
    <s v="PT-1182"/>
    <s v="Sports Injury"/>
    <x v="5"/>
    <s v="Corporate Tie-up"/>
    <s v="Hospital Discharge"/>
    <x v="0"/>
    <n v="60"/>
    <n v="60"/>
    <n v="67.7"/>
    <n v="1400"/>
    <n v="1400"/>
    <n v="0"/>
    <n v="0"/>
    <n v="1"/>
    <n v="0"/>
    <n v="0.85"/>
  </r>
  <r>
    <s v="APT-01384"/>
    <d v="2025-02-22T00:00:00"/>
    <x v="5"/>
    <x v="5"/>
    <s v="Evening"/>
    <x v="1"/>
    <s v="Thrissur"/>
    <x v="10"/>
    <s v="PT-1049"/>
    <s v="Follow-up"/>
    <x v="0"/>
    <s v="Private Insurance"/>
    <s v="Orthopedic Doctor"/>
    <x v="1"/>
    <n v="30"/>
    <n v="0"/>
    <n v="33.799999999999997"/>
    <n v="700"/>
    <n v="0"/>
    <n v="700"/>
    <n v="1"/>
    <n v="0"/>
    <n v="0"/>
    <n v="0.85"/>
  </r>
  <r>
    <s v="APT-01385"/>
    <d v="2025-02-11T00:00:00"/>
    <x v="5"/>
    <x v="0"/>
    <s v="Evening"/>
    <x v="0"/>
    <s v="Palakkad"/>
    <x v="6"/>
    <s v="PT-1302"/>
    <s v="Sports Injury"/>
    <x v="0"/>
    <s v="Self Pay"/>
    <s v="Hospital Discharge"/>
    <x v="0"/>
    <n v="30"/>
    <n v="30"/>
    <n v="34.1"/>
    <n v="600"/>
    <n v="600"/>
    <n v="0"/>
    <n v="0"/>
    <n v="1"/>
    <n v="0"/>
    <n v="0.85"/>
  </r>
  <r>
    <s v="APT-01386"/>
    <d v="2025-06-10T00:00:00"/>
    <x v="4"/>
    <x v="0"/>
    <s v="Afternoon"/>
    <x v="1"/>
    <s v="Thrissur"/>
    <x v="2"/>
    <s v="PT-1317"/>
    <s v="Sports Injury"/>
    <x v="1"/>
    <s v="Self Pay"/>
    <s v="Neurologist"/>
    <x v="0"/>
    <n v="60"/>
    <n v="60"/>
    <n v="68.3"/>
    <n v="1350"/>
    <n v="1350"/>
    <n v="0"/>
    <n v="0"/>
    <n v="1"/>
    <n v="0"/>
    <n v="0.85"/>
  </r>
  <r>
    <s v="APT-01387"/>
    <d v="2025-02-20T00:00:00"/>
    <x v="5"/>
    <x v="2"/>
    <s v="Midday"/>
    <x v="0"/>
    <s v="Palakkad"/>
    <x v="0"/>
    <s v="PT-1663"/>
    <s v="Follow-up"/>
    <x v="5"/>
    <s v="Self Pay"/>
    <s v="Neurologist"/>
    <x v="0"/>
    <n v="45"/>
    <n v="45"/>
    <n v="55"/>
    <n v="950"/>
    <n v="950"/>
    <n v="0"/>
    <n v="0"/>
    <n v="1"/>
    <n v="0"/>
    <n v="0.85"/>
  </r>
  <r>
    <s v="APT-01388"/>
    <d v="2025-06-10T00:00:00"/>
    <x v="4"/>
    <x v="0"/>
    <s v="Morning"/>
    <x v="0"/>
    <s v="Palakkad"/>
    <x v="13"/>
    <s v="PT-1688"/>
    <s v="Geriatric Rehab"/>
    <x v="2"/>
    <s v="Government Scheme"/>
    <s v="Orthopedic Doctor"/>
    <x v="0"/>
    <n v="30"/>
    <n v="30"/>
    <n v="39.299999999999997"/>
    <n v="550"/>
    <n v="550"/>
    <n v="0"/>
    <n v="0"/>
    <n v="1"/>
    <n v="0"/>
    <n v="0.85"/>
  </r>
  <r>
    <s v="APT-01389"/>
    <d v="2025-12-16T00:00:00"/>
    <x v="0"/>
    <x v="0"/>
    <s v="Morning"/>
    <x v="1"/>
    <s v="Thrissur"/>
    <x v="1"/>
    <s v="PT-1086"/>
    <s v="Follow-up"/>
    <x v="4"/>
    <s v="Self Pay"/>
    <s v="Hospital Discharge"/>
    <x v="2"/>
    <n v="75"/>
    <n v="0"/>
    <n v="91.2"/>
    <n v="1700"/>
    <n v="0"/>
    <n v="1700"/>
    <n v="0"/>
    <n v="0"/>
    <n v="1"/>
    <n v="0.85"/>
  </r>
  <r>
    <s v="APT-01390"/>
    <d v="2025-08-22T00:00:00"/>
    <x v="9"/>
    <x v="4"/>
    <s v="Midday"/>
    <x v="1"/>
    <s v="Thrissur"/>
    <x v="1"/>
    <s v="PT-1507"/>
    <s v="New Patient"/>
    <x v="1"/>
    <s v="Corporate Tie-up"/>
    <s v="Hospital Discharge"/>
    <x v="0"/>
    <n v="75"/>
    <n v="75"/>
    <n v="94.9"/>
    <n v="1850"/>
    <n v="1850"/>
    <n v="0"/>
    <n v="0"/>
    <n v="1"/>
    <n v="0"/>
    <n v="0.85"/>
  </r>
  <r>
    <s v="APT-01391"/>
    <d v="2025-02-26T00:00:00"/>
    <x v="5"/>
    <x v="3"/>
    <s v="Morning"/>
    <x v="2"/>
    <s v="Ernakulam"/>
    <x v="8"/>
    <s v="PT-1382"/>
    <s v="Post-op Rehab"/>
    <x v="0"/>
    <s v="Government Scheme"/>
    <s v="Online Search"/>
    <x v="0"/>
    <n v="75"/>
    <n v="75"/>
    <n v="100.4"/>
    <n v="1850"/>
    <n v="1850"/>
    <n v="0"/>
    <n v="0"/>
    <n v="1"/>
    <n v="0"/>
    <n v="0.85"/>
  </r>
  <r>
    <s v="APT-01392"/>
    <d v="2025-10-02T00:00:00"/>
    <x v="7"/>
    <x v="2"/>
    <s v="Midday"/>
    <x v="1"/>
    <s v="Thrissur"/>
    <x v="5"/>
    <s v="PT-1370"/>
    <s v="Sports Injury"/>
    <x v="2"/>
    <s v="Private Insurance"/>
    <s v="Hospital Discharge"/>
    <x v="0"/>
    <n v="30"/>
    <n v="30"/>
    <n v="40.4"/>
    <n v="700"/>
    <n v="700"/>
    <n v="0"/>
    <n v="0"/>
    <n v="1"/>
    <n v="0"/>
    <n v="0.85"/>
  </r>
  <r>
    <s v="APT-01393"/>
    <d v="2025-06-16T00:00:00"/>
    <x v="4"/>
    <x v="1"/>
    <s v="Morning"/>
    <x v="2"/>
    <s v="Ernakulam"/>
    <x v="3"/>
    <s v="PT-1536"/>
    <s v="Sports Injury"/>
    <x v="0"/>
    <s v="Private Insurance"/>
    <s v="Orthopedic Doctor"/>
    <x v="0"/>
    <n v="60"/>
    <n v="60"/>
    <n v="65.7"/>
    <n v="1500"/>
    <n v="1500"/>
    <n v="0"/>
    <n v="0"/>
    <n v="1"/>
    <n v="0"/>
    <n v="0.85"/>
  </r>
  <r>
    <s v="APT-01394"/>
    <d v="2025-06-25T00:00:00"/>
    <x v="4"/>
    <x v="3"/>
    <s v="Morning"/>
    <x v="1"/>
    <s v="Thrissur"/>
    <x v="5"/>
    <s v="PT-1683"/>
    <s v="Chronic Pain"/>
    <x v="4"/>
    <s v="Corporate Tie-up"/>
    <s v="Orthopedic Doctor"/>
    <x v="0"/>
    <n v="60"/>
    <n v="60"/>
    <n v="76.900000000000006"/>
    <n v="1250"/>
    <n v="1250"/>
    <n v="0"/>
    <n v="0"/>
    <n v="1"/>
    <n v="0"/>
    <n v="0.85"/>
  </r>
  <r>
    <s v="APT-01395"/>
    <d v="2025-02-10T00:00:00"/>
    <x v="5"/>
    <x v="1"/>
    <s v="Afternoon"/>
    <x v="0"/>
    <s v="Palakkad"/>
    <x v="6"/>
    <s v="PT-1613"/>
    <s v="Follow-up"/>
    <x v="2"/>
    <s v="Private Insurance"/>
    <s v="Self Referral"/>
    <x v="1"/>
    <n v="60"/>
    <n v="0"/>
    <n v="72.5"/>
    <n v="1250"/>
    <n v="0"/>
    <n v="1250"/>
    <n v="1"/>
    <n v="0"/>
    <n v="0"/>
    <n v="0.85"/>
  </r>
  <r>
    <s v="APT-01396"/>
    <d v="2025-07-15T00:00:00"/>
    <x v="8"/>
    <x v="0"/>
    <s v="Evening"/>
    <x v="2"/>
    <s v="Ernakulam"/>
    <x v="14"/>
    <s v="PT-1273"/>
    <s v="Chronic Pain"/>
    <x v="1"/>
    <s v="Self Pay"/>
    <s v="Hospital Discharge"/>
    <x v="0"/>
    <n v="60"/>
    <n v="60"/>
    <n v="70.599999999999994"/>
    <n v="1500"/>
    <n v="1500"/>
    <n v="0"/>
    <n v="0"/>
    <n v="1"/>
    <n v="0"/>
    <n v="0.85"/>
  </r>
  <r>
    <s v="APT-01397"/>
    <d v="2025-03-11T00:00:00"/>
    <x v="3"/>
    <x v="0"/>
    <s v="Morning"/>
    <x v="2"/>
    <s v="Ernakulam"/>
    <x v="8"/>
    <s v="PT-1127"/>
    <s v="Follow-up"/>
    <x v="3"/>
    <s v="Self Pay"/>
    <s v="Orthopedic Doctor"/>
    <x v="0"/>
    <n v="45"/>
    <n v="45"/>
    <n v="51.3"/>
    <n v="1100"/>
    <n v="1100"/>
    <n v="0"/>
    <n v="0"/>
    <n v="1"/>
    <n v="0"/>
    <n v="0.85"/>
  </r>
  <r>
    <s v="APT-01398"/>
    <d v="2025-02-26T00:00:00"/>
    <x v="5"/>
    <x v="3"/>
    <s v="Evening"/>
    <x v="2"/>
    <s v="Ernakulam"/>
    <x v="3"/>
    <s v="PT-1220"/>
    <s v="Post-op Rehab"/>
    <x v="4"/>
    <s v="Private Insurance"/>
    <s v="Self Referral"/>
    <x v="0"/>
    <n v="45"/>
    <n v="45"/>
    <n v="55.6"/>
    <n v="1300"/>
    <n v="1300"/>
    <n v="0"/>
    <n v="0"/>
    <n v="1"/>
    <n v="0"/>
    <n v="0.85"/>
  </r>
  <r>
    <s v="APT-01399"/>
    <d v="2025-08-19T00:00:00"/>
    <x v="9"/>
    <x v="0"/>
    <s v="Evening"/>
    <x v="0"/>
    <s v="Palakkad"/>
    <x v="6"/>
    <s v="PT-1630"/>
    <s v="New Patient"/>
    <x v="1"/>
    <s v="Private Insurance"/>
    <s v="Self Referral"/>
    <x v="1"/>
    <n v="60"/>
    <n v="0"/>
    <n v="73.599999999999994"/>
    <n v="1500"/>
    <n v="0"/>
    <n v="1500"/>
    <n v="1"/>
    <n v="0"/>
    <n v="0"/>
    <n v="0.85"/>
  </r>
  <r>
    <s v="APT-01400"/>
    <d v="2025-10-06T00:00:00"/>
    <x v="7"/>
    <x v="1"/>
    <s v="Evening"/>
    <x v="1"/>
    <s v="Thrissur"/>
    <x v="10"/>
    <s v="PT-1513"/>
    <s v="Geriatric Rehab"/>
    <x v="2"/>
    <s v="Corporate Tie-up"/>
    <s v="Self Referral"/>
    <x v="0"/>
    <n v="45"/>
    <n v="45"/>
    <n v="57.4"/>
    <n v="950"/>
    <n v="950"/>
    <n v="0"/>
    <n v="0"/>
    <n v="1"/>
    <n v="0"/>
    <n v="0.85"/>
  </r>
  <r>
    <s v="APT-01401"/>
    <d v="2025-01-15T00:00:00"/>
    <x v="11"/>
    <x v="3"/>
    <s v="Morning"/>
    <x v="2"/>
    <s v="Ernakulam"/>
    <x v="14"/>
    <s v="PT-1128"/>
    <s v="New Patient"/>
    <x v="2"/>
    <s v="Government Scheme"/>
    <s v="Corporate Wellness"/>
    <x v="0"/>
    <n v="45"/>
    <n v="45"/>
    <n v="55.8"/>
    <n v="1150"/>
    <n v="1150"/>
    <n v="0"/>
    <n v="0"/>
    <n v="1"/>
    <n v="0"/>
    <n v="0.85"/>
  </r>
  <r>
    <s v="APT-01402"/>
    <d v="2025-03-06T00:00:00"/>
    <x v="3"/>
    <x v="2"/>
    <s v="Evening"/>
    <x v="0"/>
    <s v="Palakkad"/>
    <x v="9"/>
    <s v="PT-1156"/>
    <s v="Follow-up"/>
    <x v="4"/>
    <s v="Government Scheme"/>
    <s v="Neurologist"/>
    <x v="1"/>
    <n v="60"/>
    <n v="0"/>
    <n v="80.400000000000006"/>
    <n v="1050"/>
    <n v="0"/>
    <n v="1050"/>
    <n v="1"/>
    <n v="0"/>
    <n v="0"/>
    <n v="0.85"/>
  </r>
  <r>
    <s v="APT-01403"/>
    <d v="2025-10-06T00:00:00"/>
    <x v="7"/>
    <x v="1"/>
    <s v="Evening"/>
    <x v="2"/>
    <s v="Ernakulam"/>
    <x v="12"/>
    <s v="PT-1510"/>
    <s v="Follow-up"/>
    <x v="4"/>
    <s v="Self Pay"/>
    <s v="Corporate Wellness"/>
    <x v="3"/>
    <n v="60"/>
    <n v="0"/>
    <n v="76.099999999999994"/>
    <n v="1500"/>
    <n v="0"/>
    <n v="0"/>
    <n v="0"/>
    <n v="0"/>
    <n v="0"/>
    <n v="0.85"/>
  </r>
  <r>
    <s v="APT-01404"/>
    <d v="2025-03-13T00:00:00"/>
    <x v="3"/>
    <x v="2"/>
    <s v="Evening"/>
    <x v="1"/>
    <s v="Thrissur"/>
    <x v="10"/>
    <s v="PT-1345"/>
    <s v="Post-op Rehab"/>
    <x v="3"/>
    <s v="Private Insurance"/>
    <s v="Online Search"/>
    <x v="0"/>
    <n v="60"/>
    <n v="60"/>
    <n v="69.3"/>
    <n v="1550"/>
    <n v="1550"/>
    <n v="0"/>
    <n v="0"/>
    <n v="1"/>
    <n v="0"/>
    <n v="0.85"/>
  </r>
  <r>
    <s v="APT-01405"/>
    <d v="2025-08-25T00:00:00"/>
    <x v="9"/>
    <x v="1"/>
    <s v="Midday"/>
    <x v="1"/>
    <s v="Thrissur"/>
    <x v="2"/>
    <s v="PT-1351"/>
    <s v="Chronic Pain"/>
    <x v="2"/>
    <s v="Self Pay"/>
    <s v="Neurologist"/>
    <x v="1"/>
    <n v="30"/>
    <n v="0"/>
    <n v="39"/>
    <n v="700"/>
    <n v="0"/>
    <n v="700"/>
    <n v="1"/>
    <n v="0"/>
    <n v="0"/>
    <n v="0.85"/>
  </r>
  <r>
    <s v="APT-01406"/>
    <d v="2025-11-11T00:00:00"/>
    <x v="1"/>
    <x v="0"/>
    <s v="Midday"/>
    <x v="2"/>
    <s v="Ernakulam"/>
    <x v="4"/>
    <s v="PT-1254"/>
    <s v="Post-op Rehab"/>
    <x v="2"/>
    <s v="Self Pay"/>
    <s v="Neurologist"/>
    <x v="0"/>
    <n v="75"/>
    <n v="75"/>
    <n v="87.5"/>
    <n v="2150"/>
    <n v="2150"/>
    <n v="0"/>
    <n v="0"/>
    <n v="1"/>
    <n v="0"/>
    <n v="0.85"/>
  </r>
  <r>
    <s v="APT-01407"/>
    <d v="2025-10-06T00:00:00"/>
    <x v="7"/>
    <x v="1"/>
    <s v="Evening"/>
    <x v="1"/>
    <s v="Thrissur"/>
    <x v="1"/>
    <s v="PT-1432"/>
    <s v="Follow-up"/>
    <x v="4"/>
    <s v="Self Pay"/>
    <s v="Online Search"/>
    <x v="0"/>
    <n v="75"/>
    <n v="75"/>
    <n v="88.2"/>
    <n v="1700"/>
    <n v="1700"/>
    <n v="0"/>
    <n v="0"/>
    <n v="1"/>
    <n v="0"/>
    <n v="0.85"/>
  </r>
  <r>
    <s v="APT-01408"/>
    <d v="2025-02-10T00:00:00"/>
    <x v="5"/>
    <x v="1"/>
    <s v="Midday"/>
    <x v="2"/>
    <s v="Ernakulam"/>
    <x v="12"/>
    <s v="PT-1046"/>
    <s v="Follow-up"/>
    <x v="0"/>
    <s v="Self Pay"/>
    <s v="Corporate Wellness"/>
    <x v="0"/>
    <n v="30"/>
    <n v="30"/>
    <n v="37.799999999999997"/>
    <n v="750"/>
    <n v="750"/>
    <n v="0"/>
    <n v="0"/>
    <n v="1"/>
    <n v="0"/>
    <n v="0.85"/>
  </r>
  <r>
    <s v="APT-01409"/>
    <d v="2025-08-05T00:00:00"/>
    <x v="9"/>
    <x v="0"/>
    <s v="Morning"/>
    <x v="0"/>
    <s v="Palakkad"/>
    <x v="6"/>
    <s v="PT-1650"/>
    <s v="Post-op Rehab"/>
    <x v="0"/>
    <s v="Self Pay"/>
    <s v="Orthopedic Doctor"/>
    <x v="0"/>
    <n v="60"/>
    <n v="60"/>
    <n v="68.8"/>
    <n v="1450"/>
    <n v="1450"/>
    <n v="0"/>
    <n v="0"/>
    <n v="1"/>
    <n v="0"/>
    <n v="0.85"/>
  </r>
  <r>
    <s v="APT-01410"/>
    <d v="2025-05-14T00:00:00"/>
    <x v="10"/>
    <x v="3"/>
    <s v="Evening"/>
    <x v="0"/>
    <s v="Palakkad"/>
    <x v="13"/>
    <s v="PT-1219"/>
    <s v="New Patient"/>
    <x v="1"/>
    <s v="Self Pay"/>
    <s v="Corporate Wellness"/>
    <x v="3"/>
    <n v="30"/>
    <n v="0"/>
    <n v="37.6"/>
    <n v="750"/>
    <n v="0"/>
    <n v="0"/>
    <n v="0"/>
    <n v="0"/>
    <n v="0"/>
    <n v="0.85"/>
  </r>
  <r>
    <s v="APT-01411"/>
    <d v="2025-04-30T00:00:00"/>
    <x v="6"/>
    <x v="3"/>
    <s v="Morning"/>
    <x v="2"/>
    <s v="Ernakulam"/>
    <x v="3"/>
    <s v="PT-1667"/>
    <s v="Chronic Pain"/>
    <x v="3"/>
    <s v="Self Pay"/>
    <s v="Online Search"/>
    <x v="1"/>
    <n v="60"/>
    <n v="0"/>
    <n v="68.099999999999994"/>
    <n v="1500"/>
    <n v="0"/>
    <n v="1500"/>
    <n v="1"/>
    <n v="0"/>
    <n v="0"/>
    <n v="0.85"/>
  </r>
  <r>
    <s v="APT-01412"/>
    <d v="2025-04-14T00:00:00"/>
    <x v="6"/>
    <x v="1"/>
    <s v="Morning"/>
    <x v="0"/>
    <s v="Palakkad"/>
    <x v="13"/>
    <s v="PT-1610"/>
    <s v="Post-op Rehab"/>
    <x v="3"/>
    <s v="Private Insurance"/>
    <s v="Orthopedic Doctor"/>
    <x v="0"/>
    <n v="60"/>
    <n v="60"/>
    <n v="74.900000000000006"/>
    <n v="1450"/>
    <n v="1450"/>
    <n v="0"/>
    <n v="0"/>
    <n v="1"/>
    <n v="0"/>
    <n v="0.85"/>
  </r>
  <r>
    <s v="APT-01413"/>
    <d v="2025-07-14T00:00:00"/>
    <x v="8"/>
    <x v="1"/>
    <s v="Midday"/>
    <x v="2"/>
    <s v="Ernakulam"/>
    <x v="14"/>
    <s v="PT-1426"/>
    <s v="Follow-up"/>
    <x v="3"/>
    <s v="Private Insurance"/>
    <s v="Corporate Wellness"/>
    <x v="1"/>
    <n v="45"/>
    <n v="0"/>
    <n v="60.4"/>
    <n v="1100"/>
    <n v="0"/>
    <n v="1100"/>
    <n v="1"/>
    <n v="0"/>
    <n v="0"/>
    <n v="0.85"/>
  </r>
  <r>
    <s v="APT-01414"/>
    <d v="2025-01-18T00:00:00"/>
    <x v="11"/>
    <x v="5"/>
    <s v="Afternoon"/>
    <x v="1"/>
    <s v="Thrissur"/>
    <x v="5"/>
    <s v="PT-1056"/>
    <s v="New Patient"/>
    <x v="5"/>
    <s v="Self Pay"/>
    <s v="Corporate Wellness"/>
    <x v="1"/>
    <n v="90"/>
    <n v="0"/>
    <n v="118.7"/>
    <n v="2450"/>
    <n v="0"/>
    <n v="2450"/>
    <n v="1"/>
    <n v="0"/>
    <n v="0"/>
    <n v="0.85"/>
  </r>
  <r>
    <s v="APT-01415"/>
    <d v="2025-09-27T00:00:00"/>
    <x v="2"/>
    <x v="5"/>
    <s v="Evening"/>
    <x v="1"/>
    <s v="Thrissur"/>
    <x v="1"/>
    <s v="PT-1671"/>
    <s v="Chronic Pain"/>
    <x v="3"/>
    <s v="Self Pay"/>
    <s v="Online Search"/>
    <x v="0"/>
    <n v="60"/>
    <n v="60"/>
    <n v="78.7"/>
    <n v="1350"/>
    <n v="1350"/>
    <n v="0"/>
    <n v="0"/>
    <n v="1"/>
    <n v="0"/>
    <n v="0.85"/>
  </r>
  <r>
    <s v="APT-01416"/>
    <d v="2025-12-13T00:00:00"/>
    <x v="0"/>
    <x v="5"/>
    <s v="Midday"/>
    <x v="2"/>
    <s v="Ernakulam"/>
    <x v="12"/>
    <s v="PT-1374"/>
    <s v="Follow-up"/>
    <x v="5"/>
    <s v="Self Pay"/>
    <s v="Hospital Discharge"/>
    <x v="3"/>
    <n v="45"/>
    <n v="0"/>
    <n v="50.6"/>
    <n v="1100"/>
    <n v="0"/>
    <n v="0"/>
    <n v="0"/>
    <n v="0"/>
    <n v="0"/>
    <n v="0.85"/>
  </r>
  <r>
    <s v="APT-01417"/>
    <d v="2025-02-08T00:00:00"/>
    <x v="5"/>
    <x v="5"/>
    <s v="Midday"/>
    <x v="1"/>
    <s v="Thrissur"/>
    <x v="10"/>
    <s v="PT-1189"/>
    <s v="Chronic Pain"/>
    <x v="4"/>
    <s v="Private Insurance"/>
    <s v="Corporate Wellness"/>
    <x v="1"/>
    <n v="60"/>
    <n v="0"/>
    <n v="80.099999999999994"/>
    <n v="1350"/>
    <n v="0"/>
    <n v="1350"/>
    <n v="1"/>
    <n v="0"/>
    <n v="0"/>
    <n v="0.85"/>
  </r>
  <r>
    <s v="APT-01418"/>
    <d v="2025-07-03T00:00:00"/>
    <x v="8"/>
    <x v="2"/>
    <s v="Evening"/>
    <x v="2"/>
    <s v="Ernakulam"/>
    <x v="14"/>
    <s v="PT-1684"/>
    <s v="Post-op Rehab"/>
    <x v="0"/>
    <s v="Private Insurance"/>
    <s v="Orthopedic Doctor"/>
    <x v="0"/>
    <n v="60"/>
    <n v="60"/>
    <n v="75.7"/>
    <n v="1700"/>
    <n v="1700"/>
    <n v="0"/>
    <n v="0"/>
    <n v="1"/>
    <n v="0"/>
    <n v="0.85"/>
  </r>
  <r>
    <s v="APT-01419"/>
    <d v="2025-09-20T00:00:00"/>
    <x v="2"/>
    <x v="5"/>
    <s v="Midday"/>
    <x v="0"/>
    <s v="Palakkad"/>
    <x v="6"/>
    <s v="PT-1082"/>
    <s v="Geriatric Rehab"/>
    <x v="1"/>
    <s v="Government Scheme"/>
    <s v="Orthopedic Doctor"/>
    <x v="0"/>
    <n v="60"/>
    <n v="60"/>
    <n v="73.099999999999994"/>
    <n v="1050"/>
    <n v="1050"/>
    <n v="0"/>
    <n v="0"/>
    <n v="1"/>
    <n v="0"/>
    <n v="0.85"/>
  </r>
  <r>
    <s v="APT-01420"/>
    <d v="2025-09-07T00:00:00"/>
    <x v="2"/>
    <x v="6"/>
    <s v="Evening"/>
    <x v="0"/>
    <s v="Palakkad"/>
    <x v="13"/>
    <s v="PT-1072"/>
    <s v="Follow-up"/>
    <x v="4"/>
    <s v="Private Insurance"/>
    <s v="Orthopedic Doctor"/>
    <x v="0"/>
    <n v="45"/>
    <n v="45"/>
    <n v="50.2"/>
    <n v="950"/>
    <n v="950"/>
    <n v="0"/>
    <n v="0"/>
    <n v="1"/>
    <n v="0"/>
    <n v="0.85"/>
  </r>
  <r>
    <s v="APT-01421"/>
    <d v="2025-05-03T00:00:00"/>
    <x v="10"/>
    <x v="5"/>
    <s v="Midday"/>
    <x v="0"/>
    <s v="Palakkad"/>
    <x v="6"/>
    <s v="PT-1136"/>
    <s v="New Patient"/>
    <x v="3"/>
    <s v="Self Pay"/>
    <s v="Self Referral"/>
    <x v="0"/>
    <n v="30"/>
    <n v="30"/>
    <n v="36.9"/>
    <n v="750"/>
    <n v="750"/>
    <n v="0"/>
    <n v="0"/>
    <n v="1"/>
    <n v="0"/>
    <n v="0.85"/>
  </r>
  <r>
    <s v="APT-01422"/>
    <d v="2025-02-26T00:00:00"/>
    <x v="5"/>
    <x v="3"/>
    <s v="Morning"/>
    <x v="1"/>
    <s v="Thrissur"/>
    <x v="10"/>
    <s v="PT-1500"/>
    <s v="Post-op Rehab"/>
    <x v="1"/>
    <s v="Corporate Tie-up"/>
    <s v="Corporate Wellness"/>
    <x v="3"/>
    <n v="60"/>
    <n v="0"/>
    <n v="74.599999999999994"/>
    <n v="1450"/>
    <n v="0"/>
    <n v="0"/>
    <n v="0"/>
    <n v="0"/>
    <n v="0"/>
    <n v="0.85"/>
  </r>
  <r>
    <s v="APT-01423"/>
    <d v="2025-02-24T00:00:00"/>
    <x v="5"/>
    <x v="1"/>
    <s v="Afternoon"/>
    <x v="1"/>
    <s v="Thrissur"/>
    <x v="5"/>
    <s v="PT-1050"/>
    <s v="Post-op Rehab"/>
    <x v="1"/>
    <s v="Private Insurance"/>
    <s v="Neurologist"/>
    <x v="0"/>
    <n v="75"/>
    <n v="75"/>
    <n v="93.6"/>
    <n v="1950"/>
    <n v="1950"/>
    <n v="0"/>
    <n v="0"/>
    <n v="1"/>
    <n v="0"/>
    <n v="0.85"/>
  </r>
  <r>
    <s v="APT-01424"/>
    <d v="2025-03-15T00:00:00"/>
    <x v="3"/>
    <x v="5"/>
    <s v="Evening"/>
    <x v="0"/>
    <s v="Palakkad"/>
    <x v="9"/>
    <s v="PT-1060"/>
    <s v="Sports Injury"/>
    <x v="2"/>
    <s v="Private Insurance"/>
    <s v="Self Referral"/>
    <x v="0"/>
    <n v="60"/>
    <n v="60"/>
    <n v="71.2"/>
    <n v="1250"/>
    <n v="1250"/>
    <n v="0"/>
    <n v="0"/>
    <n v="1"/>
    <n v="0"/>
    <n v="0.85"/>
  </r>
  <r>
    <s v="APT-01425"/>
    <d v="2025-12-06T00:00:00"/>
    <x v="0"/>
    <x v="5"/>
    <s v="Afternoon"/>
    <x v="0"/>
    <s v="Palakkad"/>
    <x v="13"/>
    <s v="PT-1530"/>
    <s v="Geriatric Rehab"/>
    <x v="1"/>
    <s v="Corporate Tie-up"/>
    <s v="Self Referral"/>
    <x v="0"/>
    <n v="60"/>
    <n v="60"/>
    <n v="79.5"/>
    <n v="1150"/>
    <n v="1150"/>
    <n v="0"/>
    <n v="0"/>
    <n v="1"/>
    <n v="0"/>
    <n v="0.85"/>
  </r>
  <r>
    <s v="APT-01426"/>
    <d v="2025-01-07T00:00:00"/>
    <x v="11"/>
    <x v="0"/>
    <s v="Afternoon"/>
    <x v="0"/>
    <s v="Palakkad"/>
    <x v="13"/>
    <s v="PT-1048"/>
    <s v="Sports Injury"/>
    <x v="2"/>
    <s v="Government Scheme"/>
    <s v="Orthopedic Doctor"/>
    <x v="0"/>
    <n v="45"/>
    <n v="45"/>
    <n v="57.6"/>
    <n v="800"/>
    <n v="800"/>
    <n v="0"/>
    <n v="0"/>
    <n v="1"/>
    <n v="0"/>
    <n v="0.85"/>
  </r>
  <r>
    <s v="APT-01427"/>
    <d v="2025-06-27T00:00:00"/>
    <x v="4"/>
    <x v="4"/>
    <s v="Morning"/>
    <x v="0"/>
    <s v="Palakkad"/>
    <x v="0"/>
    <s v="PT-1469"/>
    <s v="Sports Injury"/>
    <x v="1"/>
    <s v="Government Scheme"/>
    <s v="Neurologist"/>
    <x v="1"/>
    <n v="75"/>
    <n v="0"/>
    <n v="93.6"/>
    <n v="1350"/>
    <n v="0"/>
    <n v="1350"/>
    <n v="1"/>
    <n v="0"/>
    <n v="0"/>
    <n v="0.85"/>
  </r>
  <r>
    <s v="APT-01428"/>
    <d v="2025-04-24T00:00:00"/>
    <x v="6"/>
    <x v="2"/>
    <s v="Evening"/>
    <x v="0"/>
    <s v="Palakkad"/>
    <x v="0"/>
    <s v="PT-1600"/>
    <s v="Chronic Pain"/>
    <x v="1"/>
    <s v="Corporate Tie-up"/>
    <s v="Corporate Wellness"/>
    <x v="2"/>
    <n v="45"/>
    <n v="0"/>
    <n v="51.7"/>
    <n v="850"/>
    <n v="0"/>
    <n v="850"/>
    <n v="0"/>
    <n v="0"/>
    <n v="1"/>
    <n v="0.85"/>
  </r>
  <r>
    <s v="APT-01429"/>
    <d v="2025-11-19T00:00:00"/>
    <x v="1"/>
    <x v="3"/>
    <s v="Midday"/>
    <x v="0"/>
    <s v="Palakkad"/>
    <x v="6"/>
    <s v="PT-1246"/>
    <s v="New Patient"/>
    <x v="5"/>
    <s v="Corporate Tie-up"/>
    <s v="Orthopedic Doctor"/>
    <x v="0"/>
    <n v="45"/>
    <n v="45"/>
    <n v="51"/>
    <n v="1050"/>
    <n v="1050"/>
    <n v="0"/>
    <n v="0"/>
    <n v="1"/>
    <n v="0"/>
    <n v="0.85"/>
  </r>
  <r>
    <s v="APT-01430"/>
    <d v="2025-05-06T00:00:00"/>
    <x v="10"/>
    <x v="0"/>
    <s v="Midday"/>
    <x v="1"/>
    <s v="Thrissur"/>
    <x v="1"/>
    <s v="PT-1161"/>
    <s v="New Patient"/>
    <x v="1"/>
    <s v="Self Pay"/>
    <s v="Self Referral"/>
    <x v="0"/>
    <n v="45"/>
    <n v="45"/>
    <n v="50.2"/>
    <n v="1200"/>
    <n v="1200"/>
    <n v="0"/>
    <n v="0"/>
    <n v="1"/>
    <n v="0"/>
    <n v="0.85"/>
  </r>
  <r>
    <s v="APT-01431"/>
    <d v="2025-04-28T00:00:00"/>
    <x v="6"/>
    <x v="1"/>
    <s v="Afternoon"/>
    <x v="1"/>
    <s v="Thrissur"/>
    <x v="1"/>
    <s v="PT-1074"/>
    <s v="Chronic Pain"/>
    <x v="5"/>
    <s v="Self Pay"/>
    <s v="Self Referral"/>
    <x v="0"/>
    <n v="45"/>
    <n v="45"/>
    <n v="54.7"/>
    <n v="1000"/>
    <n v="1000"/>
    <n v="0"/>
    <n v="0"/>
    <n v="1"/>
    <n v="0"/>
    <n v="0.85"/>
  </r>
  <r>
    <s v="APT-01432"/>
    <d v="2025-03-03T00:00:00"/>
    <x v="3"/>
    <x v="1"/>
    <s v="Evening"/>
    <x v="0"/>
    <s v="Palakkad"/>
    <x v="13"/>
    <s v="PT-1372"/>
    <s v="Follow-up"/>
    <x v="5"/>
    <s v="Corporate Tie-up"/>
    <s v="Self Referral"/>
    <x v="0"/>
    <n v="45"/>
    <n v="45"/>
    <n v="58.3"/>
    <n v="850"/>
    <n v="850"/>
    <n v="0"/>
    <n v="0"/>
    <n v="1"/>
    <n v="0"/>
    <n v="0.85"/>
  </r>
  <r>
    <s v="APT-01433"/>
    <d v="2025-06-19T00:00:00"/>
    <x v="4"/>
    <x v="2"/>
    <s v="Midday"/>
    <x v="1"/>
    <s v="Thrissur"/>
    <x v="2"/>
    <s v="PT-1066"/>
    <s v="Follow-up"/>
    <x v="1"/>
    <s v="Private Insurance"/>
    <s v="Self Referral"/>
    <x v="0"/>
    <n v="45"/>
    <n v="45"/>
    <n v="51.4"/>
    <n v="1000"/>
    <n v="1000"/>
    <n v="0"/>
    <n v="0"/>
    <n v="1"/>
    <n v="0"/>
    <n v="0.85"/>
  </r>
  <r>
    <s v="APT-01434"/>
    <d v="2025-04-21T00:00:00"/>
    <x v="6"/>
    <x v="1"/>
    <s v="Morning"/>
    <x v="2"/>
    <s v="Ernakulam"/>
    <x v="14"/>
    <s v="PT-1546"/>
    <s v="Sports Injury"/>
    <x v="3"/>
    <s v="Self Pay"/>
    <s v="Hospital Discharge"/>
    <x v="0"/>
    <n v="60"/>
    <n v="60"/>
    <n v="65.400000000000006"/>
    <n v="1500"/>
    <n v="1500"/>
    <n v="0"/>
    <n v="0"/>
    <n v="1"/>
    <n v="0"/>
    <n v="0.85"/>
  </r>
  <r>
    <s v="APT-01435"/>
    <d v="2025-06-13T00:00:00"/>
    <x v="4"/>
    <x v="4"/>
    <s v="Afternoon"/>
    <x v="2"/>
    <s v="Ernakulam"/>
    <x v="8"/>
    <s v="PT-1577"/>
    <s v="Follow-up"/>
    <x v="5"/>
    <s v="Self Pay"/>
    <s v="Hospital Discharge"/>
    <x v="0"/>
    <n v="60"/>
    <n v="60"/>
    <n v="65.8"/>
    <n v="1500"/>
    <n v="1500"/>
    <n v="0"/>
    <n v="0"/>
    <n v="1"/>
    <n v="0"/>
    <n v="0.85"/>
  </r>
  <r>
    <s v="APT-01436"/>
    <d v="2025-12-15T00:00:00"/>
    <x v="0"/>
    <x v="1"/>
    <s v="Midday"/>
    <x v="1"/>
    <s v="Thrissur"/>
    <x v="2"/>
    <s v="PT-1458"/>
    <s v="Follow-up"/>
    <x v="4"/>
    <s v="Corporate Tie-up"/>
    <s v="Neurologist"/>
    <x v="1"/>
    <n v="60"/>
    <n v="0"/>
    <n v="69.7"/>
    <n v="1250"/>
    <n v="0"/>
    <n v="1250"/>
    <n v="1"/>
    <n v="0"/>
    <n v="0"/>
    <n v="0.85"/>
  </r>
  <r>
    <s v="APT-01437"/>
    <d v="2025-07-25T00:00:00"/>
    <x v="8"/>
    <x v="4"/>
    <s v="Afternoon"/>
    <x v="1"/>
    <s v="Thrissur"/>
    <x v="1"/>
    <s v="PT-1691"/>
    <s v="Follow-up"/>
    <x v="0"/>
    <s v="Corporate Tie-up"/>
    <s v="Hospital Discharge"/>
    <x v="0"/>
    <n v="75"/>
    <n v="75"/>
    <n v="87.7"/>
    <n v="1550"/>
    <n v="1550"/>
    <n v="0"/>
    <n v="0"/>
    <n v="1"/>
    <n v="0"/>
    <n v="0.85"/>
  </r>
  <r>
    <s v="APT-01438"/>
    <d v="2025-01-23T00:00:00"/>
    <x v="11"/>
    <x v="2"/>
    <s v="Afternoon"/>
    <x v="2"/>
    <s v="Ernakulam"/>
    <x v="12"/>
    <s v="PT-1405"/>
    <s v="Follow-up"/>
    <x v="5"/>
    <s v="Self Pay"/>
    <s v="Hospital Discharge"/>
    <x v="1"/>
    <n v="30"/>
    <n v="0"/>
    <n v="38.799999999999997"/>
    <n v="750"/>
    <n v="0"/>
    <n v="750"/>
    <n v="1"/>
    <n v="0"/>
    <n v="0"/>
    <n v="0.85"/>
  </r>
  <r>
    <s v="APT-01439"/>
    <d v="2025-11-10T00:00:00"/>
    <x v="1"/>
    <x v="1"/>
    <s v="Afternoon"/>
    <x v="2"/>
    <s v="Ernakulam"/>
    <x v="14"/>
    <s v="PT-1066"/>
    <s v="Sports Injury"/>
    <x v="1"/>
    <s v="Government Scheme"/>
    <s v="Orthopedic Doctor"/>
    <x v="0"/>
    <n v="60"/>
    <n v="60"/>
    <n v="76.7"/>
    <n v="1300"/>
    <n v="1300"/>
    <n v="0"/>
    <n v="0"/>
    <n v="1"/>
    <n v="0"/>
    <n v="0.85"/>
  </r>
  <r>
    <s v="APT-01440"/>
    <d v="2025-05-27T00:00:00"/>
    <x v="10"/>
    <x v="0"/>
    <s v="Midday"/>
    <x v="0"/>
    <s v="Palakkad"/>
    <x v="0"/>
    <s v="PT-1293"/>
    <s v="Sports Injury"/>
    <x v="1"/>
    <s v="Self Pay"/>
    <s v="Hospital Discharge"/>
    <x v="0"/>
    <n v="30"/>
    <n v="30"/>
    <n v="32.799999999999997"/>
    <n v="600"/>
    <n v="600"/>
    <n v="0"/>
    <n v="0"/>
    <n v="1"/>
    <n v="0"/>
    <n v="0.85"/>
  </r>
  <r>
    <s v="APT-01441"/>
    <d v="2025-11-08T00:00:00"/>
    <x v="1"/>
    <x v="5"/>
    <s v="Morning"/>
    <x v="1"/>
    <s v="Thrissur"/>
    <x v="5"/>
    <s v="PT-1156"/>
    <s v="Geriatric Rehab"/>
    <x v="5"/>
    <s v="Corporate Tie-up"/>
    <s v="Online Search"/>
    <x v="0"/>
    <n v="60"/>
    <n v="60"/>
    <n v="72.3"/>
    <n v="1250"/>
    <n v="1250"/>
    <n v="0"/>
    <n v="0"/>
    <n v="1"/>
    <n v="0"/>
    <n v="0.85"/>
  </r>
  <r>
    <s v="APT-01442"/>
    <d v="2025-12-23T00:00:00"/>
    <x v="0"/>
    <x v="0"/>
    <s v="Afternoon"/>
    <x v="1"/>
    <s v="Thrissur"/>
    <x v="1"/>
    <s v="PT-1219"/>
    <s v="Chronic Pain"/>
    <x v="4"/>
    <s v="Private Insurance"/>
    <s v="Self Referral"/>
    <x v="0"/>
    <n v="60"/>
    <n v="60"/>
    <n v="69.400000000000006"/>
    <n v="1350"/>
    <n v="1350"/>
    <n v="0"/>
    <n v="0"/>
    <n v="1"/>
    <n v="0"/>
    <n v="0.85"/>
  </r>
  <r>
    <s v="APT-01443"/>
    <d v="2025-02-10T00:00:00"/>
    <x v="5"/>
    <x v="1"/>
    <s v="Afternoon"/>
    <x v="0"/>
    <s v="Palakkad"/>
    <x v="9"/>
    <s v="PT-1690"/>
    <s v="Geriatric Rehab"/>
    <x v="2"/>
    <s v="Self Pay"/>
    <s v="Corporate Wellness"/>
    <x v="1"/>
    <n v="75"/>
    <n v="0"/>
    <n v="83.9"/>
    <n v="1550"/>
    <n v="0"/>
    <n v="1550"/>
    <n v="1"/>
    <n v="0"/>
    <n v="0"/>
    <n v="0.85"/>
  </r>
  <r>
    <s v="APT-01444"/>
    <d v="2025-09-22T00:00:00"/>
    <x v="2"/>
    <x v="1"/>
    <s v="Morning"/>
    <x v="0"/>
    <s v="Palakkad"/>
    <x v="6"/>
    <s v="PT-1654"/>
    <s v="Post-op Rehab"/>
    <x v="0"/>
    <s v="Government Scheme"/>
    <s v="Online Search"/>
    <x v="0"/>
    <n v="45"/>
    <n v="45"/>
    <n v="59.2"/>
    <n v="900"/>
    <n v="900"/>
    <n v="0"/>
    <n v="0"/>
    <n v="1"/>
    <n v="0"/>
    <n v="0.85"/>
  </r>
  <r>
    <s v="APT-01445"/>
    <d v="2025-06-07T00:00:00"/>
    <x v="4"/>
    <x v="5"/>
    <s v="Midday"/>
    <x v="2"/>
    <s v="Ernakulam"/>
    <x v="4"/>
    <s v="PT-1527"/>
    <s v="Sports Injury"/>
    <x v="3"/>
    <s v="Corporate Tie-up"/>
    <s v="Hospital Discharge"/>
    <x v="0"/>
    <n v="60"/>
    <n v="60"/>
    <n v="77.900000000000006"/>
    <n v="1400"/>
    <n v="1400"/>
    <n v="0"/>
    <n v="0"/>
    <n v="1"/>
    <n v="0"/>
    <n v="0.85"/>
  </r>
  <r>
    <s v="APT-01446"/>
    <d v="2025-04-03T00:00:00"/>
    <x v="6"/>
    <x v="2"/>
    <s v="Midday"/>
    <x v="2"/>
    <s v="Ernakulam"/>
    <x v="4"/>
    <s v="PT-1645"/>
    <s v="Chronic Pain"/>
    <x v="5"/>
    <s v="Corporate Tie-up"/>
    <s v="Hospital Discharge"/>
    <x v="0"/>
    <n v="75"/>
    <n v="75"/>
    <n v="89.2"/>
    <n v="1700"/>
    <n v="1700"/>
    <n v="0"/>
    <n v="0"/>
    <n v="1"/>
    <n v="0"/>
    <n v="0.85"/>
  </r>
  <r>
    <s v="APT-01447"/>
    <d v="2025-10-29T00:00:00"/>
    <x v="7"/>
    <x v="3"/>
    <s v="Midday"/>
    <x v="0"/>
    <s v="Palakkad"/>
    <x v="0"/>
    <s v="PT-1541"/>
    <s v="Follow-up"/>
    <x v="5"/>
    <s v="Self Pay"/>
    <s v="Orthopedic Doctor"/>
    <x v="3"/>
    <n v="60"/>
    <n v="0"/>
    <n v="80.099999999999994"/>
    <n v="1250"/>
    <n v="0"/>
    <n v="0"/>
    <n v="0"/>
    <n v="0"/>
    <n v="0"/>
    <n v="0.85"/>
  </r>
  <r>
    <s v="APT-01448"/>
    <d v="2025-08-18T00:00:00"/>
    <x v="9"/>
    <x v="1"/>
    <s v="Morning"/>
    <x v="2"/>
    <s v="Ernakulam"/>
    <x v="3"/>
    <s v="PT-1544"/>
    <s v="Follow-up"/>
    <x v="3"/>
    <s v="Self Pay"/>
    <s v="Orthopedic Doctor"/>
    <x v="2"/>
    <n v="60"/>
    <n v="0"/>
    <n v="69.900000000000006"/>
    <n v="1500"/>
    <n v="0"/>
    <n v="1500"/>
    <n v="0"/>
    <n v="0"/>
    <n v="1"/>
    <n v="0.85"/>
  </r>
  <r>
    <s v="APT-01449"/>
    <d v="2025-01-01T00:00:00"/>
    <x v="11"/>
    <x v="3"/>
    <s v="Midday"/>
    <x v="0"/>
    <s v="Palakkad"/>
    <x v="11"/>
    <s v="PT-1241"/>
    <s v="Post-op Rehab"/>
    <x v="2"/>
    <s v="Corporate Tie-up"/>
    <s v="Self Referral"/>
    <x v="0"/>
    <n v="30"/>
    <n v="30"/>
    <n v="38.6"/>
    <n v="650"/>
    <n v="650"/>
    <n v="0"/>
    <n v="0"/>
    <n v="1"/>
    <n v="0"/>
    <n v="0.85"/>
  </r>
  <r>
    <s v="APT-01450"/>
    <d v="2025-02-24T00:00:00"/>
    <x v="5"/>
    <x v="1"/>
    <s v="Morning"/>
    <x v="2"/>
    <s v="Ernakulam"/>
    <x v="8"/>
    <s v="PT-1118"/>
    <s v="Chronic Pain"/>
    <x v="4"/>
    <s v="Self Pay"/>
    <s v="Orthopedic Doctor"/>
    <x v="0"/>
    <n v="60"/>
    <n v="60"/>
    <n v="69.099999999999994"/>
    <n v="1500"/>
    <n v="1500"/>
    <n v="0"/>
    <n v="0"/>
    <n v="1"/>
    <n v="0"/>
    <n v="0.85"/>
  </r>
  <r>
    <s v="APT-01451"/>
    <d v="2025-08-19T00:00:00"/>
    <x v="9"/>
    <x v="0"/>
    <s v="Midday"/>
    <x v="1"/>
    <s v="Thrissur"/>
    <x v="10"/>
    <s v="PT-1395"/>
    <s v="New Patient"/>
    <x v="3"/>
    <s v="Private Insurance"/>
    <s v="Orthopedic Doctor"/>
    <x v="0"/>
    <n v="45"/>
    <n v="45"/>
    <n v="49.2"/>
    <n v="1200"/>
    <n v="1200"/>
    <n v="0"/>
    <n v="0"/>
    <n v="1"/>
    <n v="0"/>
    <n v="0.85"/>
  </r>
  <r>
    <s v="APT-01452"/>
    <d v="2025-03-07T00:00:00"/>
    <x v="3"/>
    <x v="4"/>
    <s v="Morning"/>
    <x v="1"/>
    <s v="Thrissur"/>
    <x v="5"/>
    <s v="PT-1680"/>
    <s v="Post-op Rehab"/>
    <x v="3"/>
    <s v="Self Pay"/>
    <s v="Orthopedic Doctor"/>
    <x v="0"/>
    <n v="90"/>
    <n v="90"/>
    <n v="115.9"/>
    <n v="2350"/>
    <n v="2350"/>
    <n v="0"/>
    <n v="0"/>
    <n v="1"/>
    <n v="0"/>
    <n v="0.85"/>
  </r>
  <r>
    <s v="APT-01453"/>
    <d v="2025-06-19T00:00:00"/>
    <x v="4"/>
    <x v="2"/>
    <s v="Evening"/>
    <x v="0"/>
    <s v="Palakkad"/>
    <x v="9"/>
    <s v="PT-1660"/>
    <s v="Post-op Rehab"/>
    <x v="3"/>
    <s v="Private Insurance"/>
    <s v="Orthopedic Doctor"/>
    <x v="0"/>
    <n v="60"/>
    <n v="60"/>
    <n v="68.3"/>
    <n v="1450"/>
    <n v="1450"/>
    <n v="0"/>
    <n v="0"/>
    <n v="1"/>
    <n v="0"/>
    <n v="0.85"/>
  </r>
  <r>
    <s v="APT-01454"/>
    <d v="2025-04-24T00:00:00"/>
    <x v="6"/>
    <x v="2"/>
    <s v="Midday"/>
    <x v="0"/>
    <s v="Palakkad"/>
    <x v="11"/>
    <s v="PT-1511"/>
    <s v="New Patient"/>
    <x v="5"/>
    <s v="Private Insurance"/>
    <s v="Neurologist"/>
    <x v="0"/>
    <n v="30"/>
    <n v="30"/>
    <n v="36.799999999999997"/>
    <n v="750"/>
    <n v="750"/>
    <n v="0"/>
    <n v="0"/>
    <n v="1"/>
    <n v="0"/>
    <n v="0.85"/>
  </r>
  <r>
    <s v="APT-01455"/>
    <d v="2025-10-13T00:00:00"/>
    <x v="7"/>
    <x v="1"/>
    <s v="Evening"/>
    <x v="1"/>
    <s v="Thrissur"/>
    <x v="1"/>
    <s v="PT-1044"/>
    <s v="Geriatric Rehab"/>
    <x v="4"/>
    <s v="Corporate Tie-up"/>
    <s v="Hospital Discharge"/>
    <x v="0"/>
    <n v="45"/>
    <n v="45"/>
    <n v="51.9"/>
    <n v="950"/>
    <n v="950"/>
    <n v="0"/>
    <n v="0"/>
    <n v="1"/>
    <n v="0"/>
    <n v="0.85"/>
  </r>
  <r>
    <s v="APT-01456"/>
    <d v="2025-08-09T00:00:00"/>
    <x v="9"/>
    <x v="5"/>
    <s v="Morning"/>
    <x v="1"/>
    <s v="Thrissur"/>
    <x v="2"/>
    <s v="PT-1600"/>
    <s v="Post-op Rehab"/>
    <x v="1"/>
    <s v="Private Insurance"/>
    <s v="Hospital Discharge"/>
    <x v="1"/>
    <n v="60"/>
    <n v="0"/>
    <n v="66.599999999999994"/>
    <n v="1550"/>
    <n v="0"/>
    <n v="1550"/>
    <n v="1"/>
    <n v="0"/>
    <n v="0"/>
    <n v="0.85"/>
  </r>
  <r>
    <s v="APT-01457"/>
    <d v="2025-12-15T00:00:00"/>
    <x v="0"/>
    <x v="1"/>
    <s v="Midday"/>
    <x v="2"/>
    <s v="Ernakulam"/>
    <x v="8"/>
    <s v="PT-1494"/>
    <s v="Geriatric Rehab"/>
    <x v="0"/>
    <s v="Private Insurance"/>
    <s v="Neurologist"/>
    <x v="0"/>
    <n v="45"/>
    <n v="45"/>
    <n v="55.9"/>
    <n v="1100"/>
    <n v="1100"/>
    <n v="0"/>
    <n v="0"/>
    <n v="1"/>
    <n v="0"/>
    <n v="0.85"/>
  </r>
  <r>
    <s v="APT-01458"/>
    <d v="2025-09-19T00:00:00"/>
    <x v="2"/>
    <x v="4"/>
    <s v="Afternoon"/>
    <x v="1"/>
    <s v="Thrissur"/>
    <x v="5"/>
    <s v="PT-1057"/>
    <s v="Post-op Rehab"/>
    <x v="5"/>
    <s v="Self Pay"/>
    <s v="Self Referral"/>
    <x v="0"/>
    <n v="45"/>
    <n v="45"/>
    <n v="56.2"/>
    <n v="1150"/>
    <n v="1150"/>
    <n v="0"/>
    <n v="0"/>
    <n v="1"/>
    <n v="0"/>
    <n v="0.85"/>
  </r>
  <r>
    <s v="APT-01459"/>
    <d v="2025-08-26T00:00:00"/>
    <x v="9"/>
    <x v="0"/>
    <s v="Morning"/>
    <x v="2"/>
    <s v="Ernakulam"/>
    <x v="14"/>
    <s v="PT-1396"/>
    <s v="Post-op Rehab"/>
    <x v="5"/>
    <s v="Corporate Tie-up"/>
    <s v="Neurologist"/>
    <x v="1"/>
    <n v="60"/>
    <n v="0"/>
    <n v="77"/>
    <n v="1600"/>
    <n v="0"/>
    <n v="1600"/>
    <n v="1"/>
    <n v="0"/>
    <n v="0"/>
    <n v="0.85"/>
  </r>
  <r>
    <s v="APT-01460"/>
    <d v="2025-04-07T00:00:00"/>
    <x v="6"/>
    <x v="1"/>
    <s v="Midday"/>
    <x v="0"/>
    <s v="Palakkad"/>
    <x v="13"/>
    <s v="PT-1611"/>
    <s v="Chronic Pain"/>
    <x v="2"/>
    <s v="Corporate Tie-up"/>
    <s v="Hospital Discharge"/>
    <x v="1"/>
    <n v="60"/>
    <n v="0"/>
    <n v="68.099999999999994"/>
    <n v="1150"/>
    <n v="0"/>
    <n v="1150"/>
    <n v="1"/>
    <n v="0"/>
    <n v="0"/>
    <n v="0.85"/>
  </r>
  <r>
    <s v="APT-01461"/>
    <d v="2025-01-17T00:00:00"/>
    <x v="11"/>
    <x v="4"/>
    <s v="Afternoon"/>
    <x v="1"/>
    <s v="Thrissur"/>
    <x v="1"/>
    <s v="PT-1060"/>
    <s v="New Patient"/>
    <x v="2"/>
    <s v="Corporate Tie-up"/>
    <s v="Online Search"/>
    <x v="0"/>
    <n v="90"/>
    <n v="90"/>
    <n v="101.7"/>
    <n v="2250"/>
    <n v="2250"/>
    <n v="0"/>
    <n v="0"/>
    <n v="1"/>
    <n v="0"/>
    <n v="0.85"/>
  </r>
  <r>
    <s v="APT-01462"/>
    <d v="2025-09-15T00:00:00"/>
    <x v="2"/>
    <x v="1"/>
    <s v="Midday"/>
    <x v="2"/>
    <s v="Ernakulam"/>
    <x v="8"/>
    <s v="PT-1374"/>
    <s v="Follow-up"/>
    <x v="4"/>
    <s v="Corporate Tie-up"/>
    <s v="Self Referral"/>
    <x v="0"/>
    <n v="45"/>
    <n v="45"/>
    <n v="60.1"/>
    <n v="1050"/>
    <n v="1050"/>
    <n v="0"/>
    <n v="0"/>
    <n v="1"/>
    <n v="0"/>
    <n v="0.85"/>
  </r>
  <r>
    <s v="APT-01463"/>
    <d v="2025-10-08T00:00:00"/>
    <x v="7"/>
    <x v="3"/>
    <s v="Afternoon"/>
    <x v="1"/>
    <s v="Thrissur"/>
    <x v="2"/>
    <s v="PT-1412"/>
    <s v="Post-op Rehab"/>
    <x v="0"/>
    <s v="Government Scheme"/>
    <s v="Neurologist"/>
    <x v="0"/>
    <n v="45"/>
    <n v="45"/>
    <n v="54.6"/>
    <n v="1000"/>
    <n v="1000"/>
    <n v="0"/>
    <n v="0"/>
    <n v="1"/>
    <n v="0"/>
    <n v="0.85"/>
  </r>
  <r>
    <s v="APT-01464"/>
    <d v="2025-06-02T00:00:00"/>
    <x v="4"/>
    <x v="1"/>
    <s v="Evening"/>
    <x v="1"/>
    <s v="Thrissur"/>
    <x v="2"/>
    <s v="PT-1498"/>
    <s v="Sports Injury"/>
    <x v="0"/>
    <s v="Self Pay"/>
    <s v="Corporate Wellness"/>
    <x v="0"/>
    <n v="60"/>
    <n v="60"/>
    <n v="73.5"/>
    <n v="1350"/>
    <n v="1350"/>
    <n v="0"/>
    <n v="0"/>
    <n v="1"/>
    <n v="0"/>
    <n v="0.85"/>
  </r>
  <r>
    <s v="APT-01465"/>
    <d v="2025-10-28T00:00:00"/>
    <x v="7"/>
    <x v="0"/>
    <s v="Evening"/>
    <x v="1"/>
    <s v="Thrissur"/>
    <x v="7"/>
    <s v="PT-1408"/>
    <s v="New Patient"/>
    <x v="4"/>
    <s v="Government Scheme"/>
    <s v="Hospital Discharge"/>
    <x v="0"/>
    <n v="90"/>
    <n v="90"/>
    <n v="101.2"/>
    <n v="2050"/>
    <n v="2050"/>
    <n v="0"/>
    <n v="0"/>
    <n v="1"/>
    <n v="0"/>
    <n v="0.85"/>
  </r>
  <r>
    <s v="APT-01466"/>
    <d v="2025-12-06T00:00:00"/>
    <x v="0"/>
    <x v="5"/>
    <s v="Evening"/>
    <x v="1"/>
    <s v="Thrissur"/>
    <x v="10"/>
    <s v="PT-1644"/>
    <s v="New Patient"/>
    <x v="2"/>
    <s v="Government Scheme"/>
    <s v="Self Referral"/>
    <x v="0"/>
    <n v="30"/>
    <n v="30"/>
    <n v="40"/>
    <n v="700"/>
    <n v="700"/>
    <n v="0"/>
    <n v="0"/>
    <n v="1"/>
    <n v="0"/>
    <n v="0.85"/>
  </r>
  <r>
    <s v="APT-01467"/>
    <d v="2025-07-02T00:00:00"/>
    <x v="8"/>
    <x v="3"/>
    <s v="Afternoon"/>
    <x v="0"/>
    <s v="Palakkad"/>
    <x v="13"/>
    <s v="PT-1040"/>
    <s v="Follow-up"/>
    <x v="4"/>
    <s v="Corporate Tie-up"/>
    <s v="Hospital Discharge"/>
    <x v="0"/>
    <n v="60"/>
    <n v="60"/>
    <n v="78"/>
    <n v="1150"/>
    <n v="1150"/>
    <n v="0"/>
    <n v="0"/>
    <n v="1"/>
    <n v="0"/>
    <n v="0.85"/>
  </r>
  <r>
    <s v="APT-01468"/>
    <d v="2025-06-10T00:00:00"/>
    <x v="4"/>
    <x v="0"/>
    <s v="Evening"/>
    <x v="2"/>
    <s v="Ernakulam"/>
    <x v="4"/>
    <s v="PT-1198"/>
    <s v="Post-op Rehab"/>
    <x v="2"/>
    <s v="Self Pay"/>
    <s v="Neurologist"/>
    <x v="0"/>
    <n v="90"/>
    <n v="90"/>
    <n v="118.6"/>
    <n v="2600"/>
    <n v="2600"/>
    <n v="0"/>
    <n v="0"/>
    <n v="1"/>
    <n v="0"/>
    <n v="0.85"/>
  </r>
  <r>
    <s v="APT-01469"/>
    <d v="2025-10-23T00:00:00"/>
    <x v="7"/>
    <x v="2"/>
    <s v="Midday"/>
    <x v="1"/>
    <s v="Thrissur"/>
    <x v="2"/>
    <s v="PT-1056"/>
    <s v="Follow-up"/>
    <x v="0"/>
    <s v="Self Pay"/>
    <s v="Orthopedic Doctor"/>
    <x v="0"/>
    <n v="90"/>
    <n v="90"/>
    <n v="109"/>
    <n v="2000"/>
    <n v="2000"/>
    <n v="0"/>
    <n v="0"/>
    <n v="1"/>
    <n v="0"/>
    <n v="0.85"/>
  </r>
  <r>
    <s v="APT-01470"/>
    <d v="2025-08-21T00:00:00"/>
    <x v="9"/>
    <x v="2"/>
    <s v="Midday"/>
    <x v="0"/>
    <s v="Palakkad"/>
    <x v="6"/>
    <s v="PT-1185"/>
    <s v="Follow-up"/>
    <x v="2"/>
    <s v="Corporate Tie-up"/>
    <s v="Hospital Discharge"/>
    <x v="1"/>
    <n v="60"/>
    <n v="0"/>
    <n v="72.5"/>
    <n v="1150"/>
    <n v="0"/>
    <n v="1150"/>
    <n v="1"/>
    <n v="0"/>
    <n v="0"/>
    <n v="0.85"/>
  </r>
  <r>
    <s v="APT-01471"/>
    <d v="2025-02-19T00:00:00"/>
    <x v="5"/>
    <x v="3"/>
    <s v="Evening"/>
    <x v="0"/>
    <s v="Palakkad"/>
    <x v="6"/>
    <s v="PT-1449"/>
    <s v="New Patient"/>
    <x v="5"/>
    <s v="Government Scheme"/>
    <s v="Orthopedic Doctor"/>
    <x v="0"/>
    <n v="45"/>
    <n v="45"/>
    <n v="49.9"/>
    <n v="950"/>
    <n v="950"/>
    <n v="0"/>
    <n v="0"/>
    <n v="1"/>
    <n v="0"/>
    <n v="0.85"/>
  </r>
  <r>
    <s v="APT-01472"/>
    <d v="2025-07-22T00:00:00"/>
    <x v="8"/>
    <x v="0"/>
    <s v="Evening"/>
    <x v="1"/>
    <s v="Thrissur"/>
    <x v="2"/>
    <s v="PT-1680"/>
    <s v="New Patient"/>
    <x v="3"/>
    <s v="Private Insurance"/>
    <s v="Online Search"/>
    <x v="1"/>
    <n v="45"/>
    <n v="0"/>
    <n v="57.3"/>
    <n v="1200"/>
    <n v="0"/>
    <n v="1200"/>
    <n v="1"/>
    <n v="0"/>
    <n v="0"/>
    <n v="0.85"/>
  </r>
  <r>
    <s v="APT-01473"/>
    <d v="2025-04-12T00:00:00"/>
    <x v="6"/>
    <x v="5"/>
    <s v="Afternoon"/>
    <x v="2"/>
    <s v="Ernakulam"/>
    <x v="14"/>
    <s v="PT-1182"/>
    <s v="Sports Injury"/>
    <x v="2"/>
    <s v="Private Insurance"/>
    <s v="Hospital Discharge"/>
    <x v="2"/>
    <n v="60"/>
    <n v="0"/>
    <n v="68"/>
    <n v="1500"/>
    <n v="0"/>
    <n v="1500"/>
    <n v="0"/>
    <n v="0"/>
    <n v="1"/>
    <n v="0.85"/>
  </r>
  <r>
    <s v="APT-01474"/>
    <d v="2025-06-11T00:00:00"/>
    <x v="4"/>
    <x v="3"/>
    <s v="Afternoon"/>
    <x v="1"/>
    <s v="Thrissur"/>
    <x v="7"/>
    <s v="PT-1531"/>
    <s v="Post-op Rehab"/>
    <x v="0"/>
    <s v="Corporate Tie-up"/>
    <s v="Hospital Discharge"/>
    <x v="0"/>
    <n v="60"/>
    <n v="60"/>
    <n v="66.099999999999994"/>
    <n v="1450"/>
    <n v="1450"/>
    <n v="0"/>
    <n v="0"/>
    <n v="1"/>
    <n v="0"/>
    <n v="0.85"/>
  </r>
  <r>
    <s v="APT-01475"/>
    <d v="2025-01-06T00:00:00"/>
    <x v="11"/>
    <x v="1"/>
    <s v="Morning"/>
    <x v="1"/>
    <s v="Thrissur"/>
    <x v="10"/>
    <s v="PT-1261"/>
    <s v="Follow-up"/>
    <x v="2"/>
    <s v="Self Pay"/>
    <s v="Hospital Discharge"/>
    <x v="0"/>
    <n v="60"/>
    <n v="60"/>
    <n v="78.3"/>
    <n v="1350"/>
    <n v="1350"/>
    <n v="0"/>
    <n v="0"/>
    <n v="1"/>
    <n v="0"/>
    <n v="0.85"/>
  </r>
  <r>
    <s v="APT-01476"/>
    <d v="2025-07-17T00:00:00"/>
    <x v="8"/>
    <x v="2"/>
    <s v="Evening"/>
    <x v="2"/>
    <s v="Ernakulam"/>
    <x v="3"/>
    <s v="PT-1324"/>
    <s v="Follow-up"/>
    <x v="3"/>
    <s v="Private Insurance"/>
    <s v="Neurologist"/>
    <x v="0"/>
    <n v="45"/>
    <n v="45"/>
    <n v="49.2"/>
    <n v="1100"/>
    <n v="1100"/>
    <n v="0"/>
    <n v="0"/>
    <n v="1"/>
    <n v="0"/>
    <n v="0.85"/>
  </r>
  <r>
    <s v="APT-01477"/>
    <d v="2025-08-02T00:00:00"/>
    <x v="9"/>
    <x v="5"/>
    <s v="Afternoon"/>
    <x v="2"/>
    <s v="Ernakulam"/>
    <x v="8"/>
    <s v="PT-1374"/>
    <s v="Chronic Pain"/>
    <x v="3"/>
    <s v="Self Pay"/>
    <s v="Corporate Wellness"/>
    <x v="0"/>
    <n v="60"/>
    <n v="60"/>
    <n v="71.400000000000006"/>
    <n v="1500"/>
    <n v="1500"/>
    <n v="0"/>
    <n v="0"/>
    <n v="1"/>
    <n v="0"/>
    <n v="0.85"/>
  </r>
  <r>
    <s v="APT-01478"/>
    <d v="2025-01-10T00:00:00"/>
    <x v="11"/>
    <x v="4"/>
    <s v="Afternoon"/>
    <x v="2"/>
    <s v="Ernakulam"/>
    <x v="8"/>
    <s v="PT-1055"/>
    <s v="Chronic Pain"/>
    <x v="5"/>
    <s v="Self Pay"/>
    <s v="Self Referral"/>
    <x v="0"/>
    <n v="30"/>
    <n v="30"/>
    <n v="38.700000000000003"/>
    <n v="750"/>
    <n v="750"/>
    <n v="0"/>
    <n v="0"/>
    <n v="1"/>
    <n v="0"/>
    <n v="0.85"/>
  </r>
  <r>
    <s v="APT-01479"/>
    <d v="2025-04-30T00:00:00"/>
    <x v="6"/>
    <x v="3"/>
    <s v="Evening"/>
    <x v="1"/>
    <s v="Thrissur"/>
    <x v="7"/>
    <s v="PT-1130"/>
    <s v="Sports Injury"/>
    <x v="0"/>
    <s v="Self Pay"/>
    <s v="Orthopedic Doctor"/>
    <x v="0"/>
    <n v="30"/>
    <n v="30"/>
    <n v="34.200000000000003"/>
    <n v="700"/>
    <n v="700"/>
    <n v="0"/>
    <n v="0"/>
    <n v="1"/>
    <n v="0"/>
    <n v="0.85"/>
  </r>
  <r>
    <s v="APT-01480"/>
    <d v="2025-07-14T00:00:00"/>
    <x v="8"/>
    <x v="1"/>
    <s v="Morning"/>
    <x v="2"/>
    <s v="Ernakulam"/>
    <x v="4"/>
    <s v="PT-1242"/>
    <s v="Follow-up"/>
    <x v="1"/>
    <s v="Government Scheme"/>
    <s v="Orthopedic Doctor"/>
    <x v="0"/>
    <n v="45"/>
    <n v="45"/>
    <n v="53.9"/>
    <n v="950"/>
    <n v="950"/>
    <n v="0"/>
    <n v="0"/>
    <n v="1"/>
    <n v="0"/>
    <n v="0.85"/>
  </r>
  <r>
    <s v="APT-01481"/>
    <d v="2025-11-10T00:00:00"/>
    <x v="1"/>
    <x v="1"/>
    <s v="Midday"/>
    <x v="0"/>
    <s v="Palakkad"/>
    <x v="0"/>
    <s v="PT-1691"/>
    <s v="Follow-up"/>
    <x v="3"/>
    <s v="Corporate Tie-up"/>
    <s v="Hospital Discharge"/>
    <x v="0"/>
    <n v="60"/>
    <n v="60"/>
    <n v="78.400000000000006"/>
    <n v="1150"/>
    <n v="1150"/>
    <n v="0"/>
    <n v="0"/>
    <n v="1"/>
    <n v="0"/>
    <n v="0.85"/>
  </r>
  <r>
    <s v="APT-01482"/>
    <d v="2025-06-20T00:00:00"/>
    <x v="4"/>
    <x v="4"/>
    <s v="Evening"/>
    <x v="0"/>
    <s v="Palakkad"/>
    <x v="0"/>
    <s v="PT-1046"/>
    <s v="New Patient"/>
    <x v="1"/>
    <s v="Private Insurance"/>
    <s v="Hospital Discharge"/>
    <x v="0"/>
    <n v="60"/>
    <n v="60"/>
    <n v="67.2"/>
    <n v="1500"/>
    <n v="1500"/>
    <n v="0"/>
    <n v="0"/>
    <n v="1"/>
    <n v="0"/>
    <n v="0.85"/>
  </r>
  <r>
    <s v="APT-01483"/>
    <d v="2025-10-31T00:00:00"/>
    <x v="7"/>
    <x v="4"/>
    <s v="Afternoon"/>
    <x v="2"/>
    <s v="Ernakulam"/>
    <x v="12"/>
    <s v="PT-1132"/>
    <s v="Chronic Pain"/>
    <x v="4"/>
    <s v="Government Scheme"/>
    <s v="Self Referral"/>
    <x v="0"/>
    <n v="45"/>
    <n v="45"/>
    <n v="52.7"/>
    <n v="950"/>
    <n v="950"/>
    <n v="0"/>
    <n v="0"/>
    <n v="1"/>
    <n v="0"/>
    <n v="0.85"/>
  </r>
  <r>
    <s v="APT-01484"/>
    <d v="2025-03-10T00:00:00"/>
    <x v="3"/>
    <x v="1"/>
    <s v="Evening"/>
    <x v="0"/>
    <s v="Palakkad"/>
    <x v="0"/>
    <s v="PT-1388"/>
    <s v="Geriatric Rehab"/>
    <x v="2"/>
    <s v="Corporate Tie-up"/>
    <s v="Self Referral"/>
    <x v="0"/>
    <n v="30"/>
    <n v="30"/>
    <n v="35.700000000000003"/>
    <n v="600"/>
    <n v="600"/>
    <n v="0"/>
    <n v="0"/>
    <n v="1"/>
    <n v="0"/>
    <n v="0.85"/>
  </r>
  <r>
    <s v="APT-01485"/>
    <d v="2025-07-01T00:00:00"/>
    <x v="8"/>
    <x v="0"/>
    <s v="Afternoon"/>
    <x v="0"/>
    <s v="Palakkad"/>
    <x v="6"/>
    <s v="PT-1609"/>
    <s v="Follow-up"/>
    <x v="5"/>
    <s v="Private Insurance"/>
    <s v="Orthopedic Doctor"/>
    <x v="1"/>
    <n v="45"/>
    <n v="0"/>
    <n v="52.5"/>
    <n v="950"/>
    <n v="0"/>
    <n v="950"/>
    <n v="1"/>
    <n v="0"/>
    <n v="0"/>
    <n v="0.85"/>
  </r>
  <r>
    <s v="APT-01486"/>
    <d v="2025-09-15T00:00:00"/>
    <x v="2"/>
    <x v="1"/>
    <s v="Morning"/>
    <x v="2"/>
    <s v="Ernakulam"/>
    <x v="3"/>
    <s v="PT-1312"/>
    <s v="Sports Injury"/>
    <x v="4"/>
    <s v="Self Pay"/>
    <s v="Orthopedic Doctor"/>
    <x v="1"/>
    <n v="45"/>
    <n v="0"/>
    <n v="54.1"/>
    <n v="1100"/>
    <n v="0"/>
    <n v="1100"/>
    <n v="1"/>
    <n v="0"/>
    <n v="0"/>
    <n v="0.85"/>
  </r>
  <r>
    <s v="APT-01487"/>
    <d v="2025-08-11T00:00:00"/>
    <x v="9"/>
    <x v="1"/>
    <s v="Morning"/>
    <x v="1"/>
    <s v="Thrissur"/>
    <x v="10"/>
    <s v="PT-1479"/>
    <s v="Follow-up"/>
    <x v="1"/>
    <s v="Self Pay"/>
    <s v="Corporate Wellness"/>
    <x v="0"/>
    <n v="45"/>
    <n v="45"/>
    <n v="50.8"/>
    <n v="1000"/>
    <n v="1000"/>
    <n v="0"/>
    <n v="0"/>
    <n v="1"/>
    <n v="0"/>
    <n v="0.85"/>
  </r>
  <r>
    <s v="APT-01488"/>
    <d v="2025-11-19T00:00:00"/>
    <x v="1"/>
    <x v="3"/>
    <s v="Morning"/>
    <x v="2"/>
    <s v="Ernakulam"/>
    <x v="12"/>
    <s v="PT-1527"/>
    <s v="Follow-up"/>
    <x v="1"/>
    <s v="Corporate Tie-up"/>
    <s v="Neurologist"/>
    <x v="0"/>
    <n v="60"/>
    <n v="60"/>
    <n v="79"/>
    <n v="1400"/>
    <n v="1400"/>
    <n v="0"/>
    <n v="0"/>
    <n v="1"/>
    <n v="0"/>
    <n v="0.85"/>
  </r>
  <r>
    <s v="APT-01489"/>
    <d v="2025-10-05T00:00:00"/>
    <x v="7"/>
    <x v="6"/>
    <s v="Midday"/>
    <x v="2"/>
    <s v="Ernakulam"/>
    <x v="12"/>
    <s v="PT-1332"/>
    <s v="New Patient"/>
    <x v="2"/>
    <s v="Private Insurance"/>
    <s v="Online Search"/>
    <x v="0"/>
    <n v="30"/>
    <n v="30"/>
    <n v="40.4"/>
    <n v="900"/>
    <n v="900"/>
    <n v="0"/>
    <n v="0"/>
    <n v="1"/>
    <n v="0"/>
    <n v="0.85"/>
  </r>
  <r>
    <s v="APT-01490"/>
    <d v="2025-05-21T00:00:00"/>
    <x v="10"/>
    <x v="3"/>
    <s v="Morning"/>
    <x v="2"/>
    <s v="Ernakulam"/>
    <x v="12"/>
    <s v="PT-1375"/>
    <s v="Follow-up"/>
    <x v="5"/>
    <s v="Private Insurance"/>
    <s v="Corporate Wellness"/>
    <x v="0"/>
    <n v="45"/>
    <n v="45"/>
    <n v="51.6"/>
    <n v="1100"/>
    <n v="1100"/>
    <n v="0"/>
    <n v="0"/>
    <n v="1"/>
    <n v="0"/>
    <n v="0.85"/>
  </r>
  <r>
    <s v="APT-01491"/>
    <d v="2025-08-20T00:00:00"/>
    <x v="9"/>
    <x v="3"/>
    <s v="Evening"/>
    <x v="2"/>
    <s v="Ernakulam"/>
    <x v="14"/>
    <s v="PT-1368"/>
    <s v="Follow-up"/>
    <x v="4"/>
    <s v="Private Insurance"/>
    <s v="Self Referral"/>
    <x v="0"/>
    <n v="45"/>
    <n v="45"/>
    <n v="50.9"/>
    <n v="1100"/>
    <n v="1100"/>
    <n v="0"/>
    <n v="0"/>
    <n v="1"/>
    <n v="0"/>
    <n v="0.85"/>
  </r>
  <r>
    <s v="APT-01492"/>
    <d v="2025-09-08T00:00:00"/>
    <x v="2"/>
    <x v="1"/>
    <s v="Evening"/>
    <x v="2"/>
    <s v="Ernakulam"/>
    <x v="14"/>
    <s v="PT-1543"/>
    <s v="Sports Injury"/>
    <x v="3"/>
    <s v="Self Pay"/>
    <s v="Orthopedic Doctor"/>
    <x v="0"/>
    <n v="60"/>
    <n v="60"/>
    <n v="80.900000000000006"/>
    <n v="1500"/>
    <n v="1500"/>
    <n v="0"/>
    <n v="0"/>
    <n v="1"/>
    <n v="0"/>
    <n v="0.85"/>
  </r>
  <r>
    <s v="APT-01493"/>
    <d v="2025-10-03T00:00:00"/>
    <x v="7"/>
    <x v="4"/>
    <s v="Morning"/>
    <x v="1"/>
    <s v="Thrissur"/>
    <x v="2"/>
    <s v="PT-1674"/>
    <s v="New Patient"/>
    <x v="3"/>
    <s v="Self Pay"/>
    <s v="Hospital Discharge"/>
    <x v="0"/>
    <n v="45"/>
    <n v="45"/>
    <n v="57"/>
    <n v="1200"/>
    <n v="1200"/>
    <n v="0"/>
    <n v="0"/>
    <n v="1"/>
    <n v="0"/>
    <n v="0.85"/>
  </r>
  <r>
    <s v="APT-01494"/>
    <d v="2025-07-05T00:00:00"/>
    <x v="8"/>
    <x v="5"/>
    <s v="Midday"/>
    <x v="1"/>
    <s v="Thrissur"/>
    <x v="7"/>
    <s v="PT-1577"/>
    <s v="New Patient"/>
    <x v="0"/>
    <s v="Private Insurance"/>
    <s v="Self Referral"/>
    <x v="0"/>
    <n v="75"/>
    <n v="75"/>
    <n v="87"/>
    <n v="2000"/>
    <n v="2000"/>
    <n v="0"/>
    <n v="0"/>
    <n v="1"/>
    <n v="0"/>
    <n v="0.85"/>
  </r>
  <r>
    <s v="APT-01495"/>
    <d v="2025-10-06T00:00:00"/>
    <x v="7"/>
    <x v="1"/>
    <s v="Afternoon"/>
    <x v="1"/>
    <s v="Thrissur"/>
    <x v="2"/>
    <s v="PT-1217"/>
    <s v="Post-op Rehab"/>
    <x v="5"/>
    <s v="Government Scheme"/>
    <s v="Orthopedic Doctor"/>
    <x v="1"/>
    <n v="90"/>
    <n v="0"/>
    <n v="107.2"/>
    <n v="2000"/>
    <n v="0"/>
    <n v="2000"/>
    <n v="1"/>
    <n v="0"/>
    <n v="0"/>
    <n v="0.85"/>
  </r>
  <r>
    <s v="APT-01496"/>
    <d v="2025-07-16T00:00:00"/>
    <x v="8"/>
    <x v="3"/>
    <s v="Morning"/>
    <x v="1"/>
    <s v="Thrissur"/>
    <x v="10"/>
    <s v="PT-1316"/>
    <s v="Geriatric Rehab"/>
    <x v="5"/>
    <s v="Corporate Tie-up"/>
    <s v="Orthopedic Doctor"/>
    <x v="0"/>
    <n v="75"/>
    <n v="75"/>
    <n v="85.3"/>
    <n v="1550"/>
    <n v="1550"/>
    <n v="0"/>
    <n v="0"/>
    <n v="1"/>
    <n v="0"/>
    <n v="0.85"/>
  </r>
  <r>
    <s v="APT-01497"/>
    <d v="2025-05-26T00:00:00"/>
    <x v="10"/>
    <x v="1"/>
    <s v="Evening"/>
    <x v="2"/>
    <s v="Ernakulam"/>
    <x v="3"/>
    <s v="PT-1624"/>
    <s v="Sports Injury"/>
    <x v="4"/>
    <s v="Corporate Tie-up"/>
    <s v="Orthopedic Doctor"/>
    <x v="0"/>
    <n v="90"/>
    <n v="90"/>
    <n v="102.2"/>
    <n v="2050"/>
    <n v="2050"/>
    <n v="0"/>
    <n v="0"/>
    <n v="1"/>
    <n v="0"/>
    <n v="0.85"/>
  </r>
  <r>
    <s v="APT-01498"/>
    <d v="2025-06-16T00:00:00"/>
    <x v="4"/>
    <x v="1"/>
    <s v="Afternoon"/>
    <x v="0"/>
    <s v="Palakkad"/>
    <x v="9"/>
    <s v="PT-1227"/>
    <s v="Sports Injury"/>
    <x v="1"/>
    <s v="Private Insurance"/>
    <s v="Online Search"/>
    <x v="0"/>
    <n v="60"/>
    <n v="60"/>
    <n v="66.7"/>
    <n v="1250"/>
    <n v="1250"/>
    <n v="0"/>
    <n v="0"/>
    <n v="1"/>
    <n v="0"/>
    <n v="0.85"/>
  </r>
  <r>
    <s v="APT-01499"/>
    <d v="2025-04-23T00:00:00"/>
    <x v="6"/>
    <x v="3"/>
    <s v="Morning"/>
    <x v="1"/>
    <s v="Thrissur"/>
    <x v="7"/>
    <s v="PT-1214"/>
    <s v="Follow-up"/>
    <x v="0"/>
    <s v="Government Scheme"/>
    <s v="Hospital Discharge"/>
    <x v="0"/>
    <n v="60"/>
    <n v="60"/>
    <n v="65.5"/>
    <n v="1150"/>
    <n v="1150"/>
    <n v="0"/>
    <n v="0"/>
    <n v="1"/>
    <n v="0"/>
    <n v="0.85"/>
  </r>
  <r>
    <s v="APT-01500"/>
    <d v="2025-07-29T00:00:00"/>
    <x v="8"/>
    <x v="0"/>
    <s v="Afternoon"/>
    <x v="0"/>
    <s v="Palakkad"/>
    <x v="6"/>
    <s v="PT-1362"/>
    <s v="Post-op Rehab"/>
    <x v="1"/>
    <s v="Government Scheme"/>
    <s v="Corporate Wellness"/>
    <x v="1"/>
    <n v="60"/>
    <n v="0"/>
    <n v="65.400000000000006"/>
    <n v="1200"/>
    <n v="0"/>
    <n v="1200"/>
    <n v="1"/>
    <n v="0"/>
    <n v="0"/>
    <n v="0.85"/>
  </r>
  <r>
    <s v="APT-01501"/>
    <d v="2025-11-05T00:00:00"/>
    <x v="1"/>
    <x v="3"/>
    <s v="Morning"/>
    <x v="2"/>
    <s v="Ernakulam"/>
    <x v="12"/>
    <s v="PT-1067"/>
    <s v="New Patient"/>
    <x v="3"/>
    <s v="Self Pay"/>
    <s v="Neurologist"/>
    <x v="2"/>
    <n v="45"/>
    <n v="0"/>
    <n v="53.5"/>
    <n v="1350"/>
    <n v="0"/>
    <n v="1350"/>
    <n v="0"/>
    <n v="0"/>
    <n v="1"/>
    <n v="0.85"/>
  </r>
  <r>
    <s v="APT-01502"/>
    <d v="2025-09-19T00:00:00"/>
    <x v="2"/>
    <x v="4"/>
    <s v="Morning"/>
    <x v="2"/>
    <s v="Ernakulam"/>
    <x v="8"/>
    <s v="PT-1189"/>
    <s v="Post-op Rehab"/>
    <x v="5"/>
    <s v="Self Pay"/>
    <s v="Online Search"/>
    <x v="1"/>
    <n v="60"/>
    <n v="0"/>
    <n v="79"/>
    <n v="1700"/>
    <n v="0"/>
    <n v="1700"/>
    <n v="1"/>
    <n v="0"/>
    <n v="0"/>
    <n v="0.85"/>
  </r>
  <r>
    <s v="APT-01503"/>
    <d v="2025-01-10T00:00:00"/>
    <x v="11"/>
    <x v="4"/>
    <s v="Morning"/>
    <x v="0"/>
    <s v="Palakkad"/>
    <x v="0"/>
    <s v="PT-1014"/>
    <s v="New Patient"/>
    <x v="5"/>
    <s v="Self Pay"/>
    <s v="Online Search"/>
    <x v="0"/>
    <n v="60"/>
    <n v="60"/>
    <n v="75.599999999999994"/>
    <n v="1500"/>
    <n v="1500"/>
    <n v="0"/>
    <n v="0"/>
    <n v="1"/>
    <n v="0"/>
    <n v="0.85"/>
  </r>
  <r>
    <s v="APT-01504"/>
    <d v="2025-06-23T00:00:00"/>
    <x v="4"/>
    <x v="1"/>
    <s v="Afternoon"/>
    <x v="2"/>
    <s v="Ernakulam"/>
    <x v="8"/>
    <s v="PT-1160"/>
    <s v="Post-op Rehab"/>
    <x v="4"/>
    <s v="Self Pay"/>
    <s v="Neurologist"/>
    <x v="0"/>
    <n v="60"/>
    <n v="60"/>
    <n v="65.900000000000006"/>
    <n v="1700"/>
    <n v="1700"/>
    <n v="0"/>
    <n v="0"/>
    <n v="1"/>
    <n v="0"/>
    <n v="0.85"/>
  </r>
  <r>
    <s v="APT-01505"/>
    <d v="2025-03-09T00:00:00"/>
    <x v="3"/>
    <x v="6"/>
    <s v="Midday"/>
    <x v="0"/>
    <s v="Palakkad"/>
    <x v="9"/>
    <s v="PT-1071"/>
    <s v="Chronic Pain"/>
    <x v="4"/>
    <s v="Self Pay"/>
    <s v="Neurologist"/>
    <x v="0"/>
    <n v="45"/>
    <n v="45"/>
    <n v="50.5"/>
    <n v="950"/>
    <n v="950"/>
    <n v="0"/>
    <n v="0"/>
    <n v="1"/>
    <n v="0"/>
    <n v="0.85"/>
  </r>
  <r>
    <s v="APT-01506"/>
    <d v="2025-10-28T00:00:00"/>
    <x v="7"/>
    <x v="0"/>
    <s v="Morning"/>
    <x v="1"/>
    <s v="Thrissur"/>
    <x v="2"/>
    <s v="PT-1429"/>
    <s v="Follow-up"/>
    <x v="1"/>
    <s v="Private Insurance"/>
    <s v="Neurologist"/>
    <x v="0"/>
    <n v="45"/>
    <n v="45"/>
    <n v="51"/>
    <n v="1000"/>
    <n v="1000"/>
    <n v="0"/>
    <n v="0"/>
    <n v="1"/>
    <n v="0"/>
    <n v="0.85"/>
  </r>
  <r>
    <s v="APT-01507"/>
    <d v="2025-05-12T00:00:00"/>
    <x v="10"/>
    <x v="1"/>
    <s v="Afternoon"/>
    <x v="2"/>
    <s v="Ernakulam"/>
    <x v="8"/>
    <s v="PT-1397"/>
    <s v="Follow-up"/>
    <x v="2"/>
    <s v="Private Insurance"/>
    <s v="Neurologist"/>
    <x v="0"/>
    <n v="60"/>
    <n v="60"/>
    <n v="75.7"/>
    <n v="1500"/>
    <n v="1500"/>
    <n v="0"/>
    <n v="0"/>
    <n v="1"/>
    <n v="0"/>
    <n v="0.85"/>
  </r>
  <r>
    <s v="APT-01508"/>
    <d v="2025-08-06T00:00:00"/>
    <x v="9"/>
    <x v="3"/>
    <s v="Evening"/>
    <x v="2"/>
    <s v="Ernakulam"/>
    <x v="14"/>
    <s v="PT-1111"/>
    <s v="Follow-up"/>
    <x v="2"/>
    <s v="Self Pay"/>
    <s v="Orthopedic Doctor"/>
    <x v="0"/>
    <n v="75"/>
    <n v="75"/>
    <n v="85.2"/>
    <n v="1900"/>
    <n v="1900"/>
    <n v="0"/>
    <n v="0"/>
    <n v="1"/>
    <n v="0"/>
    <n v="0.85"/>
  </r>
  <r>
    <s v="APT-01509"/>
    <d v="2025-10-23T00:00:00"/>
    <x v="7"/>
    <x v="2"/>
    <s v="Midday"/>
    <x v="2"/>
    <s v="Ernakulam"/>
    <x v="14"/>
    <s v="PT-1506"/>
    <s v="Follow-up"/>
    <x v="0"/>
    <s v="Private Insurance"/>
    <s v="Online Search"/>
    <x v="0"/>
    <n v="45"/>
    <n v="45"/>
    <n v="52.7"/>
    <n v="1100"/>
    <n v="1100"/>
    <n v="0"/>
    <n v="0"/>
    <n v="1"/>
    <n v="0"/>
    <n v="0.85"/>
  </r>
  <r>
    <s v="APT-01510"/>
    <d v="2025-07-18T00:00:00"/>
    <x v="8"/>
    <x v="4"/>
    <s v="Morning"/>
    <x v="2"/>
    <s v="Ernakulam"/>
    <x v="4"/>
    <s v="PT-1419"/>
    <s v="Follow-up"/>
    <x v="5"/>
    <s v="Self Pay"/>
    <s v="Online Search"/>
    <x v="0"/>
    <n v="90"/>
    <n v="90"/>
    <n v="113.5"/>
    <n v="2250"/>
    <n v="2250"/>
    <n v="0"/>
    <n v="0"/>
    <n v="1"/>
    <n v="0"/>
    <n v="0.85"/>
  </r>
  <r>
    <s v="APT-01511"/>
    <d v="2025-02-11T00:00:00"/>
    <x v="5"/>
    <x v="0"/>
    <s v="Evening"/>
    <x v="1"/>
    <s v="Thrissur"/>
    <x v="7"/>
    <s v="PT-1478"/>
    <s v="New Patient"/>
    <x v="5"/>
    <s v="Self Pay"/>
    <s v="Orthopedic Doctor"/>
    <x v="0"/>
    <n v="60"/>
    <n v="60"/>
    <n v="79.400000000000006"/>
    <n v="1600"/>
    <n v="1600"/>
    <n v="0"/>
    <n v="0"/>
    <n v="1"/>
    <n v="0"/>
    <n v="0.85"/>
  </r>
  <r>
    <s v="APT-01512"/>
    <d v="2025-04-22T00:00:00"/>
    <x v="6"/>
    <x v="0"/>
    <s v="Midday"/>
    <x v="1"/>
    <s v="Thrissur"/>
    <x v="10"/>
    <s v="PT-1025"/>
    <s v="New Patient"/>
    <x v="5"/>
    <s v="Government Scheme"/>
    <s v="Online Search"/>
    <x v="1"/>
    <n v="60"/>
    <n v="0"/>
    <n v="74.099999999999994"/>
    <n v="1400"/>
    <n v="0"/>
    <n v="1400"/>
    <n v="1"/>
    <n v="0"/>
    <n v="0"/>
    <n v="0.85"/>
  </r>
  <r>
    <s v="APT-01513"/>
    <d v="2025-01-28T00:00:00"/>
    <x v="11"/>
    <x v="0"/>
    <s v="Afternoon"/>
    <x v="2"/>
    <s v="Ernakulam"/>
    <x v="3"/>
    <s v="PT-1401"/>
    <s v="Follow-up"/>
    <x v="2"/>
    <s v="Self Pay"/>
    <s v="Orthopedic Doctor"/>
    <x v="1"/>
    <n v="60"/>
    <n v="0"/>
    <n v="67.5"/>
    <n v="1500"/>
    <n v="0"/>
    <n v="1500"/>
    <n v="1"/>
    <n v="0"/>
    <n v="0"/>
    <n v="0.85"/>
  </r>
  <r>
    <s v="APT-01514"/>
    <d v="2025-02-27T00:00:00"/>
    <x v="5"/>
    <x v="2"/>
    <s v="Morning"/>
    <x v="2"/>
    <s v="Ernakulam"/>
    <x v="14"/>
    <s v="PT-1393"/>
    <s v="Follow-up"/>
    <x v="3"/>
    <s v="Government Scheme"/>
    <s v="Corporate Wellness"/>
    <x v="0"/>
    <n v="60"/>
    <n v="60"/>
    <n v="67.3"/>
    <n v="1300"/>
    <n v="1300"/>
    <n v="0"/>
    <n v="0"/>
    <n v="1"/>
    <n v="0"/>
    <n v="0.85"/>
  </r>
  <r>
    <s v="APT-01515"/>
    <d v="2025-12-08T00:00:00"/>
    <x v="0"/>
    <x v="1"/>
    <s v="Evening"/>
    <x v="1"/>
    <s v="Thrissur"/>
    <x v="10"/>
    <s v="PT-1122"/>
    <s v="New Patient"/>
    <x v="0"/>
    <s v="Private Insurance"/>
    <s v="Neurologist"/>
    <x v="1"/>
    <n v="60"/>
    <n v="0"/>
    <n v="70.3"/>
    <n v="1600"/>
    <n v="0"/>
    <n v="1600"/>
    <n v="1"/>
    <n v="0"/>
    <n v="0"/>
    <n v="0.85"/>
  </r>
  <r>
    <s v="APT-01516"/>
    <d v="2025-04-07T00:00:00"/>
    <x v="6"/>
    <x v="1"/>
    <s v="Evening"/>
    <x v="0"/>
    <s v="Palakkad"/>
    <x v="0"/>
    <s v="PT-1199"/>
    <s v="Follow-up"/>
    <x v="0"/>
    <s v="Self Pay"/>
    <s v="Orthopedic Doctor"/>
    <x v="0"/>
    <n v="30"/>
    <n v="30"/>
    <n v="39.700000000000003"/>
    <n v="600"/>
    <n v="600"/>
    <n v="0"/>
    <n v="0"/>
    <n v="1"/>
    <n v="0"/>
    <n v="0.85"/>
  </r>
  <r>
    <s v="APT-01517"/>
    <d v="2025-09-07T00:00:00"/>
    <x v="2"/>
    <x v="6"/>
    <s v="Afternoon"/>
    <x v="2"/>
    <s v="Ernakulam"/>
    <x v="12"/>
    <s v="PT-1337"/>
    <s v="Follow-up"/>
    <x v="4"/>
    <s v="Government Scheme"/>
    <s v="Corporate Wellness"/>
    <x v="0"/>
    <n v="75"/>
    <n v="75"/>
    <n v="83.7"/>
    <n v="1600"/>
    <n v="1600"/>
    <n v="0"/>
    <n v="0"/>
    <n v="1"/>
    <n v="0"/>
    <n v="0.85"/>
  </r>
  <r>
    <s v="APT-01518"/>
    <d v="2025-09-30T00:00:00"/>
    <x v="2"/>
    <x v="0"/>
    <s v="Afternoon"/>
    <x v="2"/>
    <s v="Ernakulam"/>
    <x v="14"/>
    <s v="PT-1216"/>
    <s v="New Patient"/>
    <x v="0"/>
    <s v="Private Insurance"/>
    <s v="Corporate Wellness"/>
    <x v="0"/>
    <n v="45"/>
    <n v="45"/>
    <n v="58.1"/>
    <n v="1350"/>
    <n v="1350"/>
    <n v="0"/>
    <n v="0"/>
    <n v="1"/>
    <n v="0"/>
    <n v="0.85"/>
  </r>
  <r>
    <s v="APT-01519"/>
    <d v="2025-04-23T00:00:00"/>
    <x v="6"/>
    <x v="3"/>
    <s v="Morning"/>
    <x v="2"/>
    <s v="Ernakulam"/>
    <x v="3"/>
    <s v="PT-1372"/>
    <s v="Follow-up"/>
    <x v="1"/>
    <s v="Self Pay"/>
    <s v="Orthopedic Doctor"/>
    <x v="0"/>
    <n v="30"/>
    <n v="30"/>
    <n v="34.799999999999997"/>
    <n v="750"/>
    <n v="750"/>
    <n v="0"/>
    <n v="0"/>
    <n v="1"/>
    <n v="0"/>
    <n v="0.85"/>
  </r>
  <r>
    <s v="APT-01520"/>
    <d v="2025-07-14T00:00:00"/>
    <x v="8"/>
    <x v="1"/>
    <s v="Midday"/>
    <x v="1"/>
    <s v="Thrissur"/>
    <x v="1"/>
    <s v="PT-1534"/>
    <s v="Follow-up"/>
    <x v="3"/>
    <s v="Government Scheme"/>
    <s v="Neurologist"/>
    <x v="1"/>
    <n v="60"/>
    <n v="0"/>
    <n v="69"/>
    <n v="1150"/>
    <n v="0"/>
    <n v="1150"/>
    <n v="1"/>
    <n v="0"/>
    <n v="0"/>
    <n v="0.85"/>
  </r>
  <r>
    <s v="APT-01521"/>
    <d v="2025-10-04T00:00:00"/>
    <x v="7"/>
    <x v="5"/>
    <s v="Afternoon"/>
    <x v="2"/>
    <s v="Ernakulam"/>
    <x v="8"/>
    <s v="PT-1488"/>
    <s v="New Patient"/>
    <x v="2"/>
    <s v="Corporate Tie-up"/>
    <s v="Self Referral"/>
    <x v="0"/>
    <n v="60"/>
    <n v="60"/>
    <n v="69.900000000000006"/>
    <n v="1650"/>
    <n v="1650"/>
    <n v="0"/>
    <n v="0"/>
    <n v="1"/>
    <n v="0"/>
    <n v="0.85"/>
  </r>
  <r>
    <s v="APT-01522"/>
    <d v="2025-05-27T00:00:00"/>
    <x v="10"/>
    <x v="0"/>
    <s v="Morning"/>
    <x v="2"/>
    <s v="Ernakulam"/>
    <x v="4"/>
    <s v="PT-1467"/>
    <s v="Post-op Rehab"/>
    <x v="1"/>
    <s v="Private Insurance"/>
    <s v="Corporate Wellness"/>
    <x v="2"/>
    <n v="45"/>
    <n v="0"/>
    <n v="53.4"/>
    <n v="1300"/>
    <n v="0"/>
    <n v="1300"/>
    <n v="0"/>
    <n v="0"/>
    <n v="1"/>
    <n v="0.85"/>
  </r>
  <r>
    <s v="APT-01523"/>
    <d v="2025-04-30T00:00:00"/>
    <x v="6"/>
    <x v="3"/>
    <s v="Evening"/>
    <x v="2"/>
    <s v="Ernakulam"/>
    <x v="12"/>
    <s v="PT-1449"/>
    <s v="Sports Injury"/>
    <x v="5"/>
    <s v="Corporate Tie-up"/>
    <s v="Online Search"/>
    <x v="0"/>
    <n v="45"/>
    <n v="45"/>
    <n v="57.4"/>
    <n v="1050"/>
    <n v="1050"/>
    <n v="0"/>
    <n v="0"/>
    <n v="1"/>
    <n v="0"/>
    <n v="0.85"/>
  </r>
  <r>
    <s v="APT-01524"/>
    <d v="2025-02-18T00:00:00"/>
    <x v="5"/>
    <x v="0"/>
    <s v="Evening"/>
    <x v="1"/>
    <s v="Thrissur"/>
    <x v="10"/>
    <s v="PT-1668"/>
    <s v="New Patient"/>
    <x v="5"/>
    <s v="Self Pay"/>
    <s v="Hospital Discharge"/>
    <x v="0"/>
    <n v="90"/>
    <n v="90"/>
    <n v="116.9"/>
    <n v="2450"/>
    <n v="2450"/>
    <n v="0"/>
    <n v="0"/>
    <n v="1"/>
    <n v="0"/>
    <n v="0.85"/>
  </r>
  <r>
    <s v="APT-01525"/>
    <d v="2025-12-05T00:00:00"/>
    <x v="0"/>
    <x v="4"/>
    <s v="Afternoon"/>
    <x v="2"/>
    <s v="Ernakulam"/>
    <x v="4"/>
    <s v="PT-1376"/>
    <s v="Post-op Rehab"/>
    <x v="0"/>
    <s v="Private Insurance"/>
    <s v="Neurologist"/>
    <x v="0"/>
    <n v="45"/>
    <n v="45"/>
    <n v="59.5"/>
    <n v="1300"/>
    <n v="1300"/>
    <n v="0"/>
    <n v="0"/>
    <n v="1"/>
    <n v="0"/>
    <n v="0.85"/>
  </r>
  <r>
    <s v="APT-01526"/>
    <d v="2025-12-26T00:00:00"/>
    <x v="0"/>
    <x v="4"/>
    <s v="Morning"/>
    <x v="1"/>
    <s v="Thrissur"/>
    <x v="5"/>
    <s v="PT-1419"/>
    <s v="Post-op Rehab"/>
    <x v="5"/>
    <s v="Government Scheme"/>
    <s v="Corporate Wellness"/>
    <x v="0"/>
    <n v="45"/>
    <n v="45"/>
    <n v="51.4"/>
    <n v="1000"/>
    <n v="1000"/>
    <n v="0"/>
    <n v="0"/>
    <n v="1"/>
    <n v="0"/>
    <n v="0.85"/>
  </r>
  <r>
    <s v="APT-01527"/>
    <d v="2025-07-05T00:00:00"/>
    <x v="8"/>
    <x v="5"/>
    <s v="Evening"/>
    <x v="0"/>
    <s v="Palakkad"/>
    <x v="13"/>
    <s v="PT-1498"/>
    <s v="New Patient"/>
    <x v="1"/>
    <s v="Self Pay"/>
    <s v="Hospital Discharge"/>
    <x v="3"/>
    <n v="60"/>
    <n v="0"/>
    <n v="78.099999999999994"/>
    <n v="1500"/>
    <n v="0"/>
    <n v="0"/>
    <n v="0"/>
    <n v="0"/>
    <n v="0"/>
    <n v="0.85"/>
  </r>
  <r>
    <s v="APT-01528"/>
    <d v="2025-02-04T00:00:00"/>
    <x v="5"/>
    <x v="0"/>
    <s v="Afternoon"/>
    <x v="0"/>
    <s v="Palakkad"/>
    <x v="13"/>
    <s v="PT-1626"/>
    <s v="New Patient"/>
    <x v="2"/>
    <s v="Corporate Tie-up"/>
    <s v="Neurologist"/>
    <x v="0"/>
    <n v="60"/>
    <n v="60"/>
    <n v="70"/>
    <n v="1400"/>
    <n v="1400"/>
    <n v="0"/>
    <n v="0"/>
    <n v="1"/>
    <n v="0"/>
    <n v="0.85"/>
  </r>
  <r>
    <s v="APT-01529"/>
    <d v="2025-02-24T00:00:00"/>
    <x v="5"/>
    <x v="1"/>
    <s v="Evening"/>
    <x v="0"/>
    <s v="Palakkad"/>
    <x v="9"/>
    <s v="PT-1283"/>
    <s v="Follow-up"/>
    <x v="4"/>
    <s v="Private Insurance"/>
    <s v="Corporate Wellness"/>
    <x v="3"/>
    <n v="60"/>
    <n v="0"/>
    <n v="73.099999999999994"/>
    <n v="1250"/>
    <n v="0"/>
    <n v="0"/>
    <n v="0"/>
    <n v="0"/>
    <n v="0"/>
    <n v="0.85"/>
  </r>
  <r>
    <s v="APT-01530"/>
    <d v="2025-09-06T00:00:00"/>
    <x v="2"/>
    <x v="5"/>
    <s v="Afternoon"/>
    <x v="1"/>
    <s v="Thrissur"/>
    <x v="10"/>
    <s v="PT-1087"/>
    <s v="Follow-up"/>
    <x v="2"/>
    <s v="Self Pay"/>
    <s v="Orthopedic Doctor"/>
    <x v="0"/>
    <n v="60"/>
    <n v="60"/>
    <n v="76.099999999999994"/>
    <n v="1350"/>
    <n v="1350"/>
    <n v="0"/>
    <n v="0"/>
    <n v="1"/>
    <n v="0"/>
    <n v="0.85"/>
  </r>
  <r>
    <s v="APT-01531"/>
    <d v="2025-03-20T00:00:00"/>
    <x v="3"/>
    <x v="2"/>
    <s v="Afternoon"/>
    <x v="2"/>
    <s v="Ernakulam"/>
    <x v="14"/>
    <s v="PT-1332"/>
    <s v="New Patient"/>
    <x v="5"/>
    <s v="Private Insurance"/>
    <s v="Self Referral"/>
    <x v="0"/>
    <n v="60"/>
    <n v="60"/>
    <n v="74.7"/>
    <n v="1800"/>
    <n v="1800"/>
    <n v="0"/>
    <n v="0"/>
    <n v="1"/>
    <n v="0"/>
    <n v="0.85"/>
  </r>
  <r>
    <s v="APT-01532"/>
    <d v="2025-12-26T00:00:00"/>
    <x v="0"/>
    <x v="4"/>
    <s v="Evening"/>
    <x v="0"/>
    <s v="Palakkad"/>
    <x v="11"/>
    <s v="PT-1661"/>
    <s v="Follow-up"/>
    <x v="0"/>
    <s v="Corporate Tie-up"/>
    <s v="Neurologist"/>
    <x v="1"/>
    <n v="45"/>
    <n v="0"/>
    <n v="60.4"/>
    <n v="850"/>
    <n v="0"/>
    <n v="850"/>
    <n v="1"/>
    <n v="0"/>
    <n v="0"/>
    <n v="0.85"/>
  </r>
  <r>
    <s v="APT-01533"/>
    <d v="2025-11-27T00:00:00"/>
    <x v="1"/>
    <x v="2"/>
    <s v="Evening"/>
    <x v="0"/>
    <s v="Palakkad"/>
    <x v="9"/>
    <s v="PT-1395"/>
    <s v="Chronic Pain"/>
    <x v="2"/>
    <s v="Self Pay"/>
    <s v="Self Referral"/>
    <x v="2"/>
    <n v="45"/>
    <n v="0"/>
    <n v="50.1"/>
    <n v="950"/>
    <n v="0"/>
    <n v="950"/>
    <n v="0"/>
    <n v="0"/>
    <n v="1"/>
    <n v="0.85"/>
  </r>
  <r>
    <s v="APT-01534"/>
    <d v="2025-12-01T00:00:00"/>
    <x v="0"/>
    <x v="1"/>
    <s v="Evening"/>
    <x v="0"/>
    <s v="Palakkad"/>
    <x v="9"/>
    <s v="PT-1072"/>
    <s v="Sports Injury"/>
    <x v="0"/>
    <s v="Private Insurance"/>
    <s v="Neurologist"/>
    <x v="0"/>
    <n v="60"/>
    <n v="60"/>
    <n v="68"/>
    <n v="1250"/>
    <n v="1250"/>
    <n v="0"/>
    <n v="0"/>
    <n v="1"/>
    <n v="0"/>
    <n v="0.85"/>
  </r>
  <r>
    <s v="APT-01535"/>
    <d v="2025-09-27T00:00:00"/>
    <x v="2"/>
    <x v="5"/>
    <s v="Evening"/>
    <x v="2"/>
    <s v="Ernakulam"/>
    <x v="4"/>
    <s v="PT-1102"/>
    <s v="Chronic Pain"/>
    <x v="2"/>
    <s v="Government Scheme"/>
    <s v="Hospital Discharge"/>
    <x v="0"/>
    <n v="45"/>
    <n v="45"/>
    <n v="50.7"/>
    <n v="950"/>
    <n v="950"/>
    <n v="0"/>
    <n v="0"/>
    <n v="1"/>
    <n v="0"/>
    <n v="0.85"/>
  </r>
  <r>
    <s v="APT-01536"/>
    <d v="2025-04-01T00:00:00"/>
    <x v="6"/>
    <x v="0"/>
    <s v="Afternoon"/>
    <x v="0"/>
    <s v="Palakkad"/>
    <x v="6"/>
    <s v="PT-1074"/>
    <s v="Follow-up"/>
    <x v="0"/>
    <s v="Private Insurance"/>
    <s v="Online Search"/>
    <x v="0"/>
    <n v="45"/>
    <n v="45"/>
    <n v="57.1"/>
    <n v="950"/>
    <n v="950"/>
    <n v="0"/>
    <n v="0"/>
    <n v="1"/>
    <n v="0"/>
    <n v="0.85"/>
  </r>
  <r>
    <s v="APT-01537"/>
    <d v="2025-03-05T00:00:00"/>
    <x v="3"/>
    <x v="3"/>
    <s v="Evening"/>
    <x v="0"/>
    <s v="Palakkad"/>
    <x v="6"/>
    <s v="PT-1104"/>
    <s v="Chronic Pain"/>
    <x v="0"/>
    <s v="Private Insurance"/>
    <s v="Orthopedic Doctor"/>
    <x v="0"/>
    <n v="60"/>
    <n v="60"/>
    <n v="69.8"/>
    <n v="1250"/>
    <n v="1250"/>
    <n v="0"/>
    <n v="0"/>
    <n v="1"/>
    <n v="0"/>
    <n v="0.85"/>
  </r>
  <r>
    <s v="APT-01538"/>
    <d v="2025-01-09T00:00:00"/>
    <x v="11"/>
    <x v="2"/>
    <s v="Midday"/>
    <x v="1"/>
    <s v="Thrissur"/>
    <x v="5"/>
    <s v="PT-1452"/>
    <s v="New Patient"/>
    <x v="0"/>
    <s v="Self Pay"/>
    <s v="Orthopedic Doctor"/>
    <x v="0"/>
    <n v="45"/>
    <n v="45"/>
    <n v="52.1"/>
    <n v="1200"/>
    <n v="1200"/>
    <n v="0"/>
    <n v="0"/>
    <n v="1"/>
    <n v="0"/>
    <n v="0.85"/>
  </r>
  <r>
    <s v="APT-01539"/>
    <d v="2025-06-30T00:00:00"/>
    <x v="4"/>
    <x v="1"/>
    <s v="Morning"/>
    <x v="2"/>
    <s v="Ernakulam"/>
    <x v="4"/>
    <s v="PT-1691"/>
    <s v="Chronic Pain"/>
    <x v="3"/>
    <s v="Private Insurance"/>
    <s v="Corporate Wellness"/>
    <x v="0"/>
    <n v="30"/>
    <n v="30"/>
    <n v="35.1"/>
    <n v="750"/>
    <n v="750"/>
    <n v="0"/>
    <n v="0"/>
    <n v="1"/>
    <n v="0"/>
    <n v="0.85"/>
  </r>
  <r>
    <s v="APT-01540"/>
    <d v="2025-12-29T00:00:00"/>
    <x v="0"/>
    <x v="1"/>
    <s v="Evening"/>
    <x v="2"/>
    <s v="Ernakulam"/>
    <x v="12"/>
    <s v="PT-1361"/>
    <s v="Follow-up"/>
    <x v="2"/>
    <s v="Self Pay"/>
    <s v="Neurologist"/>
    <x v="2"/>
    <n v="60"/>
    <n v="0"/>
    <n v="72"/>
    <n v="1500"/>
    <n v="0"/>
    <n v="1500"/>
    <n v="0"/>
    <n v="0"/>
    <n v="1"/>
    <n v="0.85"/>
  </r>
  <r>
    <s v="APT-01541"/>
    <d v="2025-04-29T00:00:00"/>
    <x v="6"/>
    <x v="0"/>
    <s v="Midday"/>
    <x v="1"/>
    <s v="Thrissur"/>
    <x v="5"/>
    <s v="PT-1155"/>
    <s v="Sports Injury"/>
    <x v="3"/>
    <s v="Corporate Tie-up"/>
    <s v="Orthopedic Doctor"/>
    <x v="0"/>
    <n v="60"/>
    <n v="60"/>
    <n v="79.3"/>
    <n v="1250"/>
    <n v="1250"/>
    <n v="0"/>
    <n v="0"/>
    <n v="1"/>
    <n v="0"/>
    <n v="0.85"/>
  </r>
  <r>
    <s v="APT-01542"/>
    <d v="2025-04-24T00:00:00"/>
    <x v="6"/>
    <x v="2"/>
    <s v="Evening"/>
    <x v="1"/>
    <s v="Thrissur"/>
    <x v="2"/>
    <s v="PT-1367"/>
    <s v="Chronic Pain"/>
    <x v="2"/>
    <s v="Corporate Tie-up"/>
    <s v="Neurologist"/>
    <x v="0"/>
    <n v="45"/>
    <n v="45"/>
    <n v="54.1"/>
    <n v="950"/>
    <n v="950"/>
    <n v="0"/>
    <n v="0"/>
    <n v="1"/>
    <n v="0"/>
    <n v="0.85"/>
  </r>
  <r>
    <s v="APT-01543"/>
    <d v="2025-06-16T00:00:00"/>
    <x v="4"/>
    <x v="1"/>
    <s v="Morning"/>
    <x v="0"/>
    <s v="Palakkad"/>
    <x v="6"/>
    <s v="PT-1458"/>
    <s v="Follow-up"/>
    <x v="4"/>
    <s v="Self Pay"/>
    <s v="Orthopedic Doctor"/>
    <x v="0"/>
    <n v="60"/>
    <n v="60"/>
    <n v="70.599999999999994"/>
    <n v="1250"/>
    <n v="1250"/>
    <n v="0"/>
    <n v="0"/>
    <n v="1"/>
    <n v="0"/>
    <n v="0.85"/>
  </r>
  <r>
    <s v="APT-01544"/>
    <d v="2025-08-18T00:00:00"/>
    <x v="9"/>
    <x v="1"/>
    <s v="Midday"/>
    <x v="1"/>
    <s v="Thrissur"/>
    <x v="10"/>
    <s v="PT-1358"/>
    <s v="Follow-up"/>
    <x v="0"/>
    <s v="Corporate Tie-up"/>
    <s v="Online Search"/>
    <x v="0"/>
    <n v="60"/>
    <n v="60"/>
    <n v="70.599999999999994"/>
    <n v="1250"/>
    <n v="1250"/>
    <n v="0"/>
    <n v="0"/>
    <n v="1"/>
    <n v="0"/>
    <n v="0.85"/>
  </r>
  <r>
    <s v="APT-01545"/>
    <d v="2025-01-31T00:00:00"/>
    <x v="11"/>
    <x v="4"/>
    <s v="Morning"/>
    <x v="2"/>
    <s v="Ernakulam"/>
    <x v="4"/>
    <s v="PT-1224"/>
    <s v="Follow-up"/>
    <x v="0"/>
    <s v="Self Pay"/>
    <s v="Orthopedic Doctor"/>
    <x v="0"/>
    <n v="45"/>
    <n v="45"/>
    <n v="57.5"/>
    <n v="1100"/>
    <n v="1100"/>
    <n v="0"/>
    <n v="0"/>
    <n v="1"/>
    <n v="0"/>
    <n v="0.85"/>
  </r>
  <r>
    <s v="APT-01546"/>
    <d v="2025-09-01T00:00:00"/>
    <x v="2"/>
    <x v="1"/>
    <s v="Morning"/>
    <x v="2"/>
    <s v="Ernakulam"/>
    <x v="3"/>
    <s v="PT-1160"/>
    <s v="New Patient"/>
    <x v="2"/>
    <s v="Private Insurance"/>
    <s v="Corporate Wellness"/>
    <x v="0"/>
    <n v="30"/>
    <n v="30"/>
    <n v="35.299999999999997"/>
    <n v="900"/>
    <n v="900"/>
    <n v="0"/>
    <n v="0"/>
    <n v="1"/>
    <n v="0"/>
    <n v="0.85"/>
  </r>
  <r>
    <s v="APT-01547"/>
    <d v="2025-11-05T00:00:00"/>
    <x v="1"/>
    <x v="3"/>
    <s v="Evening"/>
    <x v="1"/>
    <s v="Thrissur"/>
    <x v="1"/>
    <s v="PT-1210"/>
    <s v="Follow-up"/>
    <x v="3"/>
    <s v="Self Pay"/>
    <s v="Self Referral"/>
    <x v="0"/>
    <n v="30"/>
    <n v="30"/>
    <n v="38.9"/>
    <n v="700"/>
    <n v="700"/>
    <n v="0"/>
    <n v="0"/>
    <n v="1"/>
    <n v="0"/>
    <n v="0.85"/>
  </r>
  <r>
    <s v="APT-01548"/>
    <d v="2025-03-15T00:00:00"/>
    <x v="3"/>
    <x v="5"/>
    <s v="Evening"/>
    <x v="0"/>
    <s v="Palakkad"/>
    <x v="11"/>
    <s v="PT-1625"/>
    <s v="New Patient"/>
    <x v="3"/>
    <s v="Corporate Tie-up"/>
    <s v="Online Search"/>
    <x v="0"/>
    <n v="45"/>
    <n v="45"/>
    <n v="57.2"/>
    <n v="1050"/>
    <n v="1050"/>
    <n v="0"/>
    <n v="0"/>
    <n v="1"/>
    <n v="0"/>
    <n v="0.85"/>
  </r>
  <r>
    <s v="APT-01549"/>
    <d v="2025-01-10T00:00:00"/>
    <x v="11"/>
    <x v="4"/>
    <s v="Evening"/>
    <x v="2"/>
    <s v="Ernakulam"/>
    <x v="12"/>
    <s v="PT-1212"/>
    <s v="Follow-up"/>
    <x v="0"/>
    <s v="Government Scheme"/>
    <s v="Online Search"/>
    <x v="0"/>
    <n v="60"/>
    <n v="60"/>
    <n v="75.7"/>
    <n v="1300"/>
    <n v="1300"/>
    <n v="0"/>
    <n v="0"/>
    <n v="1"/>
    <n v="0"/>
    <n v="0.85"/>
  </r>
  <r>
    <s v="APT-01550"/>
    <d v="2025-12-16T00:00:00"/>
    <x v="0"/>
    <x v="0"/>
    <s v="Afternoon"/>
    <x v="0"/>
    <s v="Palakkad"/>
    <x v="11"/>
    <s v="PT-1309"/>
    <s v="Follow-up"/>
    <x v="2"/>
    <s v="Private Insurance"/>
    <s v="Hospital Discharge"/>
    <x v="0"/>
    <n v="30"/>
    <n v="30"/>
    <n v="32.799999999999997"/>
    <n v="600"/>
    <n v="600"/>
    <n v="0"/>
    <n v="0"/>
    <n v="1"/>
    <n v="0"/>
    <n v="0.85"/>
  </r>
  <r>
    <s v="APT-01551"/>
    <d v="2025-01-18T00:00:00"/>
    <x v="11"/>
    <x v="5"/>
    <s v="Afternoon"/>
    <x v="1"/>
    <s v="Thrissur"/>
    <x v="7"/>
    <s v="PT-1546"/>
    <s v="Geriatric Rehab"/>
    <x v="0"/>
    <s v="Corporate Tie-up"/>
    <s v="Orthopedic Doctor"/>
    <x v="1"/>
    <n v="60"/>
    <n v="0"/>
    <n v="74.2"/>
    <n v="1250"/>
    <n v="0"/>
    <n v="1250"/>
    <n v="1"/>
    <n v="0"/>
    <n v="0"/>
    <n v="0.85"/>
  </r>
  <r>
    <s v="APT-01552"/>
    <d v="2025-01-14T00:00:00"/>
    <x v="11"/>
    <x v="0"/>
    <s v="Morning"/>
    <x v="2"/>
    <s v="Ernakulam"/>
    <x v="3"/>
    <s v="PT-1169"/>
    <s v="Sports Injury"/>
    <x v="5"/>
    <s v="Corporate Tie-up"/>
    <s v="Orthopedic Doctor"/>
    <x v="0"/>
    <n v="60"/>
    <n v="60"/>
    <n v="75.8"/>
    <n v="1400"/>
    <n v="1400"/>
    <n v="0"/>
    <n v="0"/>
    <n v="1"/>
    <n v="0"/>
    <n v="0.85"/>
  </r>
  <r>
    <s v="APT-01553"/>
    <d v="2025-10-19T00:00:00"/>
    <x v="7"/>
    <x v="6"/>
    <s v="Morning"/>
    <x v="1"/>
    <s v="Thrissur"/>
    <x v="2"/>
    <s v="PT-1571"/>
    <s v="Chronic Pain"/>
    <x v="4"/>
    <s v="Self Pay"/>
    <s v="Corporate Wellness"/>
    <x v="2"/>
    <n v="75"/>
    <n v="0"/>
    <n v="83.7"/>
    <n v="1700"/>
    <n v="0"/>
    <n v="1700"/>
    <n v="0"/>
    <n v="0"/>
    <n v="1"/>
    <n v="0.85"/>
  </r>
  <r>
    <s v="APT-01554"/>
    <d v="2025-04-25T00:00:00"/>
    <x v="6"/>
    <x v="4"/>
    <s v="Afternoon"/>
    <x v="1"/>
    <s v="Thrissur"/>
    <x v="5"/>
    <s v="PT-1629"/>
    <s v="Post-op Rehab"/>
    <x v="1"/>
    <s v="Government Scheme"/>
    <s v="Orthopedic Doctor"/>
    <x v="0"/>
    <n v="60"/>
    <n v="60"/>
    <n v="72.7"/>
    <n v="1300"/>
    <n v="1300"/>
    <n v="0"/>
    <n v="0"/>
    <n v="1"/>
    <n v="0"/>
    <n v="0.85"/>
  </r>
  <r>
    <s v="APT-01555"/>
    <d v="2025-09-30T00:00:00"/>
    <x v="2"/>
    <x v="0"/>
    <s v="Afternoon"/>
    <x v="2"/>
    <s v="Ernakulam"/>
    <x v="8"/>
    <s v="PT-1389"/>
    <s v="Geriatric Rehab"/>
    <x v="2"/>
    <s v="Private Insurance"/>
    <s v="Neurologist"/>
    <x v="0"/>
    <n v="45"/>
    <n v="45"/>
    <n v="50.7"/>
    <n v="1100"/>
    <n v="1100"/>
    <n v="0"/>
    <n v="0"/>
    <n v="1"/>
    <n v="0"/>
    <n v="0.85"/>
  </r>
  <r>
    <s v="APT-01556"/>
    <d v="2025-09-16T00:00:00"/>
    <x v="2"/>
    <x v="0"/>
    <s v="Midday"/>
    <x v="0"/>
    <s v="Palakkad"/>
    <x v="0"/>
    <s v="PT-1221"/>
    <s v="Follow-up"/>
    <x v="0"/>
    <s v="Self Pay"/>
    <s v="Neurologist"/>
    <x v="0"/>
    <n v="45"/>
    <n v="45"/>
    <n v="53"/>
    <n v="950"/>
    <n v="950"/>
    <n v="0"/>
    <n v="0"/>
    <n v="1"/>
    <n v="0"/>
    <n v="0.85"/>
  </r>
  <r>
    <s v="APT-01557"/>
    <d v="2025-05-26T00:00:00"/>
    <x v="10"/>
    <x v="1"/>
    <s v="Afternoon"/>
    <x v="2"/>
    <s v="Ernakulam"/>
    <x v="14"/>
    <s v="PT-1685"/>
    <s v="Follow-up"/>
    <x v="2"/>
    <s v="Self Pay"/>
    <s v="Orthopedic Doctor"/>
    <x v="0"/>
    <n v="30"/>
    <n v="30"/>
    <n v="33.9"/>
    <n v="750"/>
    <n v="750"/>
    <n v="0"/>
    <n v="0"/>
    <n v="1"/>
    <n v="0"/>
    <n v="0.85"/>
  </r>
  <r>
    <s v="APT-01558"/>
    <d v="2025-05-27T00:00:00"/>
    <x v="10"/>
    <x v="0"/>
    <s v="Evening"/>
    <x v="0"/>
    <s v="Palakkad"/>
    <x v="11"/>
    <s v="PT-1146"/>
    <s v="Chronic Pain"/>
    <x v="4"/>
    <s v="Private Insurance"/>
    <s v="Online Search"/>
    <x v="0"/>
    <n v="60"/>
    <n v="60"/>
    <n v="78.5"/>
    <n v="1250"/>
    <n v="1250"/>
    <n v="0"/>
    <n v="0"/>
    <n v="1"/>
    <n v="0"/>
    <n v="0.85"/>
  </r>
  <r>
    <s v="APT-01559"/>
    <d v="2025-08-19T00:00:00"/>
    <x v="9"/>
    <x v="0"/>
    <s v="Morning"/>
    <x v="2"/>
    <s v="Ernakulam"/>
    <x v="8"/>
    <s v="PT-1365"/>
    <s v="New Patient"/>
    <x v="2"/>
    <s v="Self Pay"/>
    <s v="Online Search"/>
    <x v="0"/>
    <n v="45"/>
    <n v="45"/>
    <n v="58.3"/>
    <n v="1350"/>
    <n v="1350"/>
    <n v="0"/>
    <n v="0"/>
    <n v="1"/>
    <n v="0"/>
    <n v="0.85"/>
  </r>
  <r>
    <s v="APT-01560"/>
    <d v="2025-10-21T00:00:00"/>
    <x v="7"/>
    <x v="0"/>
    <s v="Morning"/>
    <x v="0"/>
    <s v="Palakkad"/>
    <x v="0"/>
    <s v="PT-1179"/>
    <s v="Chronic Pain"/>
    <x v="3"/>
    <s v="Private Insurance"/>
    <s v="Neurologist"/>
    <x v="0"/>
    <n v="30"/>
    <n v="30"/>
    <n v="36.1"/>
    <n v="600"/>
    <n v="600"/>
    <n v="0"/>
    <n v="0"/>
    <n v="1"/>
    <n v="0"/>
    <n v="0.85"/>
  </r>
  <r>
    <s v="APT-01561"/>
    <d v="2025-06-19T00:00:00"/>
    <x v="4"/>
    <x v="2"/>
    <s v="Evening"/>
    <x v="2"/>
    <s v="Ernakulam"/>
    <x v="3"/>
    <s v="PT-1642"/>
    <s v="Chronic Pain"/>
    <x v="5"/>
    <s v="Self Pay"/>
    <s v="Neurologist"/>
    <x v="0"/>
    <n v="90"/>
    <n v="90"/>
    <n v="112.5"/>
    <n v="2250"/>
    <n v="2250"/>
    <n v="0"/>
    <n v="0"/>
    <n v="1"/>
    <n v="0"/>
    <n v="0.85"/>
  </r>
  <r>
    <s v="APT-01562"/>
    <d v="2025-10-10T00:00:00"/>
    <x v="7"/>
    <x v="4"/>
    <s v="Afternoon"/>
    <x v="1"/>
    <s v="Thrissur"/>
    <x v="2"/>
    <s v="PT-1333"/>
    <s v="Geriatric Rehab"/>
    <x v="4"/>
    <s v="Private Insurance"/>
    <s v="Neurologist"/>
    <x v="1"/>
    <n v="90"/>
    <n v="0"/>
    <n v="105.4"/>
    <n v="2000"/>
    <n v="0"/>
    <n v="2000"/>
    <n v="1"/>
    <n v="0"/>
    <n v="0"/>
    <n v="0.85"/>
  </r>
  <r>
    <s v="APT-01563"/>
    <d v="2025-01-07T00:00:00"/>
    <x v="11"/>
    <x v="0"/>
    <s v="Morning"/>
    <x v="1"/>
    <s v="Thrissur"/>
    <x v="1"/>
    <s v="PT-1411"/>
    <s v="Sports Injury"/>
    <x v="5"/>
    <s v="Corporate Tie-up"/>
    <s v="Hospital Discharge"/>
    <x v="0"/>
    <n v="30"/>
    <n v="30"/>
    <n v="38.799999999999997"/>
    <n v="600"/>
    <n v="600"/>
    <n v="0"/>
    <n v="0"/>
    <n v="1"/>
    <n v="0"/>
    <n v="0.85"/>
  </r>
  <r>
    <s v="APT-01564"/>
    <d v="2025-07-24T00:00:00"/>
    <x v="8"/>
    <x v="2"/>
    <s v="Evening"/>
    <x v="0"/>
    <s v="Palakkad"/>
    <x v="9"/>
    <s v="PT-1170"/>
    <s v="New Patient"/>
    <x v="0"/>
    <s v="Self Pay"/>
    <s v="Self Referral"/>
    <x v="0"/>
    <n v="90"/>
    <n v="90"/>
    <n v="98.9"/>
    <n v="2250"/>
    <n v="2250"/>
    <n v="0"/>
    <n v="0"/>
    <n v="1"/>
    <n v="0"/>
    <n v="0.85"/>
  </r>
  <r>
    <s v="APT-01565"/>
    <d v="2025-10-15T00:00:00"/>
    <x v="7"/>
    <x v="3"/>
    <s v="Afternoon"/>
    <x v="0"/>
    <s v="Palakkad"/>
    <x v="13"/>
    <s v="PT-1208"/>
    <s v="Follow-up"/>
    <x v="4"/>
    <s v="Corporate Tie-up"/>
    <s v="Corporate Wellness"/>
    <x v="0"/>
    <n v="30"/>
    <n v="30"/>
    <n v="36.4"/>
    <n v="600"/>
    <n v="600"/>
    <n v="0"/>
    <n v="0"/>
    <n v="1"/>
    <n v="0"/>
    <n v="0.85"/>
  </r>
  <r>
    <s v="APT-01566"/>
    <d v="2025-11-21T00:00:00"/>
    <x v="1"/>
    <x v="4"/>
    <s v="Morning"/>
    <x v="1"/>
    <s v="Thrissur"/>
    <x v="1"/>
    <s v="PT-1398"/>
    <s v="Follow-up"/>
    <x v="0"/>
    <s v="Private Insurance"/>
    <s v="Orthopedic Doctor"/>
    <x v="0"/>
    <n v="45"/>
    <n v="45"/>
    <n v="57.7"/>
    <n v="1000"/>
    <n v="1000"/>
    <n v="0"/>
    <n v="0"/>
    <n v="1"/>
    <n v="0"/>
    <n v="0.85"/>
  </r>
  <r>
    <s v="APT-01567"/>
    <d v="2025-09-15T00:00:00"/>
    <x v="2"/>
    <x v="1"/>
    <s v="Evening"/>
    <x v="0"/>
    <s v="Palakkad"/>
    <x v="9"/>
    <s v="PT-1065"/>
    <s v="Follow-up"/>
    <x v="3"/>
    <s v="Corporate Tie-up"/>
    <s v="Self Referral"/>
    <x v="0"/>
    <n v="45"/>
    <n v="45"/>
    <n v="52.8"/>
    <n v="850"/>
    <n v="850"/>
    <n v="0"/>
    <n v="0"/>
    <n v="1"/>
    <n v="0"/>
    <n v="0.85"/>
  </r>
  <r>
    <s v="APT-01568"/>
    <d v="2025-03-17T00:00:00"/>
    <x v="3"/>
    <x v="1"/>
    <s v="Morning"/>
    <x v="1"/>
    <s v="Thrissur"/>
    <x v="10"/>
    <s v="PT-1267"/>
    <s v="Post-op Rehab"/>
    <x v="1"/>
    <s v="Self Pay"/>
    <s v="Orthopedic Doctor"/>
    <x v="0"/>
    <n v="75"/>
    <n v="75"/>
    <n v="86.5"/>
    <n v="1950"/>
    <n v="1950"/>
    <n v="0"/>
    <n v="0"/>
    <n v="1"/>
    <n v="0"/>
    <n v="0.85"/>
  </r>
  <r>
    <s v="APT-01569"/>
    <d v="2025-08-26T00:00:00"/>
    <x v="9"/>
    <x v="0"/>
    <s v="Midday"/>
    <x v="2"/>
    <s v="Ernakulam"/>
    <x v="8"/>
    <s v="PT-1515"/>
    <s v="Follow-up"/>
    <x v="5"/>
    <s v="Government Scheme"/>
    <s v="Online Search"/>
    <x v="1"/>
    <n v="60"/>
    <n v="0"/>
    <n v="71.8"/>
    <n v="1300"/>
    <n v="0"/>
    <n v="1300"/>
    <n v="1"/>
    <n v="0"/>
    <n v="0"/>
    <n v="0.85"/>
  </r>
  <r>
    <s v="APT-01570"/>
    <d v="2025-12-01T00:00:00"/>
    <x v="0"/>
    <x v="1"/>
    <s v="Evening"/>
    <x v="1"/>
    <s v="Thrissur"/>
    <x v="7"/>
    <s v="PT-1158"/>
    <s v="Chronic Pain"/>
    <x v="5"/>
    <s v="Private Insurance"/>
    <s v="Online Search"/>
    <x v="0"/>
    <n v="60"/>
    <n v="60"/>
    <n v="74.599999999999994"/>
    <n v="1350"/>
    <n v="1350"/>
    <n v="0"/>
    <n v="0"/>
    <n v="1"/>
    <n v="0"/>
    <n v="0.85"/>
  </r>
  <r>
    <s v="APT-01571"/>
    <d v="2025-11-04T00:00:00"/>
    <x v="1"/>
    <x v="0"/>
    <s v="Evening"/>
    <x v="0"/>
    <s v="Palakkad"/>
    <x v="6"/>
    <s v="PT-1095"/>
    <s v="Chronic Pain"/>
    <x v="3"/>
    <s v="Self Pay"/>
    <s v="Self Referral"/>
    <x v="2"/>
    <n v="60"/>
    <n v="0"/>
    <n v="79.099999999999994"/>
    <n v="1250"/>
    <n v="0"/>
    <n v="1250"/>
    <n v="0"/>
    <n v="0"/>
    <n v="1"/>
    <n v="0.85"/>
  </r>
  <r>
    <s v="APT-01572"/>
    <d v="2025-09-09T00:00:00"/>
    <x v="2"/>
    <x v="0"/>
    <s v="Midday"/>
    <x v="2"/>
    <s v="Ernakulam"/>
    <x v="14"/>
    <s v="PT-1606"/>
    <s v="Geriatric Rehab"/>
    <x v="2"/>
    <s v="Corporate Tie-up"/>
    <s v="Self Referral"/>
    <x v="0"/>
    <n v="45"/>
    <n v="45"/>
    <n v="55.6"/>
    <n v="1050"/>
    <n v="1050"/>
    <n v="0"/>
    <n v="0"/>
    <n v="1"/>
    <n v="0"/>
    <n v="0.85"/>
  </r>
  <r>
    <s v="APT-01573"/>
    <d v="2025-10-23T00:00:00"/>
    <x v="7"/>
    <x v="2"/>
    <s v="Morning"/>
    <x v="2"/>
    <s v="Ernakulam"/>
    <x v="8"/>
    <s v="PT-1398"/>
    <s v="New Patient"/>
    <x v="3"/>
    <s v="Self Pay"/>
    <s v="Hospital Discharge"/>
    <x v="0"/>
    <n v="60"/>
    <n v="60"/>
    <n v="68.099999999999994"/>
    <n v="1800"/>
    <n v="1800"/>
    <n v="0"/>
    <n v="0"/>
    <n v="1"/>
    <n v="0"/>
    <n v="0.85"/>
  </r>
  <r>
    <s v="APT-01574"/>
    <d v="2025-06-18T00:00:00"/>
    <x v="4"/>
    <x v="3"/>
    <s v="Afternoon"/>
    <x v="2"/>
    <s v="Ernakulam"/>
    <x v="14"/>
    <s v="PT-1024"/>
    <s v="Chronic Pain"/>
    <x v="1"/>
    <s v="Private Insurance"/>
    <s v="Online Search"/>
    <x v="0"/>
    <n v="45"/>
    <n v="45"/>
    <n v="49.1"/>
    <n v="1100"/>
    <n v="1100"/>
    <n v="0"/>
    <n v="0"/>
    <n v="1"/>
    <n v="0"/>
    <n v="0.85"/>
  </r>
  <r>
    <s v="APT-01575"/>
    <d v="2025-08-23T00:00:00"/>
    <x v="9"/>
    <x v="5"/>
    <s v="Afternoon"/>
    <x v="2"/>
    <s v="Ernakulam"/>
    <x v="8"/>
    <s v="PT-1005"/>
    <s v="New Patient"/>
    <x v="5"/>
    <s v="Self Pay"/>
    <s v="Hospital Discharge"/>
    <x v="0"/>
    <n v="60"/>
    <n v="60"/>
    <n v="71.099999999999994"/>
    <n v="1800"/>
    <n v="1800"/>
    <n v="0"/>
    <n v="0"/>
    <n v="1"/>
    <n v="0"/>
    <n v="0.85"/>
  </r>
  <r>
    <s v="APT-01576"/>
    <d v="2025-10-18T00:00:00"/>
    <x v="7"/>
    <x v="5"/>
    <s v="Morning"/>
    <x v="0"/>
    <s v="Palakkad"/>
    <x v="0"/>
    <s v="PT-1081"/>
    <s v="Follow-up"/>
    <x v="5"/>
    <s v="Self Pay"/>
    <s v="Online Search"/>
    <x v="0"/>
    <n v="60"/>
    <n v="60"/>
    <n v="75.099999999999994"/>
    <n v="1250"/>
    <n v="1250"/>
    <n v="0"/>
    <n v="0"/>
    <n v="1"/>
    <n v="0"/>
    <n v="0.85"/>
  </r>
  <r>
    <s v="APT-01577"/>
    <d v="2025-05-26T00:00:00"/>
    <x v="10"/>
    <x v="1"/>
    <s v="Midday"/>
    <x v="1"/>
    <s v="Thrissur"/>
    <x v="10"/>
    <s v="PT-1366"/>
    <s v="Follow-up"/>
    <x v="3"/>
    <s v="Self Pay"/>
    <s v="Self Referral"/>
    <x v="0"/>
    <n v="75"/>
    <n v="75"/>
    <n v="91"/>
    <n v="1700"/>
    <n v="1700"/>
    <n v="0"/>
    <n v="0"/>
    <n v="1"/>
    <n v="0"/>
    <n v="0.85"/>
  </r>
  <r>
    <s v="APT-01578"/>
    <d v="2025-07-30T00:00:00"/>
    <x v="8"/>
    <x v="3"/>
    <s v="Midday"/>
    <x v="2"/>
    <s v="Ernakulam"/>
    <x v="8"/>
    <s v="PT-1494"/>
    <s v="Chronic Pain"/>
    <x v="2"/>
    <s v="Government Scheme"/>
    <s v="Hospital Discharge"/>
    <x v="0"/>
    <n v="60"/>
    <n v="60"/>
    <n v="70.099999999999994"/>
    <n v="1300"/>
    <n v="1300"/>
    <n v="0"/>
    <n v="0"/>
    <n v="1"/>
    <n v="0"/>
    <n v="0.85"/>
  </r>
  <r>
    <s v="APT-01579"/>
    <d v="2025-12-15T00:00:00"/>
    <x v="0"/>
    <x v="1"/>
    <s v="Midday"/>
    <x v="0"/>
    <s v="Palakkad"/>
    <x v="9"/>
    <s v="PT-1326"/>
    <s v="Post-op Rehab"/>
    <x v="2"/>
    <s v="Private Insurance"/>
    <s v="Corporate Wellness"/>
    <x v="0"/>
    <n v="30"/>
    <n v="30"/>
    <n v="34.799999999999997"/>
    <n v="700"/>
    <n v="700"/>
    <n v="0"/>
    <n v="0"/>
    <n v="1"/>
    <n v="0"/>
    <n v="0.85"/>
  </r>
  <r>
    <s v="APT-01580"/>
    <d v="2025-04-12T00:00:00"/>
    <x v="6"/>
    <x v="5"/>
    <s v="Morning"/>
    <x v="2"/>
    <s v="Ernakulam"/>
    <x v="3"/>
    <s v="PT-1012"/>
    <s v="Follow-up"/>
    <x v="4"/>
    <s v="Private Insurance"/>
    <s v="Neurologist"/>
    <x v="0"/>
    <n v="45"/>
    <n v="45"/>
    <n v="50.7"/>
    <n v="1100"/>
    <n v="1100"/>
    <n v="0"/>
    <n v="0"/>
    <n v="1"/>
    <n v="0"/>
    <n v="0.85"/>
  </r>
  <r>
    <s v="APT-01581"/>
    <d v="2025-02-23T00:00:00"/>
    <x v="5"/>
    <x v="6"/>
    <s v="Midday"/>
    <x v="1"/>
    <s v="Thrissur"/>
    <x v="2"/>
    <s v="PT-1299"/>
    <s v="Follow-up"/>
    <x v="2"/>
    <s v="Self Pay"/>
    <s v="Corporate Wellness"/>
    <x v="0"/>
    <n v="45"/>
    <n v="45"/>
    <n v="58.2"/>
    <n v="1000"/>
    <n v="1000"/>
    <n v="0"/>
    <n v="0"/>
    <n v="1"/>
    <n v="0"/>
    <n v="0.85"/>
  </r>
  <r>
    <s v="APT-01582"/>
    <d v="2025-05-24T00:00:00"/>
    <x v="10"/>
    <x v="5"/>
    <s v="Midday"/>
    <x v="1"/>
    <s v="Thrissur"/>
    <x v="5"/>
    <s v="PT-1343"/>
    <s v="Post-op Rehab"/>
    <x v="1"/>
    <s v="Private Insurance"/>
    <s v="Corporate Wellness"/>
    <x v="3"/>
    <n v="60"/>
    <n v="0"/>
    <n v="76.7"/>
    <n v="1550"/>
    <n v="0"/>
    <n v="0"/>
    <n v="0"/>
    <n v="0"/>
    <n v="0"/>
    <n v="0.85"/>
  </r>
  <r>
    <s v="APT-01583"/>
    <d v="2025-05-26T00:00:00"/>
    <x v="10"/>
    <x v="1"/>
    <s v="Afternoon"/>
    <x v="2"/>
    <s v="Ernakulam"/>
    <x v="12"/>
    <s v="PT-1161"/>
    <s v="Geriatric Rehab"/>
    <x v="1"/>
    <s v="Self Pay"/>
    <s v="Corporate Wellness"/>
    <x v="0"/>
    <n v="60"/>
    <n v="60"/>
    <n v="68.3"/>
    <n v="1500"/>
    <n v="1500"/>
    <n v="0"/>
    <n v="0"/>
    <n v="1"/>
    <n v="0"/>
    <n v="0.85"/>
  </r>
  <r>
    <s v="APT-01584"/>
    <d v="2025-02-17T00:00:00"/>
    <x v="5"/>
    <x v="1"/>
    <s v="Evening"/>
    <x v="2"/>
    <s v="Ernakulam"/>
    <x v="12"/>
    <s v="PT-1120"/>
    <s v="Geriatric Rehab"/>
    <x v="3"/>
    <s v="Self Pay"/>
    <s v="Online Search"/>
    <x v="0"/>
    <n v="75"/>
    <n v="75"/>
    <n v="82.3"/>
    <n v="1900"/>
    <n v="1900"/>
    <n v="0"/>
    <n v="0"/>
    <n v="1"/>
    <n v="0"/>
    <n v="0.85"/>
  </r>
  <r>
    <s v="APT-01585"/>
    <d v="2025-05-10T00:00:00"/>
    <x v="10"/>
    <x v="5"/>
    <s v="Evening"/>
    <x v="1"/>
    <s v="Thrissur"/>
    <x v="1"/>
    <s v="PT-1466"/>
    <s v="Post-op Rehab"/>
    <x v="2"/>
    <s v="Self Pay"/>
    <s v="Orthopedic Doctor"/>
    <x v="1"/>
    <n v="90"/>
    <n v="0"/>
    <n v="116.4"/>
    <n v="2350"/>
    <n v="0"/>
    <n v="2350"/>
    <n v="1"/>
    <n v="0"/>
    <n v="0"/>
    <n v="0.85"/>
  </r>
  <r>
    <s v="APT-01586"/>
    <d v="2025-03-07T00:00:00"/>
    <x v="3"/>
    <x v="4"/>
    <s v="Evening"/>
    <x v="1"/>
    <s v="Thrissur"/>
    <x v="7"/>
    <s v="PT-1564"/>
    <s v="Post-op Rehab"/>
    <x v="4"/>
    <s v="Self Pay"/>
    <s v="Hospital Discharge"/>
    <x v="0"/>
    <n v="45"/>
    <n v="45"/>
    <n v="57.1"/>
    <n v="1150"/>
    <n v="1150"/>
    <n v="0"/>
    <n v="0"/>
    <n v="1"/>
    <n v="0"/>
    <n v="0.85"/>
  </r>
  <r>
    <s v="APT-01587"/>
    <d v="2025-07-28T00:00:00"/>
    <x v="8"/>
    <x v="1"/>
    <s v="Morning"/>
    <x v="2"/>
    <s v="Ernakulam"/>
    <x v="14"/>
    <s v="PT-1591"/>
    <s v="Follow-up"/>
    <x v="1"/>
    <s v="Private Insurance"/>
    <s v="Corporate Wellness"/>
    <x v="0"/>
    <n v="90"/>
    <n v="90"/>
    <n v="120.4"/>
    <n v="2250"/>
    <n v="2250"/>
    <n v="0"/>
    <n v="0"/>
    <n v="1"/>
    <n v="0"/>
    <n v="0.85"/>
  </r>
  <r>
    <s v="APT-01588"/>
    <d v="2025-02-03T00:00:00"/>
    <x v="5"/>
    <x v="1"/>
    <s v="Midday"/>
    <x v="0"/>
    <s v="Palakkad"/>
    <x v="6"/>
    <s v="PT-1484"/>
    <s v="New Patient"/>
    <x v="1"/>
    <s v="Corporate Tie-up"/>
    <s v="Neurologist"/>
    <x v="2"/>
    <n v="45"/>
    <n v="0"/>
    <n v="56.6"/>
    <n v="1050"/>
    <n v="0"/>
    <n v="1050"/>
    <n v="0"/>
    <n v="0"/>
    <n v="1"/>
    <n v="0.85"/>
  </r>
  <r>
    <s v="APT-01589"/>
    <d v="2025-04-15T00:00:00"/>
    <x v="6"/>
    <x v="0"/>
    <s v="Evening"/>
    <x v="1"/>
    <s v="Thrissur"/>
    <x v="2"/>
    <s v="PT-1321"/>
    <s v="New Patient"/>
    <x v="4"/>
    <s v="Private Insurance"/>
    <s v="Hospital Discharge"/>
    <x v="0"/>
    <n v="75"/>
    <n v="75"/>
    <n v="94.7"/>
    <n v="2000"/>
    <n v="2000"/>
    <n v="0"/>
    <n v="0"/>
    <n v="1"/>
    <n v="0"/>
    <n v="0.85"/>
  </r>
  <r>
    <s v="APT-01590"/>
    <d v="2025-01-06T00:00:00"/>
    <x v="11"/>
    <x v="1"/>
    <s v="Morning"/>
    <x v="1"/>
    <s v="Thrissur"/>
    <x v="10"/>
    <s v="PT-1117"/>
    <s v="Follow-up"/>
    <x v="0"/>
    <s v="Private Insurance"/>
    <s v="Orthopedic Doctor"/>
    <x v="0"/>
    <n v="30"/>
    <n v="30"/>
    <n v="34.700000000000003"/>
    <n v="700"/>
    <n v="700"/>
    <n v="0"/>
    <n v="0"/>
    <n v="1"/>
    <n v="0"/>
    <n v="0.85"/>
  </r>
  <r>
    <s v="APT-01591"/>
    <d v="2025-10-20T00:00:00"/>
    <x v="7"/>
    <x v="1"/>
    <s v="Evening"/>
    <x v="1"/>
    <s v="Thrissur"/>
    <x v="7"/>
    <s v="PT-1131"/>
    <s v="Follow-up"/>
    <x v="0"/>
    <s v="Self Pay"/>
    <s v="Orthopedic Doctor"/>
    <x v="0"/>
    <n v="30"/>
    <n v="30"/>
    <n v="33.700000000000003"/>
    <n v="700"/>
    <n v="700"/>
    <n v="0"/>
    <n v="0"/>
    <n v="1"/>
    <n v="0"/>
    <n v="0.85"/>
  </r>
  <r>
    <s v="APT-01592"/>
    <d v="2025-07-21T00:00:00"/>
    <x v="8"/>
    <x v="1"/>
    <s v="Morning"/>
    <x v="1"/>
    <s v="Thrissur"/>
    <x v="7"/>
    <s v="PT-1563"/>
    <s v="Post-op Rehab"/>
    <x v="0"/>
    <s v="Corporate Tie-up"/>
    <s v="Neurologist"/>
    <x v="0"/>
    <n v="30"/>
    <n v="30"/>
    <n v="39.5"/>
    <n v="700"/>
    <n v="700"/>
    <n v="0"/>
    <n v="0"/>
    <n v="1"/>
    <n v="0"/>
    <n v="0.85"/>
  </r>
  <r>
    <s v="APT-01593"/>
    <d v="2025-09-03T00:00:00"/>
    <x v="2"/>
    <x v="3"/>
    <s v="Evening"/>
    <x v="2"/>
    <s v="Ernakulam"/>
    <x v="4"/>
    <s v="PT-1391"/>
    <s v="New Patient"/>
    <x v="5"/>
    <s v="Self Pay"/>
    <s v="Orthopedic Doctor"/>
    <x v="0"/>
    <n v="75"/>
    <n v="75"/>
    <n v="89.6"/>
    <n v="2250"/>
    <n v="2250"/>
    <n v="0"/>
    <n v="0"/>
    <n v="1"/>
    <n v="0"/>
    <n v="0.85"/>
  </r>
  <r>
    <s v="APT-01594"/>
    <d v="2025-10-06T00:00:00"/>
    <x v="7"/>
    <x v="1"/>
    <s v="Afternoon"/>
    <x v="2"/>
    <s v="Ernakulam"/>
    <x v="12"/>
    <s v="PT-1015"/>
    <s v="Follow-up"/>
    <x v="1"/>
    <s v="Corporate Tie-up"/>
    <s v="Neurologist"/>
    <x v="0"/>
    <n v="60"/>
    <n v="60"/>
    <n v="67.400000000000006"/>
    <n v="1400"/>
    <n v="1400"/>
    <n v="0"/>
    <n v="0"/>
    <n v="1"/>
    <n v="0"/>
    <n v="0.85"/>
  </r>
  <r>
    <s v="APT-01595"/>
    <d v="2025-07-22T00:00:00"/>
    <x v="8"/>
    <x v="0"/>
    <s v="Midday"/>
    <x v="0"/>
    <s v="Palakkad"/>
    <x v="0"/>
    <s v="PT-1319"/>
    <s v="Sports Injury"/>
    <x v="5"/>
    <s v="Private Insurance"/>
    <s v="Corporate Wellness"/>
    <x v="0"/>
    <n v="75"/>
    <n v="75"/>
    <n v="90.6"/>
    <n v="1550"/>
    <n v="1550"/>
    <n v="0"/>
    <n v="0"/>
    <n v="1"/>
    <n v="0"/>
    <n v="0.85"/>
  </r>
  <r>
    <s v="APT-01596"/>
    <d v="2025-05-30T00:00:00"/>
    <x v="10"/>
    <x v="4"/>
    <s v="Afternoon"/>
    <x v="2"/>
    <s v="Ernakulam"/>
    <x v="12"/>
    <s v="PT-1230"/>
    <s v="Geriatric Rehab"/>
    <x v="1"/>
    <s v="Government Scheme"/>
    <s v="Orthopedic Doctor"/>
    <x v="0"/>
    <n v="75"/>
    <n v="75"/>
    <n v="82"/>
    <n v="1600"/>
    <n v="1600"/>
    <n v="0"/>
    <n v="0"/>
    <n v="1"/>
    <n v="0"/>
    <n v="0.85"/>
  </r>
  <r>
    <s v="APT-01597"/>
    <d v="2025-06-21T00:00:00"/>
    <x v="4"/>
    <x v="5"/>
    <s v="Evening"/>
    <x v="2"/>
    <s v="Ernakulam"/>
    <x v="14"/>
    <s v="PT-1137"/>
    <s v="Geriatric Rehab"/>
    <x v="2"/>
    <s v="Corporate Tie-up"/>
    <s v="Hospital Discharge"/>
    <x v="0"/>
    <n v="60"/>
    <n v="60"/>
    <n v="74.599999999999994"/>
    <n v="1400"/>
    <n v="1400"/>
    <n v="0"/>
    <n v="0"/>
    <n v="1"/>
    <n v="0"/>
    <n v="0.85"/>
  </r>
  <r>
    <s v="APT-01598"/>
    <d v="2025-12-23T00:00:00"/>
    <x v="0"/>
    <x v="0"/>
    <s v="Midday"/>
    <x v="1"/>
    <s v="Thrissur"/>
    <x v="2"/>
    <s v="PT-1178"/>
    <s v="Follow-up"/>
    <x v="5"/>
    <s v="Private Insurance"/>
    <s v="Corporate Wellness"/>
    <x v="1"/>
    <n v="60"/>
    <n v="0"/>
    <n v="68.8"/>
    <n v="1350"/>
    <n v="0"/>
    <n v="1350"/>
    <n v="1"/>
    <n v="0"/>
    <n v="0"/>
    <n v="0.85"/>
  </r>
  <r>
    <s v="APT-01599"/>
    <d v="2025-10-08T00:00:00"/>
    <x v="7"/>
    <x v="3"/>
    <s v="Evening"/>
    <x v="0"/>
    <s v="Palakkad"/>
    <x v="9"/>
    <s v="PT-1390"/>
    <s v="Sports Injury"/>
    <x v="1"/>
    <s v="Self Pay"/>
    <s v="Online Search"/>
    <x v="0"/>
    <n v="60"/>
    <n v="60"/>
    <n v="67.5"/>
    <n v="1250"/>
    <n v="1250"/>
    <n v="0"/>
    <n v="0"/>
    <n v="1"/>
    <n v="0"/>
    <n v="0.85"/>
  </r>
  <r>
    <s v="APT-01600"/>
    <d v="2025-11-14T00:00:00"/>
    <x v="1"/>
    <x v="4"/>
    <s v="Morning"/>
    <x v="2"/>
    <s v="Ernakulam"/>
    <x v="3"/>
    <s v="PT-1539"/>
    <s v="Post-op Rehab"/>
    <x v="0"/>
    <s v="Corporate Tie-up"/>
    <s v="Hospital Discharge"/>
    <x v="2"/>
    <n v="30"/>
    <n v="0"/>
    <n v="34"/>
    <n v="800"/>
    <n v="0"/>
    <n v="800"/>
    <n v="0"/>
    <n v="0"/>
    <n v="1"/>
    <n v="0.85"/>
  </r>
  <r>
    <s v="APT-01601"/>
    <d v="2025-08-21T00:00:00"/>
    <x v="9"/>
    <x v="2"/>
    <s v="Evening"/>
    <x v="2"/>
    <s v="Ernakulam"/>
    <x v="3"/>
    <s v="PT-1207"/>
    <s v="Follow-up"/>
    <x v="0"/>
    <s v="Self Pay"/>
    <s v="Orthopedic Doctor"/>
    <x v="2"/>
    <n v="60"/>
    <n v="0"/>
    <n v="72"/>
    <n v="1500"/>
    <n v="0"/>
    <n v="1500"/>
    <n v="0"/>
    <n v="0"/>
    <n v="1"/>
    <n v="0.85"/>
  </r>
  <r>
    <s v="APT-01602"/>
    <d v="2025-06-02T00:00:00"/>
    <x v="4"/>
    <x v="1"/>
    <s v="Morning"/>
    <x v="2"/>
    <s v="Ernakulam"/>
    <x v="4"/>
    <s v="PT-1468"/>
    <s v="Follow-up"/>
    <x v="2"/>
    <s v="Self Pay"/>
    <s v="Self Referral"/>
    <x v="0"/>
    <n v="45"/>
    <n v="45"/>
    <n v="49.6"/>
    <n v="1100"/>
    <n v="1100"/>
    <n v="0"/>
    <n v="0"/>
    <n v="1"/>
    <n v="0"/>
    <n v="0.85"/>
  </r>
  <r>
    <s v="APT-01603"/>
    <d v="2025-12-05T00:00:00"/>
    <x v="0"/>
    <x v="4"/>
    <s v="Midday"/>
    <x v="2"/>
    <s v="Ernakulam"/>
    <x v="8"/>
    <s v="PT-1095"/>
    <s v="Sports Injury"/>
    <x v="4"/>
    <s v="Government Scheme"/>
    <s v="Orthopedic Doctor"/>
    <x v="3"/>
    <n v="30"/>
    <n v="0"/>
    <n v="39.200000000000003"/>
    <n v="650"/>
    <n v="0"/>
    <n v="0"/>
    <n v="0"/>
    <n v="0"/>
    <n v="0"/>
    <n v="0.85"/>
  </r>
  <r>
    <s v="APT-01604"/>
    <d v="2025-10-21T00:00:00"/>
    <x v="7"/>
    <x v="0"/>
    <s v="Evening"/>
    <x v="2"/>
    <s v="Ernakulam"/>
    <x v="8"/>
    <s v="PT-1226"/>
    <s v="Geriatric Rehab"/>
    <x v="3"/>
    <s v="Self Pay"/>
    <s v="Orthopedic Doctor"/>
    <x v="0"/>
    <n v="60"/>
    <n v="60"/>
    <n v="72.8"/>
    <n v="1500"/>
    <n v="1500"/>
    <n v="0"/>
    <n v="0"/>
    <n v="1"/>
    <n v="0"/>
    <n v="0.85"/>
  </r>
  <r>
    <s v="APT-01605"/>
    <d v="2025-03-28T00:00:00"/>
    <x v="3"/>
    <x v="4"/>
    <s v="Afternoon"/>
    <x v="2"/>
    <s v="Ernakulam"/>
    <x v="8"/>
    <s v="PT-1223"/>
    <s v="Follow-up"/>
    <x v="2"/>
    <s v="Private Insurance"/>
    <s v="Corporate Wellness"/>
    <x v="0"/>
    <n v="75"/>
    <n v="75"/>
    <n v="93.6"/>
    <n v="1900"/>
    <n v="1900"/>
    <n v="0"/>
    <n v="0"/>
    <n v="1"/>
    <n v="0"/>
    <n v="0.85"/>
  </r>
  <r>
    <s v="APT-01606"/>
    <d v="2025-05-07T00:00:00"/>
    <x v="10"/>
    <x v="3"/>
    <s v="Evening"/>
    <x v="0"/>
    <s v="Palakkad"/>
    <x v="6"/>
    <s v="PT-1102"/>
    <s v="Chronic Pain"/>
    <x v="3"/>
    <s v="Corporate Tie-up"/>
    <s v="Corporate Wellness"/>
    <x v="0"/>
    <n v="90"/>
    <n v="90"/>
    <n v="101.2"/>
    <n v="1700"/>
    <n v="1700"/>
    <n v="0"/>
    <n v="0"/>
    <n v="1"/>
    <n v="0"/>
    <n v="0.85"/>
  </r>
  <r>
    <s v="APT-01607"/>
    <d v="2025-03-07T00:00:00"/>
    <x v="3"/>
    <x v="4"/>
    <s v="Afternoon"/>
    <x v="2"/>
    <s v="Ernakulam"/>
    <x v="12"/>
    <s v="PT-1573"/>
    <s v="New Patient"/>
    <x v="0"/>
    <s v="Self Pay"/>
    <s v="Neurologist"/>
    <x v="0"/>
    <n v="45"/>
    <n v="45"/>
    <n v="51.5"/>
    <n v="1350"/>
    <n v="1350"/>
    <n v="0"/>
    <n v="0"/>
    <n v="1"/>
    <n v="0"/>
    <n v="0.85"/>
  </r>
  <r>
    <s v="APT-01608"/>
    <d v="2025-12-26T00:00:00"/>
    <x v="0"/>
    <x v="4"/>
    <s v="Evening"/>
    <x v="0"/>
    <s v="Palakkad"/>
    <x v="0"/>
    <s v="PT-1358"/>
    <s v="Follow-up"/>
    <x v="0"/>
    <s v="Private Insurance"/>
    <s v="Hospital Discharge"/>
    <x v="0"/>
    <n v="90"/>
    <n v="90"/>
    <n v="105.5"/>
    <n v="1900"/>
    <n v="1900"/>
    <n v="0"/>
    <n v="0"/>
    <n v="1"/>
    <n v="0"/>
    <n v="0.85"/>
  </r>
  <r>
    <s v="APT-01609"/>
    <d v="2025-01-29T00:00:00"/>
    <x v="11"/>
    <x v="3"/>
    <s v="Morning"/>
    <x v="1"/>
    <s v="Thrissur"/>
    <x v="1"/>
    <s v="PT-1249"/>
    <s v="Post-op Rehab"/>
    <x v="1"/>
    <s v="Self Pay"/>
    <s v="Orthopedic Doctor"/>
    <x v="0"/>
    <n v="75"/>
    <n v="75"/>
    <n v="83.7"/>
    <n v="1950"/>
    <n v="1950"/>
    <n v="0"/>
    <n v="0"/>
    <n v="1"/>
    <n v="0"/>
    <n v="0.85"/>
  </r>
  <r>
    <s v="APT-01610"/>
    <d v="2025-02-06T00:00:00"/>
    <x v="5"/>
    <x v="2"/>
    <s v="Evening"/>
    <x v="2"/>
    <s v="Ernakulam"/>
    <x v="8"/>
    <s v="PT-1308"/>
    <s v="New Patient"/>
    <x v="2"/>
    <s v="Government Scheme"/>
    <s v="Hospital Discharge"/>
    <x v="0"/>
    <n v="45"/>
    <n v="45"/>
    <n v="51.2"/>
    <n v="1150"/>
    <n v="1150"/>
    <n v="0"/>
    <n v="0"/>
    <n v="1"/>
    <n v="0"/>
    <n v="0.85"/>
  </r>
  <r>
    <s v="APT-01611"/>
    <d v="2025-06-05T00:00:00"/>
    <x v="4"/>
    <x v="2"/>
    <s v="Midday"/>
    <x v="1"/>
    <s v="Thrissur"/>
    <x v="10"/>
    <s v="PT-1381"/>
    <s v="Post-op Rehab"/>
    <x v="2"/>
    <s v="Private Insurance"/>
    <s v="Hospital Discharge"/>
    <x v="0"/>
    <n v="90"/>
    <n v="90"/>
    <n v="105.2"/>
    <n v="2350"/>
    <n v="2350"/>
    <n v="0"/>
    <n v="0"/>
    <n v="1"/>
    <n v="0"/>
    <n v="0.85"/>
  </r>
  <r>
    <s v="APT-01612"/>
    <d v="2025-11-02T00:00:00"/>
    <x v="1"/>
    <x v="6"/>
    <s v="Morning"/>
    <x v="0"/>
    <s v="Palakkad"/>
    <x v="13"/>
    <s v="PT-1610"/>
    <s v="Chronic Pain"/>
    <x v="4"/>
    <s v="Self Pay"/>
    <s v="Corporate Wellness"/>
    <x v="0"/>
    <n v="60"/>
    <n v="60"/>
    <n v="68.2"/>
    <n v="1250"/>
    <n v="1250"/>
    <n v="0"/>
    <n v="0"/>
    <n v="1"/>
    <n v="0"/>
    <n v="0.85"/>
  </r>
  <r>
    <s v="APT-01613"/>
    <d v="2025-06-23T00:00:00"/>
    <x v="4"/>
    <x v="1"/>
    <s v="Afternoon"/>
    <x v="1"/>
    <s v="Thrissur"/>
    <x v="10"/>
    <s v="PT-1659"/>
    <s v="Post-op Rehab"/>
    <x v="5"/>
    <s v="Self Pay"/>
    <s v="Corporate Wellness"/>
    <x v="0"/>
    <n v="60"/>
    <n v="60"/>
    <n v="67.400000000000006"/>
    <n v="1550"/>
    <n v="1550"/>
    <n v="0"/>
    <n v="0"/>
    <n v="1"/>
    <n v="0"/>
    <n v="0.85"/>
  </r>
  <r>
    <s v="APT-01614"/>
    <d v="2025-03-19T00:00:00"/>
    <x v="3"/>
    <x v="3"/>
    <s v="Morning"/>
    <x v="0"/>
    <s v="Palakkad"/>
    <x v="13"/>
    <s v="PT-1112"/>
    <s v="Follow-up"/>
    <x v="1"/>
    <s v="Private Insurance"/>
    <s v="Hospital Discharge"/>
    <x v="0"/>
    <n v="60"/>
    <n v="60"/>
    <n v="68.7"/>
    <n v="1250"/>
    <n v="1250"/>
    <n v="0"/>
    <n v="0"/>
    <n v="1"/>
    <n v="0"/>
    <n v="0.85"/>
  </r>
  <r>
    <s v="APT-01615"/>
    <d v="2025-05-07T00:00:00"/>
    <x v="10"/>
    <x v="3"/>
    <s v="Morning"/>
    <x v="1"/>
    <s v="Thrissur"/>
    <x v="2"/>
    <s v="PT-1258"/>
    <s v="New Patient"/>
    <x v="4"/>
    <s v="Self Pay"/>
    <s v="Corporate Wellness"/>
    <x v="0"/>
    <n v="60"/>
    <n v="60"/>
    <n v="70.7"/>
    <n v="1600"/>
    <n v="1600"/>
    <n v="0"/>
    <n v="0"/>
    <n v="1"/>
    <n v="0"/>
    <n v="0.85"/>
  </r>
  <r>
    <s v="APT-01616"/>
    <d v="2025-03-11T00:00:00"/>
    <x v="3"/>
    <x v="0"/>
    <s v="Midday"/>
    <x v="0"/>
    <s v="Palakkad"/>
    <x v="9"/>
    <s v="PT-1420"/>
    <s v="Follow-up"/>
    <x v="2"/>
    <s v="Self Pay"/>
    <s v="Hospital Discharge"/>
    <x v="0"/>
    <n v="60"/>
    <n v="60"/>
    <n v="80.2"/>
    <n v="1250"/>
    <n v="1250"/>
    <n v="0"/>
    <n v="0"/>
    <n v="1"/>
    <n v="0"/>
    <n v="0.85"/>
  </r>
  <r>
    <s v="APT-01617"/>
    <d v="2025-08-20T00:00:00"/>
    <x v="9"/>
    <x v="3"/>
    <s v="Evening"/>
    <x v="1"/>
    <s v="Thrissur"/>
    <x v="2"/>
    <s v="PT-1310"/>
    <s v="Follow-up"/>
    <x v="5"/>
    <s v="Private Insurance"/>
    <s v="Hospital Discharge"/>
    <x v="0"/>
    <n v="90"/>
    <n v="90"/>
    <n v="105.1"/>
    <n v="2000"/>
    <n v="2000"/>
    <n v="0"/>
    <n v="0"/>
    <n v="1"/>
    <n v="0"/>
    <n v="0.85"/>
  </r>
  <r>
    <s v="APT-01618"/>
    <d v="2025-08-25T00:00:00"/>
    <x v="9"/>
    <x v="1"/>
    <s v="Midday"/>
    <x v="2"/>
    <s v="Ernakulam"/>
    <x v="8"/>
    <s v="PT-1641"/>
    <s v="Sports Injury"/>
    <x v="1"/>
    <s v="Private Insurance"/>
    <s v="Hospital Discharge"/>
    <x v="1"/>
    <n v="45"/>
    <n v="0"/>
    <n v="55.3"/>
    <n v="1100"/>
    <n v="0"/>
    <n v="1100"/>
    <n v="1"/>
    <n v="0"/>
    <n v="0"/>
    <n v="0.85"/>
  </r>
  <r>
    <s v="APT-01619"/>
    <d v="2025-07-14T00:00:00"/>
    <x v="8"/>
    <x v="1"/>
    <s v="Afternoon"/>
    <x v="0"/>
    <s v="Palakkad"/>
    <x v="13"/>
    <s v="PT-1137"/>
    <s v="Follow-up"/>
    <x v="1"/>
    <s v="Self Pay"/>
    <s v="Corporate Wellness"/>
    <x v="0"/>
    <n v="60"/>
    <n v="60"/>
    <n v="73.7"/>
    <n v="1250"/>
    <n v="1250"/>
    <n v="0"/>
    <n v="0"/>
    <n v="1"/>
    <n v="0"/>
    <n v="0.85"/>
  </r>
  <r>
    <s v="APT-01620"/>
    <d v="2025-10-17T00:00:00"/>
    <x v="7"/>
    <x v="4"/>
    <s v="Afternoon"/>
    <x v="2"/>
    <s v="Ernakulam"/>
    <x v="12"/>
    <s v="PT-1146"/>
    <s v="Follow-up"/>
    <x v="4"/>
    <s v="Self Pay"/>
    <s v="Self Referral"/>
    <x v="0"/>
    <n v="60"/>
    <n v="60"/>
    <n v="72"/>
    <n v="1500"/>
    <n v="1500"/>
    <n v="0"/>
    <n v="0"/>
    <n v="1"/>
    <n v="0"/>
    <n v="0.85"/>
  </r>
  <r>
    <s v="APT-01621"/>
    <d v="2025-05-05T00:00:00"/>
    <x v="10"/>
    <x v="1"/>
    <s v="Afternoon"/>
    <x v="0"/>
    <s v="Palakkad"/>
    <x v="9"/>
    <s v="PT-1146"/>
    <s v="Follow-up"/>
    <x v="5"/>
    <s v="Private Insurance"/>
    <s v="Corporate Wellness"/>
    <x v="0"/>
    <n v="75"/>
    <n v="75"/>
    <n v="83.7"/>
    <n v="1550"/>
    <n v="1550"/>
    <n v="0"/>
    <n v="0"/>
    <n v="1"/>
    <n v="0"/>
    <n v="0.85"/>
  </r>
  <r>
    <s v="APT-01622"/>
    <d v="2025-02-15T00:00:00"/>
    <x v="5"/>
    <x v="5"/>
    <s v="Midday"/>
    <x v="0"/>
    <s v="Palakkad"/>
    <x v="6"/>
    <s v="PT-1139"/>
    <s v="New Patient"/>
    <x v="4"/>
    <s v="Corporate Tie-up"/>
    <s v="Neurologist"/>
    <x v="0"/>
    <n v="60"/>
    <n v="60"/>
    <n v="67.599999999999994"/>
    <n v="1400"/>
    <n v="1400"/>
    <n v="0"/>
    <n v="0"/>
    <n v="1"/>
    <n v="0"/>
    <n v="0.85"/>
  </r>
  <r>
    <s v="APT-01623"/>
    <d v="2025-09-15T00:00:00"/>
    <x v="2"/>
    <x v="1"/>
    <s v="Morning"/>
    <x v="0"/>
    <s v="Palakkad"/>
    <x v="9"/>
    <s v="PT-1313"/>
    <s v="Follow-up"/>
    <x v="4"/>
    <s v="Self Pay"/>
    <s v="Self Referral"/>
    <x v="1"/>
    <n v="45"/>
    <n v="0"/>
    <n v="52.1"/>
    <n v="950"/>
    <n v="0"/>
    <n v="950"/>
    <n v="1"/>
    <n v="0"/>
    <n v="0"/>
    <n v="0.85"/>
  </r>
  <r>
    <s v="APT-01624"/>
    <d v="2025-10-07T00:00:00"/>
    <x v="7"/>
    <x v="0"/>
    <s v="Evening"/>
    <x v="0"/>
    <s v="Palakkad"/>
    <x v="13"/>
    <s v="PT-1344"/>
    <s v="Chronic Pain"/>
    <x v="1"/>
    <s v="Self Pay"/>
    <s v="Self Referral"/>
    <x v="1"/>
    <n v="45"/>
    <n v="0"/>
    <n v="59.7"/>
    <n v="950"/>
    <n v="0"/>
    <n v="950"/>
    <n v="1"/>
    <n v="0"/>
    <n v="0"/>
    <n v="0.85"/>
  </r>
  <r>
    <s v="APT-01625"/>
    <d v="2025-06-19T00:00:00"/>
    <x v="4"/>
    <x v="2"/>
    <s v="Afternoon"/>
    <x v="0"/>
    <s v="Palakkad"/>
    <x v="9"/>
    <s v="PT-1588"/>
    <s v="Post-op Rehab"/>
    <x v="0"/>
    <s v="Private Insurance"/>
    <s v="Corporate Wellness"/>
    <x v="1"/>
    <n v="60"/>
    <n v="0"/>
    <n v="80.400000000000006"/>
    <n v="1450"/>
    <n v="0"/>
    <n v="1450"/>
    <n v="1"/>
    <n v="0"/>
    <n v="0"/>
    <n v="0.85"/>
  </r>
  <r>
    <s v="APT-01626"/>
    <d v="2025-04-28T00:00:00"/>
    <x v="6"/>
    <x v="1"/>
    <s v="Morning"/>
    <x v="2"/>
    <s v="Ernakulam"/>
    <x v="8"/>
    <s v="PT-1063"/>
    <s v="Follow-up"/>
    <x v="4"/>
    <s v="Private Insurance"/>
    <s v="Neurologist"/>
    <x v="0"/>
    <n v="75"/>
    <n v="75"/>
    <n v="83.2"/>
    <n v="1900"/>
    <n v="1900"/>
    <n v="0"/>
    <n v="0"/>
    <n v="1"/>
    <n v="0"/>
    <n v="0.85"/>
  </r>
  <r>
    <s v="APT-01627"/>
    <d v="2025-12-13T00:00:00"/>
    <x v="0"/>
    <x v="5"/>
    <s v="Evening"/>
    <x v="2"/>
    <s v="Ernakulam"/>
    <x v="4"/>
    <s v="PT-1264"/>
    <s v="New Patient"/>
    <x v="3"/>
    <s v="Government Scheme"/>
    <s v="Hospital Discharge"/>
    <x v="2"/>
    <n v="60"/>
    <n v="0"/>
    <n v="66.400000000000006"/>
    <n v="1550"/>
    <n v="0"/>
    <n v="1550"/>
    <n v="0"/>
    <n v="0"/>
    <n v="1"/>
    <n v="0.85"/>
  </r>
  <r>
    <s v="APT-01628"/>
    <d v="2025-03-17T00:00:00"/>
    <x v="3"/>
    <x v="1"/>
    <s v="Morning"/>
    <x v="0"/>
    <s v="Palakkad"/>
    <x v="0"/>
    <s v="PT-1016"/>
    <s v="Follow-up"/>
    <x v="1"/>
    <s v="Corporate Tie-up"/>
    <s v="Online Search"/>
    <x v="0"/>
    <n v="45"/>
    <n v="45"/>
    <n v="49.4"/>
    <n v="850"/>
    <n v="850"/>
    <n v="0"/>
    <n v="0"/>
    <n v="1"/>
    <n v="0"/>
    <n v="0.85"/>
  </r>
  <r>
    <s v="APT-01629"/>
    <d v="2025-02-10T00:00:00"/>
    <x v="5"/>
    <x v="1"/>
    <s v="Midday"/>
    <x v="1"/>
    <s v="Thrissur"/>
    <x v="5"/>
    <s v="PT-1485"/>
    <s v="Chronic Pain"/>
    <x v="3"/>
    <s v="Government Scheme"/>
    <s v="Hospital Discharge"/>
    <x v="0"/>
    <n v="60"/>
    <n v="60"/>
    <n v="66.2"/>
    <n v="1150"/>
    <n v="1150"/>
    <n v="0"/>
    <n v="0"/>
    <n v="1"/>
    <n v="0"/>
    <n v="0.85"/>
  </r>
  <r>
    <s v="APT-01630"/>
    <d v="2025-08-11T00:00:00"/>
    <x v="9"/>
    <x v="1"/>
    <s v="Midday"/>
    <x v="2"/>
    <s v="Ernakulam"/>
    <x v="12"/>
    <s v="PT-1236"/>
    <s v="Follow-up"/>
    <x v="1"/>
    <s v="Self Pay"/>
    <s v="Corporate Wellness"/>
    <x v="2"/>
    <n v="75"/>
    <n v="0"/>
    <n v="90.1"/>
    <n v="1900"/>
    <n v="0"/>
    <n v="1900"/>
    <n v="0"/>
    <n v="0"/>
    <n v="1"/>
    <n v="0.85"/>
  </r>
  <r>
    <s v="APT-01631"/>
    <d v="2025-03-28T00:00:00"/>
    <x v="3"/>
    <x v="4"/>
    <s v="Morning"/>
    <x v="0"/>
    <s v="Palakkad"/>
    <x v="9"/>
    <s v="PT-1458"/>
    <s v="Post-op Rehab"/>
    <x v="1"/>
    <s v="Government Scheme"/>
    <s v="Self Referral"/>
    <x v="0"/>
    <n v="30"/>
    <n v="30"/>
    <n v="32.700000000000003"/>
    <n v="600"/>
    <n v="600"/>
    <n v="0"/>
    <n v="0"/>
    <n v="1"/>
    <n v="0"/>
    <n v="0.85"/>
  </r>
  <r>
    <s v="APT-01632"/>
    <d v="2025-10-14T00:00:00"/>
    <x v="7"/>
    <x v="0"/>
    <s v="Afternoon"/>
    <x v="1"/>
    <s v="Thrissur"/>
    <x v="5"/>
    <s v="PT-1550"/>
    <s v="Post-op Rehab"/>
    <x v="1"/>
    <s v="Self Pay"/>
    <s v="Corporate Wellness"/>
    <x v="0"/>
    <n v="45"/>
    <n v="45"/>
    <n v="50.1"/>
    <n v="1150"/>
    <n v="1150"/>
    <n v="0"/>
    <n v="0"/>
    <n v="1"/>
    <n v="0"/>
    <n v="0.85"/>
  </r>
  <r>
    <s v="APT-01633"/>
    <d v="2025-06-26T00:00:00"/>
    <x v="4"/>
    <x v="2"/>
    <s v="Morning"/>
    <x v="1"/>
    <s v="Thrissur"/>
    <x v="2"/>
    <s v="PT-1696"/>
    <s v="New Patient"/>
    <x v="0"/>
    <s v="Corporate Tie-up"/>
    <s v="Orthopedic Doctor"/>
    <x v="1"/>
    <n v="60"/>
    <n v="0"/>
    <n v="68.5"/>
    <n v="1500"/>
    <n v="0"/>
    <n v="1500"/>
    <n v="1"/>
    <n v="0"/>
    <n v="0"/>
    <n v="0.85"/>
  </r>
  <r>
    <s v="APT-01634"/>
    <d v="2025-03-07T00:00:00"/>
    <x v="3"/>
    <x v="4"/>
    <s v="Morning"/>
    <x v="1"/>
    <s v="Thrissur"/>
    <x v="5"/>
    <s v="PT-1048"/>
    <s v="Sports Injury"/>
    <x v="5"/>
    <s v="Self Pay"/>
    <s v="Self Referral"/>
    <x v="0"/>
    <n v="45"/>
    <n v="45"/>
    <n v="49.6"/>
    <n v="1000"/>
    <n v="1000"/>
    <n v="0"/>
    <n v="0"/>
    <n v="1"/>
    <n v="0"/>
    <n v="0.85"/>
  </r>
  <r>
    <s v="APT-01635"/>
    <d v="2025-07-25T00:00:00"/>
    <x v="8"/>
    <x v="4"/>
    <s v="Midday"/>
    <x v="1"/>
    <s v="Thrissur"/>
    <x v="10"/>
    <s v="PT-1557"/>
    <s v="Chronic Pain"/>
    <x v="1"/>
    <s v="Self Pay"/>
    <s v="Hospital Discharge"/>
    <x v="0"/>
    <n v="60"/>
    <n v="60"/>
    <n v="73.7"/>
    <n v="1350"/>
    <n v="1350"/>
    <n v="0"/>
    <n v="0"/>
    <n v="1"/>
    <n v="0"/>
    <n v="0.85"/>
  </r>
  <r>
    <s v="APT-01636"/>
    <d v="2025-03-10T00:00:00"/>
    <x v="3"/>
    <x v="1"/>
    <s v="Midday"/>
    <x v="1"/>
    <s v="Thrissur"/>
    <x v="7"/>
    <s v="PT-1224"/>
    <s v="New Patient"/>
    <x v="2"/>
    <s v="Self Pay"/>
    <s v="Hospital Discharge"/>
    <x v="0"/>
    <n v="30"/>
    <n v="30"/>
    <n v="39.1"/>
    <n v="800"/>
    <n v="800"/>
    <n v="0"/>
    <n v="0"/>
    <n v="1"/>
    <n v="0"/>
    <n v="0.85"/>
  </r>
  <r>
    <s v="APT-01637"/>
    <d v="2025-02-01T00:00:00"/>
    <x v="5"/>
    <x v="5"/>
    <s v="Morning"/>
    <x v="1"/>
    <s v="Thrissur"/>
    <x v="5"/>
    <s v="PT-1001"/>
    <s v="Chronic Pain"/>
    <x v="5"/>
    <s v="Corporate Tie-up"/>
    <s v="Neurologist"/>
    <x v="0"/>
    <n v="75"/>
    <n v="75"/>
    <n v="88.2"/>
    <n v="1550"/>
    <n v="1550"/>
    <n v="0"/>
    <n v="0"/>
    <n v="1"/>
    <n v="0"/>
    <n v="0.85"/>
  </r>
  <r>
    <s v="APT-01638"/>
    <d v="2025-07-01T00:00:00"/>
    <x v="8"/>
    <x v="0"/>
    <s v="Morning"/>
    <x v="2"/>
    <s v="Ernakulam"/>
    <x v="4"/>
    <s v="PT-1276"/>
    <s v="Follow-up"/>
    <x v="2"/>
    <s v="Self Pay"/>
    <s v="Orthopedic Doctor"/>
    <x v="0"/>
    <n v="60"/>
    <n v="60"/>
    <n v="69.3"/>
    <n v="1500"/>
    <n v="1500"/>
    <n v="0"/>
    <n v="0"/>
    <n v="1"/>
    <n v="0"/>
    <n v="0.85"/>
  </r>
  <r>
    <s v="APT-01639"/>
    <d v="2025-12-22T00:00:00"/>
    <x v="0"/>
    <x v="1"/>
    <s v="Morning"/>
    <x v="2"/>
    <s v="Ernakulam"/>
    <x v="8"/>
    <s v="PT-1316"/>
    <s v="Chronic Pain"/>
    <x v="1"/>
    <s v="Self Pay"/>
    <s v="Corporate Wellness"/>
    <x v="1"/>
    <n v="30"/>
    <n v="0"/>
    <n v="33.6"/>
    <n v="750"/>
    <n v="0"/>
    <n v="750"/>
    <n v="1"/>
    <n v="0"/>
    <n v="0"/>
    <n v="0.85"/>
  </r>
  <r>
    <s v="APT-01640"/>
    <d v="2025-03-15T00:00:00"/>
    <x v="3"/>
    <x v="5"/>
    <s v="Afternoon"/>
    <x v="2"/>
    <s v="Ernakulam"/>
    <x v="14"/>
    <s v="PT-1323"/>
    <s v="Follow-up"/>
    <x v="1"/>
    <s v="Government Scheme"/>
    <s v="Self Referral"/>
    <x v="0"/>
    <n v="30"/>
    <n v="30"/>
    <n v="40.5"/>
    <n v="650"/>
    <n v="650"/>
    <n v="0"/>
    <n v="0"/>
    <n v="1"/>
    <n v="0"/>
    <n v="0.85"/>
  </r>
  <r>
    <s v="APT-01641"/>
    <d v="2025-05-28T00:00:00"/>
    <x v="10"/>
    <x v="3"/>
    <s v="Afternoon"/>
    <x v="1"/>
    <s v="Thrissur"/>
    <x v="1"/>
    <s v="PT-1591"/>
    <s v="Follow-up"/>
    <x v="0"/>
    <s v="Self Pay"/>
    <s v="Online Search"/>
    <x v="0"/>
    <n v="60"/>
    <n v="60"/>
    <n v="67.599999999999994"/>
    <n v="1350"/>
    <n v="1350"/>
    <n v="0"/>
    <n v="0"/>
    <n v="1"/>
    <n v="0"/>
    <n v="0.85"/>
  </r>
  <r>
    <s v="APT-01642"/>
    <d v="2025-09-30T00:00:00"/>
    <x v="2"/>
    <x v="0"/>
    <s v="Morning"/>
    <x v="1"/>
    <s v="Thrissur"/>
    <x v="7"/>
    <s v="PT-1551"/>
    <s v="Follow-up"/>
    <x v="0"/>
    <s v="Self Pay"/>
    <s v="Hospital Discharge"/>
    <x v="0"/>
    <n v="60"/>
    <n v="60"/>
    <n v="69.7"/>
    <n v="1350"/>
    <n v="1350"/>
    <n v="0"/>
    <n v="0"/>
    <n v="1"/>
    <n v="0"/>
    <n v="0.85"/>
  </r>
  <r>
    <s v="APT-01643"/>
    <d v="2025-12-30T00:00:00"/>
    <x v="0"/>
    <x v="0"/>
    <s v="Afternoon"/>
    <x v="2"/>
    <s v="Ernakulam"/>
    <x v="8"/>
    <s v="PT-1336"/>
    <s v="Post-op Rehab"/>
    <x v="3"/>
    <s v="Self Pay"/>
    <s v="Online Search"/>
    <x v="0"/>
    <n v="75"/>
    <n v="75"/>
    <n v="100.2"/>
    <n v="2150"/>
    <n v="2150"/>
    <n v="0"/>
    <n v="0"/>
    <n v="1"/>
    <n v="0"/>
    <n v="0.85"/>
  </r>
  <r>
    <s v="APT-01644"/>
    <d v="2025-06-04T00:00:00"/>
    <x v="4"/>
    <x v="3"/>
    <s v="Afternoon"/>
    <x v="1"/>
    <s v="Thrissur"/>
    <x v="2"/>
    <s v="PT-1159"/>
    <s v="Follow-up"/>
    <x v="2"/>
    <s v="Self Pay"/>
    <s v="Neurologist"/>
    <x v="0"/>
    <n v="45"/>
    <n v="45"/>
    <n v="57.2"/>
    <n v="1000"/>
    <n v="1000"/>
    <n v="0"/>
    <n v="0"/>
    <n v="1"/>
    <n v="0"/>
    <n v="0.85"/>
  </r>
  <r>
    <s v="APT-01645"/>
    <d v="2025-07-01T00:00:00"/>
    <x v="8"/>
    <x v="0"/>
    <s v="Evening"/>
    <x v="1"/>
    <s v="Thrissur"/>
    <x v="1"/>
    <s v="PT-1489"/>
    <s v="Follow-up"/>
    <x v="0"/>
    <s v="Self Pay"/>
    <s v="Corporate Wellness"/>
    <x v="0"/>
    <n v="90"/>
    <n v="90"/>
    <n v="101.1"/>
    <n v="2000"/>
    <n v="2000"/>
    <n v="0"/>
    <n v="0"/>
    <n v="1"/>
    <n v="0"/>
    <n v="0.85"/>
  </r>
  <r>
    <s v="APT-01646"/>
    <d v="2025-12-20T00:00:00"/>
    <x v="0"/>
    <x v="5"/>
    <s v="Midday"/>
    <x v="1"/>
    <s v="Thrissur"/>
    <x v="5"/>
    <s v="PT-1405"/>
    <s v="Chronic Pain"/>
    <x v="5"/>
    <s v="Self Pay"/>
    <s v="Orthopedic Doctor"/>
    <x v="0"/>
    <n v="60"/>
    <n v="60"/>
    <n v="72"/>
    <n v="1350"/>
    <n v="1350"/>
    <n v="0"/>
    <n v="0"/>
    <n v="1"/>
    <n v="0"/>
    <n v="0.85"/>
  </r>
  <r>
    <s v="APT-01647"/>
    <d v="2025-02-25T00:00:00"/>
    <x v="5"/>
    <x v="0"/>
    <s v="Afternoon"/>
    <x v="2"/>
    <s v="Ernakulam"/>
    <x v="12"/>
    <s v="PT-1418"/>
    <s v="Post-op Rehab"/>
    <x v="3"/>
    <s v="Private Insurance"/>
    <s v="Orthopedic Doctor"/>
    <x v="0"/>
    <n v="45"/>
    <n v="45"/>
    <n v="49.2"/>
    <n v="1300"/>
    <n v="1300"/>
    <n v="0"/>
    <n v="0"/>
    <n v="1"/>
    <n v="0"/>
    <n v="0.85"/>
  </r>
  <r>
    <s v="APT-01648"/>
    <d v="2025-05-05T00:00:00"/>
    <x v="10"/>
    <x v="1"/>
    <s v="Afternoon"/>
    <x v="1"/>
    <s v="Thrissur"/>
    <x v="2"/>
    <s v="PT-1246"/>
    <s v="New Patient"/>
    <x v="2"/>
    <s v="Private Insurance"/>
    <s v="Hospital Discharge"/>
    <x v="1"/>
    <n v="60"/>
    <n v="0"/>
    <n v="69.900000000000006"/>
    <n v="1600"/>
    <n v="0"/>
    <n v="1600"/>
    <n v="1"/>
    <n v="0"/>
    <n v="0"/>
    <n v="0.85"/>
  </r>
  <r>
    <s v="APT-01649"/>
    <d v="2025-02-17T00:00:00"/>
    <x v="5"/>
    <x v="1"/>
    <s v="Midday"/>
    <x v="2"/>
    <s v="Ernakulam"/>
    <x v="14"/>
    <s v="PT-1287"/>
    <s v="New Patient"/>
    <x v="1"/>
    <s v="Government Scheme"/>
    <s v="Hospital Discharge"/>
    <x v="0"/>
    <n v="45"/>
    <n v="45"/>
    <n v="53.4"/>
    <n v="1150"/>
    <n v="1150"/>
    <n v="0"/>
    <n v="0"/>
    <n v="1"/>
    <n v="0"/>
    <n v="0.85"/>
  </r>
  <r>
    <s v="APT-01650"/>
    <d v="2025-02-22T00:00:00"/>
    <x v="5"/>
    <x v="5"/>
    <s v="Midday"/>
    <x v="2"/>
    <s v="Ernakulam"/>
    <x v="14"/>
    <s v="PT-1622"/>
    <s v="Post-op Rehab"/>
    <x v="1"/>
    <s v="Self Pay"/>
    <s v="Corporate Wellness"/>
    <x v="0"/>
    <n v="60"/>
    <n v="60"/>
    <n v="71.5"/>
    <n v="1700"/>
    <n v="1700"/>
    <n v="0"/>
    <n v="0"/>
    <n v="1"/>
    <n v="0"/>
    <n v="0.85"/>
  </r>
  <r>
    <s v="APT-01651"/>
    <d v="2025-10-17T00:00:00"/>
    <x v="7"/>
    <x v="4"/>
    <s v="Afternoon"/>
    <x v="1"/>
    <s v="Thrissur"/>
    <x v="5"/>
    <s v="PT-1346"/>
    <s v="New Patient"/>
    <x v="5"/>
    <s v="Corporate Tie-up"/>
    <s v="Neurologist"/>
    <x v="0"/>
    <n v="60"/>
    <n v="60"/>
    <n v="74.599999999999994"/>
    <n v="1500"/>
    <n v="1500"/>
    <n v="0"/>
    <n v="0"/>
    <n v="1"/>
    <n v="0"/>
    <n v="0.85"/>
  </r>
  <r>
    <s v="APT-01652"/>
    <d v="2025-08-24T00:00:00"/>
    <x v="9"/>
    <x v="6"/>
    <s v="Evening"/>
    <x v="0"/>
    <s v="Palakkad"/>
    <x v="6"/>
    <s v="PT-1414"/>
    <s v="Follow-up"/>
    <x v="4"/>
    <s v="Government Scheme"/>
    <s v="Corporate Wellness"/>
    <x v="0"/>
    <n v="30"/>
    <n v="30"/>
    <n v="36"/>
    <n v="550"/>
    <n v="550"/>
    <n v="0"/>
    <n v="0"/>
    <n v="1"/>
    <n v="0"/>
    <n v="0.85"/>
  </r>
  <r>
    <s v="APT-01653"/>
    <d v="2025-05-08T00:00:00"/>
    <x v="10"/>
    <x v="2"/>
    <s v="Evening"/>
    <x v="2"/>
    <s v="Ernakulam"/>
    <x v="14"/>
    <s v="PT-1577"/>
    <s v="Post-op Rehab"/>
    <x v="2"/>
    <s v="Private Insurance"/>
    <s v="Hospital Discharge"/>
    <x v="0"/>
    <n v="75"/>
    <n v="75"/>
    <n v="84.3"/>
    <n v="2150"/>
    <n v="2150"/>
    <n v="0"/>
    <n v="0"/>
    <n v="1"/>
    <n v="0"/>
    <n v="0.85"/>
  </r>
  <r>
    <s v="APT-01654"/>
    <d v="2025-01-03T00:00:00"/>
    <x v="11"/>
    <x v="4"/>
    <s v="Morning"/>
    <x v="0"/>
    <s v="Palakkad"/>
    <x v="11"/>
    <s v="PT-1462"/>
    <s v="Follow-up"/>
    <x v="5"/>
    <s v="Self Pay"/>
    <s v="Online Search"/>
    <x v="1"/>
    <n v="60"/>
    <n v="0"/>
    <n v="81"/>
    <n v="1250"/>
    <n v="0"/>
    <n v="1250"/>
    <n v="1"/>
    <n v="0"/>
    <n v="0"/>
    <n v="0.85"/>
  </r>
  <r>
    <s v="APT-01655"/>
    <d v="2025-04-07T00:00:00"/>
    <x v="6"/>
    <x v="1"/>
    <s v="Morning"/>
    <x v="2"/>
    <s v="Ernakulam"/>
    <x v="14"/>
    <s v="PT-1175"/>
    <s v="Sports Injury"/>
    <x v="3"/>
    <s v="Self Pay"/>
    <s v="Self Referral"/>
    <x v="0"/>
    <n v="45"/>
    <n v="45"/>
    <n v="53.1"/>
    <n v="1100"/>
    <n v="1100"/>
    <n v="0"/>
    <n v="0"/>
    <n v="1"/>
    <n v="0"/>
    <n v="0.85"/>
  </r>
  <r>
    <s v="APT-01656"/>
    <d v="2025-12-18T00:00:00"/>
    <x v="0"/>
    <x v="2"/>
    <s v="Evening"/>
    <x v="1"/>
    <s v="Thrissur"/>
    <x v="10"/>
    <s v="PT-1090"/>
    <s v="Follow-up"/>
    <x v="1"/>
    <s v="Government Scheme"/>
    <s v="Online Search"/>
    <x v="0"/>
    <n v="60"/>
    <n v="60"/>
    <n v="71.5"/>
    <n v="1150"/>
    <n v="1150"/>
    <n v="0"/>
    <n v="0"/>
    <n v="1"/>
    <n v="0"/>
    <n v="0.85"/>
  </r>
  <r>
    <s v="APT-01657"/>
    <d v="2025-10-29T00:00:00"/>
    <x v="7"/>
    <x v="3"/>
    <s v="Evening"/>
    <x v="0"/>
    <s v="Palakkad"/>
    <x v="11"/>
    <s v="PT-1237"/>
    <s v="Follow-up"/>
    <x v="0"/>
    <s v="Self Pay"/>
    <s v="Neurologist"/>
    <x v="0"/>
    <n v="75"/>
    <n v="75"/>
    <n v="82.6"/>
    <n v="1550"/>
    <n v="1550"/>
    <n v="0"/>
    <n v="0"/>
    <n v="1"/>
    <n v="0"/>
    <n v="0.85"/>
  </r>
  <r>
    <s v="APT-01658"/>
    <d v="2025-11-05T00:00:00"/>
    <x v="1"/>
    <x v="3"/>
    <s v="Afternoon"/>
    <x v="2"/>
    <s v="Ernakulam"/>
    <x v="12"/>
    <s v="PT-1020"/>
    <s v="Post-op Rehab"/>
    <x v="3"/>
    <s v="Private Insurance"/>
    <s v="Online Search"/>
    <x v="0"/>
    <n v="60"/>
    <n v="60"/>
    <n v="73.599999999999994"/>
    <n v="1700"/>
    <n v="1700"/>
    <n v="0"/>
    <n v="0"/>
    <n v="1"/>
    <n v="0"/>
    <n v="0.85"/>
  </r>
  <r>
    <s v="APT-01659"/>
    <d v="2025-09-26T00:00:00"/>
    <x v="2"/>
    <x v="4"/>
    <s v="Midday"/>
    <x v="2"/>
    <s v="Ernakulam"/>
    <x v="3"/>
    <s v="PT-1025"/>
    <s v="Follow-up"/>
    <x v="4"/>
    <s v="Private Insurance"/>
    <s v="Neurologist"/>
    <x v="0"/>
    <n v="60"/>
    <n v="60"/>
    <n v="75.599999999999994"/>
    <n v="1500"/>
    <n v="1500"/>
    <n v="0"/>
    <n v="0"/>
    <n v="1"/>
    <n v="0"/>
    <n v="0.85"/>
  </r>
  <r>
    <s v="APT-01660"/>
    <d v="2025-03-06T00:00:00"/>
    <x v="3"/>
    <x v="2"/>
    <s v="Afternoon"/>
    <x v="2"/>
    <s v="Ernakulam"/>
    <x v="14"/>
    <s v="PT-1692"/>
    <s v="Post-op Rehab"/>
    <x v="0"/>
    <s v="Self Pay"/>
    <s v="Self Referral"/>
    <x v="2"/>
    <n v="60"/>
    <n v="0"/>
    <n v="77.8"/>
    <n v="1700"/>
    <n v="0"/>
    <n v="1700"/>
    <n v="0"/>
    <n v="0"/>
    <n v="1"/>
    <n v="0.85"/>
  </r>
  <r>
    <s v="APT-01661"/>
    <d v="2025-08-20T00:00:00"/>
    <x v="9"/>
    <x v="3"/>
    <s v="Morning"/>
    <x v="1"/>
    <s v="Thrissur"/>
    <x v="1"/>
    <s v="PT-1364"/>
    <s v="Geriatric Rehab"/>
    <x v="4"/>
    <s v="Private Insurance"/>
    <s v="Online Search"/>
    <x v="0"/>
    <n v="30"/>
    <n v="30"/>
    <n v="36.200000000000003"/>
    <n v="700"/>
    <n v="700"/>
    <n v="0"/>
    <n v="0"/>
    <n v="1"/>
    <n v="0"/>
    <n v="0.85"/>
  </r>
  <r>
    <s v="APT-01662"/>
    <d v="2025-12-03T00:00:00"/>
    <x v="0"/>
    <x v="3"/>
    <s v="Evening"/>
    <x v="1"/>
    <s v="Thrissur"/>
    <x v="5"/>
    <s v="PT-1077"/>
    <s v="Follow-up"/>
    <x v="1"/>
    <s v="Corporate Tie-up"/>
    <s v="Orthopedic Doctor"/>
    <x v="0"/>
    <n v="60"/>
    <n v="60"/>
    <n v="70.5"/>
    <n v="1250"/>
    <n v="1250"/>
    <n v="0"/>
    <n v="0"/>
    <n v="1"/>
    <n v="0"/>
    <n v="0.85"/>
  </r>
  <r>
    <s v="APT-01663"/>
    <d v="2025-06-20T00:00:00"/>
    <x v="4"/>
    <x v="4"/>
    <s v="Afternoon"/>
    <x v="1"/>
    <s v="Thrissur"/>
    <x v="1"/>
    <s v="PT-1610"/>
    <s v="New Patient"/>
    <x v="4"/>
    <s v="Self Pay"/>
    <s v="Orthopedic Doctor"/>
    <x v="1"/>
    <n v="60"/>
    <n v="0"/>
    <n v="72.3"/>
    <n v="1600"/>
    <n v="0"/>
    <n v="1600"/>
    <n v="1"/>
    <n v="0"/>
    <n v="0"/>
    <n v="0.85"/>
  </r>
  <r>
    <s v="APT-01664"/>
    <d v="2025-08-18T00:00:00"/>
    <x v="9"/>
    <x v="1"/>
    <s v="Midday"/>
    <x v="2"/>
    <s v="Ernakulam"/>
    <x v="8"/>
    <s v="PT-1538"/>
    <s v="Follow-up"/>
    <x v="2"/>
    <s v="Corporate Tie-up"/>
    <s v="Hospital Discharge"/>
    <x v="0"/>
    <n v="45"/>
    <n v="45"/>
    <n v="60"/>
    <n v="1050"/>
    <n v="1050"/>
    <n v="0"/>
    <n v="0"/>
    <n v="1"/>
    <n v="0"/>
    <n v="0.85"/>
  </r>
  <r>
    <s v="APT-01665"/>
    <d v="2025-04-10T00:00:00"/>
    <x v="6"/>
    <x v="2"/>
    <s v="Midday"/>
    <x v="1"/>
    <s v="Thrissur"/>
    <x v="2"/>
    <s v="PT-1611"/>
    <s v="Follow-up"/>
    <x v="5"/>
    <s v="Self Pay"/>
    <s v="Self Referral"/>
    <x v="0"/>
    <n v="60"/>
    <n v="60"/>
    <n v="66.3"/>
    <n v="1350"/>
    <n v="1350"/>
    <n v="0"/>
    <n v="0"/>
    <n v="1"/>
    <n v="0"/>
    <n v="0.85"/>
  </r>
  <r>
    <s v="APT-01666"/>
    <d v="2025-10-02T00:00:00"/>
    <x v="7"/>
    <x v="2"/>
    <s v="Evening"/>
    <x v="1"/>
    <s v="Thrissur"/>
    <x v="10"/>
    <s v="PT-1308"/>
    <s v="Follow-up"/>
    <x v="1"/>
    <s v="Self Pay"/>
    <s v="Orthopedic Doctor"/>
    <x v="0"/>
    <n v="60"/>
    <n v="60"/>
    <n v="65.7"/>
    <n v="1350"/>
    <n v="1350"/>
    <n v="0"/>
    <n v="0"/>
    <n v="1"/>
    <n v="0"/>
    <n v="0.85"/>
  </r>
  <r>
    <s v="APT-01667"/>
    <d v="2025-04-12T00:00:00"/>
    <x v="6"/>
    <x v="5"/>
    <s v="Evening"/>
    <x v="0"/>
    <s v="Palakkad"/>
    <x v="11"/>
    <s v="PT-1496"/>
    <s v="Post-op Rehab"/>
    <x v="0"/>
    <s v="Corporate Tie-up"/>
    <s v="Orthopedic Doctor"/>
    <x v="1"/>
    <n v="60"/>
    <n v="0"/>
    <n v="71.599999999999994"/>
    <n v="1300"/>
    <n v="0"/>
    <n v="1300"/>
    <n v="1"/>
    <n v="0"/>
    <n v="0"/>
    <n v="0.85"/>
  </r>
  <r>
    <s v="APT-01668"/>
    <d v="2025-09-11T00:00:00"/>
    <x v="2"/>
    <x v="2"/>
    <s v="Midday"/>
    <x v="0"/>
    <s v="Palakkad"/>
    <x v="9"/>
    <s v="PT-1304"/>
    <s v="Post-op Rehab"/>
    <x v="2"/>
    <s v="Private Insurance"/>
    <s v="Corporate Wellness"/>
    <x v="0"/>
    <n v="45"/>
    <n v="45"/>
    <n v="50.9"/>
    <n v="1100"/>
    <n v="1100"/>
    <n v="0"/>
    <n v="0"/>
    <n v="1"/>
    <n v="0"/>
    <n v="0.85"/>
  </r>
  <r>
    <s v="APT-01669"/>
    <d v="2025-06-09T00:00:00"/>
    <x v="4"/>
    <x v="1"/>
    <s v="Midday"/>
    <x v="1"/>
    <s v="Thrissur"/>
    <x v="10"/>
    <s v="PT-1537"/>
    <s v="Sports Injury"/>
    <x v="2"/>
    <s v="Corporate Tie-up"/>
    <s v="Orthopedic Doctor"/>
    <x v="0"/>
    <n v="45"/>
    <n v="45"/>
    <n v="58"/>
    <n v="950"/>
    <n v="950"/>
    <n v="0"/>
    <n v="0"/>
    <n v="1"/>
    <n v="0"/>
    <n v="0.85"/>
  </r>
  <r>
    <s v="APT-01670"/>
    <d v="2025-07-18T00:00:00"/>
    <x v="8"/>
    <x v="4"/>
    <s v="Morning"/>
    <x v="0"/>
    <s v="Palakkad"/>
    <x v="0"/>
    <s v="PT-1157"/>
    <s v="Follow-up"/>
    <x v="4"/>
    <s v="Self Pay"/>
    <s v="Neurologist"/>
    <x v="0"/>
    <n v="30"/>
    <n v="30"/>
    <n v="32.9"/>
    <n v="600"/>
    <n v="600"/>
    <n v="0"/>
    <n v="0"/>
    <n v="1"/>
    <n v="0"/>
    <n v="0.85"/>
  </r>
  <r>
    <s v="APT-01671"/>
    <d v="2025-02-19T00:00:00"/>
    <x v="5"/>
    <x v="3"/>
    <s v="Afternoon"/>
    <x v="2"/>
    <s v="Ernakulam"/>
    <x v="12"/>
    <s v="PT-1659"/>
    <s v="Geriatric Rehab"/>
    <x v="4"/>
    <s v="Private Insurance"/>
    <s v="Orthopedic Doctor"/>
    <x v="0"/>
    <n v="60"/>
    <n v="60"/>
    <n v="67.8"/>
    <n v="1500"/>
    <n v="1500"/>
    <n v="0"/>
    <n v="0"/>
    <n v="1"/>
    <n v="0"/>
    <n v="0.85"/>
  </r>
  <r>
    <s v="APT-01672"/>
    <d v="2025-04-07T00:00:00"/>
    <x v="6"/>
    <x v="1"/>
    <s v="Evening"/>
    <x v="0"/>
    <s v="Palakkad"/>
    <x v="6"/>
    <s v="PT-1026"/>
    <s v="Post-op Rehab"/>
    <x v="1"/>
    <s v="Corporate Tie-up"/>
    <s v="Neurologist"/>
    <x v="1"/>
    <n v="75"/>
    <n v="0"/>
    <n v="92.5"/>
    <n v="1650"/>
    <n v="0"/>
    <n v="1650"/>
    <n v="1"/>
    <n v="0"/>
    <n v="0"/>
    <n v="0.85"/>
  </r>
  <r>
    <s v="APT-01673"/>
    <d v="2025-10-29T00:00:00"/>
    <x v="7"/>
    <x v="3"/>
    <s v="Afternoon"/>
    <x v="1"/>
    <s v="Thrissur"/>
    <x v="1"/>
    <s v="PT-1048"/>
    <s v="Chronic Pain"/>
    <x v="2"/>
    <s v="Private Insurance"/>
    <s v="Neurologist"/>
    <x v="0"/>
    <n v="60"/>
    <n v="60"/>
    <n v="68.8"/>
    <n v="1350"/>
    <n v="1350"/>
    <n v="0"/>
    <n v="0"/>
    <n v="1"/>
    <n v="0"/>
    <n v="0.85"/>
  </r>
  <r>
    <s v="APT-01674"/>
    <d v="2025-01-07T00:00:00"/>
    <x v="11"/>
    <x v="0"/>
    <s v="Midday"/>
    <x v="1"/>
    <s v="Thrissur"/>
    <x v="5"/>
    <s v="PT-1185"/>
    <s v="Follow-up"/>
    <x v="2"/>
    <s v="Private Insurance"/>
    <s v="Hospital Discharge"/>
    <x v="0"/>
    <n v="45"/>
    <n v="45"/>
    <n v="53.9"/>
    <n v="1000"/>
    <n v="1000"/>
    <n v="0"/>
    <n v="0"/>
    <n v="1"/>
    <n v="0"/>
    <n v="0.85"/>
  </r>
  <r>
    <s v="APT-01675"/>
    <d v="2025-10-01T00:00:00"/>
    <x v="7"/>
    <x v="3"/>
    <s v="Midday"/>
    <x v="0"/>
    <s v="Palakkad"/>
    <x v="6"/>
    <s v="PT-1080"/>
    <s v="Post-op Rehab"/>
    <x v="1"/>
    <s v="Self Pay"/>
    <s v="Online Search"/>
    <x v="3"/>
    <n v="45"/>
    <n v="0"/>
    <n v="54.5"/>
    <n v="1100"/>
    <n v="0"/>
    <n v="0"/>
    <n v="0"/>
    <n v="0"/>
    <n v="0"/>
    <n v="0.85"/>
  </r>
  <r>
    <s v="APT-01676"/>
    <d v="2025-07-02T00:00:00"/>
    <x v="8"/>
    <x v="3"/>
    <s v="Afternoon"/>
    <x v="0"/>
    <s v="Palakkad"/>
    <x v="13"/>
    <s v="PT-1462"/>
    <s v="Post-op Rehab"/>
    <x v="5"/>
    <s v="Private Insurance"/>
    <s v="Hospital Discharge"/>
    <x v="0"/>
    <n v="45"/>
    <n v="45"/>
    <n v="60.8"/>
    <n v="1100"/>
    <n v="1100"/>
    <n v="0"/>
    <n v="0"/>
    <n v="1"/>
    <n v="0"/>
    <n v="0.85"/>
  </r>
  <r>
    <s v="APT-01677"/>
    <d v="2025-04-09T00:00:00"/>
    <x v="6"/>
    <x v="3"/>
    <s v="Midday"/>
    <x v="0"/>
    <s v="Palakkad"/>
    <x v="9"/>
    <s v="PT-1327"/>
    <s v="Post-op Rehab"/>
    <x v="1"/>
    <s v="Corporate Tie-up"/>
    <s v="Hospital Discharge"/>
    <x v="0"/>
    <n v="45"/>
    <n v="45"/>
    <n v="52.1"/>
    <n v="1000"/>
    <n v="1000"/>
    <n v="0"/>
    <n v="0"/>
    <n v="1"/>
    <n v="0"/>
    <n v="0.85"/>
  </r>
  <r>
    <s v="APT-01678"/>
    <d v="2025-05-08T00:00:00"/>
    <x v="10"/>
    <x v="2"/>
    <s v="Morning"/>
    <x v="2"/>
    <s v="Ernakulam"/>
    <x v="3"/>
    <s v="PT-1409"/>
    <s v="New Patient"/>
    <x v="1"/>
    <s v="Self Pay"/>
    <s v="Self Referral"/>
    <x v="0"/>
    <n v="30"/>
    <n v="30"/>
    <n v="33"/>
    <n v="900"/>
    <n v="900"/>
    <n v="0"/>
    <n v="0"/>
    <n v="1"/>
    <n v="0"/>
    <n v="0.85"/>
  </r>
  <r>
    <s v="APT-01679"/>
    <d v="2025-05-26T00:00:00"/>
    <x v="10"/>
    <x v="1"/>
    <s v="Afternoon"/>
    <x v="1"/>
    <s v="Thrissur"/>
    <x v="2"/>
    <s v="PT-1171"/>
    <s v="Follow-up"/>
    <x v="0"/>
    <s v="Self Pay"/>
    <s v="Neurologist"/>
    <x v="0"/>
    <n v="30"/>
    <n v="30"/>
    <n v="37.299999999999997"/>
    <n v="700"/>
    <n v="700"/>
    <n v="0"/>
    <n v="0"/>
    <n v="1"/>
    <n v="0"/>
    <n v="0.85"/>
  </r>
  <r>
    <s v="APT-01680"/>
    <d v="2025-12-09T00:00:00"/>
    <x v="0"/>
    <x v="0"/>
    <s v="Morning"/>
    <x v="0"/>
    <s v="Palakkad"/>
    <x v="0"/>
    <s v="PT-1494"/>
    <s v="Follow-up"/>
    <x v="5"/>
    <s v="Private Insurance"/>
    <s v="Corporate Wellness"/>
    <x v="0"/>
    <n v="30"/>
    <n v="30"/>
    <n v="34"/>
    <n v="600"/>
    <n v="600"/>
    <n v="0"/>
    <n v="0"/>
    <n v="1"/>
    <n v="0"/>
    <n v="0.85"/>
  </r>
  <r>
    <s v="APT-01681"/>
    <d v="2025-12-06T00:00:00"/>
    <x v="0"/>
    <x v="5"/>
    <s v="Morning"/>
    <x v="0"/>
    <s v="Palakkad"/>
    <x v="11"/>
    <s v="PT-1448"/>
    <s v="Follow-up"/>
    <x v="4"/>
    <s v="Self Pay"/>
    <s v="Neurologist"/>
    <x v="0"/>
    <n v="60"/>
    <n v="60"/>
    <n v="67.5"/>
    <n v="1250"/>
    <n v="1250"/>
    <n v="0"/>
    <n v="0"/>
    <n v="1"/>
    <n v="0"/>
    <n v="0.85"/>
  </r>
  <r>
    <s v="APT-01682"/>
    <d v="2025-11-17T00:00:00"/>
    <x v="1"/>
    <x v="1"/>
    <s v="Midday"/>
    <x v="0"/>
    <s v="Palakkad"/>
    <x v="11"/>
    <s v="PT-1266"/>
    <s v="Follow-up"/>
    <x v="2"/>
    <s v="Self Pay"/>
    <s v="Online Search"/>
    <x v="0"/>
    <n v="45"/>
    <n v="45"/>
    <n v="49.1"/>
    <n v="950"/>
    <n v="950"/>
    <n v="0"/>
    <n v="0"/>
    <n v="1"/>
    <n v="0"/>
    <n v="0.85"/>
  </r>
  <r>
    <s v="APT-01683"/>
    <d v="2025-08-20T00:00:00"/>
    <x v="9"/>
    <x v="3"/>
    <s v="Evening"/>
    <x v="1"/>
    <s v="Thrissur"/>
    <x v="1"/>
    <s v="PT-1474"/>
    <s v="New Patient"/>
    <x v="2"/>
    <s v="Government Scheme"/>
    <s v="Orthopedic Doctor"/>
    <x v="0"/>
    <n v="30"/>
    <n v="30"/>
    <n v="32.700000000000003"/>
    <n v="700"/>
    <n v="700"/>
    <n v="0"/>
    <n v="0"/>
    <n v="1"/>
    <n v="0"/>
    <n v="0.85"/>
  </r>
  <r>
    <s v="APT-01684"/>
    <d v="2025-11-26T00:00:00"/>
    <x v="1"/>
    <x v="3"/>
    <s v="Morning"/>
    <x v="1"/>
    <s v="Thrissur"/>
    <x v="5"/>
    <s v="PT-1029"/>
    <s v="Geriatric Rehab"/>
    <x v="1"/>
    <s v="Self Pay"/>
    <s v="Neurologist"/>
    <x v="0"/>
    <n v="30"/>
    <n v="30"/>
    <n v="34.200000000000003"/>
    <n v="700"/>
    <n v="700"/>
    <n v="0"/>
    <n v="0"/>
    <n v="1"/>
    <n v="0"/>
    <n v="0.85"/>
  </r>
  <r>
    <s v="APT-01685"/>
    <d v="2025-01-10T00:00:00"/>
    <x v="11"/>
    <x v="4"/>
    <s v="Evening"/>
    <x v="0"/>
    <s v="Palakkad"/>
    <x v="11"/>
    <s v="PT-1286"/>
    <s v="Geriatric Rehab"/>
    <x v="5"/>
    <s v="Self Pay"/>
    <s v="Online Search"/>
    <x v="1"/>
    <n v="60"/>
    <n v="0"/>
    <n v="78.900000000000006"/>
    <n v="1250"/>
    <n v="0"/>
    <n v="1250"/>
    <n v="1"/>
    <n v="0"/>
    <n v="0"/>
    <n v="0.85"/>
  </r>
  <r>
    <s v="APT-01686"/>
    <d v="2025-10-08T00:00:00"/>
    <x v="7"/>
    <x v="3"/>
    <s v="Midday"/>
    <x v="2"/>
    <s v="Ernakulam"/>
    <x v="8"/>
    <s v="PT-1191"/>
    <s v="Follow-up"/>
    <x v="1"/>
    <s v="Private Insurance"/>
    <s v="Orthopedic Doctor"/>
    <x v="1"/>
    <n v="60"/>
    <n v="0"/>
    <n v="72.099999999999994"/>
    <n v="1500"/>
    <n v="0"/>
    <n v="1500"/>
    <n v="1"/>
    <n v="0"/>
    <n v="0"/>
    <n v="0.85"/>
  </r>
  <r>
    <s v="APT-01687"/>
    <d v="2025-06-23T00:00:00"/>
    <x v="4"/>
    <x v="1"/>
    <s v="Evening"/>
    <x v="1"/>
    <s v="Thrissur"/>
    <x v="7"/>
    <s v="PT-1385"/>
    <s v="New Patient"/>
    <x v="2"/>
    <s v="Private Insurance"/>
    <s v="Corporate Wellness"/>
    <x v="0"/>
    <n v="75"/>
    <n v="75"/>
    <n v="87.4"/>
    <n v="2000"/>
    <n v="2000"/>
    <n v="0"/>
    <n v="0"/>
    <n v="1"/>
    <n v="0"/>
    <n v="0.85"/>
  </r>
  <r>
    <s v="APT-01688"/>
    <d v="2025-08-27T00:00:00"/>
    <x v="9"/>
    <x v="3"/>
    <s v="Afternoon"/>
    <x v="2"/>
    <s v="Ernakulam"/>
    <x v="14"/>
    <s v="PT-1251"/>
    <s v="New Patient"/>
    <x v="4"/>
    <s v="Government Scheme"/>
    <s v="Hospital Discharge"/>
    <x v="3"/>
    <n v="45"/>
    <n v="0"/>
    <n v="55.3"/>
    <n v="1150"/>
    <n v="0"/>
    <n v="0"/>
    <n v="0"/>
    <n v="0"/>
    <n v="0"/>
    <n v="0.85"/>
  </r>
  <r>
    <s v="APT-01689"/>
    <d v="2025-08-29T00:00:00"/>
    <x v="9"/>
    <x v="4"/>
    <s v="Afternoon"/>
    <x v="1"/>
    <s v="Thrissur"/>
    <x v="2"/>
    <s v="PT-1061"/>
    <s v="Post-op Rehab"/>
    <x v="3"/>
    <s v="Private Insurance"/>
    <s v="Neurologist"/>
    <x v="0"/>
    <n v="60"/>
    <n v="60"/>
    <n v="80.400000000000006"/>
    <n v="1550"/>
    <n v="1550"/>
    <n v="0"/>
    <n v="0"/>
    <n v="1"/>
    <n v="0"/>
    <n v="0.85"/>
  </r>
  <r>
    <s v="APT-01690"/>
    <d v="2025-04-16T00:00:00"/>
    <x v="6"/>
    <x v="3"/>
    <s v="Morning"/>
    <x v="0"/>
    <s v="Palakkad"/>
    <x v="9"/>
    <s v="PT-1314"/>
    <s v="Geriatric Rehab"/>
    <x v="3"/>
    <s v="Private Insurance"/>
    <s v="Online Search"/>
    <x v="0"/>
    <n v="60"/>
    <n v="60"/>
    <n v="69.400000000000006"/>
    <n v="1250"/>
    <n v="1250"/>
    <n v="0"/>
    <n v="0"/>
    <n v="1"/>
    <n v="0"/>
    <n v="0.85"/>
  </r>
  <r>
    <s v="APT-01691"/>
    <d v="2025-01-11T00:00:00"/>
    <x v="11"/>
    <x v="5"/>
    <s v="Midday"/>
    <x v="1"/>
    <s v="Thrissur"/>
    <x v="7"/>
    <s v="PT-1224"/>
    <s v="Chronic Pain"/>
    <x v="2"/>
    <s v="Self Pay"/>
    <s v="Orthopedic Doctor"/>
    <x v="0"/>
    <n v="60"/>
    <n v="60"/>
    <n v="69.400000000000006"/>
    <n v="1350"/>
    <n v="1350"/>
    <n v="0"/>
    <n v="0"/>
    <n v="1"/>
    <n v="0"/>
    <n v="0.85"/>
  </r>
  <r>
    <s v="APT-01692"/>
    <d v="2025-11-12T00:00:00"/>
    <x v="1"/>
    <x v="3"/>
    <s v="Afternoon"/>
    <x v="2"/>
    <s v="Ernakulam"/>
    <x v="12"/>
    <s v="PT-1297"/>
    <s v="New Patient"/>
    <x v="2"/>
    <s v="Self Pay"/>
    <s v="Hospital Discharge"/>
    <x v="0"/>
    <n v="60"/>
    <n v="60"/>
    <n v="66.400000000000006"/>
    <n v="1800"/>
    <n v="1800"/>
    <n v="0"/>
    <n v="0"/>
    <n v="1"/>
    <n v="0"/>
    <n v="0.85"/>
  </r>
  <r>
    <s v="APT-01693"/>
    <d v="2025-07-29T00:00:00"/>
    <x v="8"/>
    <x v="0"/>
    <s v="Evening"/>
    <x v="1"/>
    <s v="Thrissur"/>
    <x v="5"/>
    <s v="PT-1257"/>
    <s v="Post-op Rehab"/>
    <x v="3"/>
    <s v="Self Pay"/>
    <s v="Self Referral"/>
    <x v="0"/>
    <n v="45"/>
    <n v="45"/>
    <n v="56.7"/>
    <n v="1150"/>
    <n v="1150"/>
    <n v="0"/>
    <n v="0"/>
    <n v="1"/>
    <n v="0"/>
    <n v="0.85"/>
  </r>
  <r>
    <s v="APT-01694"/>
    <d v="2025-05-26T00:00:00"/>
    <x v="10"/>
    <x v="1"/>
    <s v="Midday"/>
    <x v="0"/>
    <s v="Palakkad"/>
    <x v="9"/>
    <s v="PT-1054"/>
    <s v="Chronic Pain"/>
    <x v="3"/>
    <s v="Self Pay"/>
    <s v="Corporate Wellness"/>
    <x v="0"/>
    <n v="60"/>
    <n v="60"/>
    <n v="74.7"/>
    <n v="1250"/>
    <n v="1250"/>
    <n v="0"/>
    <n v="0"/>
    <n v="1"/>
    <n v="0"/>
    <n v="0.85"/>
  </r>
  <r>
    <s v="APT-01695"/>
    <d v="2025-10-07T00:00:00"/>
    <x v="7"/>
    <x v="0"/>
    <s v="Evening"/>
    <x v="0"/>
    <s v="Palakkad"/>
    <x v="6"/>
    <s v="PT-1105"/>
    <s v="Sports Injury"/>
    <x v="4"/>
    <s v="Self Pay"/>
    <s v="Self Referral"/>
    <x v="0"/>
    <n v="60"/>
    <n v="60"/>
    <n v="69.5"/>
    <n v="1250"/>
    <n v="1250"/>
    <n v="0"/>
    <n v="0"/>
    <n v="1"/>
    <n v="0"/>
    <n v="0.85"/>
  </r>
  <r>
    <s v="APT-01696"/>
    <d v="2025-01-13T00:00:00"/>
    <x v="11"/>
    <x v="1"/>
    <s v="Afternoon"/>
    <x v="1"/>
    <s v="Thrissur"/>
    <x v="5"/>
    <s v="PT-1592"/>
    <s v="Chronic Pain"/>
    <x v="4"/>
    <s v="Government Scheme"/>
    <s v="Corporate Wellness"/>
    <x v="1"/>
    <n v="90"/>
    <n v="0"/>
    <n v="103"/>
    <n v="1700"/>
    <n v="0"/>
    <n v="1700"/>
    <n v="1"/>
    <n v="0"/>
    <n v="0"/>
    <n v="0.85"/>
  </r>
  <r>
    <s v="APT-01697"/>
    <d v="2025-04-25T00:00:00"/>
    <x v="6"/>
    <x v="4"/>
    <s v="Morning"/>
    <x v="1"/>
    <s v="Thrissur"/>
    <x v="5"/>
    <s v="PT-1503"/>
    <s v="Follow-up"/>
    <x v="0"/>
    <s v="Self Pay"/>
    <s v="Self Referral"/>
    <x v="0"/>
    <n v="45"/>
    <n v="45"/>
    <n v="58.3"/>
    <n v="1000"/>
    <n v="1000"/>
    <n v="0"/>
    <n v="0"/>
    <n v="1"/>
    <n v="0"/>
    <n v="0.85"/>
  </r>
  <r>
    <s v="APT-01698"/>
    <d v="2025-03-24T00:00:00"/>
    <x v="3"/>
    <x v="1"/>
    <s v="Midday"/>
    <x v="0"/>
    <s v="Palakkad"/>
    <x v="9"/>
    <s v="PT-1470"/>
    <s v="New Patient"/>
    <x v="2"/>
    <s v="Government Scheme"/>
    <s v="Self Referral"/>
    <x v="1"/>
    <n v="60"/>
    <n v="0"/>
    <n v="76"/>
    <n v="1300"/>
    <n v="0"/>
    <n v="1300"/>
    <n v="1"/>
    <n v="0"/>
    <n v="0"/>
    <n v="0.85"/>
  </r>
  <r>
    <s v="APT-01699"/>
    <d v="2025-04-14T00:00:00"/>
    <x v="6"/>
    <x v="1"/>
    <s v="Afternoon"/>
    <x v="0"/>
    <s v="Palakkad"/>
    <x v="0"/>
    <s v="PT-1083"/>
    <s v="Post-op Rehab"/>
    <x v="3"/>
    <s v="Private Insurance"/>
    <s v="Online Search"/>
    <x v="1"/>
    <n v="60"/>
    <n v="0"/>
    <n v="78.400000000000006"/>
    <n v="1450"/>
    <n v="0"/>
    <n v="1450"/>
    <n v="1"/>
    <n v="0"/>
    <n v="0"/>
    <n v="0.85"/>
  </r>
  <r>
    <s v="APT-01700"/>
    <d v="2025-03-20T00:00:00"/>
    <x v="3"/>
    <x v="2"/>
    <s v="Evening"/>
    <x v="2"/>
    <s v="Ernakulam"/>
    <x v="8"/>
    <s v="PT-1319"/>
    <s v="Geriatric Rehab"/>
    <x v="2"/>
    <s v="Self Pay"/>
    <s v="Orthopedic Doctor"/>
    <x v="0"/>
    <n v="90"/>
    <n v="90"/>
    <n v="101.5"/>
    <n v="2250"/>
    <n v="2250"/>
    <n v="0"/>
    <n v="0"/>
    <n v="1"/>
    <n v="0"/>
    <n v="0.85"/>
  </r>
  <r>
    <s v="APT-01701"/>
    <d v="2025-11-01T00:00:00"/>
    <x v="1"/>
    <x v="5"/>
    <s v="Midday"/>
    <x v="0"/>
    <s v="Palakkad"/>
    <x v="6"/>
    <s v="PT-1222"/>
    <s v="New Patient"/>
    <x v="4"/>
    <s v="Self Pay"/>
    <s v="Self Referral"/>
    <x v="1"/>
    <n v="30"/>
    <n v="0"/>
    <n v="34.5"/>
    <n v="750"/>
    <n v="0"/>
    <n v="750"/>
    <n v="1"/>
    <n v="0"/>
    <n v="0"/>
    <n v="0.85"/>
  </r>
  <r>
    <s v="APT-01702"/>
    <d v="2025-07-07T00:00:00"/>
    <x v="8"/>
    <x v="1"/>
    <s v="Morning"/>
    <x v="1"/>
    <s v="Thrissur"/>
    <x v="10"/>
    <s v="PT-1381"/>
    <s v="New Patient"/>
    <x v="0"/>
    <s v="Private Insurance"/>
    <s v="Orthopedic Doctor"/>
    <x v="0"/>
    <n v="60"/>
    <n v="60"/>
    <n v="65.3"/>
    <n v="1600"/>
    <n v="1600"/>
    <n v="0"/>
    <n v="0"/>
    <n v="1"/>
    <n v="0"/>
    <n v="0.85"/>
  </r>
  <r>
    <s v="APT-01703"/>
    <d v="2025-09-22T00:00:00"/>
    <x v="2"/>
    <x v="1"/>
    <s v="Evening"/>
    <x v="1"/>
    <s v="Thrissur"/>
    <x v="2"/>
    <s v="PT-1068"/>
    <s v="Geriatric Rehab"/>
    <x v="1"/>
    <s v="Private Insurance"/>
    <s v="Orthopedic Doctor"/>
    <x v="0"/>
    <n v="60"/>
    <n v="60"/>
    <n v="75.099999999999994"/>
    <n v="1350"/>
    <n v="1350"/>
    <n v="0"/>
    <n v="0"/>
    <n v="1"/>
    <n v="0"/>
    <n v="0.85"/>
  </r>
  <r>
    <s v="APT-01704"/>
    <d v="2025-09-04T00:00:00"/>
    <x v="2"/>
    <x v="2"/>
    <s v="Afternoon"/>
    <x v="0"/>
    <s v="Palakkad"/>
    <x v="11"/>
    <s v="PT-1268"/>
    <s v="Follow-up"/>
    <x v="2"/>
    <s v="Corporate Tie-up"/>
    <s v="Orthopedic Doctor"/>
    <x v="0"/>
    <n v="60"/>
    <n v="60"/>
    <n v="73.2"/>
    <n v="1150"/>
    <n v="1150"/>
    <n v="0"/>
    <n v="0"/>
    <n v="1"/>
    <n v="0"/>
    <n v="0.85"/>
  </r>
  <r>
    <s v="APT-01705"/>
    <d v="2025-09-19T00:00:00"/>
    <x v="2"/>
    <x v="4"/>
    <s v="Afternoon"/>
    <x v="1"/>
    <s v="Thrissur"/>
    <x v="7"/>
    <s v="PT-1585"/>
    <s v="Chronic Pain"/>
    <x v="1"/>
    <s v="Private Insurance"/>
    <s v="Self Referral"/>
    <x v="1"/>
    <n v="90"/>
    <n v="0"/>
    <n v="107.2"/>
    <n v="2000"/>
    <n v="0"/>
    <n v="2000"/>
    <n v="1"/>
    <n v="0"/>
    <n v="0"/>
    <n v="0.85"/>
  </r>
  <r>
    <s v="APT-01706"/>
    <d v="2025-10-08T00:00:00"/>
    <x v="7"/>
    <x v="3"/>
    <s v="Afternoon"/>
    <x v="1"/>
    <s v="Thrissur"/>
    <x v="10"/>
    <s v="PT-1094"/>
    <s v="New Patient"/>
    <x v="4"/>
    <s v="Private Insurance"/>
    <s v="Corporate Wellness"/>
    <x v="0"/>
    <n v="45"/>
    <n v="45"/>
    <n v="49.9"/>
    <n v="1200"/>
    <n v="1200"/>
    <n v="0"/>
    <n v="0"/>
    <n v="1"/>
    <n v="0"/>
    <n v="0.85"/>
  </r>
  <r>
    <s v="APT-01707"/>
    <d v="2025-05-21T00:00:00"/>
    <x v="10"/>
    <x v="3"/>
    <s v="Morning"/>
    <x v="1"/>
    <s v="Thrissur"/>
    <x v="10"/>
    <s v="PT-1569"/>
    <s v="Follow-up"/>
    <x v="2"/>
    <s v="Government Scheme"/>
    <s v="Neurologist"/>
    <x v="0"/>
    <n v="30"/>
    <n v="30"/>
    <n v="34.299999999999997"/>
    <n v="550"/>
    <n v="550"/>
    <n v="0"/>
    <n v="0"/>
    <n v="1"/>
    <n v="0"/>
    <n v="0.85"/>
  </r>
  <r>
    <s v="APT-01708"/>
    <d v="2025-06-14T00:00:00"/>
    <x v="4"/>
    <x v="5"/>
    <s v="Midday"/>
    <x v="0"/>
    <s v="Palakkad"/>
    <x v="9"/>
    <s v="PT-1238"/>
    <s v="New Patient"/>
    <x v="4"/>
    <s v="Self Pay"/>
    <s v="Self Referral"/>
    <x v="0"/>
    <n v="45"/>
    <n v="45"/>
    <n v="57.2"/>
    <n v="1100"/>
    <n v="1100"/>
    <n v="0"/>
    <n v="0"/>
    <n v="1"/>
    <n v="0"/>
    <n v="0.85"/>
  </r>
  <r>
    <s v="APT-01709"/>
    <d v="2025-07-14T00:00:00"/>
    <x v="8"/>
    <x v="1"/>
    <s v="Morning"/>
    <x v="2"/>
    <s v="Ernakulam"/>
    <x v="8"/>
    <s v="PT-1183"/>
    <s v="Chronic Pain"/>
    <x v="4"/>
    <s v="Private Insurance"/>
    <s v="Self Referral"/>
    <x v="1"/>
    <n v="60"/>
    <n v="0"/>
    <n v="73.5"/>
    <n v="1500"/>
    <n v="0"/>
    <n v="1500"/>
    <n v="1"/>
    <n v="0"/>
    <n v="0"/>
    <n v="0.85"/>
  </r>
  <r>
    <s v="APT-01710"/>
    <d v="2025-12-17T00:00:00"/>
    <x v="0"/>
    <x v="3"/>
    <s v="Midday"/>
    <x v="0"/>
    <s v="Palakkad"/>
    <x v="6"/>
    <s v="PT-1147"/>
    <s v="Follow-up"/>
    <x v="4"/>
    <s v="Private Insurance"/>
    <s v="Online Search"/>
    <x v="0"/>
    <n v="60"/>
    <n v="60"/>
    <n v="81"/>
    <n v="1250"/>
    <n v="1250"/>
    <n v="0"/>
    <n v="0"/>
    <n v="1"/>
    <n v="0"/>
    <n v="0.85"/>
  </r>
  <r>
    <s v="APT-01711"/>
    <d v="2025-03-29T00:00:00"/>
    <x v="3"/>
    <x v="5"/>
    <s v="Evening"/>
    <x v="1"/>
    <s v="Thrissur"/>
    <x v="2"/>
    <s v="PT-1153"/>
    <s v="Post-op Rehab"/>
    <x v="5"/>
    <s v="Self Pay"/>
    <s v="Hospital Discharge"/>
    <x v="1"/>
    <n v="30"/>
    <n v="0"/>
    <n v="34.4"/>
    <n v="800"/>
    <n v="0"/>
    <n v="800"/>
    <n v="1"/>
    <n v="0"/>
    <n v="0"/>
    <n v="0.85"/>
  </r>
  <r>
    <s v="APT-01712"/>
    <d v="2025-07-12T00:00:00"/>
    <x v="8"/>
    <x v="5"/>
    <s v="Morning"/>
    <x v="2"/>
    <s v="Ernakulam"/>
    <x v="4"/>
    <s v="PT-1295"/>
    <s v="Follow-up"/>
    <x v="5"/>
    <s v="Self Pay"/>
    <s v="Corporate Wellness"/>
    <x v="1"/>
    <n v="60"/>
    <n v="0"/>
    <n v="74.099999999999994"/>
    <n v="1500"/>
    <n v="0"/>
    <n v="1500"/>
    <n v="1"/>
    <n v="0"/>
    <n v="0"/>
    <n v="0.85"/>
  </r>
  <r>
    <s v="APT-01713"/>
    <d v="2025-03-25T00:00:00"/>
    <x v="3"/>
    <x v="0"/>
    <s v="Midday"/>
    <x v="0"/>
    <s v="Palakkad"/>
    <x v="6"/>
    <s v="PT-1154"/>
    <s v="Follow-up"/>
    <x v="2"/>
    <s v="Self Pay"/>
    <s v="Neurologist"/>
    <x v="1"/>
    <n v="45"/>
    <n v="0"/>
    <n v="50"/>
    <n v="950"/>
    <n v="0"/>
    <n v="950"/>
    <n v="1"/>
    <n v="0"/>
    <n v="0"/>
    <n v="0.85"/>
  </r>
  <r>
    <s v="APT-01714"/>
    <d v="2025-08-19T00:00:00"/>
    <x v="9"/>
    <x v="0"/>
    <s v="Morning"/>
    <x v="0"/>
    <s v="Palakkad"/>
    <x v="11"/>
    <s v="PT-1369"/>
    <s v="Post-op Rehab"/>
    <x v="5"/>
    <s v="Corporate Tie-up"/>
    <s v="Online Search"/>
    <x v="0"/>
    <n v="60"/>
    <n v="60"/>
    <n v="70.099999999999994"/>
    <n v="1300"/>
    <n v="1300"/>
    <n v="0"/>
    <n v="0"/>
    <n v="1"/>
    <n v="0"/>
    <n v="0.85"/>
  </r>
  <r>
    <s v="APT-01715"/>
    <d v="2025-10-13T00:00:00"/>
    <x v="7"/>
    <x v="1"/>
    <s v="Morning"/>
    <x v="1"/>
    <s v="Thrissur"/>
    <x v="5"/>
    <s v="PT-1640"/>
    <s v="Chronic Pain"/>
    <x v="4"/>
    <s v="Self Pay"/>
    <s v="Online Search"/>
    <x v="0"/>
    <n v="60"/>
    <n v="60"/>
    <n v="66.8"/>
    <n v="1350"/>
    <n v="1350"/>
    <n v="0"/>
    <n v="0"/>
    <n v="1"/>
    <n v="0"/>
    <n v="0.85"/>
  </r>
  <r>
    <s v="APT-01716"/>
    <d v="2025-09-17T00:00:00"/>
    <x v="2"/>
    <x v="3"/>
    <s v="Afternoon"/>
    <x v="2"/>
    <s v="Ernakulam"/>
    <x v="14"/>
    <s v="PT-1075"/>
    <s v="Sports Injury"/>
    <x v="2"/>
    <s v="Government Scheme"/>
    <s v="Online Search"/>
    <x v="0"/>
    <n v="30"/>
    <n v="30"/>
    <n v="35.4"/>
    <n v="650"/>
    <n v="650"/>
    <n v="0"/>
    <n v="0"/>
    <n v="1"/>
    <n v="0"/>
    <n v="0.85"/>
  </r>
  <r>
    <s v="APT-01717"/>
    <d v="2025-02-15T00:00:00"/>
    <x v="5"/>
    <x v="5"/>
    <s v="Midday"/>
    <x v="1"/>
    <s v="Thrissur"/>
    <x v="10"/>
    <s v="PT-1286"/>
    <s v="Follow-up"/>
    <x v="3"/>
    <s v="Private Insurance"/>
    <s v="Neurologist"/>
    <x v="0"/>
    <n v="60"/>
    <n v="60"/>
    <n v="79.599999999999994"/>
    <n v="1350"/>
    <n v="1350"/>
    <n v="0"/>
    <n v="0"/>
    <n v="1"/>
    <n v="0"/>
    <n v="0.85"/>
  </r>
  <r>
    <s v="APT-01718"/>
    <d v="2025-02-10T00:00:00"/>
    <x v="5"/>
    <x v="1"/>
    <s v="Midday"/>
    <x v="1"/>
    <s v="Thrissur"/>
    <x v="10"/>
    <s v="PT-1632"/>
    <s v="New Patient"/>
    <x v="5"/>
    <s v="Self Pay"/>
    <s v="Online Search"/>
    <x v="1"/>
    <n v="30"/>
    <n v="0"/>
    <n v="40"/>
    <n v="800"/>
    <n v="0"/>
    <n v="800"/>
    <n v="1"/>
    <n v="0"/>
    <n v="0"/>
    <n v="0.85"/>
  </r>
  <r>
    <s v="APT-01719"/>
    <d v="2025-12-01T00:00:00"/>
    <x v="0"/>
    <x v="1"/>
    <s v="Morning"/>
    <x v="1"/>
    <s v="Thrissur"/>
    <x v="1"/>
    <s v="PT-1364"/>
    <s v="Follow-up"/>
    <x v="5"/>
    <s v="Self Pay"/>
    <s v="Online Search"/>
    <x v="0"/>
    <n v="60"/>
    <n v="60"/>
    <n v="80.599999999999994"/>
    <n v="1350"/>
    <n v="1350"/>
    <n v="0"/>
    <n v="0"/>
    <n v="1"/>
    <n v="0"/>
    <n v="0.85"/>
  </r>
  <r>
    <s v="APT-01720"/>
    <d v="2025-03-28T00:00:00"/>
    <x v="3"/>
    <x v="4"/>
    <s v="Afternoon"/>
    <x v="2"/>
    <s v="Ernakulam"/>
    <x v="12"/>
    <s v="PT-1651"/>
    <s v="Follow-up"/>
    <x v="3"/>
    <s v="Self Pay"/>
    <s v="Online Search"/>
    <x v="0"/>
    <n v="60"/>
    <n v="60"/>
    <n v="76.099999999999994"/>
    <n v="1500"/>
    <n v="1500"/>
    <n v="0"/>
    <n v="0"/>
    <n v="1"/>
    <n v="0"/>
    <n v="0.85"/>
  </r>
  <r>
    <s v="APT-01721"/>
    <d v="2025-10-07T00:00:00"/>
    <x v="7"/>
    <x v="0"/>
    <s v="Morning"/>
    <x v="0"/>
    <s v="Palakkad"/>
    <x v="6"/>
    <s v="PT-1490"/>
    <s v="Post-op Rehab"/>
    <x v="1"/>
    <s v="Self Pay"/>
    <s v="Neurologist"/>
    <x v="0"/>
    <n v="45"/>
    <n v="45"/>
    <n v="59.2"/>
    <n v="1100"/>
    <n v="1100"/>
    <n v="0"/>
    <n v="0"/>
    <n v="1"/>
    <n v="0"/>
    <n v="0.85"/>
  </r>
  <r>
    <s v="APT-01722"/>
    <d v="2025-01-14T00:00:00"/>
    <x v="11"/>
    <x v="0"/>
    <s v="Afternoon"/>
    <x v="0"/>
    <s v="Palakkad"/>
    <x v="11"/>
    <s v="PT-1571"/>
    <s v="Follow-up"/>
    <x v="1"/>
    <s v="Corporate Tie-up"/>
    <s v="Self Referral"/>
    <x v="0"/>
    <n v="30"/>
    <n v="30"/>
    <n v="38"/>
    <n v="600"/>
    <n v="600"/>
    <n v="0"/>
    <n v="0"/>
    <n v="1"/>
    <n v="0"/>
    <n v="0.85"/>
  </r>
  <r>
    <s v="APT-01723"/>
    <d v="2025-12-17T00:00:00"/>
    <x v="0"/>
    <x v="3"/>
    <s v="Evening"/>
    <x v="2"/>
    <s v="Ernakulam"/>
    <x v="8"/>
    <s v="PT-1438"/>
    <s v="Follow-up"/>
    <x v="1"/>
    <s v="Government Scheme"/>
    <s v="Self Referral"/>
    <x v="0"/>
    <n v="60"/>
    <n v="60"/>
    <n v="79.2"/>
    <n v="1300"/>
    <n v="1300"/>
    <n v="0"/>
    <n v="0"/>
    <n v="1"/>
    <n v="0"/>
    <n v="0.85"/>
  </r>
  <r>
    <s v="APT-01724"/>
    <d v="2025-09-15T00:00:00"/>
    <x v="2"/>
    <x v="1"/>
    <s v="Evening"/>
    <x v="0"/>
    <s v="Palakkad"/>
    <x v="13"/>
    <s v="PT-1541"/>
    <s v="Post-op Rehab"/>
    <x v="4"/>
    <s v="Government Scheme"/>
    <s v="Online Search"/>
    <x v="0"/>
    <n v="60"/>
    <n v="60"/>
    <n v="73.099999999999994"/>
    <n v="1200"/>
    <n v="1200"/>
    <n v="0"/>
    <n v="0"/>
    <n v="1"/>
    <n v="0"/>
    <n v="0.85"/>
  </r>
  <r>
    <s v="APT-01725"/>
    <d v="2025-05-19T00:00:00"/>
    <x v="10"/>
    <x v="1"/>
    <s v="Midday"/>
    <x v="0"/>
    <s v="Palakkad"/>
    <x v="0"/>
    <s v="PT-1491"/>
    <s v="New Patient"/>
    <x v="1"/>
    <s v="Government Scheme"/>
    <s v="Online Search"/>
    <x v="1"/>
    <n v="30"/>
    <n v="0"/>
    <n v="37.5"/>
    <n v="650"/>
    <n v="0"/>
    <n v="650"/>
    <n v="1"/>
    <n v="0"/>
    <n v="0"/>
    <n v="0.85"/>
  </r>
  <r>
    <s v="APT-01726"/>
    <d v="2025-08-07T00:00:00"/>
    <x v="9"/>
    <x v="2"/>
    <s v="Afternoon"/>
    <x v="0"/>
    <s v="Palakkad"/>
    <x v="9"/>
    <s v="PT-1003"/>
    <s v="Post-op Rehab"/>
    <x v="4"/>
    <s v="Self Pay"/>
    <s v="Corporate Wellness"/>
    <x v="1"/>
    <n v="45"/>
    <n v="0"/>
    <n v="56.8"/>
    <n v="1100"/>
    <n v="0"/>
    <n v="1100"/>
    <n v="1"/>
    <n v="0"/>
    <n v="0"/>
    <n v="0.85"/>
  </r>
  <r>
    <s v="APT-01727"/>
    <d v="2025-06-09T00:00:00"/>
    <x v="4"/>
    <x v="1"/>
    <s v="Afternoon"/>
    <x v="1"/>
    <s v="Thrissur"/>
    <x v="1"/>
    <s v="PT-1136"/>
    <s v="New Patient"/>
    <x v="2"/>
    <s v="Private Insurance"/>
    <s v="Self Referral"/>
    <x v="0"/>
    <n v="45"/>
    <n v="45"/>
    <n v="55.6"/>
    <n v="1200"/>
    <n v="1200"/>
    <n v="0"/>
    <n v="0"/>
    <n v="1"/>
    <n v="0"/>
    <n v="0.85"/>
  </r>
  <r>
    <s v="APT-01728"/>
    <d v="2025-06-17T00:00:00"/>
    <x v="4"/>
    <x v="0"/>
    <s v="Midday"/>
    <x v="1"/>
    <s v="Thrissur"/>
    <x v="7"/>
    <s v="PT-1055"/>
    <s v="Chronic Pain"/>
    <x v="5"/>
    <s v="Government Scheme"/>
    <s v="Online Search"/>
    <x v="0"/>
    <n v="60"/>
    <n v="60"/>
    <n v="70.400000000000006"/>
    <n v="1150"/>
    <n v="1150"/>
    <n v="0"/>
    <n v="0"/>
    <n v="1"/>
    <n v="0"/>
    <n v="0.85"/>
  </r>
  <r>
    <s v="APT-01729"/>
    <d v="2025-09-30T00:00:00"/>
    <x v="2"/>
    <x v="0"/>
    <s v="Evening"/>
    <x v="1"/>
    <s v="Thrissur"/>
    <x v="10"/>
    <s v="PT-1234"/>
    <s v="Sports Injury"/>
    <x v="2"/>
    <s v="Private Insurance"/>
    <s v="Corporate Wellness"/>
    <x v="0"/>
    <n v="45"/>
    <n v="45"/>
    <n v="50.7"/>
    <n v="1000"/>
    <n v="1000"/>
    <n v="0"/>
    <n v="0"/>
    <n v="1"/>
    <n v="0"/>
    <n v="0.85"/>
  </r>
  <r>
    <s v="APT-01730"/>
    <d v="2025-09-04T00:00:00"/>
    <x v="2"/>
    <x v="2"/>
    <s v="Midday"/>
    <x v="0"/>
    <s v="Palakkad"/>
    <x v="13"/>
    <s v="PT-1133"/>
    <s v="Post-op Rehab"/>
    <x v="2"/>
    <s v="Self Pay"/>
    <s v="Hospital Discharge"/>
    <x v="0"/>
    <n v="60"/>
    <n v="60"/>
    <n v="72"/>
    <n v="1450"/>
    <n v="1450"/>
    <n v="0"/>
    <n v="0"/>
    <n v="1"/>
    <n v="0"/>
    <n v="0.85"/>
  </r>
  <r>
    <s v="APT-01731"/>
    <d v="2025-06-21T00:00:00"/>
    <x v="4"/>
    <x v="5"/>
    <s v="Evening"/>
    <x v="2"/>
    <s v="Ernakulam"/>
    <x v="3"/>
    <s v="PT-1646"/>
    <s v="Sports Injury"/>
    <x v="5"/>
    <s v="Private Insurance"/>
    <s v="Online Search"/>
    <x v="0"/>
    <n v="45"/>
    <n v="45"/>
    <n v="49.5"/>
    <n v="1100"/>
    <n v="1100"/>
    <n v="0"/>
    <n v="0"/>
    <n v="1"/>
    <n v="0"/>
    <n v="0.85"/>
  </r>
  <r>
    <s v="APT-01732"/>
    <d v="2025-05-15T00:00:00"/>
    <x v="10"/>
    <x v="2"/>
    <s v="Evening"/>
    <x v="2"/>
    <s v="Ernakulam"/>
    <x v="8"/>
    <s v="PT-1430"/>
    <s v="Sports Injury"/>
    <x v="5"/>
    <s v="Self Pay"/>
    <s v="Online Search"/>
    <x v="0"/>
    <n v="30"/>
    <n v="30"/>
    <n v="38.6"/>
    <n v="750"/>
    <n v="750"/>
    <n v="0"/>
    <n v="0"/>
    <n v="1"/>
    <n v="0"/>
    <n v="0.85"/>
  </r>
  <r>
    <s v="APT-01733"/>
    <d v="2025-08-07T00:00:00"/>
    <x v="9"/>
    <x v="2"/>
    <s v="Afternoon"/>
    <x v="1"/>
    <s v="Thrissur"/>
    <x v="2"/>
    <s v="PT-1126"/>
    <s v="Geriatric Rehab"/>
    <x v="5"/>
    <s v="Self Pay"/>
    <s v="Self Referral"/>
    <x v="1"/>
    <n v="60"/>
    <n v="0"/>
    <n v="71.8"/>
    <n v="1350"/>
    <n v="0"/>
    <n v="1350"/>
    <n v="1"/>
    <n v="0"/>
    <n v="0"/>
    <n v="0.85"/>
  </r>
  <r>
    <s v="APT-01734"/>
    <d v="2025-03-03T00:00:00"/>
    <x v="3"/>
    <x v="1"/>
    <s v="Afternoon"/>
    <x v="0"/>
    <s v="Palakkad"/>
    <x v="11"/>
    <s v="PT-1268"/>
    <s v="Chronic Pain"/>
    <x v="2"/>
    <s v="Government Scheme"/>
    <s v="Online Search"/>
    <x v="0"/>
    <n v="45"/>
    <n v="45"/>
    <n v="49.5"/>
    <n v="800"/>
    <n v="800"/>
    <n v="0"/>
    <n v="0"/>
    <n v="1"/>
    <n v="0"/>
    <n v="0.85"/>
  </r>
  <r>
    <s v="APT-01735"/>
    <d v="2025-12-20T00:00:00"/>
    <x v="0"/>
    <x v="5"/>
    <s v="Afternoon"/>
    <x v="2"/>
    <s v="Ernakulam"/>
    <x v="4"/>
    <s v="PT-1535"/>
    <s v="Follow-up"/>
    <x v="0"/>
    <s v="Self Pay"/>
    <s v="Online Search"/>
    <x v="0"/>
    <n v="75"/>
    <n v="75"/>
    <n v="88.2"/>
    <n v="1900"/>
    <n v="1900"/>
    <n v="0"/>
    <n v="0"/>
    <n v="1"/>
    <n v="0"/>
    <n v="0.85"/>
  </r>
  <r>
    <s v="APT-01736"/>
    <d v="2025-02-06T00:00:00"/>
    <x v="5"/>
    <x v="2"/>
    <s v="Morning"/>
    <x v="1"/>
    <s v="Thrissur"/>
    <x v="2"/>
    <s v="PT-1043"/>
    <s v="Sports Injury"/>
    <x v="4"/>
    <s v="Government Scheme"/>
    <s v="Online Search"/>
    <x v="3"/>
    <n v="90"/>
    <n v="0"/>
    <n v="98.9"/>
    <n v="1700"/>
    <n v="0"/>
    <n v="0"/>
    <n v="0"/>
    <n v="0"/>
    <n v="0"/>
    <n v="0.85"/>
  </r>
  <r>
    <s v="APT-01737"/>
    <d v="2025-04-15T00:00:00"/>
    <x v="6"/>
    <x v="0"/>
    <s v="Midday"/>
    <x v="0"/>
    <s v="Palakkad"/>
    <x v="0"/>
    <s v="PT-1659"/>
    <s v="Follow-up"/>
    <x v="4"/>
    <s v="Corporate Tie-up"/>
    <s v="Corporate Wellness"/>
    <x v="0"/>
    <n v="75"/>
    <n v="75"/>
    <n v="91.1"/>
    <n v="1450"/>
    <n v="1450"/>
    <n v="0"/>
    <n v="0"/>
    <n v="1"/>
    <n v="0"/>
    <n v="0.85"/>
  </r>
  <r>
    <s v="APT-01738"/>
    <d v="2025-06-27T00:00:00"/>
    <x v="4"/>
    <x v="4"/>
    <s v="Afternoon"/>
    <x v="2"/>
    <s v="Ernakulam"/>
    <x v="14"/>
    <s v="PT-1334"/>
    <s v="Follow-up"/>
    <x v="2"/>
    <s v="Self Pay"/>
    <s v="Self Referral"/>
    <x v="0"/>
    <n v="30"/>
    <n v="30"/>
    <n v="35.1"/>
    <n v="750"/>
    <n v="750"/>
    <n v="0"/>
    <n v="0"/>
    <n v="1"/>
    <n v="0"/>
    <n v="0.85"/>
  </r>
  <r>
    <s v="APT-01739"/>
    <d v="2025-12-22T00:00:00"/>
    <x v="0"/>
    <x v="1"/>
    <s v="Afternoon"/>
    <x v="2"/>
    <s v="Ernakulam"/>
    <x v="3"/>
    <s v="PT-1537"/>
    <s v="Post-op Rehab"/>
    <x v="0"/>
    <s v="Corporate Tie-up"/>
    <s v="Orthopedic Doctor"/>
    <x v="0"/>
    <n v="60"/>
    <n v="60"/>
    <n v="71"/>
    <n v="1600"/>
    <n v="1600"/>
    <n v="0"/>
    <n v="0"/>
    <n v="1"/>
    <n v="0"/>
    <n v="0.85"/>
  </r>
  <r>
    <s v="APT-01740"/>
    <d v="2025-08-29T00:00:00"/>
    <x v="9"/>
    <x v="4"/>
    <s v="Afternoon"/>
    <x v="1"/>
    <s v="Thrissur"/>
    <x v="2"/>
    <s v="PT-1068"/>
    <s v="New Patient"/>
    <x v="2"/>
    <s v="Self Pay"/>
    <s v="Neurologist"/>
    <x v="0"/>
    <n v="30"/>
    <n v="30"/>
    <n v="36.799999999999997"/>
    <n v="800"/>
    <n v="800"/>
    <n v="0"/>
    <n v="0"/>
    <n v="1"/>
    <n v="0"/>
    <n v="0.85"/>
  </r>
  <r>
    <s v="APT-01741"/>
    <d v="2025-12-25T00:00:00"/>
    <x v="0"/>
    <x v="2"/>
    <s v="Midday"/>
    <x v="2"/>
    <s v="Ernakulam"/>
    <x v="4"/>
    <s v="PT-1309"/>
    <s v="Sports Injury"/>
    <x v="2"/>
    <s v="Private Insurance"/>
    <s v="Corporate Wellness"/>
    <x v="0"/>
    <n v="30"/>
    <n v="30"/>
    <n v="34.200000000000003"/>
    <n v="750"/>
    <n v="750"/>
    <n v="0"/>
    <n v="0"/>
    <n v="1"/>
    <n v="0"/>
    <n v="0.85"/>
  </r>
  <r>
    <s v="APT-01742"/>
    <d v="2025-04-10T00:00:00"/>
    <x v="6"/>
    <x v="2"/>
    <s v="Morning"/>
    <x v="2"/>
    <s v="Ernakulam"/>
    <x v="3"/>
    <s v="PT-1211"/>
    <s v="Chronic Pain"/>
    <x v="0"/>
    <s v="Private Insurance"/>
    <s v="Self Referral"/>
    <x v="0"/>
    <n v="45"/>
    <n v="45"/>
    <n v="54.9"/>
    <n v="1100"/>
    <n v="1100"/>
    <n v="0"/>
    <n v="0"/>
    <n v="1"/>
    <n v="0"/>
    <n v="0.85"/>
  </r>
  <r>
    <s v="APT-01743"/>
    <d v="2025-08-20T00:00:00"/>
    <x v="9"/>
    <x v="3"/>
    <s v="Evening"/>
    <x v="1"/>
    <s v="Thrissur"/>
    <x v="5"/>
    <s v="PT-1346"/>
    <s v="Follow-up"/>
    <x v="3"/>
    <s v="Private Insurance"/>
    <s v="Orthopedic Doctor"/>
    <x v="3"/>
    <n v="45"/>
    <n v="0"/>
    <n v="57.2"/>
    <n v="1000"/>
    <n v="0"/>
    <n v="0"/>
    <n v="0"/>
    <n v="0"/>
    <n v="0"/>
    <n v="0.85"/>
  </r>
  <r>
    <s v="APT-01744"/>
    <d v="2025-02-24T00:00:00"/>
    <x v="5"/>
    <x v="1"/>
    <s v="Morning"/>
    <x v="0"/>
    <s v="Palakkad"/>
    <x v="11"/>
    <s v="PT-1161"/>
    <s v="Follow-up"/>
    <x v="3"/>
    <s v="Self Pay"/>
    <s v="Online Search"/>
    <x v="0"/>
    <n v="75"/>
    <n v="75"/>
    <n v="82.8"/>
    <n v="1550"/>
    <n v="1550"/>
    <n v="0"/>
    <n v="0"/>
    <n v="1"/>
    <n v="0"/>
    <n v="0.85"/>
  </r>
  <r>
    <s v="APT-01745"/>
    <d v="2025-12-15T00:00:00"/>
    <x v="0"/>
    <x v="1"/>
    <s v="Midday"/>
    <x v="1"/>
    <s v="Thrissur"/>
    <x v="5"/>
    <s v="PT-1059"/>
    <s v="Chronic Pain"/>
    <x v="4"/>
    <s v="Private Insurance"/>
    <s v="Online Search"/>
    <x v="0"/>
    <n v="45"/>
    <n v="45"/>
    <n v="53.1"/>
    <n v="1000"/>
    <n v="1000"/>
    <n v="0"/>
    <n v="0"/>
    <n v="1"/>
    <n v="0"/>
    <n v="0.85"/>
  </r>
  <r>
    <s v="APT-01746"/>
    <d v="2025-04-18T00:00:00"/>
    <x v="6"/>
    <x v="4"/>
    <s v="Evening"/>
    <x v="1"/>
    <s v="Thrissur"/>
    <x v="1"/>
    <s v="PT-1478"/>
    <s v="Sports Injury"/>
    <x v="5"/>
    <s v="Private Insurance"/>
    <s v="Orthopedic Doctor"/>
    <x v="0"/>
    <n v="45"/>
    <n v="45"/>
    <n v="50.8"/>
    <n v="1000"/>
    <n v="1000"/>
    <n v="0"/>
    <n v="0"/>
    <n v="1"/>
    <n v="0"/>
    <n v="0.85"/>
  </r>
  <r>
    <s v="APT-01747"/>
    <d v="2025-06-03T00:00:00"/>
    <x v="4"/>
    <x v="0"/>
    <s v="Midday"/>
    <x v="2"/>
    <s v="Ernakulam"/>
    <x v="8"/>
    <s v="PT-1147"/>
    <s v="Follow-up"/>
    <x v="0"/>
    <s v="Self Pay"/>
    <s v="Orthopedic Doctor"/>
    <x v="0"/>
    <n v="30"/>
    <n v="30"/>
    <n v="35"/>
    <n v="750"/>
    <n v="750"/>
    <n v="0"/>
    <n v="0"/>
    <n v="1"/>
    <n v="0"/>
    <n v="0.85"/>
  </r>
  <r>
    <s v="APT-01748"/>
    <d v="2025-04-11T00:00:00"/>
    <x v="6"/>
    <x v="4"/>
    <s v="Afternoon"/>
    <x v="2"/>
    <s v="Ernakulam"/>
    <x v="14"/>
    <s v="PT-1526"/>
    <s v="Follow-up"/>
    <x v="5"/>
    <s v="Self Pay"/>
    <s v="Hospital Discharge"/>
    <x v="2"/>
    <n v="30"/>
    <n v="0"/>
    <n v="34.6"/>
    <n v="750"/>
    <n v="0"/>
    <n v="750"/>
    <n v="0"/>
    <n v="0"/>
    <n v="1"/>
    <n v="0.85"/>
  </r>
  <r>
    <s v="APT-01749"/>
    <d v="2025-09-30T00:00:00"/>
    <x v="2"/>
    <x v="0"/>
    <s v="Morning"/>
    <x v="2"/>
    <s v="Ernakulam"/>
    <x v="8"/>
    <s v="PT-1242"/>
    <s v="Follow-up"/>
    <x v="4"/>
    <s v="Self Pay"/>
    <s v="Hospital Discharge"/>
    <x v="0"/>
    <n v="60"/>
    <n v="60"/>
    <n v="68.7"/>
    <n v="1500"/>
    <n v="1500"/>
    <n v="0"/>
    <n v="0"/>
    <n v="1"/>
    <n v="0"/>
    <n v="0.85"/>
  </r>
  <r>
    <s v="APT-01750"/>
    <d v="2025-02-18T00:00:00"/>
    <x v="5"/>
    <x v="0"/>
    <s v="Afternoon"/>
    <x v="0"/>
    <s v="Palakkad"/>
    <x v="9"/>
    <s v="PT-1505"/>
    <s v="Follow-up"/>
    <x v="3"/>
    <s v="Self Pay"/>
    <s v="Neurologist"/>
    <x v="0"/>
    <n v="90"/>
    <n v="90"/>
    <n v="110.4"/>
    <n v="1900"/>
    <n v="1900"/>
    <n v="0"/>
    <n v="0"/>
    <n v="1"/>
    <n v="0"/>
    <n v="0.85"/>
  </r>
  <r>
    <s v="APT-01751"/>
    <d v="2025-10-20T00:00:00"/>
    <x v="7"/>
    <x v="1"/>
    <s v="Midday"/>
    <x v="0"/>
    <s v="Palakkad"/>
    <x v="0"/>
    <s v="PT-1463"/>
    <s v="Follow-up"/>
    <x v="5"/>
    <s v="Government Scheme"/>
    <s v="Neurologist"/>
    <x v="2"/>
    <n v="45"/>
    <n v="0"/>
    <n v="51.5"/>
    <n v="800"/>
    <n v="0"/>
    <n v="800"/>
    <n v="0"/>
    <n v="0"/>
    <n v="1"/>
    <n v="0.85"/>
  </r>
  <r>
    <s v="APT-01752"/>
    <d v="2025-12-06T00:00:00"/>
    <x v="0"/>
    <x v="5"/>
    <s v="Midday"/>
    <x v="2"/>
    <s v="Ernakulam"/>
    <x v="12"/>
    <s v="PT-1281"/>
    <s v="Chronic Pain"/>
    <x v="4"/>
    <s v="Private Insurance"/>
    <s v="Self Referral"/>
    <x v="1"/>
    <n v="30"/>
    <n v="0"/>
    <n v="34.799999999999997"/>
    <n v="750"/>
    <n v="0"/>
    <n v="750"/>
    <n v="1"/>
    <n v="0"/>
    <n v="0"/>
    <n v="0.85"/>
  </r>
  <r>
    <s v="APT-01753"/>
    <d v="2025-08-22T00:00:00"/>
    <x v="9"/>
    <x v="4"/>
    <s v="Midday"/>
    <x v="0"/>
    <s v="Palakkad"/>
    <x v="6"/>
    <s v="PT-1489"/>
    <s v="Sports Injury"/>
    <x v="0"/>
    <s v="Self Pay"/>
    <s v="Corporate Wellness"/>
    <x v="0"/>
    <n v="60"/>
    <n v="60"/>
    <n v="66.400000000000006"/>
    <n v="1250"/>
    <n v="1250"/>
    <n v="0"/>
    <n v="0"/>
    <n v="1"/>
    <n v="0"/>
    <n v="0.85"/>
  </r>
  <r>
    <s v="APT-01754"/>
    <d v="2025-02-12T00:00:00"/>
    <x v="5"/>
    <x v="3"/>
    <s v="Midday"/>
    <x v="2"/>
    <s v="Ernakulam"/>
    <x v="4"/>
    <s v="PT-1645"/>
    <s v="Chronic Pain"/>
    <x v="3"/>
    <s v="Self Pay"/>
    <s v="Orthopedic Doctor"/>
    <x v="0"/>
    <n v="45"/>
    <n v="45"/>
    <n v="52.4"/>
    <n v="1100"/>
    <n v="1100"/>
    <n v="0"/>
    <n v="0"/>
    <n v="1"/>
    <n v="0"/>
    <n v="0.85"/>
  </r>
  <r>
    <s v="APT-01755"/>
    <d v="2025-05-15T00:00:00"/>
    <x v="10"/>
    <x v="2"/>
    <s v="Morning"/>
    <x v="1"/>
    <s v="Thrissur"/>
    <x v="10"/>
    <s v="PT-1386"/>
    <s v="Post-op Rehab"/>
    <x v="4"/>
    <s v="Self Pay"/>
    <s v="Self Referral"/>
    <x v="0"/>
    <n v="45"/>
    <n v="45"/>
    <n v="53.4"/>
    <n v="1150"/>
    <n v="1150"/>
    <n v="0"/>
    <n v="0"/>
    <n v="1"/>
    <n v="0"/>
    <n v="0.85"/>
  </r>
  <r>
    <s v="APT-01756"/>
    <d v="2025-11-12T00:00:00"/>
    <x v="1"/>
    <x v="3"/>
    <s v="Evening"/>
    <x v="0"/>
    <s v="Palakkad"/>
    <x v="0"/>
    <s v="PT-1205"/>
    <s v="Sports Injury"/>
    <x v="3"/>
    <s v="Corporate Tie-up"/>
    <s v="Online Search"/>
    <x v="0"/>
    <n v="90"/>
    <n v="90"/>
    <n v="108.8"/>
    <n v="1700"/>
    <n v="1700"/>
    <n v="0"/>
    <n v="0"/>
    <n v="1"/>
    <n v="0"/>
    <n v="0.85"/>
  </r>
  <r>
    <s v="APT-01757"/>
    <d v="2025-06-13T00:00:00"/>
    <x v="4"/>
    <x v="4"/>
    <s v="Evening"/>
    <x v="2"/>
    <s v="Ernakulam"/>
    <x v="3"/>
    <s v="PT-1410"/>
    <s v="Follow-up"/>
    <x v="4"/>
    <s v="Corporate Tie-up"/>
    <s v="Orthopedic Doctor"/>
    <x v="0"/>
    <n v="60"/>
    <n v="60"/>
    <n v="78.900000000000006"/>
    <n v="1400"/>
    <n v="1400"/>
    <n v="0"/>
    <n v="0"/>
    <n v="1"/>
    <n v="0"/>
    <n v="0.85"/>
  </r>
  <r>
    <s v="APT-01758"/>
    <d v="2025-06-16T00:00:00"/>
    <x v="4"/>
    <x v="1"/>
    <s v="Evening"/>
    <x v="1"/>
    <s v="Thrissur"/>
    <x v="10"/>
    <s v="PT-1191"/>
    <s v="New Patient"/>
    <x v="5"/>
    <s v="Corporate Tie-up"/>
    <s v="Hospital Discharge"/>
    <x v="0"/>
    <n v="90"/>
    <n v="90"/>
    <n v="110.4"/>
    <n v="2250"/>
    <n v="2250"/>
    <n v="0"/>
    <n v="0"/>
    <n v="1"/>
    <n v="0"/>
    <n v="0.85"/>
  </r>
  <r>
    <s v="APT-01759"/>
    <d v="2025-10-02T00:00:00"/>
    <x v="7"/>
    <x v="2"/>
    <s v="Afternoon"/>
    <x v="1"/>
    <s v="Thrissur"/>
    <x v="7"/>
    <s v="PT-1237"/>
    <s v="Follow-up"/>
    <x v="5"/>
    <s v="Private Insurance"/>
    <s v="Self Referral"/>
    <x v="2"/>
    <n v="90"/>
    <n v="0"/>
    <n v="118.1"/>
    <n v="2000"/>
    <n v="0"/>
    <n v="2000"/>
    <n v="0"/>
    <n v="0"/>
    <n v="1"/>
    <n v="0.85"/>
  </r>
  <r>
    <s v="APT-01760"/>
    <d v="2025-04-10T00:00:00"/>
    <x v="6"/>
    <x v="2"/>
    <s v="Midday"/>
    <x v="1"/>
    <s v="Thrissur"/>
    <x v="5"/>
    <s v="PT-1101"/>
    <s v="Sports Injury"/>
    <x v="5"/>
    <s v="Private Insurance"/>
    <s v="Self Referral"/>
    <x v="0"/>
    <n v="45"/>
    <n v="45"/>
    <n v="57.3"/>
    <n v="1000"/>
    <n v="1000"/>
    <n v="0"/>
    <n v="0"/>
    <n v="1"/>
    <n v="0"/>
    <n v="0.85"/>
  </r>
  <r>
    <s v="APT-01761"/>
    <d v="2025-01-15T00:00:00"/>
    <x v="11"/>
    <x v="3"/>
    <s v="Morning"/>
    <x v="0"/>
    <s v="Palakkad"/>
    <x v="11"/>
    <s v="PT-1505"/>
    <s v="Follow-up"/>
    <x v="2"/>
    <s v="Corporate Tie-up"/>
    <s v="Self Referral"/>
    <x v="0"/>
    <n v="45"/>
    <n v="45"/>
    <n v="50.8"/>
    <n v="850"/>
    <n v="850"/>
    <n v="0"/>
    <n v="0"/>
    <n v="1"/>
    <n v="0"/>
    <n v="0.85"/>
  </r>
  <r>
    <s v="APT-01762"/>
    <d v="2025-08-13T00:00:00"/>
    <x v="9"/>
    <x v="3"/>
    <s v="Evening"/>
    <x v="0"/>
    <s v="Palakkad"/>
    <x v="9"/>
    <s v="PT-1393"/>
    <s v="Post-op Rehab"/>
    <x v="5"/>
    <s v="Government Scheme"/>
    <s v="Hospital Discharge"/>
    <x v="0"/>
    <n v="30"/>
    <n v="30"/>
    <n v="37.5"/>
    <n v="600"/>
    <n v="600"/>
    <n v="0"/>
    <n v="0"/>
    <n v="1"/>
    <n v="0"/>
    <n v="0.85"/>
  </r>
  <r>
    <s v="APT-01763"/>
    <d v="2025-10-18T00:00:00"/>
    <x v="7"/>
    <x v="5"/>
    <s v="Afternoon"/>
    <x v="2"/>
    <s v="Ernakulam"/>
    <x v="3"/>
    <s v="PT-1675"/>
    <s v="New Patient"/>
    <x v="4"/>
    <s v="Private Insurance"/>
    <s v="Self Referral"/>
    <x v="0"/>
    <n v="90"/>
    <n v="90"/>
    <n v="115.7"/>
    <n v="2700"/>
    <n v="2700"/>
    <n v="0"/>
    <n v="0"/>
    <n v="1"/>
    <n v="0"/>
    <n v="0.85"/>
  </r>
  <r>
    <s v="APT-01764"/>
    <d v="2025-10-03T00:00:00"/>
    <x v="7"/>
    <x v="4"/>
    <s v="Afternoon"/>
    <x v="2"/>
    <s v="Ernakulam"/>
    <x v="8"/>
    <s v="PT-1431"/>
    <s v="Follow-up"/>
    <x v="3"/>
    <s v="Government Scheme"/>
    <s v="Online Search"/>
    <x v="0"/>
    <n v="30"/>
    <n v="30"/>
    <n v="37.700000000000003"/>
    <n v="650"/>
    <n v="650"/>
    <n v="0"/>
    <n v="0"/>
    <n v="1"/>
    <n v="0"/>
    <n v="0.85"/>
  </r>
  <r>
    <s v="APT-01765"/>
    <d v="2025-03-03T00:00:00"/>
    <x v="3"/>
    <x v="1"/>
    <s v="Midday"/>
    <x v="0"/>
    <s v="Palakkad"/>
    <x v="6"/>
    <s v="PT-1534"/>
    <s v="Post-op Rehab"/>
    <x v="5"/>
    <s v="Self Pay"/>
    <s v="Online Search"/>
    <x v="0"/>
    <n v="30"/>
    <n v="30"/>
    <n v="37.1"/>
    <n v="700"/>
    <n v="700"/>
    <n v="0"/>
    <n v="0"/>
    <n v="1"/>
    <n v="0"/>
    <n v="0.85"/>
  </r>
  <r>
    <s v="APT-01766"/>
    <d v="2025-04-04T00:00:00"/>
    <x v="6"/>
    <x v="4"/>
    <s v="Afternoon"/>
    <x v="2"/>
    <s v="Ernakulam"/>
    <x v="4"/>
    <s v="PT-1018"/>
    <s v="Sports Injury"/>
    <x v="3"/>
    <s v="Self Pay"/>
    <s v="Online Search"/>
    <x v="3"/>
    <n v="45"/>
    <n v="0"/>
    <n v="52.3"/>
    <n v="1100"/>
    <n v="0"/>
    <n v="0"/>
    <n v="0"/>
    <n v="0"/>
    <n v="0"/>
    <n v="0.85"/>
  </r>
  <r>
    <s v="APT-01767"/>
    <d v="2025-01-08T00:00:00"/>
    <x v="11"/>
    <x v="3"/>
    <s v="Afternoon"/>
    <x v="2"/>
    <s v="Ernakulam"/>
    <x v="8"/>
    <s v="PT-1396"/>
    <s v="New Patient"/>
    <x v="5"/>
    <s v="Self Pay"/>
    <s v="Self Referral"/>
    <x v="0"/>
    <n v="30"/>
    <n v="30"/>
    <n v="35.6"/>
    <n v="900"/>
    <n v="900"/>
    <n v="0"/>
    <n v="0"/>
    <n v="1"/>
    <n v="0"/>
    <n v="0.85"/>
  </r>
  <r>
    <s v="APT-01768"/>
    <d v="2025-05-08T00:00:00"/>
    <x v="10"/>
    <x v="2"/>
    <s v="Morning"/>
    <x v="1"/>
    <s v="Thrissur"/>
    <x v="5"/>
    <s v="PT-1162"/>
    <s v="New Patient"/>
    <x v="5"/>
    <s v="Self Pay"/>
    <s v="Neurologist"/>
    <x v="0"/>
    <n v="60"/>
    <n v="60"/>
    <n v="72.599999999999994"/>
    <n v="1600"/>
    <n v="1600"/>
    <n v="0"/>
    <n v="0"/>
    <n v="1"/>
    <n v="0"/>
    <n v="0.85"/>
  </r>
  <r>
    <s v="APT-01769"/>
    <d v="2025-03-31T00:00:00"/>
    <x v="3"/>
    <x v="1"/>
    <s v="Evening"/>
    <x v="0"/>
    <s v="Palakkad"/>
    <x v="11"/>
    <s v="PT-1185"/>
    <s v="Chronic Pain"/>
    <x v="2"/>
    <s v="Self Pay"/>
    <s v="Neurologist"/>
    <x v="0"/>
    <n v="45"/>
    <n v="45"/>
    <n v="56.7"/>
    <n v="950"/>
    <n v="950"/>
    <n v="0"/>
    <n v="0"/>
    <n v="1"/>
    <n v="0"/>
    <n v="0.85"/>
  </r>
  <r>
    <s v="APT-01770"/>
    <d v="2025-08-11T00:00:00"/>
    <x v="9"/>
    <x v="1"/>
    <s v="Afternoon"/>
    <x v="2"/>
    <s v="Ernakulam"/>
    <x v="4"/>
    <s v="PT-1018"/>
    <s v="Follow-up"/>
    <x v="4"/>
    <s v="Self Pay"/>
    <s v="Corporate Wellness"/>
    <x v="0"/>
    <n v="45"/>
    <n v="45"/>
    <n v="50.8"/>
    <n v="1100"/>
    <n v="1100"/>
    <n v="0"/>
    <n v="0"/>
    <n v="1"/>
    <n v="0"/>
    <n v="0.85"/>
  </r>
  <r>
    <s v="APT-01771"/>
    <d v="2025-02-20T00:00:00"/>
    <x v="5"/>
    <x v="2"/>
    <s v="Evening"/>
    <x v="1"/>
    <s v="Thrissur"/>
    <x v="5"/>
    <s v="PT-1496"/>
    <s v="Follow-up"/>
    <x v="3"/>
    <s v="Self Pay"/>
    <s v="Neurologist"/>
    <x v="0"/>
    <n v="60"/>
    <n v="60"/>
    <n v="72.099999999999994"/>
    <n v="1350"/>
    <n v="1350"/>
    <n v="0"/>
    <n v="0"/>
    <n v="1"/>
    <n v="0"/>
    <n v="0.85"/>
  </r>
  <r>
    <s v="APT-01772"/>
    <d v="2025-09-20T00:00:00"/>
    <x v="2"/>
    <x v="5"/>
    <s v="Evening"/>
    <x v="2"/>
    <s v="Ernakulam"/>
    <x v="3"/>
    <s v="PT-1025"/>
    <s v="New Patient"/>
    <x v="2"/>
    <s v="Self Pay"/>
    <s v="Orthopedic Doctor"/>
    <x v="0"/>
    <n v="60"/>
    <n v="60"/>
    <n v="69.900000000000006"/>
    <n v="1800"/>
    <n v="1800"/>
    <n v="0"/>
    <n v="0"/>
    <n v="1"/>
    <n v="0"/>
    <n v="0.85"/>
  </r>
  <r>
    <s v="APT-01773"/>
    <d v="2025-05-07T00:00:00"/>
    <x v="10"/>
    <x v="3"/>
    <s v="Morning"/>
    <x v="2"/>
    <s v="Ernakulam"/>
    <x v="12"/>
    <s v="PT-1235"/>
    <s v="Follow-up"/>
    <x v="3"/>
    <s v="Government Scheme"/>
    <s v="Neurologist"/>
    <x v="3"/>
    <n v="60"/>
    <n v="0"/>
    <n v="66.900000000000006"/>
    <n v="1300"/>
    <n v="0"/>
    <n v="0"/>
    <n v="0"/>
    <n v="0"/>
    <n v="0"/>
    <n v="0.85"/>
  </r>
  <r>
    <s v="APT-01774"/>
    <d v="2025-06-27T00:00:00"/>
    <x v="4"/>
    <x v="4"/>
    <s v="Evening"/>
    <x v="1"/>
    <s v="Thrissur"/>
    <x v="5"/>
    <s v="PT-1251"/>
    <s v="Geriatric Rehab"/>
    <x v="3"/>
    <s v="Self Pay"/>
    <s v="Hospital Discharge"/>
    <x v="0"/>
    <n v="75"/>
    <n v="75"/>
    <n v="84.3"/>
    <n v="1700"/>
    <n v="1700"/>
    <n v="0"/>
    <n v="0"/>
    <n v="1"/>
    <n v="0"/>
    <n v="0.85"/>
  </r>
  <r>
    <s v="APT-01775"/>
    <d v="2025-09-29T00:00:00"/>
    <x v="2"/>
    <x v="1"/>
    <s v="Morning"/>
    <x v="0"/>
    <s v="Palakkad"/>
    <x v="0"/>
    <s v="PT-1049"/>
    <s v="New Patient"/>
    <x v="5"/>
    <s v="Self Pay"/>
    <s v="Self Referral"/>
    <x v="1"/>
    <n v="60"/>
    <n v="0"/>
    <n v="75.8"/>
    <n v="1500"/>
    <n v="0"/>
    <n v="1500"/>
    <n v="1"/>
    <n v="0"/>
    <n v="0"/>
    <n v="0.85"/>
  </r>
  <r>
    <s v="APT-01776"/>
    <d v="2025-05-12T00:00:00"/>
    <x v="10"/>
    <x v="1"/>
    <s v="Evening"/>
    <x v="0"/>
    <s v="Palakkad"/>
    <x v="9"/>
    <s v="PT-1407"/>
    <s v="Follow-up"/>
    <x v="1"/>
    <s v="Self Pay"/>
    <s v="Online Search"/>
    <x v="0"/>
    <n v="60"/>
    <n v="60"/>
    <n v="66.5"/>
    <n v="1250"/>
    <n v="1250"/>
    <n v="0"/>
    <n v="0"/>
    <n v="1"/>
    <n v="0"/>
    <n v="0.85"/>
  </r>
  <r>
    <s v="APT-01777"/>
    <d v="2025-12-17T00:00:00"/>
    <x v="0"/>
    <x v="3"/>
    <s v="Afternoon"/>
    <x v="2"/>
    <s v="Ernakulam"/>
    <x v="14"/>
    <s v="PT-1451"/>
    <s v="New Patient"/>
    <x v="3"/>
    <s v="Self Pay"/>
    <s v="Corporate Wellness"/>
    <x v="0"/>
    <n v="45"/>
    <n v="45"/>
    <n v="50.7"/>
    <n v="1350"/>
    <n v="1350"/>
    <n v="0"/>
    <n v="0"/>
    <n v="1"/>
    <n v="0"/>
    <n v="0.85"/>
  </r>
  <r>
    <s v="APT-01778"/>
    <d v="2025-08-02T00:00:00"/>
    <x v="9"/>
    <x v="5"/>
    <s v="Evening"/>
    <x v="0"/>
    <s v="Palakkad"/>
    <x v="9"/>
    <s v="PT-1251"/>
    <s v="Follow-up"/>
    <x v="5"/>
    <s v="Self Pay"/>
    <s v="Orthopedic Doctor"/>
    <x v="1"/>
    <n v="60"/>
    <n v="0"/>
    <n v="75.2"/>
    <n v="1250"/>
    <n v="0"/>
    <n v="1250"/>
    <n v="1"/>
    <n v="0"/>
    <n v="0"/>
    <n v="0.85"/>
  </r>
  <r>
    <s v="APT-01779"/>
    <d v="2025-02-08T00:00:00"/>
    <x v="5"/>
    <x v="5"/>
    <s v="Evening"/>
    <x v="0"/>
    <s v="Palakkad"/>
    <x v="6"/>
    <s v="PT-1331"/>
    <s v="Geriatric Rehab"/>
    <x v="1"/>
    <s v="Private Insurance"/>
    <s v="Hospital Discharge"/>
    <x v="0"/>
    <n v="75"/>
    <n v="75"/>
    <n v="84.7"/>
    <n v="1550"/>
    <n v="1550"/>
    <n v="0"/>
    <n v="0"/>
    <n v="1"/>
    <n v="0"/>
    <n v="0.85"/>
  </r>
  <r>
    <s v="APT-01780"/>
    <d v="2025-01-31T00:00:00"/>
    <x v="11"/>
    <x v="4"/>
    <s v="Midday"/>
    <x v="1"/>
    <s v="Thrissur"/>
    <x v="5"/>
    <s v="PT-1185"/>
    <s v="Post-op Rehab"/>
    <x v="3"/>
    <s v="Self Pay"/>
    <s v="Orthopedic Doctor"/>
    <x v="0"/>
    <n v="30"/>
    <n v="30"/>
    <n v="37.4"/>
    <n v="800"/>
    <n v="800"/>
    <n v="0"/>
    <n v="0"/>
    <n v="1"/>
    <n v="0"/>
    <n v="0.85"/>
  </r>
  <r>
    <s v="APT-01781"/>
    <d v="2025-01-31T00:00:00"/>
    <x v="11"/>
    <x v="4"/>
    <s v="Afternoon"/>
    <x v="1"/>
    <s v="Thrissur"/>
    <x v="1"/>
    <s v="PT-1690"/>
    <s v="Sports Injury"/>
    <x v="3"/>
    <s v="Self Pay"/>
    <s v="Corporate Wellness"/>
    <x v="0"/>
    <n v="90"/>
    <n v="90"/>
    <n v="112.9"/>
    <n v="2000"/>
    <n v="2000"/>
    <n v="0"/>
    <n v="0"/>
    <n v="1"/>
    <n v="0"/>
    <n v="0.85"/>
  </r>
  <r>
    <s v="APT-01782"/>
    <d v="2025-02-17T00:00:00"/>
    <x v="5"/>
    <x v="1"/>
    <s v="Afternoon"/>
    <x v="1"/>
    <s v="Thrissur"/>
    <x v="1"/>
    <s v="PT-1182"/>
    <s v="New Patient"/>
    <x v="3"/>
    <s v="Private Insurance"/>
    <s v="Neurologist"/>
    <x v="2"/>
    <n v="45"/>
    <n v="0"/>
    <n v="51.4"/>
    <n v="1200"/>
    <n v="0"/>
    <n v="1200"/>
    <n v="0"/>
    <n v="0"/>
    <n v="1"/>
    <n v="0.85"/>
  </r>
  <r>
    <s v="APT-01783"/>
    <d v="2025-12-06T00:00:00"/>
    <x v="0"/>
    <x v="5"/>
    <s v="Evening"/>
    <x v="1"/>
    <s v="Thrissur"/>
    <x v="2"/>
    <s v="PT-1544"/>
    <s v="New Patient"/>
    <x v="1"/>
    <s v="Private Insurance"/>
    <s v="Self Referral"/>
    <x v="0"/>
    <n v="30"/>
    <n v="30"/>
    <n v="35.799999999999997"/>
    <n v="800"/>
    <n v="800"/>
    <n v="0"/>
    <n v="0"/>
    <n v="1"/>
    <n v="0"/>
    <n v="0.85"/>
  </r>
  <r>
    <s v="APT-01784"/>
    <d v="2025-10-18T00:00:00"/>
    <x v="7"/>
    <x v="5"/>
    <s v="Evening"/>
    <x v="1"/>
    <s v="Thrissur"/>
    <x v="2"/>
    <s v="PT-1329"/>
    <s v="Follow-up"/>
    <x v="4"/>
    <s v="Government Scheme"/>
    <s v="Online Search"/>
    <x v="0"/>
    <n v="75"/>
    <n v="75"/>
    <n v="85.1"/>
    <n v="1450"/>
    <n v="1450"/>
    <n v="0"/>
    <n v="0"/>
    <n v="1"/>
    <n v="0"/>
    <n v="0.85"/>
  </r>
  <r>
    <s v="APT-01785"/>
    <d v="2025-12-24T00:00:00"/>
    <x v="0"/>
    <x v="3"/>
    <s v="Midday"/>
    <x v="0"/>
    <s v="Palakkad"/>
    <x v="13"/>
    <s v="PT-1097"/>
    <s v="Sports Injury"/>
    <x v="1"/>
    <s v="Corporate Tie-up"/>
    <s v="Self Referral"/>
    <x v="0"/>
    <n v="60"/>
    <n v="60"/>
    <n v="75.900000000000006"/>
    <n v="1150"/>
    <n v="1150"/>
    <n v="0"/>
    <n v="0"/>
    <n v="1"/>
    <n v="0"/>
    <n v="0.85"/>
  </r>
  <r>
    <s v="APT-01786"/>
    <d v="2025-03-17T00:00:00"/>
    <x v="3"/>
    <x v="1"/>
    <s v="Midday"/>
    <x v="0"/>
    <s v="Palakkad"/>
    <x v="9"/>
    <s v="PT-1114"/>
    <s v="Post-op Rehab"/>
    <x v="1"/>
    <s v="Self Pay"/>
    <s v="Neurologist"/>
    <x v="1"/>
    <n v="90"/>
    <n v="0"/>
    <n v="104.2"/>
    <n v="2150"/>
    <n v="0"/>
    <n v="2150"/>
    <n v="1"/>
    <n v="0"/>
    <n v="0"/>
    <n v="0.85"/>
  </r>
  <r>
    <s v="APT-01787"/>
    <d v="2025-12-22T00:00:00"/>
    <x v="0"/>
    <x v="1"/>
    <s v="Evening"/>
    <x v="1"/>
    <s v="Thrissur"/>
    <x v="1"/>
    <s v="PT-1525"/>
    <s v="Follow-up"/>
    <x v="5"/>
    <s v="Corporate Tie-up"/>
    <s v="Corporate Wellness"/>
    <x v="0"/>
    <n v="60"/>
    <n v="60"/>
    <n v="72.400000000000006"/>
    <n v="1250"/>
    <n v="1250"/>
    <n v="0"/>
    <n v="0"/>
    <n v="1"/>
    <n v="0"/>
    <n v="0.85"/>
  </r>
  <r>
    <s v="APT-01788"/>
    <d v="2025-11-17T00:00:00"/>
    <x v="1"/>
    <x v="1"/>
    <s v="Midday"/>
    <x v="1"/>
    <s v="Thrissur"/>
    <x v="10"/>
    <s v="PT-1694"/>
    <s v="Sports Injury"/>
    <x v="1"/>
    <s v="Private Insurance"/>
    <s v="Self Referral"/>
    <x v="0"/>
    <n v="45"/>
    <n v="45"/>
    <n v="58.9"/>
    <n v="1000"/>
    <n v="1000"/>
    <n v="0"/>
    <n v="0"/>
    <n v="1"/>
    <n v="0"/>
    <n v="0.85"/>
  </r>
  <r>
    <s v="APT-01789"/>
    <d v="2025-05-17T00:00:00"/>
    <x v="10"/>
    <x v="5"/>
    <s v="Afternoon"/>
    <x v="1"/>
    <s v="Thrissur"/>
    <x v="1"/>
    <s v="PT-1144"/>
    <s v="New Patient"/>
    <x v="2"/>
    <s v="Private Insurance"/>
    <s v="Neurologist"/>
    <x v="0"/>
    <n v="45"/>
    <n v="45"/>
    <n v="57.4"/>
    <n v="1200"/>
    <n v="1200"/>
    <n v="0"/>
    <n v="0"/>
    <n v="1"/>
    <n v="0"/>
    <n v="0.85"/>
  </r>
  <r>
    <s v="APT-01790"/>
    <d v="2025-05-30T00:00:00"/>
    <x v="10"/>
    <x v="4"/>
    <s v="Afternoon"/>
    <x v="1"/>
    <s v="Thrissur"/>
    <x v="7"/>
    <s v="PT-1562"/>
    <s v="Post-op Rehab"/>
    <x v="2"/>
    <s v="Corporate Tie-up"/>
    <s v="Neurologist"/>
    <x v="0"/>
    <n v="75"/>
    <n v="75"/>
    <n v="88.8"/>
    <n v="1800"/>
    <n v="1800"/>
    <n v="0"/>
    <n v="0"/>
    <n v="1"/>
    <n v="0"/>
    <n v="0.85"/>
  </r>
  <r>
    <s v="APT-01791"/>
    <d v="2025-05-17T00:00:00"/>
    <x v="10"/>
    <x v="5"/>
    <s v="Midday"/>
    <x v="1"/>
    <s v="Thrissur"/>
    <x v="1"/>
    <s v="PT-1263"/>
    <s v="Post-op Rehab"/>
    <x v="1"/>
    <s v="Self Pay"/>
    <s v="Hospital Discharge"/>
    <x v="0"/>
    <n v="60"/>
    <n v="60"/>
    <n v="65.900000000000006"/>
    <n v="1550"/>
    <n v="1550"/>
    <n v="0"/>
    <n v="0"/>
    <n v="1"/>
    <n v="0"/>
    <n v="0.85"/>
  </r>
  <r>
    <s v="APT-01792"/>
    <d v="2025-07-24T00:00:00"/>
    <x v="8"/>
    <x v="2"/>
    <s v="Evening"/>
    <x v="1"/>
    <s v="Thrissur"/>
    <x v="1"/>
    <s v="PT-1664"/>
    <s v="New Patient"/>
    <x v="3"/>
    <s v="Self Pay"/>
    <s v="Hospital Discharge"/>
    <x v="0"/>
    <n v="60"/>
    <n v="60"/>
    <n v="77.900000000000006"/>
    <n v="1600"/>
    <n v="1600"/>
    <n v="0"/>
    <n v="0"/>
    <n v="1"/>
    <n v="0"/>
    <n v="0.85"/>
  </r>
  <r>
    <s v="APT-01793"/>
    <d v="2025-04-30T00:00:00"/>
    <x v="6"/>
    <x v="3"/>
    <s v="Afternoon"/>
    <x v="2"/>
    <s v="Ernakulam"/>
    <x v="8"/>
    <s v="PT-1060"/>
    <s v="Sports Injury"/>
    <x v="4"/>
    <s v="Self Pay"/>
    <s v="Online Search"/>
    <x v="0"/>
    <n v="90"/>
    <n v="90"/>
    <n v="107.4"/>
    <n v="2250"/>
    <n v="2250"/>
    <n v="0"/>
    <n v="0"/>
    <n v="1"/>
    <n v="0"/>
    <n v="0.85"/>
  </r>
  <r>
    <s v="APT-01794"/>
    <d v="2025-04-01T00:00:00"/>
    <x v="6"/>
    <x v="0"/>
    <s v="Afternoon"/>
    <x v="1"/>
    <s v="Thrissur"/>
    <x v="7"/>
    <s v="PT-1119"/>
    <s v="Sports Injury"/>
    <x v="5"/>
    <s v="Private Insurance"/>
    <s v="Corporate Wellness"/>
    <x v="0"/>
    <n v="45"/>
    <n v="45"/>
    <n v="58.1"/>
    <n v="1000"/>
    <n v="1000"/>
    <n v="0"/>
    <n v="0"/>
    <n v="1"/>
    <n v="0"/>
    <n v="0.85"/>
  </r>
  <r>
    <s v="APT-01795"/>
    <d v="2025-07-21T00:00:00"/>
    <x v="8"/>
    <x v="1"/>
    <s v="Morning"/>
    <x v="0"/>
    <s v="Palakkad"/>
    <x v="6"/>
    <s v="PT-1445"/>
    <s v="Post-op Rehab"/>
    <x v="5"/>
    <s v="Corporate Tie-up"/>
    <s v="Neurologist"/>
    <x v="1"/>
    <n v="60"/>
    <n v="0"/>
    <n v="73.8"/>
    <n v="1300"/>
    <n v="0"/>
    <n v="1300"/>
    <n v="1"/>
    <n v="0"/>
    <n v="0"/>
    <n v="0.85"/>
  </r>
  <r>
    <s v="APT-01796"/>
    <d v="2025-07-23T00:00:00"/>
    <x v="8"/>
    <x v="3"/>
    <s v="Morning"/>
    <x v="0"/>
    <s v="Palakkad"/>
    <x v="13"/>
    <s v="PT-1512"/>
    <s v="New Patient"/>
    <x v="1"/>
    <s v="Self Pay"/>
    <s v="Online Search"/>
    <x v="0"/>
    <n v="45"/>
    <n v="45"/>
    <n v="49.6"/>
    <n v="1100"/>
    <n v="1100"/>
    <n v="0"/>
    <n v="0"/>
    <n v="1"/>
    <n v="0"/>
    <n v="0.85"/>
  </r>
  <r>
    <s v="APT-01797"/>
    <d v="2025-06-26T00:00:00"/>
    <x v="4"/>
    <x v="2"/>
    <s v="Midday"/>
    <x v="0"/>
    <s v="Palakkad"/>
    <x v="13"/>
    <s v="PT-1015"/>
    <s v="Geriatric Rehab"/>
    <x v="3"/>
    <s v="Government Scheme"/>
    <s v="Neurologist"/>
    <x v="0"/>
    <n v="45"/>
    <n v="45"/>
    <n v="49.4"/>
    <n v="800"/>
    <n v="800"/>
    <n v="0"/>
    <n v="0"/>
    <n v="1"/>
    <n v="0"/>
    <n v="0.85"/>
  </r>
  <r>
    <s v="APT-01798"/>
    <d v="2025-10-29T00:00:00"/>
    <x v="7"/>
    <x v="3"/>
    <s v="Morning"/>
    <x v="2"/>
    <s v="Ernakulam"/>
    <x v="14"/>
    <s v="PT-1004"/>
    <s v="New Patient"/>
    <x v="4"/>
    <s v="Private Insurance"/>
    <s v="Online Search"/>
    <x v="0"/>
    <n v="60"/>
    <n v="60"/>
    <n v="80.8"/>
    <n v="1800"/>
    <n v="1800"/>
    <n v="0"/>
    <n v="0"/>
    <n v="1"/>
    <n v="0"/>
    <n v="0.85"/>
  </r>
  <r>
    <s v="APT-01799"/>
    <d v="2025-12-08T00:00:00"/>
    <x v="0"/>
    <x v="1"/>
    <s v="Midday"/>
    <x v="0"/>
    <s v="Palakkad"/>
    <x v="13"/>
    <s v="PT-1204"/>
    <s v="Follow-up"/>
    <x v="3"/>
    <s v="Government Scheme"/>
    <s v="Orthopedic Doctor"/>
    <x v="0"/>
    <n v="60"/>
    <n v="60"/>
    <n v="75"/>
    <n v="1050"/>
    <n v="1050"/>
    <n v="0"/>
    <n v="0"/>
    <n v="1"/>
    <n v="0"/>
    <n v="0.85"/>
  </r>
  <r>
    <s v="APT-01800"/>
    <d v="2025-03-06T00:00:00"/>
    <x v="3"/>
    <x v="2"/>
    <s v="Midday"/>
    <x v="2"/>
    <s v="Ernakulam"/>
    <x v="3"/>
    <s v="PT-1665"/>
    <s v="Chronic Pain"/>
    <x v="5"/>
    <s v="Self Pay"/>
    <s v="Online Search"/>
    <x v="0"/>
    <n v="30"/>
    <n v="30"/>
    <n v="34.4"/>
    <n v="750"/>
    <n v="750"/>
    <n v="0"/>
    <n v="0"/>
    <n v="1"/>
    <n v="0"/>
    <n v="0.85"/>
  </r>
  <r>
    <s v="APT-01801"/>
    <d v="2025-10-11T00:00:00"/>
    <x v="7"/>
    <x v="5"/>
    <s v="Afternoon"/>
    <x v="1"/>
    <s v="Thrissur"/>
    <x v="2"/>
    <s v="PT-1227"/>
    <s v="Follow-up"/>
    <x v="0"/>
    <s v="Self Pay"/>
    <s v="Orthopedic Doctor"/>
    <x v="0"/>
    <n v="60"/>
    <n v="60"/>
    <n v="67.099999999999994"/>
    <n v="1350"/>
    <n v="1350"/>
    <n v="0"/>
    <n v="0"/>
    <n v="1"/>
    <n v="0"/>
    <n v="0.85"/>
  </r>
  <r>
    <s v="APT-01802"/>
    <d v="2025-07-26T00:00:00"/>
    <x v="8"/>
    <x v="5"/>
    <s v="Midday"/>
    <x v="0"/>
    <s v="Palakkad"/>
    <x v="9"/>
    <s v="PT-1350"/>
    <s v="Post-op Rehab"/>
    <x v="1"/>
    <s v="Self Pay"/>
    <s v="Corporate Wellness"/>
    <x v="0"/>
    <n v="60"/>
    <n v="60"/>
    <n v="68.2"/>
    <n v="1450"/>
    <n v="1450"/>
    <n v="0"/>
    <n v="0"/>
    <n v="1"/>
    <n v="0"/>
    <n v="0.85"/>
  </r>
  <r>
    <s v="APT-01803"/>
    <d v="2025-05-22T00:00:00"/>
    <x v="10"/>
    <x v="2"/>
    <s v="Evening"/>
    <x v="1"/>
    <s v="Thrissur"/>
    <x v="1"/>
    <s v="PT-1580"/>
    <s v="New Patient"/>
    <x v="0"/>
    <s v="Government Scheme"/>
    <s v="Orthopedic Doctor"/>
    <x v="1"/>
    <n v="60"/>
    <n v="0"/>
    <n v="70.099999999999994"/>
    <n v="1400"/>
    <n v="0"/>
    <n v="1400"/>
    <n v="1"/>
    <n v="0"/>
    <n v="0"/>
    <n v="0.85"/>
  </r>
  <r>
    <s v="APT-01804"/>
    <d v="2025-09-01T00:00:00"/>
    <x v="2"/>
    <x v="1"/>
    <s v="Midday"/>
    <x v="2"/>
    <s v="Ernakulam"/>
    <x v="14"/>
    <s v="PT-1328"/>
    <s v="Chronic Pain"/>
    <x v="4"/>
    <s v="Government Scheme"/>
    <s v="Neurologist"/>
    <x v="0"/>
    <n v="45"/>
    <n v="45"/>
    <n v="59.2"/>
    <n v="950"/>
    <n v="950"/>
    <n v="0"/>
    <n v="0"/>
    <n v="1"/>
    <n v="0"/>
    <n v="0.85"/>
  </r>
  <r>
    <s v="APT-01805"/>
    <d v="2025-06-16T00:00:00"/>
    <x v="4"/>
    <x v="1"/>
    <s v="Morning"/>
    <x v="1"/>
    <s v="Thrissur"/>
    <x v="10"/>
    <s v="PT-1445"/>
    <s v="Post-op Rehab"/>
    <x v="4"/>
    <s v="Corporate Tie-up"/>
    <s v="Orthopedic Doctor"/>
    <x v="0"/>
    <n v="60"/>
    <n v="60"/>
    <n v="76.400000000000006"/>
    <n v="1450"/>
    <n v="1450"/>
    <n v="0"/>
    <n v="0"/>
    <n v="1"/>
    <n v="0"/>
    <n v="0.85"/>
  </r>
  <r>
    <s v="APT-01806"/>
    <d v="2025-05-07T00:00:00"/>
    <x v="10"/>
    <x v="3"/>
    <s v="Afternoon"/>
    <x v="1"/>
    <s v="Thrissur"/>
    <x v="2"/>
    <s v="PT-1108"/>
    <s v="Follow-up"/>
    <x v="5"/>
    <s v="Self Pay"/>
    <s v="Online Search"/>
    <x v="0"/>
    <n v="60"/>
    <n v="60"/>
    <n v="75.8"/>
    <n v="1350"/>
    <n v="1350"/>
    <n v="0"/>
    <n v="0"/>
    <n v="1"/>
    <n v="0"/>
    <n v="0.85"/>
  </r>
  <r>
    <s v="APT-01807"/>
    <d v="2025-03-27T00:00:00"/>
    <x v="3"/>
    <x v="2"/>
    <s v="Afternoon"/>
    <x v="2"/>
    <s v="Ernakulam"/>
    <x v="8"/>
    <s v="PT-1667"/>
    <s v="New Patient"/>
    <x v="0"/>
    <s v="Self Pay"/>
    <s v="Hospital Discharge"/>
    <x v="0"/>
    <n v="45"/>
    <n v="45"/>
    <n v="52.5"/>
    <n v="1350"/>
    <n v="1350"/>
    <n v="0"/>
    <n v="0"/>
    <n v="1"/>
    <n v="0"/>
    <n v="0.85"/>
  </r>
  <r>
    <s v="APT-01808"/>
    <d v="2025-07-11T00:00:00"/>
    <x v="8"/>
    <x v="4"/>
    <s v="Evening"/>
    <x v="0"/>
    <s v="Palakkad"/>
    <x v="13"/>
    <s v="PT-1265"/>
    <s v="Follow-up"/>
    <x v="2"/>
    <s v="Self Pay"/>
    <s v="Hospital Discharge"/>
    <x v="0"/>
    <n v="60"/>
    <n v="60"/>
    <n v="78"/>
    <n v="1250"/>
    <n v="1250"/>
    <n v="0"/>
    <n v="0"/>
    <n v="1"/>
    <n v="0"/>
    <n v="0.85"/>
  </r>
  <r>
    <s v="APT-01809"/>
    <d v="2025-08-25T00:00:00"/>
    <x v="9"/>
    <x v="1"/>
    <s v="Evening"/>
    <x v="1"/>
    <s v="Thrissur"/>
    <x v="10"/>
    <s v="PT-1345"/>
    <s v="Post-op Rehab"/>
    <x v="1"/>
    <s v="Corporate Tie-up"/>
    <s v="Orthopedic Doctor"/>
    <x v="0"/>
    <n v="60"/>
    <n v="60"/>
    <n v="74.7"/>
    <n v="1450"/>
    <n v="1450"/>
    <n v="0"/>
    <n v="0"/>
    <n v="1"/>
    <n v="0"/>
    <n v="0.85"/>
  </r>
  <r>
    <s v="APT-01810"/>
    <d v="2025-08-25T00:00:00"/>
    <x v="9"/>
    <x v="1"/>
    <s v="Evening"/>
    <x v="2"/>
    <s v="Ernakulam"/>
    <x v="8"/>
    <s v="PT-1466"/>
    <s v="Chronic Pain"/>
    <x v="3"/>
    <s v="Private Insurance"/>
    <s v="Corporate Wellness"/>
    <x v="0"/>
    <n v="45"/>
    <n v="45"/>
    <n v="52.9"/>
    <n v="1100"/>
    <n v="1100"/>
    <n v="0"/>
    <n v="0"/>
    <n v="1"/>
    <n v="0"/>
    <n v="0.85"/>
  </r>
  <r>
    <s v="APT-01811"/>
    <d v="2025-12-13T00:00:00"/>
    <x v="0"/>
    <x v="5"/>
    <s v="Afternoon"/>
    <x v="0"/>
    <s v="Palakkad"/>
    <x v="6"/>
    <s v="PT-1302"/>
    <s v="Post-op Rehab"/>
    <x v="4"/>
    <s v="Self Pay"/>
    <s v="Hospital Discharge"/>
    <x v="1"/>
    <n v="60"/>
    <n v="0"/>
    <n v="68.400000000000006"/>
    <n v="1450"/>
    <n v="0"/>
    <n v="1450"/>
    <n v="1"/>
    <n v="0"/>
    <n v="0"/>
    <n v="0.85"/>
  </r>
  <r>
    <s v="APT-01812"/>
    <d v="2025-04-07T00:00:00"/>
    <x v="6"/>
    <x v="1"/>
    <s v="Evening"/>
    <x v="1"/>
    <s v="Thrissur"/>
    <x v="10"/>
    <s v="PT-1445"/>
    <s v="Sports Injury"/>
    <x v="2"/>
    <s v="Private Insurance"/>
    <s v="Orthopedic Doctor"/>
    <x v="0"/>
    <n v="60"/>
    <n v="60"/>
    <n v="69.400000000000006"/>
    <n v="1350"/>
    <n v="1350"/>
    <n v="0"/>
    <n v="0"/>
    <n v="1"/>
    <n v="0"/>
    <n v="0.85"/>
  </r>
  <r>
    <s v="APT-01813"/>
    <d v="2025-10-23T00:00:00"/>
    <x v="7"/>
    <x v="2"/>
    <s v="Morning"/>
    <x v="0"/>
    <s v="Palakkad"/>
    <x v="6"/>
    <s v="PT-1314"/>
    <s v="Follow-up"/>
    <x v="5"/>
    <s v="Government Scheme"/>
    <s v="Online Search"/>
    <x v="0"/>
    <n v="30"/>
    <n v="30"/>
    <n v="38.700000000000003"/>
    <n v="550"/>
    <n v="550"/>
    <n v="0"/>
    <n v="0"/>
    <n v="1"/>
    <n v="0"/>
    <n v="0.85"/>
  </r>
  <r>
    <s v="APT-01814"/>
    <d v="2025-02-16T00:00:00"/>
    <x v="5"/>
    <x v="6"/>
    <s v="Midday"/>
    <x v="0"/>
    <s v="Palakkad"/>
    <x v="11"/>
    <s v="PT-1204"/>
    <s v="New Patient"/>
    <x v="2"/>
    <s v="Private Insurance"/>
    <s v="Orthopedic Doctor"/>
    <x v="1"/>
    <n v="90"/>
    <n v="0"/>
    <n v="99.9"/>
    <n v="2250"/>
    <n v="0"/>
    <n v="2250"/>
    <n v="1"/>
    <n v="0"/>
    <n v="0"/>
    <n v="0.85"/>
  </r>
  <r>
    <s v="APT-01815"/>
    <d v="2025-07-26T00:00:00"/>
    <x v="8"/>
    <x v="5"/>
    <s v="Morning"/>
    <x v="0"/>
    <s v="Palakkad"/>
    <x v="11"/>
    <s v="PT-1488"/>
    <s v="Chronic Pain"/>
    <x v="3"/>
    <s v="Government Scheme"/>
    <s v="Neurologist"/>
    <x v="0"/>
    <n v="60"/>
    <n v="60"/>
    <n v="71.7"/>
    <n v="1050"/>
    <n v="1050"/>
    <n v="0"/>
    <n v="0"/>
    <n v="1"/>
    <n v="0"/>
    <n v="0.85"/>
  </r>
  <r>
    <s v="APT-01816"/>
    <d v="2025-12-21T00:00:00"/>
    <x v="0"/>
    <x v="6"/>
    <s v="Afternoon"/>
    <x v="0"/>
    <s v="Palakkad"/>
    <x v="0"/>
    <s v="PT-1160"/>
    <s v="Post-op Rehab"/>
    <x v="5"/>
    <s v="Corporate Tie-up"/>
    <s v="Neurologist"/>
    <x v="0"/>
    <n v="30"/>
    <n v="30"/>
    <n v="39.700000000000003"/>
    <n v="650"/>
    <n v="650"/>
    <n v="0"/>
    <n v="0"/>
    <n v="1"/>
    <n v="0"/>
    <n v="0.85"/>
  </r>
  <r>
    <s v="APT-01817"/>
    <d v="2025-01-17T00:00:00"/>
    <x v="11"/>
    <x v="4"/>
    <s v="Midday"/>
    <x v="2"/>
    <s v="Ernakulam"/>
    <x v="4"/>
    <s v="PT-1344"/>
    <s v="Post-op Rehab"/>
    <x v="0"/>
    <s v="Private Insurance"/>
    <s v="Orthopedic Doctor"/>
    <x v="0"/>
    <n v="60"/>
    <n v="60"/>
    <n v="67.8"/>
    <n v="1700"/>
    <n v="1700"/>
    <n v="0"/>
    <n v="0"/>
    <n v="1"/>
    <n v="0"/>
    <n v="0.85"/>
  </r>
  <r>
    <s v="APT-01818"/>
    <d v="2025-12-12T00:00:00"/>
    <x v="0"/>
    <x v="4"/>
    <s v="Evening"/>
    <x v="0"/>
    <s v="Palakkad"/>
    <x v="0"/>
    <s v="PT-1508"/>
    <s v="Post-op Rehab"/>
    <x v="1"/>
    <s v="Private Insurance"/>
    <s v="Corporate Wellness"/>
    <x v="0"/>
    <n v="60"/>
    <n v="60"/>
    <n v="68.099999999999994"/>
    <n v="1450"/>
    <n v="1450"/>
    <n v="0"/>
    <n v="0"/>
    <n v="1"/>
    <n v="0"/>
    <n v="0.85"/>
  </r>
  <r>
    <s v="APT-01819"/>
    <d v="2025-05-05T00:00:00"/>
    <x v="10"/>
    <x v="1"/>
    <s v="Midday"/>
    <x v="2"/>
    <s v="Ernakulam"/>
    <x v="4"/>
    <s v="PT-1539"/>
    <s v="Follow-up"/>
    <x v="2"/>
    <s v="Private Insurance"/>
    <s v="Hospital Discharge"/>
    <x v="0"/>
    <n v="45"/>
    <n v="45"/>
    <n v="55"/>
    <n v="1100"/>
    <n v="1100"/>
    <n v="0"/>
    <n v="0"/>
    <n v="1"/>
    <n v="0"/>
    <n v="0.85"/>
  </r>
  <r>
    <s v="APT-01820"/>
    <d v="2025-02-27T00:00:00"/>
    <x v="5"/>
    <x v="2"/>
    <s v="Morning"/>
    <x v="0"/>
    <s v="Palakkad"/>
    <x v="9"/>
    <s v="PT-1277"/>
    <s v="Follow-up"/>
    <x v="5"/>
    <s v="Corporate Tie-up"/>
    <s v="Neurologist"/>
    <x v="0"/>
    <n v="60"/>
    <n v="60"/>
    <n v="77.400000000000006"/>
    <n v="1150"/>
    <n v="1150"/>
    <n v="0"/>
    <n v="0"/>
    <n v="1"/>
    <n v="0"/>
    <n v="0.85"/>
  </r>
  <r>
    <s v="APT-01821"/>
    <d v="2025-08-08T00:00:00"/>
    <x v="9"/>
    <x v="4"/>
    <s v="Evening"/>
    <x v="1"/>
    <s v="Thrissur"/>
    <x v="7"/>
    <s v="PT-1406"/>
    <s v="Sports Injury"/>
    <x v="2"/>
    <s v="Self Pay"/>
    <s v="Online Search"/>
    <x v="0"/>
    <n v="45"/>
    <n v="45"/>
    <n v="60.7"/>
    <n v="1000"/>
    <n v="1000"/>
    <n v="0"/>
    <n v="0"/>
    <n v="1"/>
    <n v="0"/>
    <n v="0.85"/>
  </r>
  <r>
    <s v="APT-01822"/>
    <d v="2025-11-14T00:00:00"/>
    <x v="1"/>
    <x v="4"/>
    <s v="Midday"/>
    <x v="1"/>
    <s v="Thrissur"/>
    <x v="10"/>
    <s v="PT-1602"/>
    <s v="Chronic Pain"/>
    <x v="0"/>
    <s v="Private Insurance"/>
    <s v="Neurologist"/>
    <x v="0"/>
    <n v="75"/>
    <n v="75"/>
    <n v="87.5"/>
    <n v="1700"/>
    <n v="1700"/>
    <n v="0"/>
    <n v="0"/>
    <n v="1"/>
    <n v="0"/>
    <n v="0.85"/>
  </r>
  <r>
    <s v="APT-01823"/>
    <d v="2025-02-03T00:00:00"/>
    <x v="5"/>
    <x v="1"/>
    <s v="Midday"/>
    <x v="1"/>
    <s v="Thrissur"/>
    <x v="1"/>
    <s v="PT-1253"/>
    <s v="Follow-up"/>
    <x v="5"/>
    <s v="Government Scheme"/>
    <s v="Hospital Discharge"/>
    <x v="0"/>
    <n v="60"/>
    <n v="60"/>
    <n v="72.400000000000006"/>
    <n v="1150"/>
    <n v="1150"/>
    <n v="0"/>
    <n v="0"/>
    <n v="1"/>
    <n v="0"/>
    <n v="0.85"/>
  </r>
  <r>
    <s v="APT-01824"/>
    <d v="2025-03-13T00:00:00"/>
    <x v="3"/>
    <x v="2"/>
    <s v="Evening"/>
    <x v="1"/>
    <s v="Thrissur"/>
    <x v="10"/>
    <s v="PT-1582"/>
    <s v="Post-op Rehab"/>
    <x v="0"/>
    <s v="Private Insurance"/>
    <s v="Neurologist"/>
    <x v="0"/>
    <n v="60"/>
    <n v="60"/>
    <n v="79.400000000000006"/>
    <n v="1550"/>
    <n v="1550"/>
    <n v="0"/>
    <n v="0"/>
    <n v="1"/>
    <n v="0"/>
    <n v="0.85"/>
  </r>
  <r>
    <s v="APT-01825"/>
    <d v="2025-03-21T00:00:00"/>
    <x v="3"/>
    <x v="4"/>
    <s v="Afternoon"/>
    <x v="0"/>
    <s v="Palakkad"/>
    <x v="0"/>
    <s v="PT-1130"/>
    <s v="New Patient"/>
    <x v="1"/>
    <s v="Government Scheme"/>
    <s v="Hospital Discharge"/>
    <x v="0"/>
    <n v="60"/>
    <n v="60"/>
    <n v="70.099999999999994"/>
    <n v="1300"/>
    <n v="1300"/>
    <n v="0"/>
    <n v="0"/>
    <n v="1"/>
    <n v="0"/>
    <n v="0.85"/>
  </r>
  <r>
    <s v="APT-01826"/>
    <d v="2025-01-13T00:00:00"/>
    <x v="11"/>
    <x v="1"/>
    <s v="Evening"/>
    <x v="2"/>
    <s v="Ernakulam"/>
    <x v="8"/>
    <s v="PT-1120"/>
    <s v="Post-op Rehab"/>
    <x v="1"/>
    <s v="Self Pay"/>
    <s v="Self Referral"/>
    <x v="0"/>
    <n v="45"/>
    <n v="45"/>
    <n v="59.6"/>
    <n v="1300"/>
    <n v="1300"/>
    <n v="0"/>
    <n v="0"/>
    <n v="1"/>
    <n v="0"/>
    <n v="0.85"/>
  </r>
  <r>
    <s v="APT-01827"/>
    <d v="2025-04-26T00:00:00"/>
    <x v="6"/>
    <x v="5"/>
    <s v="Afternoon"/>
    <x v="0"/>
    <s v="Palakkad"/>
    <x v="13"/>
    <s v="PT-1253"/>
    <s v="Follow-up"/>
    <x v="1"/>
    <s v="Government Scheme"/>
    <s v="Corporate Wellness"/>
    <x v="0"/>
    <n v="30"/>
    <n v="30"/>
    <n v="37.6"/>
    <n v="550"/>
    <n v="550"/>
    <n v="0"/>
    <n v="0"/>
    <n v="1"/>
    <n v="0"/>
    <n v="0.85"/>
  </r>
  <r>
    <s v="APT-01828"/>
    <d v="2025-11-17T00:00:00"/>
    <x v="1"/>
    <x v="1"/>
    <s v="Midday"/>
    <x v="0"/>
    <s v="Palakkad"/>
    <x v="0"/>
    <s v="PT-1507"/>
    <s v="Sports Injury"/>
    <x v="3"/>
    <s v="Self Pay"/>
    <s v="Hospital Discharge"/>
    <x v="0"/>
    <n v="30"/>
    <n v="30"/>
    <n v="36.1"/>
    <n v="600"/>
    <n v="600"/>
    <n v="0"/>
    <n v="0"/>
    <n v="1"/>
    <n v="0"/>
    <n v="0.85"/>
  </r>
  <r>
    <s v="APT-01829"/>
    <d v="2025-05-13T00:00:00"/>
    <x v="10"/>
    <x v="0"/>
    <s v="Evening"/>
    <x v="2"/>
    <s v="Ernakulam"/>
    <x v="3"/>
    <s v="PT-1399"/>
    <s v="Follow-up"/>
    <x v="4"/>
    <s v="Private Insurance"/>
    <s v="Hospital Discharge"/>
    <x v="0"/>
    <n v="60"/>
    <n v="60"/>
    <n v="72.599999999999994"/>
    <n v="1500"/>
    <n v="1500"/>
    <n v="0"/>
    <n v="0"/>
    <n v="1"/>
    <n v="0"/>
    <n v="0.85"/>
  </r>
  <r>
    <s v="APT-01830"/>
    <d v="2025-01-29T00:00:00"/>
    <x v="11"/>
    <x v="3"/>
    <s v="Midday"/>
    <x v="2"/>
    <s v="Ernakulam"/>
    <x v="4"/>
    <s v="PT-1366"/>
    <s v="Follow-up"/>
    <x v="1"/>
    <s v="Self Pay"/>
    <s v="Hospital Discharge"/>
    <x v="1"/>
    <n v="60"/>
    <n v="0"/>
    <n v="71.5"/>
    <n v="1500"/>
    <n v="0"/>
    <n v="1500"/>
    <n v="1"/>
    <n v="0"/>
    <n v="0"/>
    <n v="0.85"/>
  </r>
  <r>
    <s v="APT-01831"/>
    <d v="2025-06-02T00:00:00"/>
    <x v="4"/>
    <x v="1"/>
    <s v="Afternoon"/>
    <x v="1"/>
    <s v="Thrissur"/>
    <x v="1"/>
    <s v="PT-1032"/>
    <s v="Follow-up"/>
    <x v="4"/>
    <s v="Private Insurance"/>
    <s v="Self Referral"/>
    <x v="0"/>
    <n v="90"/>
    <n v="90"/>
    <n v="115"/>
    <n v="2000"/>
    <n v="2000"/>
    <n v="0"/>
    <n v="0"/>
    <n v="1"/>
    <n v="0"/>
    <n v="0.85"/>
  </r>
  <r>
    <s v="APT-01832"/>
    <d v="2025-08-12T00:00:00"/>
    <x v="9"/>
    <x v="0"/>
    <s v="Midday"/>
    <x v="0"/>
    <s v="Palakkad"/>
    <x v="0"/>
    <s v="PT-1069"/>
    <s v="New Patient"/>
    <x v="0"/>
    <s v="Private Insurance"/>
    <s v="Online Search"/>
    <x v="0"/>
    <n v="45"/>
    <n v="45"/>
    <n v="54.1"/>
    <n v="1100"/>
    <n v="1100"/>
    <n v="0"/>
    <n v="0"/>
    <n v="1"/>
    <n v="0"/>
    <n v="0.85"/>
  </r>
  <r>
    <s v="APT-01833"/>
    <d v="2025-09-15T00:00:00"/>
    <x v="2"/>
    <x v="1"/>
    <s v="Afternoon"/>
    <x v="0"/>
    <s v="Palakkad"/>
    <x v="6"/>
    <s v="PT-1410"/>
    <s v="New Patient"/>
    <x v="4"/>
    <s v="Corporate Tie-up"/>
    <s v="Neurologist"/>
    <x v="2"/>
    <n v="45"/>
    <n v="0"/>
    <n v="55.6"/>
    <n v="1050"/>
    <n v="0"/>
    <n v="1050"/>
    <n v="0"/>
    <n v="0"/>
    <n v="1"/>
    <n v="0.85"/>
  </r>
  <r>
    <s v="APT-01834"/>
    <d v="2025-02-06T00:00:00"/>
    <x v="5"/>
    <x v="2"/>
    <s v="Afternoon"/>
    <x v="1"/>
    <s v="Thrissur"/>
    <x v="10"/>
    <s v="PT-1336"/>
    <s v="Sports Injury"/>
    <x v="2"/>
    <s v="Self Pay"/>
    <s v="Orthopedic Doctor"/>
    <x v="0"/>
    <n v="90"/>
    <n v="90"/>
    <n v="108.3"/>
    <n v="2000"/>
    <n v="2000"/>
    <n v="0"/>
    <n v="0"/>
    <n v="1"/>
    <n v="0"/>
    <n v="0.85"/>
  </r>
  <r>
    <s v="APT-01835"/>
    <d v="2025-04-05T00:00:00"/>
    <x v="6"/>
    <x v="5"/>
    <s v="Midday"/>
    <x v="1"/>
    <s v="Thrissur"/>
    <x v="10"/>
    <s v="PT-1687"/>
    <s v="Chronic Pain"/>
    <x v="0"/>
    <s v="Corporate Tie-up"/>
    <s v="Self Referral"/>
    <x v="1"/>
    <n v="90"/>
    <n v="0"/>
    <n v="98.2"/>
    <n v="1850"/>
    <n v="0"/>
    <n v="1850"/>
    <n v="1"/>
    <n v="0"/>
    <n v="0"/>
    <n v="0.85"/>
  </r>
  <r>
    <s v="APT-01836"/>
    <d v="2025-08-29T00:00:00"/>
    <x v="9"/>
    <x v="4"/>
    <s v="Afternoon"/>
    <x v="2"/>
    <s v="Ernakulam"/>
    <x v="4"/>
    <s v="PT-1557"/>
    <s v="Post-op Rehab"/>
    <x v="1"/>
    <s v="Private Insurance"/>
    <s v="Neurologist"/>
    <x v="0"/>
    <n v="75"/>
    <n v="75"/>
    <n v="85.7"/>
    <n v="2150"/>
    <n v="2150"/>
    <n v="0"/>
    <n v="0"/>
    <n v="1"/>
    <n v="0"/>
    <n v="0.85"/>
  </r>
  <r>
    <s v="APT-01837"/>
    <d v="2025-05-15T00:00:00"/>
    <x v="10"/>
    <x v="2"/>
    <s v="Evening"/>
    <x v="1"/>
    <s v="Thrissur"/>
    <x v="2"/>
    <s v="PT-1417"/>
    <s v="New Patient"/>
    <x v="0"/>
    <s v="Self Pay"/>
    <s v="Orthopedic Doctor"/>
    <x v="3"/>
    <n v="60"/>
    <n v="0"/>
    <n v="68.7"/>
    <n v="1600"/>
    <n v="0"/>
    <n v="0"/>
    <n v="0"/>
    <n v="0"/>
    <n v="0"/>
    <n v="0.85"/>
  </r>
  <r>
    <s v="APT-01838"/>
    <d v="2025-04-11T00:00:00"/>
    <x v="6"/>
    <x v="4"/>
    <s v="Evening"/>
    <x v="1"/>
    <s v="Thrissur"/>
    <x v="1"/>
    <s v="PT-1679"/>
    <s v="Follow-up"/>
    <x v="3"/>
    <s v="Private Insurance"/>
    <s v="Online Search"/>
    <x v="0"/>
    <n v="75"/>
    <n v="75"/>
    <n v="83.8"/>
    <n v="1700"/>
    <n v="1700"/>
    <n v="0"/>
    <n v="0"/>
    <n v="1"/>
    <n v="0"/>
    <n v="0.85"/>
  </r>
  <r>
    <s v="APT-01839"/>
    <d v="2025-07-29T00:00:00"/>
    <x v="8"/>
    <x v="0"/>
    <s v="Evening"/>
    <x v="1"/>
    <s v="Thrissur"/>
    <x v="10"/>
    <s v="PT-1586"/>
    <s v="Post-op Rehab"/>
    <x v="4"/>
    <s v="Private Insurance"/>
    <s v="Corporate Wellness"/>
    <x v="0"/>
    <n v="60"/>
    <n v="60"/>
    <n v="72"/>
    <n v="1550"/>
    <n v="1550"/>
    <n v="0"/>
    <n v="0"/>
    <n v="1"/>
    <n v="0"/>
    <n v="0.85"/>
  </r>
  <r>
    <s v="APT-01840"/>
    <d v="2025-05-24T00:00:00"/>
    <x v="10"/>
    <x v="5"/>
    <s v="Evening"/>
    <x v="1"/>
    <s v="Thrissur"/>
    <x v="10"/>
    <s v="PT-1679"/>
    <s v="Follow-up"/>
    <x v="3"/>
    <s v="Self Pay"/>
    <s v="Self Referral"/>
    <x v="0"/>
    <n v="60"/>
    <n v="60"/>
    <n v="68.900000000000006"/>
    <n v="1350"/>
    <n v="1350"/>
    <n v="0"/>
    <n v="0"/>
    <n v="1"/>
    <n v="0"/>
    <n v="0.85"/>
  </r>
  <r>
    <s v="APT-01841"/>
    <d v="2025-09-18T00:00:00"/>
    <x v="2"/>
    <x v="2"/>
    <s v="Afternoon"/>
    <x v="1"/>
    <s v="Thrissur"/>
    <x v="10"/>
    <s v="PT-1375"/>
    <s v="Follow-up"/>
    <x v="2"/>
    <s v="Self Pay"/>
    <s v="Orthopedic Doctor"/>
    <x v="0"/>
    <n v="60"/>
    <n v="60"/>
    <n v="76.599999999999994"/>
    <n v="1350"/>
    <n v="1350"/>
    <n v="0"/>
    <n v="0"/>
    <n v="1"/>
    <n v="0"/>
    <n v="0.85"/>
  </r>
  <r>
    <s v="APT-01842"/>
    <d v="2025-06-28T00:00:00"/>
    <x v="4"/>
    <x v="5"/>
    <s v="Evening"/>
    <x v="1"/>
    <s v="Thrissur"/>
    <x v="7"/>
    <s v="PT-1683"/>
    <s v="Follow-up"/>
    <x v="2"/>
    <s v="Private Insurance"/>
    <s v="Neurologist"/>
    <x v="0"/>
    <n v="45"/>
    <n v="45"/>
    <n v="58.3"/>
    <n v="1000"/>
    <n v="1000"/>
    <n v="0"/>
    <n v="0"/>
    <n v="1"/>
    <n v="0"/>
    <n v="0.85"/>
  </r>
  <r>
    <s v="APT-01843"/>
    <d v="2025-05-05T00:00:00"/>
    <x v="10"/>
    <x v="1"/>
    <s v="Morning"/>
    <x v="2"/>
    <s v="Ernakulam"/>
    <x v="4"/>
    <s v="PT-1382"/>
    <s v="Chronic Pain"/>
    <x v="0"/>
    <s v="Private Insurance"/>
    <s v="Online Search"/>
    <x v="2"/>
    <n v="30"/>
    <n v="0"/>
    <n v="35.5"/>
    <n v="750"/>
    <n v="0"/>
    <n v="750"/>
    <n v="0"/>
    <n v="0"/>
    <n v="1"/>
    <n v="0.85"/>
  </r>
  <r>
    <s v="APT-01844"/>
    <d v="2025-03-22T00:00:00"/>
    <x v="3"/>
    <x v="5"/>
    <s v="Evening"/>
    <x v="0"/>
    <s v="Palakkad"/>
    <x v="6"/>
    <s v="PT-1666"/>
    <s v="Chronic Pain"/>
    <x v="2"/>
    <s v="Self Pay"/>
    <s v="Hospital Discharge"/>
    <x v="0"/>
    <n v="45"/>
    <n v="45"/>
    <n v="55.6"/>
    <n v="950"/>
    <n v="950"/>
    <n v="0"/>
    <n v="0"/>
    <n v="1"/>
    <n v="0"/>
    <n v="0.85"/>
  </r>
  <r>
    <s v="APT-01845"/>
    <d v="2025-09-13T00:00:00"/>
    <x v="2"/>
    <x v="5"/>
    <s v="Evening"/>
    <x v="1"/>
    <s v="Thrissur"/>
    <x v="7"/>
    <s v="PT-1162"/>
    <s v="New Patient"/>
    <x v="0"/>
    <s v="Self Pay"/>
    <s v="Online Search"/>
    <x v="0"/>
    <n v="45"/>
    <n v="45"/>
    <n v="55.7"/>
    <n v="1200"/>
    <n v="1200"/>
    <n v="0"/>
    <n v="0"/>
    <n v="1"/>
    <n v="0"/>
    <n v="0.85"/>
  </r>
  <r>
    <s v="APT-01846"/>
    <d v="2025-05-23T00:00:00"/>
    <x v="10"/>
    <x v="4"/>
    <s v="Midday"/>
    <x v="1"/>
    <s v="Thrissur"/>
    <x v="5"/>
    <s v="PT-1573"/>
    <s v="Follow-up"/>
    <x v="5"/>
    <s v="Self Pay"/>
    <s v="Orthopedic Doctor"/>
    <x v="0"/>
    <n v="45"/>
    <n v="45"/>
    <n v="54.3"/>
    <n v="1000"/>
    <n v="1000"/>
    <n v="0"/>
    <n v="0"/>
    <n v="1"/>
    <n v="0"/>
    <n v="0.85"/>
  </r>
  <r>
    <s v="APT-01847"/>
    <d v="2025-01-23T00:00:00"/>
    <x v="11"/>
    <x v="2"/>
    <s v="Evening"/>
    <x v="2"/>
    <s v="Ernakulam"/>
    <x v="14"/>
    <s v="PT-1504"/>
    <s v="Sports Injury"/>
    <x v="4"/>
    <s v="Self Pay"/>
    <s v="Orthopedic Doctor"/>
    <x v="0"/>
    <n v="45"/>
    <n v="45"/>
    <n v="58.6"/>
    <n v="1100"/>
    <n v="1100"/>
    <n v="0"/>
    <n v="0"/>
    <n v="1"/>
    <n v="0"/>
    <n v="0.85"/>
  </r>
  <r>
    <s v="APT-01848"/>
    <d v="2025-07-11T00:00:00"/>
    <x v="8"/>
    <x v="4"/>
    <s v="Midday"/>
    <x v="2"/>
    <s v="Ernakulam"/>
    <x v="4"/>
    <s v="PT-1673"/>
    <s v="Post-op Rehab"/>
    <x v="5"/>
    <s v="Self Pay"/>
    <s v="Corporate Wellness"/>
    <x v="0"/>
    <n v="75"/>
    <n v="75"/>
    <n v="82.5"/>
    <n v="2150"/>
    <n v="2150"/>
    <n v="0"/>
    <n v="0"/>
    <n v="1"/>
    <n v="0"/>
    <n v="0.85"/>
  </r>
  <r>
    <s v="APT-01849"/>
    <d v="2025-03-21T00:00:00"/>
    <x v="3"/>
    <x v="4"/>
    <s v="Evening"/>
    <x v="2"/>
    <s v="Ernakulam"/>
    <x v="12"/>
    <s v="PT-1193"/>
    <s v="Follow-up"/>
    <x v="1"/>
    <s v="Private Insurance"/>
    <s v="Orthopedic Doctor"/>
    <x v="2"/>
    <n v="45"/>
    <n v="0"/>
    <n v="55"/>
    <n v="1100"/>
    <n v="0"/>
    <n v="1100"/>
    <n v="0"/>
    <n v="0"/>
    <n v="1"/>
    <n v="0.85"/>
  </r>
  <r>
    <s v="APT-01850"/>
    <d v="2025-03-12T00:00:00"/>
    <x v="3"/>
    <x v="3"/>
    <s v="Afternoon"/>
    <x v="0"/>
    <s v="Palakkad"/>
    <x v="0"/>
    <s v="PT-1263"/>
    <s v="Geriatric Rehab"/>
    <x v="3"/>
    <s v="Self Pay"/>
    <s v="Neurologist"/>
    <x v="0"/>
    <n v="45"/>
    <n v="45"/>
    <n v="60.2"/>
    <n v="950"/>
    <n v="950"/>
    <n v="0"/>
    <n v="0"/>
    <n v="1"/>
    <n v="0"/>
    <n v="0.85"/>
  </r>
  <r>
    <s v="APT-01851"/>
    <d v="2025-05-07T00:00:00"/>
    <x v="10"/>
    <x v="3"/>
    <s v="Evening"/>
    <x v="0"/>
    <s v="Palakkad"/>
    <x v="13"/>
    <s v="PT-1074"/>
    <s v="Sports Injury"/>
    <x v="3"/>
    <s v="Self Pay"/>
    <s v="Orthopedic Doctor"/>
    <x v="0"/>
    <n v="45"/>
    <n v="45"/>
    <n v="55"/>
    <n v="950"/>
    <n v="950"/>
    <n v="0"/>
    <n v="0"/>
    <n v="1"/>
    <n v="0"/>
    <n v="0.85"/>
  </r>
  <r>
    <s v="APT-01852"/>
    <d v="2025-07-02T00:00:00"/>
    <x v="8"/>
    <x v="3"/>
    <s v="Evening"/>
    <x v="1"/>
    <s v="Thrissur"/>
    <x v="10"/>
    <s v="PT-1345"/>
    <s v="Follow-up"/>
    <x v="5"/>
    <s v="Self Pay"/>
    <s v="Corporate Wellness"/>
    <x v="0"/>
    <n v="60"/>
    <n v="60"/>
    <n v="65.599999999999994"/>
    <n v="1350"/>
    <n v="1350"/>
    <n v="0"/>
    <n v="0"/>
    <n v="1"/>
    <n v="0"/>
    <n v="0.85"/>
  </r>
  <r>
    <s v="APT-01853"/>
    <d v="2025-01-13T00:00:00"/>
    <x v="11"/>
    <x v="1"/>
    <s v="Afternoon"/>
    <x v="0"/>
    <s v="Palakkad"/>
    <x v="0"/>
    <s v="PT-1376"/>
    <s v="Follow-up"/>
    <x v="2"/>
    <s v="Private Insurance"/>
    <s v="Self Referral"/>
    <x v="0"/>
    <n v="60"/>
    <n v="60"/>
    <n v="65.3"/>
    <n v="1250"/>
    <n v="1250"/>
    <n v="0"/>
    <n v="0"/>
    <n v="1"/>
    <n v="0"/>
    <n v="0.85"/>
  </r>
  <r>
    <s v="APT-01854"/>
    <d v="2025-08-29T00:00:00"/>
    <x v="9"/>
    <x v="4"/>
    <s v="Afternoon"/>
    <x v="2"/>
    <s v="Ernakulam"/>
    <x v="3"/>
    <s v="PT-1345"/>
    <s v="Follow-up"/>
    <x v="3"/>
    <s v="Self Pay"/>
    <s v="Online Search"/>
    <x v="0"/>
    <n v="60"/>
    <n v="60"/>
    <n v="80.2"/>
    <n v="1500"/>
    <n v="1500"/>
    <n v="0"/>
    <n v="0"/>
    <n v="1"/>
    <n v="0"/>
    <n v="0.85"/>
  </r>
  <r>
    <s v="APT-01855"/>
    <d v="2025-09-12T00:00:00"/>
    <x v="2"/>
    <x v="4"/>
    <s v="Midday"/>
    <x v="0"/>
    <s v="Palakkad"/>
    <x v="13"/>
    <s v="PT-1580"/>
    <s v="Follow-up"/>
    <x v="3"/>
    <s v="Government Scheme"/>
    <s v="Neurologist"/>
    <x v="0"/>
    <n v="45"/>
    <n v="45"/>
    <n v="60.5"/>
    <n v="800"/>
    <n v="800"/>
    <n v="0"/>
    <n v="0"/>
    <n v="1"/>
    <n v="0"/>
    <n v="0.85"/>
  </r>
  <r>
    <s v="APT-01856"/>
    <d v="2025-05-13T00:00:00"/>
    <x v="10"/>
    <x v="0"/>
    <s v="Midday"/>
    <x v="1"/>
    <s v="Thrissur"/>
    <x v="10"/>
    <s v="PT-1226"/>
    <s v="Follow-up"/>
    <x v="0"/>
    <s v="Private Insurance"/>
    <s v="Online Search"/>
    <x v="1"/>
    <n v="60"/>
    <n v="0"/>
    <n v="80.7"/>
    <n v="1350"/>
    <n v="0"/>
    <n v="1350"/>
    <n v="1"/>
    <n v="0"/>
    <n v="0"/>
    <n v="0.85"/>
  </r>
  <r>
    <s v="APT-01857"/>
    <d v="2025-01-10T00:00:00"/>
    <x v="11"/>
    <x v="4"/>
    <s v="Afternoon"/>
    <x v="1"/>
    <s v="Thrissur"/>
    <x v="2"/>
    <s v="PT-1357"/>
    <s v="Geriatric Rehab"/>
    <x v="1"/>
    <s v="Self Pay"/>
    <s v="Corporate Wellness"/>
    <x v="1"/>
    <n v="60"/>
    <n v="0"/>
    <n v="76.8"/>
    <n v="1350"/>
    <n v="0"/>
    <n v="1350"/>
    <n v="1"/>
    <n v="0"/>
    <n v="0"/>
    <n v="0.85"/>
  </r>
  <r>
    <s v="APT-01858"/>
    <d v="2025-09-10T00:00:00"/>
    <x v="2"/>
    <x v="3"/>
    <s v="Midday"/>
    <x v="1"/>
    <s v="Thrissur"/>
    <x v="2"/>
    <s v="PT-1354"/>
    <s v="New Patient"/>
    <x v="4"/>
    <s v="Self Pay"/>
    <s v="Self Referral"/>
    <x v="0"/>
    <n v="60"/>
    <n v="60"/>
    <n v="68.3"/>
    <n v="1600"/>
    <n v="1600"/>
    <n v="0"/>
    <n v="0"/>
    <n v="1"/>
    <n v="0"/>
    <n v="0.85"/>
  </r>
  <r>
    <s v="APT-01859"/>
    <d v="2025-01-16T00:00:00"/>
    <x v="11"/>
    <x v="2"/>
    <s v="Morning"/>
    <x v="1"/>
    <s v="Thrissur"/>
    <x v="5"/>
    <s v="PT-1219"/>
    <s v="New Patient"/>
    <x v="5"/>
    <s v="Self Pay"/>
    <s v="Orthopedic Doctor"/>
    <x v="0"/>
    <n v="60"/>
    <n v="60"/>
    <n v="67"/>
    <n v="1600"/>
    <n v="1600"/>
    <n v="0"/>
    <n v="0"/>
    <n v="1"/>
    <n v="0"/>
    <n v="0.85"/>
  </r>
  <r>
    <s v="APT-01860"/>
    <d v="2025-09-26T00:00:00"/>
    <x v="2"/>
    <x v="4"/>
    <s v="Afternoon"/>
    <x v="2"/>
    <s v="Ernakulam"/>
    <x v="3"/>
    <s v="PT-1369"/>
    <s v="Follow-up"/>
    <x v="2"/>
    <s v="Private Insurance"/>
    <s v="Corporate Wellness"/>
    <x v="0"/>
    <n v="60"/>
    <n v="60"/>
    <n v="76.900000000000006"/>
    <n v="1500"/>
    <n v="1500"/>
    <n v="0"/>
    <n v="0"/>
    <n v="1"/>
    <n v="0"/>
    <n v="0.85"/>
  </r>
  <r>
    <s v="APT-01861"/>
    <d v="2025-06-14T00:00:00"/>
    <x v="4"/>
    <x v="5"/>
    <s v="Midday"/>
    <x v="0"/>
    <s v="Palakkad"/>
    <x v="9"/>
    <s v="PT-1611"/>
    <s v="Chronic Pain"/>
    <x v="1"/>
    <s v="Private Insurance"/>
    <s v="Neurologist"/>
    <x v="0"/>
    <n v="60"/>
    <n v="60"/>
    <n v="74.2"/>
    <n v="1250"/>
    <n v="1250"/>
    <n v="0"/>
    <n v="0"/>
    <n v="1"/>
    <n v="0"/>
    <n v="0.85"/>
  </r>
  <r>
    <s v="APT-01862"/>
    <d v="2025-03-22T00:00:00"/>
    <x v="3"/>
    <x v="5"/>
    <s v="Evening"/>
    <x v="0"/>
    <s v="Palakkad"/>
    <x v="11"/>
    <s v="PT-1595"/>
    <s v="Follow-up"/>
    <x v="4"/>
    <s v="Self Pay"/>
    <s v="Online Search"/>
    <x v="0"/>
    <n v="30"/>
    <n v="30"/>
    <n v="35.200000000000003"/>
    <n v="600"/>
    <n v="600"/>
    <n v="0"/>
    <n v="0"/>
    <n v="1"/>
    <n v="0"/>
    <n v="0.85"/>
  </r>
  <r>
    <s v="APT-01863"/>
    <d v="2025-11-10T00:00:00"/>
    <x v="1"/>
    <x v="1"/>
    <s v="Afternoon"/>
    <x v="1"/>
    <s v="Thrissur"/>
    <x v="10"/>
    <s v="PT-1060"/>
    <s v="Sports Injury"/>
    <x v="5"/>
    <s v="Self Pay"/>
    <s v="Corporate Wellness"/>
    <x v="0"/>
    <n v="90"/>
    <n v="90"/>
    <n v="112.5"/>
    <n v="2000"/>
    <n v="2000"/>
    <n v="0"/>
    <n v="0"/>
    <n v="1"/>
    <n v="0"/>
    <n v="0.85"/>
  </r>
  <r>
    <s v="APT-01864"/>
    <d v="2025-08-18T00:00:00"/>
    <x v="9"/>
    <x v="1"/>
    <s v="Midday"/>
    <x v="0"/>
    <s v="Palakkad"/>
    <x v="11"/>
    <s v="PT-1548"/>
    <s v="Chronic Pain"/>
    <x v="2"/>
    <s v="Self Pay"/>
    <s v="Online Search"/>
    <x v="1"/>
    <n v="60"/>
    <n v="0"/>
    <n v="75.900000000000006"/>
    <n v="1250"/>
    <n v="0"/>
    <n v="1250"/>
    <n v="1"/>
    <n v="0"/>
    <n v="0"/>
    <n v="0.85"/>
  </r>
  <r>
    <s v="APT-01865"/>
    <d v="2025-11-25T00:00:00"/>
    <x v="1"/>
    <x v="0"/>
    <s v="Midday"/>
    <x v="2"/>
    <s v="Ernakulam"/>
    <x v="12"/>
    <s v="PT-1286"/>
    <s v="Chronic Pain"/>
    <x v="5"/>
    <s v="Self Pay"/>
    <s v="Self Referral"/>
    <x v="0"/>
    <n v="45"/>
    <n v="45"/>
    <n v="60.7"/>
    <n v="1100"/>
    <n v="1100"/>
    <n v="0"/>
    <n v="0"/>
    <n v="1"/>
    <n v="0"/>
    <n v="0.85"/>
  </r>
  <r>
    <s v="APT-01866"/>
    <d v="2025-02-03T00:00:00"/>
    <x v="5"/>
    <x v="1"/>
    <s v="Midday"/>
    <x v="1"/>
    <s v="Thrissur"/>
    <x v="10"/>
    <s v="PT-1118"/>
    <s v="Follow-up"/>
    <x v="5"/>
    <s v="Government Scheme"/>
    <s v="Neurologist"/>
    <x v="2"/>
    <n v="60"/>
    <n v="0"/>
    <n v="79.3"/>
    <n v="1150"/>
    <n v="0"/>
    <n v="1150"/>
    <n v="0"/>
    <n v="0"/>
    <n v="1"/>
    <n v="0.85"/>
  </r>
  <r>
    <s v="APT-01867"/>
    <d v="2025-02-01T00:00:00"/>
    <x v="5"/>
    <x v="5"/>
    <s v="Midday"/>
    <x v="1"/>
    <s v="Thrissur"/>
    <x v="5"/>
    <s v="PT-1016"/>
    <s v="New Patient"/>
    <x v="3"/>
    <s v="Government Scheme"/>
    <s v="Self Referral"/>
    <x v="0"/>
    <n v="30"/>
    <n v="30"/>
    <n v="33.700000000000003"/>
    <n v="700"/>
    <n v="700"/>
    <n v="0"/>
    <n v="0"/>
    <n v="1"/>
    <n v="0"/>
    <n v="0.85"/>
  </r>
  <r>
    <s v="APT-01868"/>
    <d v="2025-08-15T00:00:00"/>
    <x v="9"/>
    <x v="4"/>
    <s v="Evening"/>
    <x v="1"/>
    <s v="Thrissur"/>
    <x v="5"/>
    <s v="PT-1448"/>
    <s v="Post-op Rehab"/>
    <x v="2"/>
    <s v="Private Insurance"/>
    <s v="Online Search"/>
    <x v="2"/>
    <n v="75"/>
    <n v="0"/>
    <n v="100.4"/>
    <n v="1950"/>
    <n v="0"/>
    <n v="1950"/>
    <n v="0"/>
    <n v="0"/>
    <n v="1"/>
    <n v="0.85"/>
  </r>
  <r>
    <s v="APT-01869"/>
    <d v="2025-06-12T00:00:00"/>
    <x v="4"/>
    <x v="2"/>
    <s v="Evening"/>
    <x v="2"/>
    <s v="Ernakulam"/>
    <x v="3"/>
    <s v="PT-1169"/>
    <s v="Sports Injury"/>
    <x v="1"/>
    <s v="Private Insurance"/>
    <s v="Hospital Discharge"/>
    <x v="0"/>
    <n v="45"/>
    <n v="45"/>
    <n v="53.6"/>
    <n v="1100"/>
    <n v="1100"/>
    <n v="0"/>
    <n v="0"/>
    <n v="1"/>
    <n v="0"/>
    <n v="0.85"/>
  </r>
  <r>
    <s v="APT-01870"/>
    <d v="2025-03-01T00:00:00"/>
    <x v="3"/>
    <x v="5"/>
    <s v="Morning"/>
    <x v="0"/>
    <s v="Palakkad"/>
    <x v="11"/>
    <s v="PT-1514"/>
    <s v="Post-op Rehab"/>
    <x v="0"/>
    <s v="Self Pay"/>
    <s v="Self Referral"/>
    <x v="0"/>
    <n v="90"/>
    <n v="90"/>
    <n v="99.9"/>
    <n v="2150"/>
    <n v="2150"/>
    <n v="0"/>
    <n v="0"/>
    <n v="1"/>
    <n v="0"/>
    <n v="0.85"/>
  </r>
  <r>
    <s v="APT-01871"/>
    <d v="2025-03-15T00:00:00"/>
    <x v="3"/>
    <x v="5"/>
    <s v="Morning"/>
    <x v="1"/>
    <s v="Thrissur"/>
    <x v="5"/>
    <s v="PT-1357"/>
    <s v="Follow-up"/>
    <x v="1"/>
    <s v="Private Insurance"/>
    <s v="Self Referral"/>
    <x v="0"/>
    <n v="60"/>
    <n v="60"/>
    <n v="65.7"/>
    <n v="1350"/>
    <n v="1350"/>
    <n v="0"/>
    <n v="0"/>
    <n v="1"/>
    <n v="0"/>
    <n v="0.85"/>
  </r>
  <r>
    <s v="APT-01872"/>
    <d v="2025-06-09T00:00:00"/>
    <x v="4"/>
    <x v="1"/>
    <s v="Morning"/>
    <x v="0"/>
    <s v="Palakkad"/>
    <x v="11"/>
    <s v="PT-1539"/>
    <s v="Geriatric Rehab"/>
    <x v="1"/>
    <s v="Self Pay"/>
    <s v="Neurologist"/>
    <x v="1"/>
    <n v="45"/>
    <n v="0"/>
    <n v="56.5"/>
    <n v="950"/>
    <n v="0"/>
    <n v="950"/>
    <n v="1"/>
    <n v="0"/>
    <n v="0"/>
    <n v="0.85"/>
  </r>
  <r>
    <s v="APT-01873"/>
    <d v="2025-10-02T00:00:00"/>
    <x v="7"/>
    <x v="2"/>
    <s v="Morning"/>
    <x v="0"/>
    <s v="Palakkad"/>
    <x v="6"/>
    <s v="PT-1698"/>
    <s v="Chronic Pain"/>
    <x v="1"/>
    <s v="Self Pay"/>
    <s v="Online Search"/>
    <x v="0"/>
    <n v="45"/>
    <n v="45"/>
    <n v="57.9"/>
    <n v="950"/>
    <n v="950"/>
    <n v="0"/>
    <n v="0"/>
    <n v="1"/>
    <n v="0"/>
    <n v="0.85"/>
  </r>
  <r>
    <s v="APT-01874"/>
    <d v="2025-09-20T00:00:00"/>
    <x v="2"/>
    <x v="5"/>
    <s v="Evening"/>
    <x v="1"/>
    <s v="Thrissur"/>
    <x v="2"/>
    <s v="PT-1131"/>
    <s v="New Patient"/>
    <x v="2"/>
    <s v="Government Scheme"/>
    <s v="Neurologist"/>
    <x v="0"/>
    <n v="60"/>
    <n v="60"/>
    <n v="67.2"/>
    <n v="1400"/>
    <n v="1400"/>
    <n v="0"/>
    <n v="0"/>
    <n v="1"/>
    <n v="0"/>
    <n v="0.85"/>
  </r>
  <r>
    <s v="APT-01875"/>
    <d v="2025-12-01T00:00:00"/>
    <x v="0"/>
    <x v="1"/>
    <s v="Midday"/>
    <x v="2"/>
    <s v="Ernakulam"/>
    <x v="14"/>
    <s v="PT-1609"/>
    <s v="Follow-up"/>
    <x v="4"/>
    <s v="Corporate Tie-up"/>
    <s v="Corporate Wellness"/>
    <x v="0"/>
    <n v="30"/>
    <n v="30"/>
    <n v="38.799999999999997"/>
    <n v="700"/>
    <n v="700"/>
    <n v="0"/>
    <n v="0"/>
    <n v="1"/>
    <n v="0"/>
    <n v="0.85"/>
  </r>
  <r>
    <s v="APT-01876"/>
    <d v="2025-02-11T00:00:00"/>
    <x v="5"/>
    <x v="0"/>
    <s v="Afternoon"/>
    <x v="1"/>
    <s v="Thrissur"/>
    <x v="2"/>
    <s v="PT-1250"/>
    <s v="Geriatric Rehab"/>
    <x v="2"/>
    <s v="Private Insurance"/>
    <s v="Corporate Wellness"/>
    <x v="0"/>
    <n v="45"/>
    <n v="45"/>
    <n v="57.2"/>
    <n v="1000"/>
    <n v="1000"/>
    <n v="0"/>
    <n v="0"/>
    <n v="1"/>
    <n v="0"/>
    <n v="0.85"/>
  </r>
  <r>
    <s v="APT-01877"/>
    <d v="2025-12-04T00:00:00"/>
    <x v="0"/>
    <x v="2"/>
    <s v="Evening"/>
    <x v="1"/>
    <s v="Thrissur"/>
    <x v="1"/>
    <s v="PT-1565"/>
    <s v="Follow-up"/>
    <x v="2"/>
    <s v="Private Insurance"/>
    <s v="Online Search"/>
    <x v="0"/>
    <n v="60"/>
    <n v="60"/>
    <n v="67.599999999999994"/>
    <n v="1350"/>
    <n v="1350"/>
    <n v="0"/>
    <n v="0"/>
    <n v="1"/>
    <n v="0"/>
    <n v="0.85"/>
  </r>
  <r>
    <s v="APT-01878"/>
    <d v="2025-05-23T00:00:00"/>
    <x v="10"/>
    <x v="4"/>
    <s v="Afternoon"/>
    <x v="1"/>
    <s v="Thrissur"/>
    <x v="10"/>
    <s v="PT-1659"/>
    <s v="New Patient"/>
    <x v="4"/>
    <s v="Self Pay"/>
    <s v="Online Search"/>
    <x v="0"/>
    <n v="75"/>
    <n v="75"/>
    <n v="97.7"/>
    <n v="2000"/>
    <n v="2000"/>
    <n v="0"/>
    <n v="0"/>
    <n v="1"/>
    <n v="0"/>
    <n v="0.85"/>
  </r>
  <r>
    <s v="APT-01879"/>
    <d v="2025-09-18T00:00:00"/>
    <x v="2"/>
    <x v="2"/>
    <s v="Midday"/>
    <x v="1"/>
    <s v="Thrissur"/>
    <x v="7"/>
    <s v="PT-1094"/>
    <s v="Follow-up"/>
    <x v="1"/>
    <s v="Self Pay"/>
    <s v="Orthopedic Doctor"/>
    <x v="0"/>
    <n v="60"/>
    <n v="60"/>
    <n v="73.599999999999994"/>
    <n v="1350"/>
    <n v="1350"/>
    <n v="0"/>
    <n v="0"/>
    <n v="1"/>
    <n v="0"/>
    <n v="0.85"/>
  </r>
  <r>
    <s v="APT-01880"/>
    <d v="2025-03-03T00:00:00"/>
    <x v="3"/>
    <x v="1"/>
    <s v="Midday"/>
    <x v="0"/>
    <s v="Palakkad"/>
    <x v="9"/>
    <s v="PT-1009"/>
    <s v="Post-op Rehab"/>
    <x v="0"/>
    <s v="Self Pay"/>
    <s v="Orthopedic Doctor"/>
    <x v="1"/>
    <n v="60"/>
    <n v="0"/>
    <n v="81"/>
    <n v="1450"/>
    <n v="0"/>
    <n v="1450"/>
    <n v="1"/>
    <n v="0"/>
    <n v="0"/>
    <n v="0.85"/>
  </r>
  <r>
    <s v="APT-01881"/>
    <d v="2025-03-24T00:00:00"/>
    <x v="3"/>
    <x v="1"/>
    <s v="Evening"/>
    <x v="0"/>
    <s v="Palakkad"/>
    <x v="6"/>
    <s v="PT-1596"/>
    <s v="Follow-up"/>
    <x v="2"/>
    <s v="Self Pay"/>
    <s v="Online Search"/>
    <x v="0"/>
    <n v="45"/>
    <n v="45"/>
    <n v="50.5"/>
    <n v="950"/>
    <n v="950"/>
    <n v="0"/>
    <n v="0"/>
    <n v="1"/>
    <n v="0"/>
    <n v="0.85"/>
  </r>
  <r>
    <s v="APT-01882"/>
    <d v="2025-07-16T00:00:00"/>
    <x v="8"/>
    <x v="3"/>
    <s v="Evening"/>
    <x v="0"/>
    <s v="Palakkad"/>
    <x v="0"/>
    <s v="PT-1301"/>
    <s v="Follow-up"/>
    <x v="1"/>
    <s v="Self Pay"/>
    <s v="Self Referral"/>
    <x v="2"/>
    <n v="60"/>
    <n v="0"/>
    <n v="66.7"/>
    <n v="1250"/>
    <n v="0"/>
    <n v="1250"/>
    <n v="0"/>
    <n v="0"/>
    <n v="1"/>
    <n v="0.85"/>
  </r>
  <r>
    <s v="APT-01883"/>
    <d v="2025-08-19T00:00:00"/>
    <x v="9"/>
    <x v="0"/>
    <s v="Afternoon"/>
    <x v="1"/>
    <s v="Thrissur"/>
    <x v="5"/>
    <s v="PT-1442"/>
    <s v="Geriatric Rehab"/>
    <x v="0"/>
    <s v="Private Insurance"/>
    <s v="Online Search"/>
    <x v="0"/>
    <n v="60"/>
    <n v="60"/>
    <n v="68.2"/>
    <n v="1350"/>
    <n v="1350"/>
    <n v="0"/>
    <n v="0"/>
    <n v="1"/>
    <n v="0"/>
    <n v="0.85"/>
  </r>
  <r>
    <s v="APT-01884"/>
    <d v="2025-01-01T00:00:00"/>
    <x v="11"/>
    <x v="3"/>
    <s v="Midday"/>
    <x v="0"/>
    <s v="Palakkad"/>
    <x v="11"/>
    <s v="PT-1652"/>
    <s v="Chronic Pain"/>
    <x v="2"/>
    <s v="Self Pay"/>
    <s v="Orthopedic Doctor"/>
    <x v="0"/>
    <n v="60"/>
    <n v="60"/>
    <n v="78.3"/>
    <n v="1250"/>
    <n v="1250"/>
    <n v="0"/>
    <n v="0"/>
    <n v="1"/>
    <n v="0"/>
    <n v="0.85"/>
  </r>
  <r>
    <s v="APT-01885"/>
    <d v="2025-10-10T00:00:00"/>
    <x v="7"/>
    <x v="4"/>
    <s v="Evening"/>
    <x v="1"/>
    <s v="Thrissur"/>
    <x v="5"/>
    <s v="PT-1413"/>
    <s v="Sports Injury"/>
    <x v="3"/>
    <s v="Self Pay"/>
    <s v="Corporate Wellness"/>
    <x v="0"/>
    <n v="60"/>
    <n v="60"/>
    <n v="80.099999999999994"/>
    <n v="1350"/>
    <n v="1350"/>
    <n v="0"/>
    <n v="0"/>
    <n v="1"/>
    <n v="0"/>
    <n v="0.85"/>
  </r>
  <r>
    <s v="APT-01886"/>
    <d v="2025-03-06T00:00:00"/>
    <x v="3"/>
    <x v="2"/>
    <s v="Evening"/>
    <x v="1"/>
    <s v="Thrissur"/>
    <x v="5"/>
    <s v="PT-1666"/>
    <s v="New Patient"/>
    <x v="4"/>
    <s v="Government Scheme"/>
    <s v="Orthopedic Doctor"/>
    <x v="0"/>
    <n v="75"/>
    <n v="75"/>
    <n v="82.1"/>
    <n v="1700"/>
    <n v="1700"/>
    <n v="0"/>
    <n v="0"/>
    <n v="1"/>
    <n v="0"/>
    <n v="0.85"/>
  </r>
  <r>
    <s v="APT-01887"/>
    <d v="2025-05-06T00:00:00"/>
    <x v="10"/>
    <x v="0"/>
    <s v="Afternoon"/>
    <x v="1"/>
    <s v="Thrissur"/>
    <x v="2"/>
    <s v="PT-1096"/>
    <s v="Follow-up"/>
    <x v="5"/>
    <s v="Private Insurance"/>
    <s v="Corporate Wellness"/>
    <x v="0"/>
    <n v="60"/>
    <n v="60"/>
    <n v="66"/>
    <n v="1350"/>
    <n v="1350"/>
    <n v="0"/>
    <n v="0"/>
    <n v="1"/>
    <n v="0"/>
    <n v="0.85"/>
  </r>
  <r>
    <s v="APT-01888"/>
    <d v="2025-06-17T00:00:00"/>
    <x v="4"/>
    <x v="0"/>
    <s v="Evening"/>
    <x v="2"/>
    <s v="Ernakulam"/>
    <x v="4"/>
    <s v="PT-1264"/>
    <s v="New Patient"/>
    <x v="4"/>
    <s v="Self Pay"/>
    <s v="Online Search"/>
    <x v="0"/>
    <n v="30"/>
    <n v="30"/>
    <n v="32.799999999999997"/>
    <n v="900"/>
    <n v="900"/>
    <n v="0"/>
    <n v="0"/>
    <n v="1"/>
    <n v="0"/>
    <n v="0.85"/>
  </r>
  <r>
    <s v="APT-01889"/>
    <d v="2025-10-31T00:00:00"/>
    <x v="7"/>
    <x v="4"/>
    <s v="Afternoon"/>
    <x v="0"/>
    <s v="Palakkad"/>
    <x v="9"/>
    <s v="PT-1487"/>
    <s v="Follow-up"/>
    <x v="1"/>
    <s v="Self Pay"/>
    <s v="Corporate Wellness"/>
    <x v="0"/>
    <n v="60"/>
    <n v="60"/>
    <n v="79.599999999999994"/>
    <n v="1250"/>
    <n v="1250"/>
    <n v="0"/>
    <n v="0"/>
    <n v="1"/>
    <n v="0"/>
    <n v="0.85"/>
  </r>
  <r>
    <s v="APT-01890"/>
    <d v="2025-10-20T00:00:00"/>
    <x v="7"/>
    <x v="1"/>
    <s v="Afternoon"/>
    <x v="2"/>
    <s v="Ernakulam"/>
    <x v="12"/>
    <s v="PT-1080"/>
    <s v="Follow-up"/>
    <x v="5"/>
    <s v="Private Insurance"/>
    <s v="Orthopedic Doctor"/>
    <x v="0"/>
    <n v="60"/>
    <n v="60"/>
    <n v="73.400000000000006"/>
    <n v="1500"/>
    <n v="1500"/>
    <n v="0"/>
    <n v="0"/>
    <n v="1"/>
    <n v="0"/>
    <n v="0.85"/>
  </r>
  <r>
    <s v="APT-01891"/>
    <d v="2025-07-29T00:00:00"/>
    <x v="8"/>
    <x v="0"/>
    <s v="Midday"/>
    <x v="1"/>
    <s v="Thrissur"/>
    <x v="5"/>
    <s v="PT-1419"/>
    <s v="New Patient"/>
    <x v="5"/>
    <s v="Private Insurance"/>
    <s v="Orthopedic Doctor"/>
    <x v="0"/>
    <n v="60"/>
    <n v="60"/>
    <n v="70.400000000000006"/>
    <n v="1600"/>
    <n v="1600"/>
    <n v="0"/>
    <n v="0"/>
    <n v="1"/>
    <n v="0"/>
    <n v="0.85"/>
  </r>
  <r>
    <s v="APT-01892"/>
    <d v="2025-11-24T00:00:00"/>
    <x v="1"/>
    <x v="1"/>
    <s v="Midday"/>
    <x v="0"/>
    <s v="Palakkad"/>
    <x v="11"/>
    <s v="PT-1645"/>
    <s v="Sports Injury"/>
    <x v="1"/>
    <s v="Private Insurance"/>
    <s v="Corporate Wellness"/>
    <x v="0"/>
    <n v="30"/>
    <n v="30"/>
    <n v="34.799999999999997"/>
    <n v="600"/>
    <n v="600"/>
    <n v="0"/>
    <n v="0"/>
    <n v="1"/>
    <n v="0"/>
    <n v="0.85"/>
  </r>
  <r>
    <s v="APT-01893"/>
    <d v="2025-07-22T00:00:00"/>
    <x v="8"/>
    <x v="0"/>
    <s v="Midday"/>
    <x v="2"/>
    <s v="Ernakulam"/>
    <x v="12"/>
    <s v="PT-1350"/>
    <s v="Sports Injury"/>
    <x v="0"/>
    <s v="Private Insurance"/>
    <s v="Corporate Wellness"/>
    <x v="0"/>
    <n v="60"/>
    <n v="60"/>
    <n v="76.900000000000006"/>
    <n v="1500"/>
    <n v="1500"/>
    <n v="0"/>
    <n v="0"/>
    <n v="1"/>
    <n v="0"/>
    <n v="0.85"/>
  </r>
  <r>
    <s v="APT-01894"/>
    <d v="2025-07-16T00:00:00"/>
    <x v="8"/>
    <x v="3"/>
    <s v="Midday"/>
    <x v="2"/>
    <s v="Ernakulam"/>
    <x v="14"/>
    <s v="PT-1099"/>
    <s v="New Patient"/>
    <x v="2"/>
    <s v="Government Scheme"/>
    <s v="Self Referral"/>
    <x v="0"/>
    <n v="60"/>
    <n v="60"/>
    <n v="68.3"/>
    <n v="1550"/>
    <n v="1550"/>
    <n v="0"/>
    <n v="0"/>
    <n v="1"/>
    <n v="0"/>
    <n v="0.85"/>
  </r>
  <r>
    <s v="APT-01895"/>
    <d v="2025-05-31T00:00:00"/>
    <x v="10"/>
    <x v="5"/>
    <s v="Midday"/>
    <x v="0"/>
    <s v="Palakkad"/>
    <x v="0"/>
    <s v="PT-1154"/>
    <s v="New Patient"/>
    <x v="1"/>
    <s v="Government Scheme"/>
    <s v="Orthopedic Doctor"/>
    <x v="0"/>
    <n v="60"/>
    <n v="60"/>
    <n v="66.7"/>
    <n v="1300"/>
    <n v="1300"/>
    <n v="0"/>
    <n v="0"/>
    <n v="1"/>
    <n v="0"/>
    <n v="0.85"/>
  </r>
  <r>
    <s v="APT-01896"/>
    <d v="2025-08-23T00:00:00"/>
    <x v="9"/>
    <x v="5"/>
    <s v="Evening"/>
    <x v="1"/>
    <s v="Thrissur"/>
    <x v="10"/>
    <s v="PT-1639"/>
    <s v="New Patient"/>
    <x v="3"/>
    <s v="Self Pay"/>
    <s v="Neurologist"/>
    <x v="0"/>
    <n v="30"/>
    <n v="30"/>
    <n v="39.1"/>
    <n v="800"/>
    <n v="800"/>
    <n v="0"/>
    <n v="0"/>
    <n v="1"/>
    <n v="0"/>
    <n v="0.85"/>
  </r>
  <r>
    <s v="APT-01897"/>
    <d v="2025-06-28T00:00:00"/>
    <x v="4"/>
    <x v="5"/>
    <s v="Midday"/>
    <x v="1"/>
    <s v="Thrissur"/>
    <x v="1"/>
    <s v="PT-1569"/>
    <s v="Chronic Pain"/>
    <x v="5"/>
    <s v="Government Scheme"/>
    <s v="Online Search"/>
    <x v="0"/>
    <n v="45"/>
    <n v="45"/>
    <n v="56"/>
    <n v="850"/>
    <n v="850"/>
    <n v="0"/>
    <n v="0"/>
    <n v="1"/>
    <n v="0"/>
    <n v="0.85"/>
  </r>
  <r>
    <s v="APT-01898"/>
    <d v="2025-06-23T00:00:00"/>
    <x v="4"/>
    <x v="1"/>
    <s v="Afternoon"/>
    <x v="1"/>
    <s v="Thrissur"/>
    <x v="10"/>
    <s v="PT-1585"/>
    <s v="New Patient"/>
    <x v="2"/>
    <s v="Corporate Tie-up"/>
    <s v="Neurologist"/>
    <x v="0"/>
    <n v="60"/>
    <n v="60"/>
    <n v="80.2"/>
    <n v="1500"/>
    <n v="1500"/>
    <n v="0"/>
    <n v="0"/>
    <n v="1"/>
    <n v="0"/>
    <n v="0.85"/>
  </r>
  <r>
    <s v="APT-01899"/>
    <d v="2025-11-12T00:00:00"/>
    <x v="1"/>
    <x v="3"/>
    <s v="Afternoon"/>
    <x v="2"/>
    <s v="Ernakulam"/>
    <x v="12"/>
    <s v="PT-1433"/>
    <s v="Sports Injury"/>
    <x v="3"/>
    <s v="Self Pay"/>
    <s v="Hospital Discharge"/>
    <x v="0"/>
    <n v="60"/>
    <n v="60"/>
    <n v="69.400000000000006"/>
    <n v="1500"/>
    <n v="1500"/>
    <n v="0"/>
    <n v="0"/>
    <n v="1"/>
    <n v="0"/>
    <n v="0.85"/>
  </r>
  <r>
    <s v="APT-01900"/>
    <d v="2025-12-01T00:00:00"/>
    <x v="0"/>
    <x v="1"/>
    <s v="Midday"/>
    <x v="0"/>
    <s v="Palakkad"/>
    <x v="6"/>
    <s v="PT-1697"/>
    <s v="Follow-up"/>
    <x v="0"/>
    <s v="Self Pay"/>
    <s v="Hospital Discharge"/>
    <x v="0"/>
    <n v="60"/>
    <n v="60"/>
    <n v="78.2"/>
    <n v="1250"/>
    <n v="1250"/>
    <n v="0"/>
    <n v="0"/>
    <n v="1"/>
    <n v="0"/>
    <n v="0.85"/>
  </r>
  <r>
    <s v="APT-01901"/>
    <d v="2025-01-27T00:00:00"/>
    <x v="11"/>
    <x v="1"/>
    <s v="Midday"/>
    <x v="2"/>
    <s v="Ernakulam"/>
    <x v="4"/>
    <s v="PT-1037"/>
    <s v="Follow-up"/>
    <x v="2"/>
    <s v="Private Insurance"/>
    <s v="Orthopedic Doctor"/>
    <x v="0"/>
    <n v="75"/>
    <n v="75"/>
    <n v="101.3"/>
    <n v="1900"/>
    <n v="1900"/>
    <n v="0"/>
    <n v="0"/>
    <n v="1"/>
    <n v="0"/>
    <n v="0.85"/>
  </r>
  <r>
    <s v="APT-01902"/>
    <d v="2025-04-12T00:00:00"/>
    <x v="6"/>
    <x v="5"/>
    <s v="Afternoon"/>
    <x v="2"/>
    <s v="Ernakulam"/>
    <x v="4"/>
    <s v="PT-1151"/>
    <s v="Sports Injury"/>
    <x v="5"/>
    <s v="Self Pay"/>
    <s v="Self Referral"/>
    <x v="0"/>
    <n v="45"/>
    <n v="45"/>
    <n v="60.1"/>
    <n v="1100"/>
    <n v="1100"/>
    <n v="0"/>
    <n v="0"/>
    <n v="1"/>
    <n v="0"/>
    <n v="0.85"/>
  </r>
  <r>
    <s v="APT-01903"/>
    <d v="2025-04-18T00:00:00"/>
    <x v="6"/>
    <x v="4"/>
    <s v="Afternoon"/>
    <x v="1"/>
    <s v="Thrissur"/>
    <x v="7"/>
    <s v="PT-1417"/>
    <s v="Follow-up"/>
    <x v="0"/>
    <s v="Self Pay"/>
    <s v="Online Search"/>
    <x v="0"/>
    <n v="45"/>
    <n v="45"/>
    <n v="55.1"/>
    <n v="1000"/>
    <n v="1000"/>
    <n v="0"/>
    <n v="0"/>
    <n v="1"/>
    <n v="0"/>
    <n v="0.85"/>
  </r>
  <r>
    <s v="APT-01904"/>
    <d v="2025-02-21T00:00:00"/>
    <x v="5"/>
    <x v="4"/>
    <s v="Afternoon"/>
    <x v="0"/>
    <s v="Palakkad"/>
    <x v="11"/>
    <s v="PT-1239"/>
    <s v="Sports Injury"/>
    <x v="5"/>
    <s v="Self Pay"/>
    <s v="Neurologist"/>
    <x v="0"/>
    <n v="30"/>
    <n v="30"/>
    <n v="35"/>
    <n v="600"/>
    <n v="600"/>
    <n v="0"/>
    <n v="0"/>
    <n v="1"/>
    <n v="0"/>
    <n v="0.85"/>
  </r>
  <r>
    <s v="APT-01905"/>
    <d v="2025-06-07T00:00:00"/>
    <x v="4"/>
    <x v="5"/>
    <s v="Afternoon"/>
    <x v="2"/>
    <s v="Ernakulam"/>
    <x v="3"/>
    <s v="PT-1096"/>
    <s v="Follow-up"/>
    <x v="0"/>
    <s v="Private Insurance"/>
    <s v="Online Search"/>
    <x v="0"/>
    <n v="90"/>
    <n v="90"/>
    <n v="98"/>
    <n v="2250"/>
    <n v="2250"/>
    <n v="0"/>
    <n v="0"/>
    <n v="1"/>
    <n v="0"/>
    <n v="0.85"/>
  </r>
  <r>
    <s v="APT-01906"/>
    <d v="2025-06-25T00:00:00"/>
    <x v="4"/>
    <x v="3"/>
    <s v="Evening"/>
    <x v="2"/>
    <s v="Ernakulam"/>
    <x v="12"/>
    <s v="PT-1227"/>
    <s v="Follow-up"/>
    <x v="2"/>
    <s v="Government Scheme"/>
    <s v="Neurologist"/>
    <x v="0"/>
    <n v="60"/>
    <n v="60"/>
    <n v="75.8"/>
    <n v="1300"/>
    <n v="1300"/>
    <n v="0"/>
    <n v="0"/>
    <n v="1"/>
    <n v="0"/>
    <n v="0.85"/>
  </r>
  <r>
    <s v="APT-01907"/>
    <d v="2025-04-28T00:00:00"/>
    <x v="6"/>
    <x v="1"/>
    <s v="Afternoon"/>
    <x v="1"/>
    <s v="Thrissur"/>
    <x v="10"/>
    <s v="PT-1268"/>
    <s v="Sports Injury"/>
    <x v="4"/>
    <s v="Self Pay"/>
    <s v="Self Referral"/>
    <x v="0"/>
    <n v="45"/>
    <n v="45"/>
    <n v="58.9"/>
    <n v="1000"/>
    <n v="1000"/>
    <n v="0"/>
    <n v="0"/>
    <n v="1"/>
    <n v="0"/>
    <n v="0.85"/>
  </r>
  <r>
    <s v="APT-01908"/>
    <d v="2025-11-18T00:00:00"/>
    <x v="1"/>
    <x v="0"/>
    <s v="Midday"/>
    <x v="2"/>
    <s v="Ernakulam"/>
    <x v="8"/>
    <s v="PT-1623"/>
    <s v="New Patient"/>
    <x v="1"/>
    <s v="Private Insurance"/>
    <s v="Online Search"/>
    <x v="1"/>
    <n v="60"/>
    <n v="0"/>
    <n v="76.400000000000006"/>
    <n v="1800"/>
    <n v="0"/>
    <n v="1800"/>
    <n v="1"/>
    <n v="0"/>
    <n v="0"/>
    <n v="0.85"/>
  </r>
  <r>
    <s v="APT-01909"/>
    <d v="2025-04-03T00:00:00"/>
    <x v="6"/>
    <x v="2"/>
    <s v="Afternoon"/>
    <x v="1"/>
    <s v="Thrissur"/>
    <x v="2"/>
    <s v="PT-1195"/>
    <s v="Follow-up"/>
    <x v="5"/>
    <s v="Government Scheme"/>
    <s v="Hospital Discharge"/>
    <x v="0"/>
    <n v="60"/>
    <n v="60"/>
    <n v="77.7"/>
    <n v="1150"/>
    <n v="1150"/>
    <n v="0"/>
    <n v="0"/>
    <n v="1"/>
    <n v="0"/>
    <n v="0.85"/>
  </r>
  <r>
    <s v="APT-01910"/>
    <d v="2025-09-11T00:00:00"/>
    <x v="2"/>
    <x v="2"/>
    <s v="Afternoon"/>
    <x v="2"/>
    <s v="Ernakulam"/>
    <x v="8"/>
    <s v="PT-1126"/>
    <s v="Post-op Rehab"/>
    <x v="1"/>
    <s v="Private Insurance"/>
    <s v="Self Referral"/>
    <x v="2"/>
    <n v="60"/>
    <n v="0"/>
    <n v="66.8"/>
    <n v="1700"/>
    <n v="0"/>
    <n v="1700"/>
    <n v="0"/>
    <n v="0"/>
    <n v="1"/>
    <n v="0.85"/>
  </r>
  <r>
    <s v="APT-01911"/>
    <d v="2025-11-08T00:00:00"/>
    <x v="1"/>
    <x v="5"/>
    <s v="Evening"/>
    <x v="1"/>
    <s v="Thrissur"/>
    <x v="5"/>
    <s v="PT-1679"/>
    <s v="Geriatric Rehab"/>
    <x v="2"/>
    <s v="Private Insurance"/>
    <s v="Online Search"/>
    <x v="0"/>
    <n v="60"/>
    <n v="60"/>
    <n v="65.3"/>
    <n v="1350"/>
    <n v="1350"/>
    <n v="0"/>
    <n v="0"/>
    <n v="1"/>
    <n v="0"/>
    <n v="0.85"/>
  </r>
  <r>
    <s v="APT-01912"/>
    <d v="2025-11-07T00:00:00"/>
    <x v="1"/>
    <x v="4"/>
    <s v="Morning"/>
    <x v="2"/>
    <s v="Ernakulam"/>
    <x v="14"/>
    <s v="PT-1693"/>
    <s v="Post-op Rehab"/>
    <x v="2"/>
    <s v="Private Insurance"/>
    <s v="Corporate Wellness"/>
    <x v="0"/>
    <n v="45"/>
    <n v="45"/>
    <n v="50.3"/>
    <n v="1300"/>
    <n v="1300"/>
    <n v="0"/>
    <n v="0"/>
    <n v="1"/>
    <n v="0"/>
    <n v="0.85"/>
  </r>
  <r>
    <s v="APT-01913"/>
    <d v="2025-02-11T00:00:00"/>
    <x v="5"/>
    <x v="0"/>
    <s v="Afternoon"/>
    <x v="1"/>
    <s v="Thrissur"/>
    <x v="1"/>
    <s v="PT-1557"/>
    <s v="Follow-up"/>
    <x v="2"/>
    <s v="Private Insurance"/>
    <s v="Corporate Wellness"/>
    <x v="0"/>
    <n v="75"/>
    <n v="75"/>
    <n v="92.4"/>
    <n v="1700"/>
    <n v="1700"/>
    <n v="0"/>
    <n v="0"/>
    <n v="1"/>
    <n v="0"/>
    <n v="0.85"/>
  </r>
  <r>
    <s v="APT-01914"/>
    <d v="2025-04-23T00:00:00"/>
    <x v="6"/>
    <x v="3"/>
    <s v="Evening"/>
    <x v="0"/>
    <s v="Palakkad"/>
    <x v="9"/>
    <s v="PT-1444"/>
    <s v="Geriatric Rehab"/>
    <x v="1"/>
    <s v="Self Pay"/>
    <s v="Hospital Discharge"/>
    <x v="0"/>
    <n v="60"/>
    <n v="60"/>
    <n v="68.3"/>
    <n v="1250"/>
    <n v="1250"/>
    <n v="0"/>
    <n v="0"/>
    <n v="1"/>
    <n v="0"/>
    <n v="0.85"/>
  </r>
  <r>
    <s v="APT-01915"/>
    <d v="2025-07-30T00:00:00"/>
    <x v="8"/>
    <x v="3"/>
    <s v="Morning"/>
    <x v="0"/>
    <s v="Palakkad"/>
    <x v="9"/>
    <s v="PT-1303"/>
    <s v="Follow-up"/>
    <x v="5"/>
    <s v="Private Insurance"/>
    <s v="Hospital Discharge"/>
    <x v="0"/>
    <n v="45"/>
    <n v="45"/>
    <n v="58.6"/>
    <n v="950"/>
    <n v="950"/>
    <n v="0"/>
    <n v="0"/>
    <n v="1"/>
    <n v="0"/>
    <n v="0.85"/>
  </r>
  <r>
    <s v="APT-01916"/>
    <d v="2025-12-12T00:00:00"/>
    <x v="0"/>
    <x v="4"/>
    <s v="Afternoon"/>
    <x v="1"/>
    <s v="Thrissur"/>
    <x v="2"/>
    <s v="PT-1177"/>
    <s v="Follow-up"/>
    <x v="0"/>
    <s v="Private Insurance"/>
    <s v="Orthopedic Doctor"/>
    <x v="0"/>
    <n v="45"/>
    <n v="45"/>
    <n v="52"/>
    <n v="1000"/>
    <n v="1000"/>
    <n v="0"/>
    <n v="0"/>
    <n v="1"/>
    <n v="0"/>
    <n v="0.85"/>
  </r>
  <r>
    <s v="APT-01917"/>
    <d v="2025-02-18T00:00:00"/>
    <x v="5"/>
    <x v="0"/>
    <s v="Evening"/>
    <x v="1"/>
    <s v="Thrissur"/>
    <x v="7"/>
    <s v="PT-1642"/>
    <s v="New Patient"/>
    <x v="1"/>
    <s v="Self Pay"/>
    <s v="Online Search"/>
    <x v="1"/>
    <n v="60"/>
    <n v="0"/>
    <n v="68"/>
    <n v="1600"/>
    <n v="0"/>
    <n v="1600"/>
    <n v="1"/>
    <n v="0"/>
    <n v="0"/>
    <n v="0.85"/>
  </r>
  <r>
    <s v="APT-01918"/>
    <d v="2025-03-26T00:00:00"/>
    <x v="3"/>
    <x v="3"/>
    <s v="Evening"/>
    <x v="0"/>
    <s v="Palakkad"/>
    <x v="13"/>
    <s v="PT-1658"/>
    <s v="Geriatric Rehab"/>
    <x v="1"/>
    <s v="Private Insurance"/>
    <s v="Neurologist"/>
    <x v="0"/>
    <n v="60"/>
    <n v="60"/>
    <n v="67.400000000000006"/>
    <n v="1250"/>
    <n v="1250"/>
    <n v="0"/>
    <n v="0"/>
    <n v="1"/>
    <n v="0"/>
    <n v="0.85"/>
  </r>
  <r>
    <s v="APT-01919"/>
    <d v="2025-12-06T00:00:00"/>
    <x v="0"/>
    <x v="5"/>
    <s v="Evening"/>
    <x v="0"/>
    <s v="Palakkad"/>
    <x v="9"/>
    <s v="PT-1347"/>
    <s v="Sports Injury"/>
    <x v="4"/>
    <s v="Private Insurance"/>
    <s v="Online Search"/>
    <x v="0"/>
    <n v="45"/>
    <n v="45"/>
    <n v="53.2"/>
    <n v="950"/>
    <n v="950"/>
    <n v="0"/>
    <n v="0"/>
    <n v="1"/>
    <n v="0"/>
    <n v="0.85"/>
  </r>
  <r>
    <s v="APT-01920"/>
    <d v="2025-10-02T00:00:00"/>
    <x v="7"/>
    <x v="2"/>
    <s v="Morning"/>
    <x v="1"/>
    <s v="Thrissur"/>
    <x v="2"/>
    <s v="PT-1164"/>
    <s v="Follow-up"/>
    <x v="0"/>
    <s v="Self Pay"/>
    <s v="Corporate Wellness"/>
    <x v="0"/>
    <n v="60"/>
    <n v="60"/>
    <n v="71.400000000000006"/>
    <n v="1350"/>
    <n v="1350"/>
    <n v="0"/>
    <n v="0"/>
    <n v="1"/>
    <n v="0"/>
    <n v="0.85"/>
  </r>
  <r>
    <s v="APT-01921"/>
    <d v="2025-06-03T00:00:00"/>
    <x v="4"/>
    <x v="0"/>
    <s v="Evening"/>
    <x v="2"/>
    <s v="Ernakulam"/>
    <x v="4"/>
    <s v="PT-1495"/>
    <s v="Post-op Rehab"/>
    <x v="2"/>
    <s v="Corporate Tie-up"/>
    <s v="Online Search"/>
    <x v="0"/>
    <n v="75"/>
    <n v="75"/>
    <n v="88"/>
    <n v="2000"/>
    <n v="2000"/>
    <n v="0"/>
    <n v="0"/>
    <n v="1"/>
    <n v="0"/>
    <n v="0.85"/>
  </r>
  <r>
    <s v="APT-01922"/>
    <d v="2025-05-13T00:00:00"/>
    <x v="10"/>
    <x v="0"/>
    <s v="Afternoon"/>
    <x v="2"/>
    <s v="Ernakulam"/>
    <x v="14"/>
    <s v="PT-1431"/>
    <s v="Follow-up"/>
    <x v="4"/>
    <s v="Self Pay"/>
    <s v="Online Search"/>
    <x v="0"/>
    <n v="60"/>
    <n v="60"/>
    <n v="76.900000000000006"/>
    <n v="1500"/>
    <n v="1500"/>
    <n v="0"/>
    <n v="0"/>
    <n v="1"/>
    <n v="0"/>
    <n v="0.85"/>
  </r>
  <r>
    <s v="APT-01923"/>
    <d v="2025-11-07T00:00:00"/>
    <x v="1"/>
    <x v="4"/>
    <s v="Evening"/>
    <x v="0"/>
    <s v="Palakkad"/>
    <x v="11"/>
    <s v="PT-1672"/>
    <s v="New Patient"/>
    <x v="3"/>
    <s v="Self Pay"/>
    <s v="Hospital Discharge"/>
    <x v="2"/>
    <n v="75"/>
    <n v="0"/>
    <n v="94.1"/>
    <n v="1900"/>
    <n v="0"/>
    <n v="1900"/>
    <n v="0"/>
    <n v="0"/>
    <n v="1"/>
    <n v="0.85"/>
  </r>
  <r>
    <s v="APT-01924"/>
    <d v="2025-04-07T00:00:00"/>
    <x v="6"/>
    <x v="1"/>
    <s v="Morning"/>
    <x v="0"/>
    <s v="Palakkad"/>
    <x v="6"/>
    <s v="PT-1682"/>
    <s v="Chronic Pain"/>
    <x v="3"/>
    <s v="Private Insurance"/>
    <s v="Hospital Discharge"/>
    <x v="0"/>
    <n v="45"/>
    <n v="45"/>
    <n v="54.3"/>
    <n v="950"/>
    <n v="950"/>
    <n v="0"/>
    <n v="0"/>
    <n v="1"/>
    <n v="0"/>
    <n v="0.85"/>
  </r>
  <r>
    <s v="APT-01925"/>
    <d v="2025-09-03T00:00:00"/>
    <x v="2"/>
    <x v="3"/>
    <s v="Midday"/>
    <x v="1"/>
    <s v="Thrissur"/>
    <x v="7"/>
    <s v="PT-1321"/>
    <s v="Post-op Rehab"/>
    <x v="0"/>
    <s v="Self Pay"/>
    <s v="Neurologist"/>
    <x v="3"/>
    <n v="45"/>
    <n v="0"/>
    <n v="58.5"/>
    <n v="1150"/>
    <n v="0"/>
    <n v="0"/>
    <n v="0"/>
    <n v="0"/>
    <n v="0"/>
    <n v="0.85"/>
  </r>
  <r>
    <s v="APT-01926"/>
    <d v="2025-10-30T00:00:00"/>
    <x v="7"/>
    <x v="2"/>
    <s v="Evening"/>
    <x v="0"/>
    <s v="Palakkad"/>
    <x v="0"/>
    <s v="PT-1234"/>
    <s v="Geriatric Rehab"/>
    <x v="1"/>
    <s v="Private Insurance"/>
    <s v="Online Search"/>
    <x v="0"/>
    <n v="45"/>
    <n v="45"/>
    <n v="50.4"/>
    <n v="950"/>
    <n v="950"/>
    <n v="0"/>
    <n v="0"/>
    <n v="1"/>
    <n v="0"/>
    <n v="0.85"/>
  </r>
  <r>
    <s v="APT-01927"/>
    <d v="2025-02-18T00:00:00"/>
    <x v="5"/>
    <x v="0"/>
    <s v="Midday"/>
    <x v="2"/>
    <s v="Ernakulam"/>
    <x v="4"/>
    <s v="PT-1298"/>
    <s v="Chronic Pain"/>
    <x v="5"/>
    <s v="Private Insurance"/>
    <s v="Online Search"/>
    <x v="0"/>
    <n v="75"/>
    <n v="75"/>
    <n v="82.1"/>
    <n v="1900"/>
    <n v="1900"/>
    <n v="0"/>
    <n v="0"/>
    <n v="1"/>
    <n v="0"/>
    <n v="0.85"/>
  </r>
  <r>
    <s v="APT-01928"/>
    <d v="2025-01-07T00:00:00"/>
    <x v="11"/>
    <x v="0"/>
    <s v="Evening"/>
    <x v="2"/>
    <s v="Ernakulam"/>
    <x v="14"/>
    <s v="PT-1683"/>
    <s v="Chronic Pain"/>
    <x v="5"/>
    <s v="Self Pay"/>
    <s v="Self Referral"/>
    <x v="1"/>
    <n v="45"/>
    <n v="0"/>
    <n v="57.2"/>
    <n v="1100"/>
    <n v="0"/>
    <n v="1100"/>
    <n v="1"/>
    <n v="0"/>
    <n v="0"/>
    <n v="0.85"/>
  </r>
  <r>
    <s v="APT-01929"/>
    <d v="2025-08-09T00:00:00"/>
    <x v="9"/>
    <x v="5"/>
    <s v="Midday"/>
    <x v="2"/>
    <s v="Ernakulam"/>
    <x v="4"/>
    <s v="PT-1477"/>
    <s v="Sports Injury"/>
    <x v="1"/>
    <s v="Private Insurance"/>
    <s v="Self Referral"/>
    <x v="1"/>
    <n v="30"/>
    <n v="0"/>
    <n v="32.6"/>
    <n v="750"/>
    <n v="0"/>
    <n v="750"/>
    <n v="1"/>
    <n v="0"/>
    <n v="0"/>
    <n v="0.85"/>
  </r>
  <r>
    <s v="APT-01930"/>
    <d v="2025-05-01T00:00:00"/>
    <x v="10"/>
    <x v="2"/>
    <s v="Evening"/>
    <x v="2"/>
    <s v="Ernakulam"/>
    <x v="4"/>
    <s v="PT-1216"/>
    <s v="Chronic Pain"/>
    <x v="3"/>
    <s v="Private Insurance"/>
    <s v="Online Search"/>
    <x v="0"/>
    <n v="60"/>
    <n v="60"/>
    <n v="77.7"/>
    <n v="1500"/>
    <n v="1500"/>
    <n v="0"/>
    <n v="0"/>
    <n v="1"/>
    <n v="0"/>
    <n v="0.85"/>
  </r>
  <r>
    <s v="APT-01931"/>
    <d v="2025-05-05T00:00:00"/>
    <x v="10"/>
    <x v="1"/>
    <s v="Midday"/>
    <x v="2"/>
    <s v="Ernakulam"/>
    <x v="14"/>
    <s v="PT-1546"/>
    <s v="Follow-up"/>
    <x v="4"/>
    <s v="Private Insurance"/>
    <s v="Orthopedic Doctor"/>
    <x v="0"/>
    <n v="45"/>
    <n v="45"/>
    <n v="56"/>
    <n v="1100"/>
    <n v="1100"/>
    <n v="0"/>
    <n v="0"/>
    <n v="1"/>
    <n v="0"/>
    <n v="0.85"/>
  </r>
  <r>
    <s v="APT-01932"/>
    <d v="2025-10-17T00:00:00"/>
    <x v="7"/>
    <x v="4"/>
    <s v="Morning"/>
    <x v="2"/>
    <s v="Ernakulam"/>
    <x v="14"/>
    <s v="PT-1112"/>
    <s v="Follow-up"/>
    <x v="5"/>
    <s v="Private Insurance"/>
    <s v="Neurologist"/>
    <x v="0"/>
    <n v="45"/>
    <n v="45"/>
    <n v="57.2"/>
    <n v="1100"/>
    <n v="1100"/>
    <n v="0"/>
    <n v="0"/>
    <n v="1"/>
    <n v="0"/>
    <n v="0.85"/>
  </r>
  <r>
    <s v="APT-01933"/>
    <d v="2025-02-03T00:00:00"/>
    <x v="5"/>
    <x v="1"/>
    <s v="Evening"/>
    <x v="1"/>
    <s v="Thrissur"/>
    <x v="10"/>
    <s v="PT-1144"/>
    <s v="Post-op Rehab"/>
    <x v="4"/>
    <s v="Corporate Tie-up"/>
    <s v="Orthopedic Doctor"/>
    <x v="0"/>
    <n v="45"/>
    <n v="45"/>
    <n v="53"/>
    <n v="1050"/>
    <n v="1050"/>
    <n v="0"/>
    <n v="0"/>
    <n v="1"/>
    <n v="0"/>
    <n v="0.85"/>
  </r>
  <r>
    <s v="APT-01934"/>
    <d v="2025-01-04T00:00:00"/>
    <x v="11"/>
    <x v="5"/>
    <s v="Midday"/>
    <x v="0"/>
    <s v="Palakkad"/>
    <x v="0"/>
    <s v="PT-1525"/>
    <s v="Chronic Pain"/>
    <x v="5"/>
    <s v="Self Pay"/>
    <s v="Neurologist"/>
    <x v="0"/>
    <n v="60"/>
    <n v="60"/>
    <n v="75.400000000000006"/>
    <n v="1250"/>
    <n v="1250"/>
    <n v="0"/>
    <n v="0"/>
    <n v="1"/>
    <n v="0"/>
    <n v="0.85"/>
  </r>
  <r>
    <s v="APT-01935"/>
    <d v="2025-11-27T00:00:00"/>
    <x v="1"/>
    <x v="2"/>
    <s v="Midday"/>
    <x v="1"/>
    <s v="Thrissur"/>
    <x v="5"/>
    <s v="PT-1106"/>
    <s v="Follow-up"/>
    <x v="1"/>
    <s v="Private Insurance"/>
    <s v="Online Search"/>
    <x v="0"/>
    <n v="45"/>
    <n v="45"/>
    <n v="56.5"/>
    <n v="1000"/>
    <n v="1000"/>
    <n v="0"/>
    <n v="0"/>
    <n v="1"/>
    <n v="0"/>
    <n v="0.85"/>
  </r>
  <r>
    <s v="APT-01936"/>
    <d v="2025-07-11T00:00:00"/>
    <x v="8"/>
    <x v="4"/>
    <s v="Morning"/>
    <x v="2"/>
    <s v="Ernakulam"/>
    <x v="12"/>
    <s v="PT-1662"/>
    <s v="Post-op Rehab"/>
    <x v="3"/>
    <s v="Corporate Tie-up"/>
    <s v="Hospital Discharge"/>
    <x v="0"/>
    <n v="30"/>
    <n v="30"/>
    <n v="38.299999999999997"/>
    <n v="800"/>
    <n v="800"/>
    <n v="0"/>
    <n v="0"/>
    <n v="1"/>
    <n v="0"/>
    <n v="0.85"/>
  </r>
  <r>
    <s v="APT-01937"/>
    <d v="2025-05-07T00:00:00"/>
    <x v="10"/>
    <x v="3"/>
    <s v="Evening"/>
    <x v="2"/>
    <s v="Ernakulam"/>
    <x v="8"/>
    <s v="PT-1233"/>
    <s v="Geriatric Rehab"/>
    <x v="2"/>
    <s v="Corporate Tie-up"/>
    <s v="Orthopedic Doctor"/>
    <x v="0"/>
    <n v="45"/>
    <n v="45"/>
    <n v="57.6"/>
    <n v="1050"/>
    <n v="1050"/>
    <n v="0"/>
    <n v="0"/>
    <n v="1"/>
    <n v="0"/>
    <n v="0.85"/>
  </r>
  <r>
    <s v="APT-01938"/>
    <d v="2025-01-15T00:00:00"/>
    <x v="11"/>
    <x v="3"/>
    <s v="Evening"/>
    <x v="2"/>
    <s v="Ernakulam"/>
    <x v="14"/>
    <s v="PT-1406"/>
    <s v="Sports Injury"/>
    <x v="5"/>
    <s v="Private Insurance"/>
    <s v="Online Search"/>
    <x v="1"/>
    <n v="45"/>
    <n v="0"/>
    <n v="57.2"/>
    <n v="1100"/>
    <n v="0"/>
    <n v="1100"/>
    <n v="1"/>
    <n v="0"/>
    <n v="0"/>
    <n v="0.85"/>
  </r>
  <r>
    <s v="APT-01939"/>
    <d v="2025-12-30T00:00:00"/>
    <x v="0"/>
    <x v="0"/>
    <s v="Evening"/>
    <x v="1"/>
    <s v="Thrissur"/>
    <x v="2"/>
    <s v="PT-1591"/>
    <s v="Follow-up"/>
    <x v="5"/>
    <s v="Self Pay"/>
    <s v="Corporate Wellness"/>
    <x v="1"/>
    <n v="45"/>
    <n v="0"/>
    <n v="53.7"/>
    <n v="1000"/>
    <n v="0"/>
    <n v="1000"/>
    <n v="1"/>
    <n v="0"/>
    <n v="0"/>
    <n v="0.85"/>
  </r>
  <r>
    <s v="APT-01940"/>
    <d v="2025-02-15T00:00:00"/>
    <x v="5"/>
    <x v="5"/>
    <s v="Midday"/>
    <x v="1"/>
    <s v="Thrissur"/>
    <x v="1"/>
    <s v="PT-1382"/>
    <s v="Post-op Rehab"/>
    <x v="4"/>
    <s v="Private Insurance"/>
    <s v="Orthopedic Doctor"/>
    <x v="0"/>
    <n v="75"/>
    <n v="75"/>
    <n v="84"/>
    <n v="1950"/>
    <n v="1950"/>
    <n v="0"/>
    <n v="0"/>
    <n v="1"/>
    <n v="0"/>
    <n v="0.85"/>
  </r>
  <r>
    <s v="APT-01941"/>
    <d v="2025-04-04T00:00:00"/>
    <x v="6"/>
    <x v="4"/>
    <s v="Morning"/>
    <x v="1"/>
    <s v="Thrissur"/>
    <x v="5"/>
    <s v="PT-1011"/>
    <s v="Post-op Rehab"/>
    <x v="4"/>
    <s v="Self Pay"/>
    <s v="Self Referral"/>
    <x v="0"/>
    <n v="60"/>
    <n v="60"/>
    <n v="71.8"/>
    <n v="1550"/>
    <n v="1550"/>
    <n v="0"/>
    <n v="0"/>
    <n v="1"/>
    <n v="0"/>
    <n v="0.85"/>
  </r>
  <r>
    <s v="APT-01942"/>
    <d v="2025-09-01T00:00:00"/>
    <x v="2"/>
    <x v="1"/>
    <s v="Afternoon"/>
    <x v="0"/>
    <s v="Palakkad"/>
    <x v="0"/>
    <s v="PT-1331"/>
    <s v="Post-op Rehab"/>
    <x v="3"/>
    <s v="Corporate Tie-up"/>
    <s v="Neurologist"/>
    <x v="0"/>
    <n v="75"/>
    <n v="75"/>
    <n v="96.3"/>
    <n v="1650"/>
    <n v="1650"/>
    <n v="0"/>
    <n v="0"/>
    <n v="1"/>
    <n v="0"/>
    <n v="0.85"/>
  </r>
  <r>
    <s v="APT-01943"/>
    <d v="2025-08-19T00:00:00"/>
    <x v="9"/>
    <x v="0"/>
    <s v="Evening"/>
    <x v="1"/>
    <s v="Thrissur"/>
    <x v="10"/>
    <s v="PT-1653"/>
    <s v="New Patient"/>
    <x v="2"/>
    <s v="Private Insurance"/>
    <s v="Online Search"/>
    <x v="0"/>
    <n v="30"/>
    <n v="30"/>
    <n v="37.9"/>
    <n v="800"/>
    <n v="800"/>
    <n v="0"/>
    <n v="0"/>
    <n v="1"/>
    <n v="0"/>
    <n v="0.85"/>
  </r>
  <r>
    <s v="APT-01944"/>
    <d v="2025-01-15T00:00:00"/>
    <x v="11"/>
    <x v="3"/>
    <s v="Midday"/>
    <x v="0"/>
    <s v="Palakkad"/>
    <x v="6"/>
    <s v="PT-1106"/>
    <s v="Follow-up"/>
    <x v="1"/>
    <s v="Self Pay"/>
    <s v="Corporate Wellness"/>
    <x v="0"/>
    <n v="45"/>
    <n v="45"/>
    <n v="59.2"/>
    <n v="950"/>
    <n v="950"/>
    <n v="0"/>
    <n v="0"/>
    <n v="1"/>
    <n v="0"/>
    <n v="0.85"/>
  </r>
  <r>
    <s v="APT-01945"/>
    <d v="2025-09-17T00:00:00"/>
    <x v="2"/>
    <x v="3"/>
    <s v="Evening"/>
    <x v="1"/>
    <s v="Thrissur"/>
    <x v="2"/>
    <s v="PT-1072"/>
    <s v="Chronic Pain"/>
    <x v="4"/>
    <s v="Private Insurance"/>
    <s v="Hospital Discharge"/>
    <x v="0"/>
    <n v="60"/>
    <n v="60"/>
    <n v="77.900000000000006"/>
    <n v="1350"/>
    <n v="1350"/>
    <n v="0"/>
    <n v="0"/>
    <n v="1"/>
    <n v="0"/>
    <n v="0.85"/>
  </r>
  <r>
    <s v="APT-01946"/>
    <d v="2025-07-29T00:00:00"/>
    <x v="8"/>
    <x v="0"/>
    <s v="Midday"/>
    <x v="1"/>
    <s v="Thrissur"/>
    <x v="7"/>
    <s v="PT-1591"/>
    <s v="Follow-up"/>
    <x v="4"/>
    <s v="Government Scheme"/>
    <s v="Online Search"/>
    <x v="0"/>
    <n v="45"/>
    <n v="45"/>
    <n v="60.3"/>
    <n v="850"/>
    <n v="850"/>
    <n v="0"/>
    <n v="0"/>
    <n v="1"/>
    <n v="0"/>
    <n v="0.85"/>
  </r>
  <r>
    <s v="APT-01947"/>
    <d v="2025-06-10T00:00:00"/>
    <x v="4"/>
    <x v="0"/>
    <s v="Afternoon"/>
    <x v="1"/>
    <s v="Thrissur"/>
    <x v="5"/>
    <s v="PT-1243"/>
    <s v="Follow-up"/>
    <x v="3"/>
    <s v="Corporate Tie-up"/>
    <s v="Self Referral"/>
    <x v="2"/>
    <n v="90"/>
    <n v="0"/>
    <n v="100.8"/>
    <n v="1850"/>
    <n v="0"/>
    <n v="1850"/>
    <n v="0"/>
    <n v="0"/>
    <n v="1"/>
    <n v="0.85"/>
  </r>
  <r>
    <s v="APT-01948"/>
    <d v="2025-03-12T00:00:00"/>
    <x v="3"/>
    <x v="3"/>
    <s v="Evening"/>
    <x v="2"/>
    <s v="Ernakulam"/>
    <x v="4"/>
    <s v="PT-1258"/>
    <s v="Chronic Pain"/>
    <x v="0"/>
    <s v="Self Pay"/>
    <s v="Online Search"/>
    <x v="0"/>
    <n v="60"/>
    <n v="60"/>
    <n v="70.7"/>
    <n v="1500"/>
    <n v="1500"/>
    <n v="0"/>
    <n v="0"/>
    <n v="1"/>
    <n v="0"/>
    <n v="0.85"/>
  </r>
  <r>
    <s v="APT-01949"/>
    <d v="2025-12-26T00:00:00"/>
    <x v="0"/>
    <x v="4"/>
    <s v="Afternoon"/>
    <x v="2"/>
    <s v="Ernakulam"/>
    <x v="12"/>
    <s v="PT-1583"/>
    <s v="New Patient"/>
    <x v="3"/>
    <s v="Private Insurance"/>
    <s v="Self Referral"/>
    <x v="0"/>
    <n v="60"/>
    <n v="60"/>
    <n v="65.3"/>
    <n v="1800"/>
    <n v="1800"/>
    <n v="0"/>
    <n v="0"/>
    <n v="1"/>
    <n v="0"/>
    <n v="0.85"/>
  </r>
  <r>
    <s v="APT-01950"/>
    <d v="2025-11-11T00:00:00"/>
    <x v="1"/>
    <x v="0"/>
    <s v="Afternoon"/>
    <x v="0"/>
    <s v="Palakkad"/>
    <x v="11"/>
    <s v="PT-1187"/>
    <s v="Post-op Rehab"/>
    <x v="5"/>
    <s v="Self Pay"/>
    <s v="Hospital Discharge"/>
    <x v="1"/>
    <n v="45"/>
    <n v="0"/>
    <n v="54.5"/>
    <n v="1100"/>
    <n v="0"/>
    <n v="1100"/>
    <n v="1"/>
    <n v="0"/>
    <n v="0"/>
    <n v="0.85"/>
  </r>
  <r>
    <s v="APT-01951"/>
    <d v="2025-02-28T00:00:00"/>
    <x v="5"/>
    <x v="4"/>
    <s v="Evening"/>
    <x v="0"/>
    <s v="Palakkad"/>
    <x v="9"/>
    <s v="PT-1607"/>
    <s v="Chronic Pain"/>
    <x v="0"/>
    <s v="Self Pay"/>
    <s v="Hospital Discharge"/>
    <x v="0"/>
    <n v="45"/>
    <n v="45"/>
    <n v="59.8"/>
    <n v="950"/>
    <n v="950"/>
    <n v="0"/>
    <n v="0"/>
    <n v="1"/>
    <n v="0"/>
    <n v="0.85"/>
  </r>
  <r>
    <s v="APT-01952"/>
    <d v="2025-10-06T00:00:00"/>
    <x v="7"/>
    <x v="1"/>
    <s v="Evening"/>
    <x v="1"/>
    <s v="Thrissur"/>
    <x v="1"/>
    <s v="PT-1326"/>
    <s v="New Patient"/>
    <x v="3"/>
    <s v="Private Insurance"/>
    <s v="Neurologist"/>
    <x v="0"/>
    <n v="75"/>
    <n v="75"/>
    <n v="92.9"/>
    <n v="2000"/>
    <n v="2000"/>
    <n v="0"/>
    <n v="0"/>
    <n v="1"/>
    <n v="0"/>
    <n v="0.85"/>
  </r>
  <r>
    <s v="APT-01953"/>
    <d v="2025-10-26T00:00:00"/>
    <x v="7"/>
    <x v="6"/>
    <s v="Afternoon"/>
    <x v="2"/>
    <s v="Ernakulam"/>
    <x v="3"/>
    <s v="PT-1132"/>
    <s v="Post-op Rehab"/>
    <x v="3"/>
    <s v="Government Scheme"/>
    <s v="Online Search"/>
    <x v="0"/>
    <n v="75"/>
    <n v="75"/>
    <n v="81.900000000000006"/>
    <n v="1850"/>
    <n v="1850"/>
    <n v="0"/>
    <n v="0"/>
    <n v="1"/>
    <n v="0"/>
    <n v="0.85"/>
  </r>
  <r>
    <s v="APT-01954"/>
    <d v="2025-05-30T00:00:00"/>
    <x v="10"/>
    <x v="4"/>
    <s v="Afternoon"/>
    <x v="0"/>
    <s v="Palakkad"/>
    <x v="13"/>
    <s v="PT-1141"/>
    <s v="New Patient"/>
    <x v="1"/>
    <s v="Government Scheme"/>
    <s v="Neurologist"/>
    <x v="0"/>
    <n v="60"/>
    <n v="60"/>
    <n v="79.3"/>
    <n v="1300"/>
    <n v="1300"/>
    <n v="0"/>
    <n v="0"/>
    <n v="1"/>
    <n v="0"/>
    <n v="0.85"/>
  </r>
  <r>
    <s v="APT-01955"/>
    <d v="2025-07-03T00:00:00"/>
    <x v="8"/>
    <x v="2"/>
    <s v="Afternoon"/>
    <x v="0"/>
    <s v="Palakkad"/>
    <x v="6"/>
    <s v="PT-1445"/>
    <s v="Geriatric Rehab"/>
    <x v="2"/>
    <s v="Private Insurance"/>
    <s v="Orthopedic Doctor"/>
    <x v="0"/>
    <n v="45"/>
    <n v="45"/>
    <n v="55.7"/>
    <n v="950"/>
    <n v="950"/>
    <n v="0"/>
    <n v="0"/>
    <n v="1"/>
    <n v="0"/>
    <n v="0.85"/>
  </r>
  <r>
    <s v="APT-01956"/>
    <d v="2025-06-25T00:00:00"/>
    <x v="4"/>
    <x v="3"/>
    <s v="Midday"/>
    <x v="1"/>
    <s v="Thrissur"/>
    <x v="1"/>
    <s v="PT-1636"/>
    <s v="Post-op Rehab"/>
    <x v="2"/>
    <s v="Self Pay"/>
    <s v="Self Referral"/>
    <x v="1"/>
    <n v="60"/>
    <n v="0"/>
    <n v="67.2"/>
    <n v="1550"/>
    <n v="0"/>
    <n v="1550"/>
    <n v="1"/>
    <n v="0"/>
    <n v="0"/>
    <n v="0.85"/>
  </r>
  <r>
    <s v="APT-01957"/>
    <d v="2025-03-29T00:00:00"/>
    <x v="3"/>
    <x v="5"/>
    <s v="Afternoon"/>
    <x v="1"/>
    <s v="Thrissur"/>
    <x v="7"/>
    <s v="PT-1117"/>
    <s v="Chronic Pain"/>
    <x v="2"/>
    <s v="Private Insurance"/>
    <s v="Corporate Wellness"/>
    <x v="3"/>
    <n v="60"/>
    <n v="0"/>
    <n v="80.7"/>
    <n v="1350"/>
    <n v="0"/>
    <n v="0"/>
    <n v="0"/>
    <n v="0"/>
    <n v="0"/>
    <n v="0.85"/>
  </r>
  <r>
    <s v="APT-01958"/>
    <d v="2025-05-13T00:00:00"/>
    <x v="10"/>
    <x v="0"/>
    <s v="Evening"/>
    <x v="2"/>
    <s v="Ernakulam"/>
    <x v="4"/>
    <s v="PT-1338"/>
    <s v="Post-op Rehab"/>
    <x v="2"/>
    <s v="Private Insurance"/>
    <s v="Hospital Discharge"/>
    <x v="0"/>
    <n v="45"/>
    <n v="45"/>
    <n v="57.9"/>
    <n v="1300"/>
    <n v="1300"/>
    <n v="0"/>
    <n v="0"/>
    <n v="1"/>
    <n v="0"/>
    <n v="0.85"/>
  </r>
  <r>
    <s v="APT-01959"/>
    <d v="2025-06-26T00:00:00"/>
    <x v="4"/>
    <x v="2"/>
    <s v="Midday"/>
    <x v="2"/>
    <s v="Ernakulam"/>
    <x v="14"/>
    <s v="PT-1461"/>
    <s v="Post-op Rehab"/>
    <x v="5"/>
    <s v="Private Insurance"/>
    <s v="Neurologist"/>
    <x v="0"/>
    <n v="60"/>
    <n v="60"/>
    <n v="74"/>
    <n v="1700"/>
    <n v="1700"/>
    <n v="0"/>
    <n v="0"/>
    <n v="1"/>
    <n v="0"/>
    <n v="0.85"/>
  </r>
  <r>
    <s v="APT-01960"/>
    <d v="2025-06-09T00:00:00"/>
    <x v="4"/>
    <x v="1"/>
    <s v="Morning"/>
    <x v="0"/>
    <s v="Palakkad"/>
    <x v="13"/>
    <s v="PT-1245"/>
    <s v="Chronic Pain"/>
    <x v="5"/>
    <s v="Self Pay"/>
    <s v="Neurologist"/>
    <x v="1"/>
    <n v="75"/>
    <n v="0"/>
    <n v="83.8"/>
    <n v="1550"/>
    <n v="0"/>
    <n v="1550"/>
    <n v="1"/>
    <n v="0"/>
    <n v="0"/>
    <n v="0.85"/>
  </r>
  <r>
    <s v="APT-01961"/>
    <d v="2025-11-28T00:00:00"/>
    <x v="1"/>
    <x v="4"/>
    <s v="Afternoon"/>
    <x v="0"/>
    <s v="Palakkad"/>
    <x v="0"/>
    <s v="PT-1346"/>
    <s v="Chronic Pain"/>
    <x v="5"/>
    <s v="Self Pay"/>
    <s v="Corporate Wellness"/>
    <x v="2"/>
    <n v="90"/>
    <n v="0"/>
    <n v="109.4"/>
    <n v="1900"/>
    <n v="0"/>
    <n v="1900"/>
    <n v="0"/>
    <n v="0"/>
    <n v="1"/>
    <n v="0.85"/>
  </r>
  <r>
    <s v="APT-01962"/>
    <d v="2025-09-20T00:00:00"/>
    <x v="2"/>
    <x v="5"/>
    <s v="Midday"/>
    <x v="1"/>
    <s v="Thrissur"/>
    <x v="5"/>
    <s v="PT-1515"/>
    <s v="Sports Injury"/>
    <x v="2"/>
    <s v="Self Pay"/>
    <s v="Corporate Wellness"/>
    <x v="0"/>
    <n v="90"/>
    <n v="90"/>
    <n v="99.4"/>
    <n v="2000"/>
    <n v="2000"/>
    <n v="0"/>
    <n v="0"/>
    <n v="1"/>
    <n v="0"/>
    <n v="0.85"/>
  </r>
  <r>
    <s v="APT-01963"/>
    <d v="2025-10-23T00:00:00"/>
    <x v="7"/>
    <x v="2"/>
    <s v="Midday"/>
    <x v="0"/>
    <s v="Palakkad"/>
    <x v="11"/>
    <s v="PT-1071"/>
    <s v="Chronic Pain"/>
    <x v="1"/>
    <s v="Self Pay"/>
    <s v="Online Search"/>
    <x v="0"/>
    <n v="60"/>
    <n v="60"/>
    <n v="69.3"/>
    <n v="1250"/>
    <n v="1250"/>
    <n v="0"/>
    <n v="0"/>
    <n v="1"/>
    <n v="0"/>
    <n v="0.85"/>
  </r>
  <r>
    <s v="APT-01964"/>
    <d v="2025-12-04T00:00:00"/>
    <x v="0"/>
    <x v="2"/>
    <s v="Morning"/>
    <x v="1"/>
    <s v="Thrissur"/>
    <x v="10"/>
    <s v="PT-1523"/>
    <s v="Follow-up"/>
    <x v="3"/>
    <s v="Self Pay"/>
    <s v="Hospital Discharge"/>
    <x v="0"/>
    <n v="75"/>
    <n v="75"/>
    <n v="100"/>
    <n v="1700"/>
    <n v="1700"/>
    <n v="0"/>
    <n v="0"/>
    <n v="1"/>
    <n v="0"/>
    <n v="0.85"/>
  </r>
  <r>
    <s v="APT-01965"/>
    <d v="2025-12-19T00:00:00"/>
    <x v="0"/>
    <x v="4"/>
    <s v="Morning"/>
    <x v="2"/>
    <s v="Ernakulam"/>
    <x v="8"/>
    <s v="PT-1215"/>
    <s v="Post-op Rehab"/>
    <x v="1"/>
    <s v="Private Insurance"/>
    <s v="Self Referral"/>
    <x v="0"/>
    <n v="60"/>
    <n v="60"/>
    <n v="74.599999999999994"/>
    <n v="1700"/>
    <n v="1700"/>
    <n v="0"/>
    <n v="0"/>
    <n v="1"/>
    <n v="0"/>
    <n v="0.85"/>
  </r>
  <r>
    <s v="APT-01966"/>
    <d v="2025-10-14T00:00:00"/>
    <x v="7"/>
    <x v="0"/>
    <s v="Midday"/>
    <x v="0"/>
    <s v="Palakkad"/>
    <x v="13"/>
    <s v="PT-1265"/>
    <s v="Follow-up"/>
    <x v="0"/>
    <s v="Corporate Tie-up"/>
    <s v="Neurologist"/>
    <x v="0"/>
    <n v="60"/>
    <n v="60"/>
    <n v="66.5"/>
    <n v="1150"/>
    <n v="1150"/>
    <n v="0"/>
    <n v="0"/>
    <n v="1"/>
    <n v="0"/>
    <n v="0.85"/>
  </r>
  <r>
    <s v="APT-01967"/>
    <d v="2025-10-27T00:00:00"/>
    <x v="7"/>
    <x v="1"/>
    <s v="Evening"/>
    <x v="1"/>
    <s v="Thrissur"/>
    <x v="7"/>
    <s v="PT-1647"/>
    <s v="Post-op Rehab"/>
    <x v="2"/>
    <s v="Private Insurance"/>
    <s v="Hospital Discharge"/>
    <x v="2"/>
    <n v="60"/>
    <n v="0"/>
    <n v="65.599999999999994"/>
    <n v="1550"/>
    <n v="0"/>
    <n v="1550"/>
    <n v="0"/>
    <n v="0"/>
    <n v="1"/>
    <n v="0.85"/>
  </r>
  <r>
    <s v="APT-01968"/>
    <d v="2025-07-02T00:00:00"/>
    <x v="8"/>
    <x v="3"/>
    <s v="Morning"/>
    <x v="2"/>
    <s v="Ernakulam"/>
    <x v="8"/>
    <s v="PT-1079"/>
    <s v="Follow-up"/>
    <x v="2"/>
    <s v="Private Insurance"/>
    <s v="Neurologist"/>
    <x v="0"/>
    <n v="75"/>
    <n v="75"/>
    <n v="84"/>
    <n v="1900"/>
    <n v="1900"/>
    <n v="0"/>
    <n v="0"/>
    <n v="1"/>
    <n v="0"/>
    <n v="0.85"/>
  </r>
  <r>
    <s v="APT-01969"/>
    <d v="2025-01-01T00:00:00"/>
    <x v="11"/>
    <x v="3"/>
    <s v="Midday"/>
    <x v="1"/>
    <s v="Thrissur"/>
    <x v="10"/>
    <s v="PT-1590"/>
    <s v="New Patient"/>
    <x v="4"/>
    <s v="Private Insurance"/>
    <s v="Hospital Discharge"/>
    <x v="0"/>
    <n v="75"/>
    <n v="75"/>
    <n v="90.2"/>
    <n v="2000"/>
    <n v="2000"/>
    <n v="0"/>
    <n v="0"/>
    <n v="1"/>
    <n v="0"/>
    <n v="0.85"/>
  </r>
  <r>
    <s v="APT-01970"/>
    <d v="2025-09-29T00:00:00"/>
    <x v="2"/>
    <x v="1"/>
    <s v="Afternoon"/>
    <x v="1"/>
    <s v="Thrissur"/>
    <x v="2"/>
    <s v="PT-1255"/>
    <s v="New Patient"/>
    <x v="1"/>
    <s v="Self Pay"/>
    <s v="Corporate Wellness"/>
    <x v="3"/>
    <n v="45"/>
    <n v="0"/>
    <n v="58.6"/>
    <n v="1200"/>
    <n v="0"/>
    <n v="0"/>
    <n v="0"/>
    <n v="0"/>
    <n v="0"/>
    <n v="0.85"/>
  </r>
  <r>
    <s v="APT-01971"/>
    <d v="2025-07-09T00:00:00"/>
    <x v="8"/>
    <x v="3"/>
    <s v="Morning"/>
    <x v="1"/>
    <s v="Thrissur"/>
    <x v="1"/>
    <s v="PT-1115"/>
    <s v="New Patient"/>
    <x v="4"/>
    <s v="Private Insurance"/>
    <s v="Hospital Discharge"/>
    <x v="0"/>
    <n v="90"/>
    <n v="90"/>
    <n v="109.4"/>
    <n v="2450"/>
    <n v="2450"/>
    <n v="0"/>
    <n v="0"/>
    <n v="1"/>
    <n v="0"/>
    <n v="0.85"/>
  </r>
  <r>
    <s v="APT-01972"/>
    <d v="2025-06-18T00:00:00"/>
    <x v="4"/>
    <x v="3"/>
    <s v="Evening"/>
    <x v="1"/>
    <s v="Thrissur"/>
    <x v="2"/>
    <s v="PT-1002"/>
    <s v="Follow-up"/>
    <x v="1"/>
    <s v="Corporate Tie-up"/>
    <s v="Hospital Discharge"/>
    <x v="0"/>
    <n v="90"/>
    <n v="90"/>
    <n v="116.5"/>
    <n v="1850"/>
    <n v="1850"/>
    <n v="0"/>
    <n v="0"/>
    <n v="1"/>
    <n v="0"/>
    <n v="0.85"/>
  </r>
  <r>
    <s v="APT-01973"/>
    <d v="2025-08-25T00:00:00"/>
    <x v="9"/>
    <x v="1"/>
    <s v="Evening"/>
    <x v="2"/>
    <s v="Ernakulam"/>
    <x v="14"/>
    <s v="PT-1161"/>
    <s v="Follow-up"/>
    <x v="4"/>
    <s v="Corporate Tie-up"/>
    <s v="Hospital Discharge"/>
    <x v="2"/>
    <n v="90"/>
    <n v="0"/>
    <n v="103.4"/>
    <n v="2050"/>
    <n v="0"/>
    <n v="2050"/>
    <n v="0"/>
    <n v="0"/>
    <n v="1"/>
    <n v="0.85"/>
  </r>
  <r>
    <s v="APT-01974"/>
    <d v="2025-02-01T00:00:00"/>
    <x v="5"/>
    <x v="5"/>
    <s v="Midday"/>
    <x v="2"/>
    <s v="Ernakulam"/>
    <x v="4"/>
    <s v="PT-1614"/>
    <s v="Sports Injury"/>
    <x v="1"/>
    <s v="Corporate Tie-up"/>
    <s v="Online Search"/>
    <x v="0"/>
    <n v="30"/>
    <n v="30"/>
    <n v="37.700000000000003"/>
    <n v="700"/>
    <n v="700"/>
    <n v="0"/>
    <n v="0"/>
    <n v="1"/>
    <n v="0"/>
    <n v="0.85"/>
  </r>
  <r>
    <s v="APT-01975"/>
    <d v="2025-09-19T00:00:00"/>
    <x v="2"/>
    <x v="4"/>
    <s v="Afternoon"/>
    <x v="2"/>
    <s v="Ernakulam"/>
    <x v="3"/>
    <s v="PT-1435"/>
    <s v="Follow-up"/>
    <x v="0"/>
    <s v="Government Scheme"/>
    <s v="Hospital Discharge"/>
    <x v="0"/>
    <n v="60"/>
    <n v="60"/>
    <n v="71.099999999999994"/>
    <n v="1300"/>
    <n v="1300"/>
    <n v="0"/>
    <n v="0"/>
    <n v="1"/>
    <n v="0"/>
    <n v="0.85"/>
  </r>
  <r>
    <s v="APT-01976"/>
    <d v="2025-01-17T00:00:00"/>
    <x v="11"/>
    <x v="4"/>
    <s v="Midday"/>
    <x v="2"/>
    <s v="Ernakulam"/>
    <x v="4"/>
    <s v="PT-1160"/>
    <s v="Chronic Pain"/>
    <x v="0"/>
    <s v="Self Pay"/>
    <s v="Neurologist"/>
    <x v="0"/>
    <n v="30"/>
    <n v="30"/>
    <n v="35.799999999999997"/>
    <n v="750"/>
    <n v="750"/>
    <n v="0"/>
    <n v="0"/>
    <n v="1"/>
    <n v="0"/>
    <n v="0.85"/>
  </r>
  <r>
    <s v="APT-01977"/>
    <d v="2025-07-14T00:00:00"/>
    <x v="8"/>
    <x v="1"/>
    <s v="Morning"/>
    <x v="2"/>
    <s v="Ernakulam"/>
    <x v="3"/>
    <s v="PT-1095"/>
    <s v="Geriatric Rehab"/>
    <x v="4"/>
    <s v="Corporate Tie-up"/>
    <s v="Online Search"/>
    <x v="0"/>
    <n v="60"/>
    <n v="60"/>
    <n v="65.5"/>
    <n v="1400"/>
    <n v="1400"/>
    <n v="0"/>
    <n v="0"/>
    <n v="1"/>
    <n v="0"/>
    <n v="0.85"/>
  </r>
  <r>
    <s v="APT-01978"/>
    <d v="2025-05-24T00:00:00"/>
    <x v="10"/>
    <x v="5"/>
    <s v="Evening"/>
    <x v="1"/>
    <s v="Thrissur"/>
    <x v="5"/>
    <s v="PT-1238"/>
    <s v="Post-op Rehab"/>
    <x v="4"/>
    <s v="Self Pay"/>
    <s v="Hospital Discharge"/>
    <x v="0"/>
    <n v="75"/>
    <n v="75"/>
    <n v="83"/>
    <n v="1950"/>
    <n v="1950"/>
    <n v="0"/>
    <n v="0"/>
    <n v="1"/>
    <n v="0"/>
    <n v="0.85"/>
  </r>
  <r>
    <s v="APT-01979"/>
    <d v="2025-05-23T00:00:00"/>
    <x v="10"/>
    <x v="4"/>
    <s v="Evening"/>
    <x v="2"/>
    <s v="Ernakulam"/>
    <x v="8"/>
    <s v="PT-1107"/>
    <s v="Post-op Rehab"/>
    <x v="2"/>
    <s v="Private Insurance"/>
    <s v="Neurologist"/>
    <x v="0"/>
    <n v="60"/>
    <n v="60"/>
    <n v="80.599999999999994"/>
    <n v="1700"/>
    <n v="1700"/>
    <n v="0"/>
    <n v="0"/>
    <n v="1"/>
    <n v="0"/>
    <n v="0.85"/>
  </r>
  <r>
    <s v="APT-01980"/>
    <d v="2025-12-15T00:00:00"/>
    <x v="0"/>
    <x v="1"/>
    <s v="Evening"/>
    <x v="2"/>
    <s v="Ernakulam"/>
    <x v="3"/>
    <s v="PT-1173"/>
    <s v="Chronic Pain"/>
    <x v="2"/>
    <s v="Self Pay"/>
    <s v="Neurologist"/>
    <x v="0"/>
    <n v="60"/>
    <n v="60"/>
    <n v="67.3"/>
    <n v="1500"/>
    <n v="1500"/>
    <n v="0"/>
    <n v="0"/>
    <n v="1"/>
    <n v="0"/>
    <n v="0.85"/>
  </r>
  <r>
    <s v="APT-01981"/>
    <d v="2025-07-28T00:00:00"/>
    <x v="8"/>
    <x v="1"/>
    <s v="Afternoon"/>
    <x v="0"/>
    <s v="Palakkad"/>
    <x v="9"/>
    <s v="PT-1204"/>
    <s v="Follow-up"/>
    <x v="5"/>
    <s v="Private Insurance"/>
    <s v="Self Referral"/>
    <x v="1"/>
    <n v="45"/>
    <n v="0"/>
    <n v="53.6"/>
    <n v="950"/>
    <n v="0"/>
    <n v="950"/>
    <n v="1"/>
    <n v="0"/>
    <n v="0"/>
    <n v="0.85"/>
  </r>
  <r>
    <s v="APT-01982"/>
    <d v="2025-08-18T00:00:00"/>
    <x v="9"/>
    <x v="1"/>
    <s v="Evening"/>
    <x v="0"/>
    <s v="Palakkad"/>
    <x v="0"/>
    <s v="PT-1387"/>
    <s v="New Patient"/>
    <x v="4"/>
    <s v="Self Pay"/>
    <s v="Online Search"/>
    <x v="0"/>
    <n v="45"/>
    <n v="45"/>
    <n v="49.3"/>
    <n v="1100"/>
    <n v="1100"/>
    <n v="0"/>
    <n v="0"/>
    <n v="1"/>
    <n v="0"/>
    <n v="0.85"/>
  </r>
  <r>
    <s v="APT-01983"/>
    <d v="2025-08-27T00:00:00"/>
    <x v="9"/>
    <x v="3"/>
    <s v="Midday"/>
    <x v="2"/>
    <s v="Ernakulam"/>
    <x v="3"/>
    <s v="PT-1307"/>
    <s v="Geriatric Rehab"/>
    <x v="0"/>
    <s v="Self Pay"/>
    <s v="Orthopedic Doctor"/>
    <x v="0"/>
    <n v="45"/>
    <n v="45"/>
    <n v="50.9"/>
    <n v="1100"/>
    <n v="1100"/>
    <n v="0"/>
    <n v="0"/>
    <n v="1"/>
    <n v="0"/>
    <n v="0.85"/>
  </r>
  <r>
    <s v="APT-01984"/>
    <d v="2025-11-07T00:00:00"/>
    <x v="1"/>
    <x v="4"/>
    <s v="Midday"/>
    <x v="2"/>
    <s v="Ernakulam"/>
    <x v="12"/>
    <s v="PT-1038"/>
    <s v="New Patient"/>
    <x v="1"/>
    <s v="Self Pay"/>
    <s v="Hospital Discharge"/>
    <x v="1"/>
    <n v="60"/>
    <n v="0"/>
    <n v="70.900000000000006"/>
    <n v="1800"/>
    <n v="0"/>
    <n v="1800"/>
    <n v="1"/>
    <n v="0"/>
    <n v="0"/>
    <n v="0.85"/>
  </r>
  <r>
    <s v="APT-01985"/>
    <d v="2025-03-29T00:00:00"/>
    <x v="3"/>
    <x v="5"/>
    <s v="Evening"/>
    <x v="2"/>
    <s v="Ernakulam"/>
    <x v="3"/>
    <s v="PT-1572"/>
    <s v="Sports Injury"/>
    <x v="5"/>
    <s v="Self Pay"/>
    <s v="Self Referral"/>
    <x v="0"/>
    <n v="30"/>
    <n v="30"/>
    <n v="33"/>
    <n v="750"/>
    <n v="750"/>
    <n v="0"/>
    <n v="0"/>
    <n v="1"/>
    <n v="0"/>
    <n v="0.85"/>
  </r>
  <r>
    <s v="APT-01986"/>
    <d v="2025-01-27T00:00:00"/>
    <x v="11"/>
    <x v="1"/>
    <s v="Midday"/>
    <x v="1"/>
    <s v="Thrissur"/>
    <x v="1"/>
    <s v="PT-1369"/>
    <s v="New Patient"/>
    <x v="4"/>
    <s v="Corporate Tie-up"/>
    <s v="Hospital Discharge"/>
    <x v="0"/>
    <n v="45"/>
    <n v="45"/>
    <n v="60"/>
    <n v="1100"/>
    <n v="1100"/>
    <n v="0"/>
    <n v="0"/>
    <n v="1"/>
    <n v="0"/>
    <n v="0.85"/>
  </r>
  <r>
    <s v="APT-01987"/>
    <d v="2025-09-12T00:00:00"/>
    <x v="2"/>
    <x v="4"/>
    <s v="Evening"/>
    <x v="2"/>
    <s v="Ernakulam"/>
    <x v="8"/>
    <s v="PT-1511"/>
    <s v="Follow-up"/>
    <x v="0"/>
    <s v="Self Pay"/>
    <s v="Hospital Discharge"/>
    <x v="0"/>
    <n v="30"/>
    <n v="30"/>
    <n v="39.200000000000003"/>
    <n v="750"/>
    <n v="750"/>
    <n v="0"/>
    <n v="0"/>
    <n v="1"/>
    <n v="0"/>
    <n v="0.85"/>
  </r>
  <r>
    <s v="APT-01988"/>
    <d v="2025-10-25T00:00:00"/>
    <x v="7"/>
    <x v="5"/>
    <s v="Evening"/>
    <x v="1"/>
    <s v="Thrissur"/>
    <x v="7"/>
    <s v="PT-1071"/>
    <s v="Post-op Rehab"/>
    <x v="1"/>
    <s v="Self Pay"/>
    <s v="Neurologist"/>
    <x v="1"/>
    <n v="60"/>
    <n v="0"/>
    <n v="72.8"/>
    <n v="1550"/>
    <n v="0"/>
    <n v="1550"/>
    <n v="1"/>
    <n v="0"/>
    <n v="0"/>
    <n v="0.85"/>
  </r>
  <r>
    <s v="APT-01989"/>
    <d v="2025-11-07T00:00:00"/>
    <x v="1"/>
    <x v="4"/>
    <s v="Evening"/>
    <x v="1"/>
    <s v="Thrissur"/>
    <x v="5"/>
    <s v="PT-1027"/>
    <s v="Follow-up"/>
    <x v="2"/>
    <s v="Corporate Tie-up"/>
    <s v="Orthopedic Doctor"/>
    <x v="0"/>
    <n v="30"/>
    <n v="30"/>
    <n v="34.9"/>
    <n v="600"/>
    <n v="600"/>
    <n v="0"/>
    <n v="0"/>
    <n v="1"/>
    <n v="0"/>
    <n v="0.85"/>
  </r>
  <r>
    <s v="APT-01990"/>
    <d v="2025-05-23T00:00:00"/>
    <x v="10"/>
    <x v="4"/>
    <s v="Midday"/>
    <x v="0"/>
    <s v="Palakkad"/>
    <x v="9"/>
    <s v="PT-1284"/>
    <s v="Follow-up"/>
    <x v="2"/>
    <s v="Private Insurance"/>
    <s v="Neurologist"/>
    <x v="0"/>
    <n v="45"/>
    <n v="45"/>
    <n v="50.7"/>
    <n v="950"/>
    <n v="950"/>
    <n v="0"/>
    <n v="0"/>
    <n v="1"/>
    <n v="0"/>
    <n v="0.85"/>
  </r>
  <r>
    <s v="APT-01991"/>
    <d v="2025-01-04T00:00:00"/>
    <x v="11"/>
    <x v="5"/>
    <s v="Afternoon"/>
    <x v="1"/>
    <s v="Thrissur"/>
    <x v="5"/>
    <s v="PT-1592"/>
    <s v="New Patient"/>
    <x v="4"/>
    <s v="Self Pay"/>
    <s v="Neurologist"/>
    <x v="0"/>
    <n v="45"/>
    <n v="45"/>
    <n v="53.6"/>
    <n v="1200"/>
    <n v="1200"/>
    <n v="0"/>
    <n v="0"/>
    <n v="1"/>
    <n v="0"/>
    <n v="0.85"/>
  </r>
  <r>
    <s v="APT-01992"/>
    <d v="2025-07-12T00:00:00"/>
    <x v="8"/>
    <x v="5"/>
    <s v="Evening"/>
    <x v="2"/>
    <s v="Ernakulam"/>
    <x v="8"/>
    <s v="PT-1230"/>
    <s v="Follow-up"/>
    <x v="2"/>
    <s v="Private Insurance"/>
    <s v="Neurologist"/>
    <x v="2"/>
    <n v="30"/>
    <n v="0"/>
    <n v="36.9"/>
    <n v="750"/>
    <n v="0"/>
    <n v="750"/>
    <n v="0"/>
    <n v="0"/>
    <n v="1"/>
    <n v="0.85"/>
  </r>
  <r>
    <s v="APT-01993"/>
    <d v="2025-04-17T00:00:00"/>
    <x v="6"/>
    <x v="2"/>
    <s v="Morning"/>
    <x v="2"/>
    <s v="Ernakulam"/>
    <x v="4"/>
    <s v="PT-1133"/>
    <s v="Follow-up"/>
    <x v="4"/>
    <s v="Private Insurance"/>
    <s v="Online Search"/>
    <x v="0"/>
    <n v="30"/>
    <n v="30"/>
    <n v="39.200000000000003"/>
    <n v="750"/>
    <n v="750"/>
    <n v="0"/>
    <n v="0"/>
    <n v="1"/>
    <n v="0"/>
    <n v="0.85"/>
  </r>
  <r>
    <s v="APT-01994"/>
    <d v="2025-06-26T00:00:00"/>
    <x v="4"/>
    <x v="2"/>
    <s v="Afternoon"/>
    <x v="1"/>
    <s v="Thrissur"/>
    <x v="10"/>
    <s v="PT-1540"/>
    <s v="Chronic Pain"/>
    <x v="0"/>
    <s v="Self Pay"/>
    <s v="Neurologist"/>
    <x v="0"/>
    <n v="60"/>
    <n v="60"/>
    <n v="74.2"/>
    <n v="1350"/>
    <n v="1350"/>
    <n v="0"/>
    <n v="0"/>
    <n v="1"/>
    <n v="0"/>
    <n v="0.85"/>
  </r>
  <r>
    <s v="APT-01995"/>
    <d v="2025-09-11T00:00:00"/>
    <x v="2"/>
    <x v="2"/>
    <s v="Morning"/>
    <x v="2"/>
    <s v="Ernakulam"/>
    <x v="12"/>
    <s v="PT-1637"/>
    <s v="Post-op Rehab"/>
    <x v="4"/>
    <s v="Self Pay"/>
    <s v="Online Search"/>
    <x v="0"/>
    <n v="30"/>
    <n v="30"/>
    <n v="37.700000000000003"/>
    <n v="850"/>
    <n v="850"/>
    <n v="0"/>
    <n v="0"/>
    <n v="1"/>
    <n v="0"/>
    <n v="0.85"/>
  </r>
  <r>
    <s v="APT-01996"/>
    <d v="2025-01-27T00:00:00"/>
    <x v="11"/>
    <x v="1"/>
    <s v="Afternoon"/>
    <x v="2"/>
    <s v="Ernakulam"/>
    <x v="3"/>
    <s v="PT-1172"/>
    <s v="Follow-up"/>
    <x v="5"/>
    <s v="Private Insurance"/>
    <s v="Neurologist"/>
    <x v="0"/>
    <n v="90"/>
    <n v="90"/>
    <n v="119.7"/>
    <n v="2250"/>
    <n v="2250"/>
    <n v="0"/>
    <n v="0"/>
    <n v="1"/>
    <n v="0"/>
    <n v="0.85"/>
  </r>
  <r>
    <s v="APT-01997"/>
    <d v="2025-08-15T00:00:00"/>
    <x v="9"/>
    <x v="4"/>
    <s v="Morning"/>
    <x v="2"/>
    <s v="Ernakulam"/>
    <x v="14"/>
    <s v="PT-1209"/>
    <s v="Follow-up"/>
    <x v="2"/>
    <s v="Private Insurance"/>
    <s v="Online Search"/>
    <x v="0"/>
    <n v="60"/>
    <n v="60"/>
    <n v="78.900000000000006"/>
    <n v="1500"/>
    <n v="1500"/>
    <n v="0"/>
    <n v="0"/>
    <n v="1"/>
    <n v="0"/>
    <n v="0.85"/>
  </r>
  <r>
    <s v="APT-01998"/>
    <d v="2025-02-25T00:00:00"/>
    <x v="5"/>
    <x v="0"/>
    <s v="Morning"/>
    <x v="0"/>
    <s v="Palakkad"/>
    <x v="9"/>
    <s v="PT-1012"/>
    <s v="Chronic Pain"/>
    <x v="5"/>
    <s v="Corporate Tie-up"/>
    <s v="Neurologist"/>
    <x v="0"/>
    <n v="45"/>
    <n v="45"/>
    <n v="50.5"/>
    <n v="850"/>
    <n v="850"/>
    <n v="0"/>
    <n v="0"/>
    <n v="1"/>
    <n v="0"/>
    <n v="0.85"/>
  </r>
  <r>
    <s v="APT-01999"/>
    <d v="2025-01-18T00:00:00"/>
    <x v="11"/>
    <x v="5"/>
    <s v="Morning"/>
    <x v="2"/>
    <s v="Ernakulam"/>
    <x v="12"/>
    <s v="PT-1502"/>
    <s v="Follow-up"/>
    <x v="0"/>
    <s v="Private Insurance"/>
    <s v="Neurologist"/>
    <x v="0"/>
    <n v="45"/>
    <n v="45"/>
    <n v="52.3"/>
    <n v="1100"/>
    <n v="1100"/>
    <n v="0"/>
    <n v="0"/>
    <n v="1"/>
    <n v="0"/>
    <n v="0.85"/>
  </r>
  <r>
    <s v="APT-02000"/>
    <d v="2025-03-11T00:00:00"/>
    <x v="3"/>
    <x v="0"/>
    <s v="Morning"/>
    <x v="1"/>
    <s v="Thrissur"/>
    <x v="5"/>
    <s v="PT-1465"/>
    <s v="Chronic Pain"/>
    <x v="5"/>
    <s v="Self Pay"/>
    <s v="Corporate Wellness"/>
    <x v="0"/>
    <n v="30"/>
    <n v="30"/>
    <n v="35.799999999999997"/>
    <n v="700"/>
    <n v="700"/>
    <n v="0"/>
    <n v="0"/>
    <n v="1"/>
    <n v="0"/>
    <n v="0.8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0AE86E6-FCE5-4541-8D7B-3B85AF30F0C2}" name="AppointmentsSummary"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C6" firstHeaderRow="0" firstDataRow="1" firstDataCol="0"/>
  <pivotFields count="24">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showAll="0"/>
    <pivotField showAll="0"/>
    <pivotField showAll="0"/>
  </pivotFields>
  <rowItems count="1">
    <i/>
  </rowItems>
  <colFields count="1">
    <field x="-2"/>
  </colFields>
  <colItems count="3">
    <i>
      <x/>
    </i>
    <i i="1">
      <x v="1"/>
    </i>
    <i i="2">
      <x v="2"/>
    </i>
  </colItems>
  <dataFields count="3">
    <dataField name="Total Revenue Generated" fld="18" baseField="0" baseItem="0" numFmtId="165"/>
    <dataField name="Overall No-Show Rate" fld="20" subtotal="average" baseField="0" baseItem="0" numFmtId="166"/>
    <dataField name="Total Lost Revenue" fld="19" baseField="0" baseItem="0" numFmtId="165"/>
  </dataFields>
  <formats count="6">
    <format dxfId="911">
      <pivotArea outline="0" collapsedLevelsAreSubtotals="1" fieldPosition="0">
        <references count="1">
          <reference field="4294967294" count="1" selected="0">
            <x v="0"/>
          </reference>
        </references>
      </pivotArea>
    </format>
    <format dxfId="910">
      <pivotArea outline="0" collapsedLevelsAreSubtotals="1" fieldPosition="0">
        <references count="1">
          <reference field="4294967294" count="1" selected="0">
            <x v="1"/>
          </reference>
        </references>
      </pivotArea>
    </format>
    <format dxfId="909">
      <pivotArea outline="0" collapsedLevelsAreSubtotals="1" fieldPosition="0">
        <references count="1">
          <reference field="4294967294" count="1" selected="0">
            <x v="2"/>
          </reference>
        </references>
      </pivotArea>
    </format>
    <format dxfId="908">
      <pivotArea dataOnly="0" labelOnly="1" outline="0" fieldPosition="0">
        <references count="1">
          <reference field="4294967294" count="3">
            <x v="0"/>
            <x v="1"/>
            <x v="2"/>
          </reference>
        </references>
      </pivotArea>
    </format>
    <format dxfId="907">
      <pivotArea dataOnly="0" labelOnly="1" outline="0" fieldPosition="0">
        <references count="1">
          <reference field="4294967294" count="3">
            <x v="0"/>
            <x v="1"/>
            <x v="2"/>
          </reference>
        </references>
      </pivotArea>
    </format>
    <format dxfId="906">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94DF516-C842-4226-8A5C-0B43120487D5}" name="StatusByTherapyType" cacheId="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49">
  <location ref="A50:F58" firstHeaderRow="1" firstDataRow="2" firstDataCol="1" rowPageCount="2" colPageCount="1"/>
  <pivotFields count="24">
    <pivotField dataField="1" compact="0" outline="0" showAll="0"/>
    <pivotField compact="0" numFmtId="164" outline="0" showAll="0">
      <items count="335">
        <item x="108"/>
        <item x="131"/>
        <item x="260"/>
        <item x="254"/>
        <item x="95"/>
        <item x="24"/>
        <item x="63"/>
        <item x="258"/>
        <item x="46"/>
        <item x="232"/>
        <item x="80"/>
        <item x="144"/>
        <item x="25"/>
        <item x="293"/>
        <item x="67"/>
        <item x="31"/>
        <item x="212"/>
        <item x="41"/>
        <item x="255"/>
        <item x="184"/>
        <item x="58"/>
        <item x="120"/>
        <item x="281"/>
        <item x="22"/>
        <item x="126"/>
        <item x="142"/>
        <item x="203"/>
        <item x="152"/>
        <item x="310"/>
        <item x="190"/>
        <item x="77"/>
        <item x="217"/>
        <item x="188"/>
        <item x="68"/>
        <item x="294"/>
        <item x="23"/>
        <item x="37"/>
        <item x="6"/>
        <item x="155"/>
        <item x="103"/>
        <item x="214"/>
        <item x="330"/>
        <item x="270"/>
        <item x="276"/>
        <item x="182"/>
        <item x="253"/>
        <item x="110"/>
        <item x="29"/>
        <item x="312"/>
        <item x="159"/>
        <item x="59"/>
        <item x="50"/>
        <item x="28"/>
        <item x="40"/>
        <item x="57"/>
        <item x="35"/>
        <item x="216"/>
        <item x="233"/>
        <item x="204"/>
        <item x="106"/>
        <item x="70"/>
        <item x="324"/>
        <item x="208"/>
        <item x="169"/>
        <item x="223"/>
        <item x="92"/>
        <item x="224"/>
        <item x="219"/>
        <item x="7"/>
        <item x="187"/>
        <item x="175"/>
        <item x="325"/>
        <item x="179"/>
        <item x="193"/>
        <item x="186"/>
        <item x="98"/>
        <item x="3"/>
        <item x="130"/>
        <item x="26"/>
        <item x="114"/>
        <item x="197"/>
        <item x="51"/>
        <item x="174"/>
        <item x="20"/>
        <item x="38"/>
        <item x="88"/>
        <item x="303"/>
        <item x="170"/>
        <item x="136"/>
        <item x="279"/>
        <item x="285"/>
        <item x="56"/>
        <item x="39"/>
        <item x="230"/>
        <item x="84"/>
        <item x="133"/>
        <item x="116"/>
        <item x="275"/>
        <item x="252"/>
        <item x="191"/>
        <item x="315"/>
        <item x="316"/>
        <item x="10"/>
        <item x="317"/>
        <item x="332"/>
        <item x="150"/>
        <item x="117"/>
        <item x="283"/>
        <item x="266"/>
        <item x="273"/>
        <item x="205"/>
        <item x="183"/>
        <item x="73"/>
        <item x="171"/>
        <item x="34"/>
        <item x="164"/>
        <item x="151"/>
        <item x="125"/>
        <item x="21"/>
        <item x="333"/>
        <item x="74"/>
        <item x="72"/>
        <item x="54"/>
        <item x="149"/>
        <item x="265"/>
        <item x="166"/>
        <item x="176"/>
        <item x="288"/>
        <item x="75"/>
        <item x="53"/>
        <item x="154"/>
        <item x="139"/>
        <item x="196"/>
        <item x="129"/>
        <item x="319"/>
        <item x="327"/>
        <item x="61"/>
        <item x="250"/>
        <item x="69"/>
        <item x="62"/>
        <item x="206"/>
        <item x="257"/>
        <item x="127"/>
        <item x="81"/>
        <item x="13"/>
        <item x="91"/>
        <item x="167"/>
        <item x="158"/>
        <item x="231"/>
        <item x="309"/>
        <item x="199"/>
        <item x="19"/>
        <item x="140"/>
        <item x="4"/>
        <item x="314"/>
        <item x="278"/>
        <item x="292"/>
        <item x="148"/>
        <item x="18"/>
        <item x="211"/>
        <item x="209"/>
        <item x="305"/>
        <item x="44"/>
        <item x="300"/>
        <item x="132"/>
        <item x="269"/>
        <item x="32"/>
        <item x="264"/>
        <item x="138"/>
        <item x="218"/>
        <item x="290"/>
        <item x="122"/>
        <item x="194"/>
        <item x="89"/>
        <item x="87"/>
        <item x="146"/>
        <item x="93"/>
        <item x="323"/>
        <item x="213"/>
        <item x="263"/>
        <item x="241"/>
        <item x="12"/>
        <item x="163"/>
        <item x="201"/>
        <item x="99"/>
        <item x="195"/>
        <item x="239"/>
        <item x="111"/>
        <item x="189"/>
        <item x="147"/>
        <item x="229"/>
        <item x="308"/>
        <item x="272"/>
        <item x="215"/>
        <item x="112"/>
        <item x="286"/>
        <item x="301"/>
        <item x="165"/>
        <item x="156"/>
        <item x="302"/>
        <item x="246"/>
        <item x="60"/>
        <item x="287"/>
        <item x="30"/>
        <item x="271"/>
        <item x="27"/>
        <item x="15"/>
        <item x="262"/>
        <item x="274"/>
        <item x="128"/>
        <item x="52"/>
        <item x="45"/>
        <item x="243"/>
        <item x="329"/>
        <item x="49"/>
        <item x="244"/>
        <item x="173"/>
        <item x="277"/>
        <item x="101"/>
        <item x="134"/>
        <item x="76"/>
        <item x="94"/>
        <item x="113"/>
        <item x="141"/>
        <item x="43"/>
        <item x="321"/>
        <item x="71"/>
        <item x="96"/>
        <item x="242"/>
        <item x="2"/>
        <item x="222"/>
        <item x="207"/>
        <item x="36"/>
        <item x="82"/>
        <item x="297"/>
        <item x="291"/>
        <item x="86"/>
        <item x="306"/>
        <item x="268"/>
        <item x="161"/>
        <item x="104"/>
        <item x="238"/>
        <item x="180"/>
        <item x="298"/>
        <item x="79"/>
        <item x="240"/>
        <item x="181"/>
        <item x="105"/>
        <item x="280"/>
        <item x="318"/>
        <item x="322"/>
        <item x="66"/>
        <item x="11"/>
        <item x="64"/>
        <item x="177"/>
        <item x="249"/>
        <item x="172"/>
        <item x="115"/>
        <item x="299"/>
        <item x="267"/>
        <item x="251"/>
        <item x="284"/>
        <item x="326"/>
        <item x="42"/>
        <item x="85"/>
        <item x="16"/>
        <item x="121"/>
        <item x="210"/>
        <item x="137"/>
        <item x="320"/>
        <item x="168"/>
        <item x="248"/>
        <item x="157"/>
        <item x="178"/>
        <item x="65"/>
        <item x="9"/>
        <item x="328"/>
        <item x="245"/>
        <item x="200"/>
        <item x="221"/>
        <item x="202"/>
        <item x="119"/>
        <item x="135"/>
        <item x="289"/>
        <item x="145"/>
        <item x="123"/>
        <item x="48"/>
        <item x="228"/>
        <item x="107"/>
        <item x="225"/>
        <item x="1"/>
        <item x="185"/>
        <item x="304"/>
        <item x="307"/>
        <item x="100"/>
        <item x="83"/>
        <item x="102"/>
        <item x="311"/>
        <item x="234"/>
        <item x="226"/>
        <item x="14"/>
        <item x="227"/>
        <item x="282"/>
        <item x="17"/>
        <item x="97"/>
        <item x="162"/>
        <item x="90"/>
        <item x="118"/>
        <item x="143"/>
        <item x="261"/>
        <item x="109"/>
        <item x="313"/>
        <item x="33"/>
        <item x="5"/>
        <item x="198"/>
        <item x="235"/>
        <item x="295"/>
        <item x="192"/>
        <item x="220"/>
        <item x="256"/>
        <item x="236"/>
        <item x="247"/>
        <item x="124"/>
        <item x="331"/>
        <item x="78"/>
        <item x="0"/>
        <item x="160"/>
        <item x="259"/>
        <item x="8"/>
        <item x="55"/>
        <item x="237"/>
        <item x="153"/>
        <item x="47"/>
        <item x="296"/>
        <item t="default"/>
      </items>
    </pivotField>
    <pivotField axis="axisPage" compact="0" outline="0" multipleItemSelectionAllowed="1" showAll="0">
      <items count="13">
        <item x="11"/>
        <item x="5"/>
        <item x="3"/>
        <item x="6"/>
        <item x="10"/>
        <item x="4"/>
        <item x="8"/>
        <item x="9"/>
        <item x="2"/>
        <item x="7"/>
        <item x="1"/>
        <item x="0"/>
        <item t="default"/>
      </items>
    </pivotField>
    <pivotField compact="0" outline="0" showAll="0"/>
    <pivotField compact="0" outline="0" showAll="0"/>
    <pivotField axis="axisPage" compact="0" outline="0" multipleItemSelectionAllowed="1" showAll="0">
      <items count="4">
        <item x="2"/>
        <item x="0"/>
        <item x="1"/>
        <item t="default"/>
      </items>
    </pivotField>
    <pivotField compact="0" outline="0" showAll="0"/>
    <pivotField compact="0" outline="0" showAll="0">
      <items count="16">
        <item x="6"/>
        <item x="5"/>
        <item x="1"/>
        <item x="9"/>
        <item x="14"/>
        <item x="12"/>
        <item x="4"/>
        <item x="8"/>
        <item x="0"/>
        <item x="10"/>
        <item x="7"/>
        <item x="13"/>
        <item x="3"/>
        <item x="2"/>
        <item x="11"/>
        <item t="default"/>
      </items>
    </pivotField>
    <pivotField compact="0" outline="0" showAll="0"/>
    <pivotField compact="0" outline="0" showAll="0"/>
    <pivotField axis="axisRow" compact="0" outline="0" showAll="0">
      <items count="7">
        <item x="3"/>
        <item x="5"/>
        <item x="1"/>
        <item x="2"/>
        <item x="0"/>
        <item x="4"/>
        <item t="default"/>
      </items>
    </pivotField>
    <pivotField compact="0" outline="0" showAll="0">
      <items count="5">
        <item x="3"/>
        <item x="1"/>
        <item x="2"/>
        <item x="0"/>
        <item t="default"/>
      </items>
    </pivotField>
    <pivotField compact="0" outline="0" showAll="0"/>
    <pivotField axis="axisCol" compact="0" outline="0" showAll="0">
      <items count="5">
        <item x="2"/>
        <item x="0"/>
        <item x="1"/>
        <item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0"/>
  </rowFields>
  <rowItems count="7">
    <i>
      <x/>
    </i>
    <i>
      <x v="1"/>
    </i>
    <i>
      <x v="2"/>
    </i>
    <i>
      <x v="3"/>
    </i>
    <i>
      <x v="4"/>
    </i>
    <i>
      <x v="5"/>
    </i>
    <i t="grand">
      <x/>
    </i>
  </rowItems>
  <colFields count="1">
    <field x="13"/>
  </colFields>
  <colItems count="5">
    <i>
      <x/>
    </i>
    <i>
      <x v="1"/>
    </i>
    <i>
      <x v="2"/>
    </i>
    <i>
      <x v="3"/>
    </i>
    <i t="grand">
      <x/>
    </i>
  </colItems>
  <pageFields count="2">
    <pageField fld="5" hier="-1"/>
    <pageField fld="2" hier="-1"/>
  </pageFields>
  <dataFields count="1">
    <dataField name="Count" fld="0" subtotal="count" baseField="0" baseItem="0"/>
  </dataFields>
  <formats count="21">
    <format dxfId="932">
      <pivotArea type="origin" dataOnly="0" labelOnly="1" outline="0" fieldPosition="0"/>
    </format>
    <format dxfId="931">
      <pivotArea field="13" type="button" dataOnly="0" labelOnly="1" outline="0" axis="axisCol" fieldPosition="0"/>
    </format>
    <format dxfId="930">
      <pivotArea type="topRight" dataOnly="0" labelOnly="1" outline="0" fieldPosition="0"/>
    </format>
    <format dxfId="929">
      <pivotArea field="10" type="button" dataOnly="0" labelOnly="1" outline="0" axis="axisRow" fieldPosition="0"/>
    </format>
    <format dxfId="928">
      <pivotArea field="2" type="button" dataOnly="0" labelOnly="1" outline="0" axis="axisPage" fieldPosition="1"/>
    </format>
    <format dxfId="927">
      <pivotArea dataOnly="0" labelOnly="1" outline="0" fieldPosition="0">
        <references count="1">
          <reference field="13" count="0"/>
        </references>
      </pivotArea>
    </format>
    <format dxfId="926">
      <pivotArea dataOnly="0" labelOnly="1" grandCol="1" outline="0" fieldPosition="0"/>
    </format>
    <format dxfId="925">
      <pivotArea type="origin" dataOnly="0" labelOnly="1" outline="0" fieldPosition="0"/>
    </format>
    <format dxfId="924">
      <pivotArea field="13" type="button" dataOnly="0" labelOnly="1" outline="0" axis="axisCol" fieldPosition="0"/>
    </format>
    <format dxfId="923">
      <pivotArea type="topRight" dataOnly="0" labelOnly="1" outline="0" fieldPosition="0"/>
    </format>
    <format dxfId="922">
      <pivotArea field="10" type="button" dataOnly="0" labelOnly="1" outline="0" axis="axisRow" fieldPosition="0"/>
    </format>
    <format dxfId="921">
      <pivotArea field="2" type="button" dataOnly="0" labelOnly="1" outline="0" axis="axisPage" fieldPosition="1"/>
    </format>
    <format dxfId="920">
      <pivotArea dataOnly="0" labelOnly="1" outline="0" fieldPosition="0">
        <references count="1">
          <reference field="13" count="0"/>
        </references>
      </pivotArea>
    </format>
    <format dxfId="919">
      <pivotArea dataOnly="0" labelOnly="1" grandCol="1" outline="0" fieldPosition="0"/>
    </format>
    <format dxfId="918">
      <pivotArea type="origin" dataOnly="0" labelOnly="1" outline="0" fieldPosition="0"/>
    </format>
    <format dxfId="917">
      <pivotArea field="13" type="button" dataOnly="0" labelOnly="1" outline="0" axis="axisCol" fieldPosition="0"/>
    </format>
    <format dxfId="916">
      <pivotArea type="topRight" dataOnly="0" labelOnly="1" outline="0" fieldPosition="0"/>
    </format>
    <format dxfId="915">
      <pivotArea field="10" type="button" dataOnly="0" labelOnly="1" outline="0" axis="axisRow" fieldPosition="0"/>
    </format>
    <format dxfId="914">
      <pivotArea field="2" type="button" dataOnly="0" labelOnly="1" outline="0" axis="axisPage" fieldPosition="1"/>
    </format>
    <format dxfId="913">
      <pivotArea dataOnly="0" labelOnly="1" outline="0" fieldPosition="0">
        <references count="1">
          <reference field="13" count="0"/>
        </references>
      </pivotArea>
    </format>
    <format dxfId="912">
      <pivotArea dataOnly="0" labelOnly="1" grandCol="1" outline="0" fieldPosition="0"/>
    </format>
  </format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2"/>
          </reference>
        </references>
      </pivotArea>
    </chartFormat>
    <chartFormat chart="1" format="3" series="1">
      <pivotArea type="data" outline="0" fieldPosition="0">
        <references count="2">
          <reference field="4294967294" count="1" selected="0">
            <x v="0"/>
          </reference>
          <reference field="13" count="1" selected="0">
            <x v="3"/>
          </reference>
        </references>
      </pivotArea>
    </chartFormat>
  </chartFormats>
  <pivotTableStyleInfo name="PivotStyleLight16" showRowHeaders="1" showColHeaders="1" showRowStripes="0" showColStripes="0" showLastColumn="1"/>
  <filters count="1">
    <filter fld="1" type="dateBetween" evalOrder="-1" id="204" name="Appointment_Date">
      <autoFilter ref="A1">
        <filterColumn colId="0">
          <customFilters and="1">
            <customFilter operator="greaterThanOrEqual" val="45658"/>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E773925-991F-4D15-A7F4-2DE414886A7B}"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118:B123" firstHeaderRow="1" firstDataRow="1" firstDataCol="1" rowPageCount="1" colPageCount="1"/>
  <pivotFields count="24">
    <pivotField showAll="0"/>
    <pivotField numFmtId="164" showAll="0">
      <items count="335">
        <item x="108"/>
        <item x="131"/>
        <item x="260"/>
        <item x="254"/>
        <item x="95"/>
        <item x="24"/>
        <item x="63"/>
        <item x="258"/>
        <item x="46"/>
        <item x="232"/>
        <item x="80"/>
        <item x="144"/>
        <item x="25"/>
        <item x="293"/>
        <item x="67"/>
        <item x="31"/>
        <item x="212"/>
        <item x="41"/>
        <item x="255"/>
        <item x="184"/>
        <item x="58"/>
        <item x="120"/>
        <item x="281"/>
        <item x="22"/>
        <item x="126"/>
        <item x="142"/>
        <item x="203"/>
        <item x="152"/>
        <item x="310"/>
        <item x="190"/>
        <item x="77"/>
        <item x="217"/>
        <item x="188"/>
        <item x="68"/>
        <item x="294"/>
        <item x="23"/>
        <item x="37"/>
        <item x="6"/>
        <item x="155"/>
        <item x="103"/>
        <item x="214"/>
        <item x="330"/>
        <item x="270"/>
        <item x="276"/>
        <item x="182"/>
        <item x="253"/>
        <item x="110"/>
        <item x="29"/>
        <item x="312"/>
        <item x="159"/>
        <item x="59"/>
        <item x="50"/>
        <item x="28"/>
        <item x="40"/>
        <item x="57"/>
        <item x="35"/>
        <item x="216"/>
        <item x="233"/>
        <item x="204"/>
        <item x="106"/>
        <item x="70"/>
        <item x="324"/>
        <item x="208"/>
        <item x="169"/>
        <item x="223"/>
        <item x="92"/>
        <item x="224"/>
        <item x="219"/>
        <item x="7"/>
        <item x="187"/>
        <item x="175"/>
        <item x="325"/>
        <item x="179"/>
        <item x="193"/>
        <item x="186"/>
        <item x="98"/>
        <item x="3"/>
        <item x="130"/>
        <item x="26"/>
        <item x="114"/>
        <item x="197"/>
        <item x="51"/>
        <item x="174"/>
        <item x="20"/>
        <item x="38"/>
        <item x="88"/>
        <item x="303"/>
        <item x="170"/>
        <item x="136"/>
        <item x="279"/>
        <item x="285"/>
        <item x="56"/>
        <item x="39"/>
        <item x="230"/>
        <item x="84"/>
        <item x="133"/>
        <item x="116"/>
        <item x="275"/>
        <item x="252"/>
        <item x="191"/>
        <item x="315"/>
        <item x="316"/>
        <item x="10"/>
        <item x="317"/>
        <item x="332"/>
        <item x="150"/>
        <item x="117"/>
        <item x="283"/>
        <item x="266"/>
        <item x="273"/>
        <item x="205"/>
        <item x="183"/>
        <item x="73"/>
        <item x="171"/>
        <item x="34"/>
        <item x="164"/>
        <item x="151"/>
        <item x="125"/>
        <item x="21"/>
        <item x="333"/>
        <item x="74"/>
        <item x="72"/>
        <item x="54"/>
        <item x="149"/>
        <item x="265"/>
        <item x="166"/>
        <item x="176"/>
        <item x="288"/>
        <item x="75"/>
        <item x="53"/>
        <item x="154"/>
        <item x="139"/>
        <item x="196"/>
        <item x="129"/>
        <item x="319"/>
        <item x="327"/>
        <item x="61"/>
        <item x="250"/>
        <item x="69"/>
        <item x="62"/>
        <item x="206"/>
        <item x="257"/>
        <item x="127"/>
        <item x="81"/>
        <item x="13"/>
        <item x="91"/>
        <item x="167"/>
        <item x="158"/>
        <item x="231"/>
        <item x="309"/>
        <item x="199"/>
        <item x="19"/>
        <item x="140"/>
        <item x="4"/>
        <item x="314"/>
        <item x="278"/>
        <item x="292"/>
        <item x="148"/>
        <item x="18"/>
        <item x="211"/>
        <item x="209"/>
        <item x="305"/>
        <item x="44"/>
        <item x="300"/>
        <item x="132"/>
        <item x="269"/>
        <item x="32"/>
        <item x="264"/>
        <item x="138"/>
        <item x="218"/>
        <item x="290"/>
        <item x="122"/>
        <item x="194"/>
        <item x="89"/>
        <item x="87"/>
        <item x="146"/>
        <item x="93"/>
        <item x="323"/>
        <item x="213"/>
        <item x="263"/>
        <item x="241"/>
        <item x="12"/>
        <item x="163"/>
        <item x="201"/>
        <item x="99"/>
        <item x="195"/>
        <item x="239"/>
        <item x="111"/>
        <item x="189"/>
        <item x="147"/>
        <item x="229"/>
        <item x="308"/>
        <item x="272"/>
        <item x="215"/>
        <item x="112"/>
        <item x="286"/>
        <item x="301"/>
        <item x="165"/>
        <item x="156"/>
        <item x="302"/>
        <item x="246"/>
        <item x="60"/>
        <item x="287"/>
        <item x="30"/>
        <item x="271"/>
        <item x="27"/>
        <item x="15"/>
        <item x="262"/>
        <item x="274"/>
        <item x="128"/>
        <item x="52"/>
        <item x="45"/>
        <item x="243"/>
        <item x="329"/>
        <item x="49"/>
        <item x="244"/>
        <item x="173"/>
        <item x="277"/>
        <item x="101"/>
        <item x="134"/>
        <item x="76"/>
        <item x="94"/>
        <item x="113"/>
        <item x="141"/>
        <item x="43"/>
        <item x="321"/>
        <item x="71"/>
        <item x="96"/>
        <item x="242"/>
        <item x="2"/>
        <item x="222"/>
        <item x="207"/>
        <item x="36"/>
        <item x="82"/>
        <item x="297"/>
        <item x="291"/>
        <item x="86"/>
        <item x="306"/>
        <item x="268"/>
        <item x="161"/>
        <item x="104"/>
        <item x="238"/>
        <item x="180"/>
        <item x="298"/>
        <item x="79"/>
        <item x="240"/>
        <item x="181"/>
        <item x="105"/>
        <item x="280"/>
        <item x="318"/>
        <item x="322"/>
        <item x="66"/>
        <item x="11"/>
        <item x="64"/>
        <item x="177"/>
        <item x="249"/>
        <item x="172"/>
        <item x="115"/>
        <item x="299"/>
        <item x="267"/>
        <item x="251"/>
        <item x="284"/>
        <item x="326"/>
        <item x="42"/>
        <item x="85"/>
        <item x="16"/>
        <item x="121"/>
        <item x="210"/>
        <item x="137"/>
        <item x="320"/>
        <item x="168"/>
        <item x="248"/>
        <item x="157"/>
        <item x="178"/>
        <item x="65"/>
        <item x="9"/>
        <item x="328"/>
        <item x="245"/>
        <item x="200"/>
        <item x="221"/>
        <item x="202"/>
        <item x="119"/>
        <item x="135"/>
        <item x="289"/>
        <item x="145"/>
        <item x="123"/>
        <item x="48"/>
        <item x="228"/>
        <item x="107"/>
        <item x="225"/>
        <item x="1"/>
        <item x="185"/>
        <item x="304"/>
        <item x="307"/>
        <item x="100"/>
        <item x="83"/>
        <item x="102"/>
        <item x="311"/>
        <item x="234"/>
        <item x="226"/>
        <item x="14"/>
        <item x="227"/>
        <item x="282"/>
        <item x="17"/>
        <item x="97"/>
        <item x="162"/>
        <item x="90"/>
        <item x="118"/>
        <item x="143"/>
        <item x="261"/>
        <item x="109"/>
        <item x="313"/>
        <item x="33"/>
        <item x="5"/>
        <item x="198"/>
        <item x="235"/>
        <item x="295"/>
        <item x="192"/>
        <item x="220"/>
        <item x="256"/>
        <item x="236"/>
        <item x="247"/>
        <item x="124"/>
        <item x="331"/>
        <item x="78"/>
        <item x="0"/>
        <item x="160"/>
        <item x="259"/>
        <item x="8"/>
        <item x="55"/>
        <item x="237"/>
        <item x="153"/>
        <item x="47"/>
        <item x="296"/>
        <item t="default"/>
      </items>
    </pivotField>
    <pivotField showAll="0"/>
    <pivotField showAll="0"/>
    <pivotField axis="axisRow" showAll="0">
      <items count="5">
        <item x="2"/>
        <item x="0"/>
        <item x="3"/>
        <item x="1"/>
        <item t="default"/>
      </items>
    </pivotField>
    <pivotField axis="axisPage" multipleItemSelectionAllowed="1" showAll="0">
      <items count="4">
        <item x="2"/>
        <item x="0"/>
        <item x="1"/>
        <item t="default"/>
      </items>
    </pivotField>
    <pivotField showAll="0"/>
    <pivotField showAll="0">
      <items count="16">
        <item x="6"/>
        <item x="5"/>
        <item x="1"/>
        <item x="9"/>
        <item x="14"/>
        <item x="12"/>
        <item x="4"/>
        <item x="8"/>
        <item x="0"/>
        <item x="10"/>
        <item x="7"/>
        <item x="13"/>
        <item x="3"/>
        <item x="2"/>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4"/>
  </rowFields>
  <rowItems count="5">
    <i>
      <x/>
    </i>
    <i>
      <x v="1"/>
    </i>
    <i>
      <x v="2"/>
    </i>
    <i>
      <x v="3"/>
    </i>
    <i t="grand">
      <x/>
    </i>
  </rowItems>
  <colItems count="1">
    <i/>
  </colItems>
  <pageFields count="1">
    <pageField fld="5" hier="-1"/>
  </pageFields>
  <dataFields count="1">
    <dataField name="Sum of No_Show_Flag" fld="20"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41" name="Appointment_Date">
      <autoFilter ref="A1">
        <filterColumn colId="0">
          <customFilters and="1">
            <customFilter operator="greaterThanOrEqual" val="45658"/>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1A9F548-0776-4ADB-88ED-4BF35DC5DBB0}" name="PivotTable1" cacheId="0" dataOnRows="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4">
  <location ref="A106:E109" firstHeaderRow="1" firstDataRow="2" firstDataCol="1"/>
  <pivotFields count="24">
    <pivotField showAll="0"/>
    <pivotField numFmtId="164" showAll="0">
      <items count="335">
        <item x="108"/>
        <item x="131"/>
        <item x="260"/>
        <item x="254"/>
        <item x="95"/>
        <item x="24"/>
        <item x="63"/>
        <item x="258"/>
        <item x="46"/>
        <item x="232"/>
        <item x="80"/>
        <item x="144"/>
        <item x="25"/>
        <item x="293"/>
        <item x="67"/>
        <item x="31"/>
        <item x="212"/>
        <item x="41"/>
        <item x="255"/>
        <item x="184"/>
        <item x="58"/>
        <item x="120"/>
        <item x="281"/>
        <item x="22"/>
        <item x="126"/>
        <item x="142"/>
        <item x="203"/>
        <item x="152"/>
        <item x="310"/>
        <item x="190"/>
        <item x="77"/>
        <item x="217"/>
        <item x="188"/>
        <item x="68"/>
        <item x="294"/>
        <item x="23"/>
        <item x="37"/>
        <item x="6"/>
        <item x="155"/>
        <item x="103"/>
        <item x="214"/>
        <item x="330"/>
        <item x="270"/>
        <item x="276"/>
        <item x="182"/>
        <item x="253"/>
        <item x="110"/>
        <item x="29"/>
        <item x="312"/>
        <item x="159"/>
        <item x="59"/>
        <item x="50"/>
        <item x="28"/>
        <item x="40"/>
        <item x="57"/>
        <item x="35"/>
        <item x="216"/>
        <item x="233"/>
        <item x="204"/>
        <item x="106"/>
        <item x="70"/>
        <item x="324"/>
        <item x="208"/>
        <item x="169"/>
        <item x="223"/>
        <item x="92"/>
        <item x="224"/>
        <item x="219"/>
        <item x="7"/>
        <item x="187"/>
        <item x="175"/>
        <item x="325"/>
        <item x="179"/>
        <item x="193"/>
        <item x="186"/>
        <item x="98"/>
        <item x="3"/>
        <item x="130"/>
        <item x="26"/>
        <item x="114"/>
        <item x="197"/>
        <item x="51"/>
        <item x="174"/>
        <item x="20"/>
        <item x="38"/>
        <item x="88"/>
        <item x="303"/>
        <item x="170"/>
        <item x="136"/>
        <item x="279"/>
        <item x="285"/>
        <item x="56"/>
        <item x="39"/>
        <item x="230"/>
        <item x="84"/>
        <item x="133"/>
        <item x="116"/>
        <item x="275"/>
        <item x="252"/>
        <item x="191"/>
        <item x="315"/>
        <item x="316"/>
        <item x="10"/>
        <item x="317"/>
        <item x="332"/>
        <item x="150"/>
        <item x="117"/>
        <item x="283"/>
        <item x="266"/>
        <item x="273"/>
        <item x="205"/>
        <item x="183"/>
        <item x="73"/>
        <item x="171"/>
        <item x="34"/>
        <item x="164"/>
        <item x="151"/>
        <item x="125"/>
        <item x="21"/>
        <item x="333"/>
        <item x="74"/>
        <item x="72"/>
        <item x="54"/>
        <item x="149"/>
        <item x="265"/>
        <item x="166"/>
        <item x="176"/>
        <item x="288"/>
        <item x="75"/>
        <item x="53"/>
        <item x="154"/>
        <item x="139"/>
        <item x="196"/>
        <item x="129"/>
        <item x="319"/>
        <item x="327"/>
        <item x="61"/>
        <item x="250"/>
        <item x="69"/>
        <item x="62"/>
        <item x="206"/>
        <item x="257"/>
        <item x="127"/>
        <item x="81"/>
        <item x="13"/>
        <item x="91"/>
        <item x="167"/>
        <item x="158"/>
        <item x="231"/>
        <item x="309"/>
        <item x="199"/>
        <item x="19"/>
        <item x="140"/>
        <item x="4"/>
        <item x="314"/>
        <item x="278"/>
        <item x="292"/>
        <item x="148"/>
        <item x="18"/>
        <item x="211"/>
        <item x="209"/>
        <item x="305"/>
        <item x="44"/>
        <item x="300"/>
        <item x="132"/>
        <item x="269"/>
        <item x="32"/>
        <item x="264"/>
        <item x="138"/>
        <item x="218"/>
        <item x="290"/>
        <item x="122"/>
        <item x="194"/>
        <item x="89"/>
        <item x="87"/>
        <item x="146"/>
        <item x="93"/>
        <item x="323"/>
        <item x="213"/>
        <item x="263"/>
        <item x="241"/>
        <item x="12"/>
        <item x="163"/>
        <item x="201"/>
        <item x="99"/>
        <item x="195"/>
        <item x="239"/>
        <item x="111"/>
        <item x="189"/>
        <item x="147"/>
        <item x="229"/>
        <item x="308"/>
        <item x="272"/>
        <item x="215"/>
        <item x="112"/>
        <item x="286"/>
        <item x="301"/>
        <item x="165"/>
        <item x="156"/>
        <item x="302"/>
        <item x="246"/>
        <item x="60"/>
        <item x="287"/>
        <item x="30"/>
        <item x="271"/>
        <item x="27"/>
        <item x="15"/>
        <item x="262"/>
        <item x="274"/>
        <item x="128"/>
        <item x="52"/>
        <item x="45"/>
        <item x="243"/>
        <item x="329"/>
        <item x="49"/>
        <item x="244"/>
        <item x="173"/>
        <item x="277"/>
        <item x="101"/>
        <item x="134"/>
        <item x="76"/>
        <item x="94"/>
        <item x="113"/>
        <item x="141"/>
        <item x="43"/>
        <item x="321"/>
        <item x="71"/>
        <item x="96"/>
        <item x="242"/>
        <item x="2"/>
        <item x="222"/>
        <item x="207"/>
        <item x="36"/>
        <item x="82"/>
        <item x="297"/>
        <item x="291"/>
        <item x="86"/>
        <item x="306"/>
        <item x="268"/>
        <item x="161"/>
        <item x="104"/>
        <item x="238"/>
        <item x="180"/>
        <item x="298"/>
        <item x="79"/>
        <item x="240"/>
        <item x="181"/>
        <item x="105"/>
        <item x="280"/>
        <item x="318"/>
        <item x="322"/>
        <item x="66"/>
        <item x="11"/>
        <item x="64"/>
        <item x="177"/>
        <item x="249"/>
        <item x="172"/>
        <item x="115"/>
        <item x="299"/>
        <item x="267"/>
        <item x="251"/>
        <item x="284"/>
        <item x="326"/>
        <item x="42"/>
        <item x="85"/>
        <item x="16"/>
        <item x="121"/>
        <item x="210"/>
        <item x="137"/>
        <item x="320"/>
        <item x="168"/>
        <item x="248"/>
        <item x="157"/>
        <item x="178"/>
        <item x="65"/>
        <item x="9"/>
        <item x="328"/>
        <item x="245"/>
        <item x="200"/>
        <item x="221"/>
        <item x="202"/>
        <item x="119"/>
        <item x="135"/>
        <item x="289"/>
        <item x="145"/>
        <item x="123"/>
        <item x="48"/>
        <item x="228"/>
        <item x="107"/>
        <item x="225"/>
        <item x="1"/>
        <item x="185"/>
        <item x="304"/>
        <item x="307"/>
        <item x="100"/>
        <item x="83"/>
        <item x="102"/>
        <item x="311"/>
        <item x="234"/>
        <item x="226"/>
        <item x="14"/>
        <item x="227"/>
        <item x="282"/>
        <item x="17"/>
        <item x="97"/>
        <item x="162"/>
        <item x="90"/>
        <item x="118"/>
        <item x="143"/>
        <item x="261"/>
        <item x="109"/>
        <item x="313"/>
        <item x="33"/>
        <item x="5"/>
        <item x="198"/>
        <item x="235"/>
        <item x="295"/>
        <item x="192"/>
        <item x="220"/>
        <item x="256"/>
        <item x="236"/>
        <item x="247"/>
        <item x="124"/>
        <item x="331"/>
        <item x="78"/>
        <item x="0"/>
        <item x="160"/>
        <item x="259"/>
        <item x="8"/>
        <item x="55"/>
        <item x="237"/>
        <item x="153"/>
        <item x="47"/>
        <item x="296"/>
        <item t="default"/>
      </items>
    </pivotField>
    <pivotField showAll="0"/>
    <pivotField showAll="0"/>
    <pivotField showAll="0"/>
    <pivotField axis="axisCol" showAll="0">
      <items count="4">
        <item x="2"/>
        <item x="0"/>
        <item x="1"/>
        <item t="default"/>
      </items>
    </pivotField>
    <pivotField showAll="0"/>
    <pivotField showAll="0">
      <items count="16">
        <item x="6"/>
        <item x="5"/>
        <item x="1"/>
        <item x="9"/>
        <item x="14"/>
        <item x="12"/>
        <item x="4"/>
        <item x="8"/>
        <item x="0"/>
        <item x="10"/>
        <item x="7"/>
        <item x="13"/>
        <item x="3"/>
        <item x="2"/>
        <item x="11"/>
        <item t="default"/>
      </items>
    </pivotField>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s>
  <rowFields count="1">
    <field x="-2"/>
  </rowFields>
  <rowItems count="2">
    <i>
      <x/>
    </i>
    <i i="1">
      <x v="1"/>
    </i>
  </rowItems>
  <colFields count="1">
    <field x="5"/>
  </colFields>
  <colItems count="4">
    <i>
      <x/>
    </i>
    <i>
      <x v="1"/>
    </i>
    <i>
      <x v="2"/>
    </i>
    <i t="grand">
      <x/>
    </i>
  </colItems>
  <dataFields count="2">
    <dataField name="Revenue" fld="18" baseField="5" baseItem="2"/>
    <dataField name="Revenue Lost" fld="19" baseField="5" baseItem="2"/>
  </dataFields>
  <formats count="1">
    <format dxfId="933">
      <pivotArea outline="0" collapsedLevelsAreSubtotals="1" fieldPosition="0">
        <references count="1">
          <reference field="5" count="0" selected="0"/>
        </references>
      </pivotArea>
    </format>
  </formats>
  <chartFormats count="27">
    <chartFormat chart="4" format="4" series="1">
      <pivotArea type="data" outline="0" fieldPosition="0">
        <references count="2">
          <reference field="4294967294" count="1" selected="0">
            <x v="0"/>
          </reference>
          <reference field="5" count="1" selected="0">
            <x v="0"/>
          </reference>
        </references>
      </pivotArea>
    </chartFormat>
    <chartFormat chart="4" format="5">
      <pivotArea type="data" outline="0" fieldPosition="0">
        <references count="2">
          <reference field="4294967294" count="1" selected="0">
            <x v="0"/>
          </reference>
          <reference field="5" count="1" selected="0">
            <x v="0"/>
          </reference>
        </references>
      </pivotArea>
    </chartFormat>
    <chartFormat chart="4" format="6">
      <pivotArea type="data" outline="0" fieldPosition="0">
        <references count="2">
          <reference field="4294967294" count="1" selected="0">
            <x v="1"/>
          </reference>
          <reference field="5" count="1" selected="0">
            <x v="0"/>
          </reference>
        </references>
      </pivotArea>
    </chartFormat>
    <chartFormat chart="4" format="7" series="1">
      <pivotArea type="data" outline="0" fieldPosition="0">
        <references count="2">
          <reference field="4294967294" count="1" selected="0">
            <x v="0"/>
          </reference>
          <reference field="5" count="1" selected="0">
            <x v="1"/>
          </reference>
        </references>
      </pivotArea>
    </chartFormat>
    <chartFormat chart="4" format="8">
      <pivotArea type="data" outline="0" fieldPosition="0">
        <references count="2">
          <reference field="4294967294" count="1" selected="0">
            <x v="0"/>
          </reference>
          <reference field="5" count="1" selected="0">
            <x v="1"/>
          </reference>
        </references>
      </pivotArea>
    </chartFormat>
    <chartFormat chart="4" format="9">
      <pivotArea type="data" outline="0" fieldPosition="0">
        <references count="2">
          <reference field="4294967294" count="1" selected="0">
            <x v="1"/>
          </reference>
          <reference field="5" count="1" selected="0">
            <x v="1"/>
          </reference>
        </references>
      </pivotArea>
    </chartFormat>
    <chartFormat chart="4" format="10" series="1">
      <pivotArea type="data" outline="0" fieldPosition="0">
        <references count="2">
          <reference field="4294967294" count="1" selected="0">
            <x v="0"/>
          </reference>
          <reference field="5" count="1" selected="0">
            <x v="2"/>
          </reference>
        </references>
      </pivotArea>
    </chartFormat>
    <chartFormat chart="4" format="11">
      <pivotArea type="data" outline="0" fieldPosition="0">
        <references count="2">
          <reference field="4294967294" count="1" selected="0">
            <x v="0"/>
          </reference>
          <reference field="5" count="1" selected="0">
            <x v="2"/>
          </reference>
        </references>
      </pivotArea>
    </chartFormat>
    <chartFormat chart="4" format="12">
      <pivotArea type="data" outline="0" fieldPosition="0">
        <references count="2">
          <reference field="4294967294" count="1" selected="0">
            <x v="1"/>
          </reference>
          <reference field="5" count="1" selected="0">
            <x v="2"/>
          </reference>
        </references>
      </pivotArea>
    </chartFormat>
    <chartFormat chart="5" format="13" series="1">
      <pivotArea type="data" outline="0" fieldPosition="0">
        <references count="2">
          <reference field="4294967294" count="1" selected="0">
            <x v="0"/>
          </reference>
          <reference field="5" count="1" selected="0">
            <x v="0"/>
          </reference>
        </references>
      </pivotArea>
    </chartFormat>
    <chartFormat chart="5" format="14">
      <pivotArea type="data" outline="0" fieldPosition="0">
        <references count="2">
          <reference field="4294967294" count="1" selected="0">
            <x v="0"/>
          </reference>
          <reference field="5" count="1" selected="0">
            <x v="0"/>
          </reference>
        </references>
      </pivotArea>
    </chartFormat>
    <chartFormat chart="5" format="15">
      <pivotArea type="data" outline="0" fieldPosition="0">
        <references count="2">
          <reference field="4294967294" count="1" selected="0">
            <x v="1"/>
          </reference>
          <reference field="5" count="1" selected="0">
            <x v="0"/>
          </reference>
        </references>
      </pivotArea>
    </chartFormat>
    <chartFormat chart="5" format="16" series="1">
      <pivotArea type="data" outline="0" fieldPosition="0">
        <references count="2">
          <reference field="4294967294" count="1" selected="0">
            <x v="0"/>
          </reference>
          <reference field="5" count="1" selected="0">
            <x v="1"/>
          </reference>
        </references>
      </pivotArea>
    </chartFormat>
    <chartFormat chart="5" format="17">
      <pivotArea type="data" outline="0" fieldPosition="0">
        <references count="2">
          <reference field="4294967294" count="1" selected="0">
            <x v="0"/>
          </reference>
          <reference field="5" count="1" selected="0">
            <x v="1"/>
          </reference>
        </references>
      </pivotArea>
    </chartFormat>
    <chartFormat chart="5" format="18">
      <pivotArea type="data" outline="0" fieldPosition="0">
        <references count="2">
          <reference field="4294967294" count="1" selected="0">
            <x v="1"/>
          </reference>
          <reference field="5" count="1" selected="0">
            <x v="1"/>
          </reference>
        </references>
      </pivotArea>
    </chartFormat>
    <chartFormat chart="5" format="19" series="1">
      <pivotArea type="data" outline="0" fieldPosition="0">
        <references count="2">
          <reference field="4294967294" count="1" selected="0">
            <x v="0"/>
          </reference>
          <reference field="5" count="1" selected="0">
            <x v="2"/>
          </reference>
        </references>
      </pivotArea>
    </chartFormat>
    <chartFormat chart="5" format="20">
      <pivotArea type="data" outline="0" fieldPosition="0">
        <references count="2">
          <reference field="4294967294" count="1" selected="0">
            <x v="0"/>
          </reference>
          <reference field="5" count="1" selected="0">
            <x v="2"/>
          </reference>
        </references>
      </pivotArea>
    </chartFormat>
    <chartFormat chart="5" format="21">
      <pivotArea type="data" outline="0" fieldPosition="0">
        <references count="2">
          <reference field="4294967294" count="1" selected="0">
            <x v="1"/>
          </reference>
          <reference field="5" count="1" selected="0">
            <x v="2"/>
          </reference>
        </references>
      </pivotArea>
    </chartFormat>
    <chartFormat chart="6" format="13" series="1">
      <pivotArea type="data" outline="0" fieldPosition="0">
        <references count="2">
          <reference field="4294967294" count="1" selected="0">
            <x v="0"/>
          </reference>
          <reference field="5" count="1" selected="0">
            <x v="0"/>
          </reference>
        </references>
      </pivotArea>
    </chartFormat>
    <chartFormat chart="6" format="14">
      <pivotArea type="data" outline="0" fieldPosition="0">
        <references count="2">
          <reference field="4294967294" count="1" selected="0">
            <x v="0"/>
          </reference>
          <reference field="5" count="1" selected="0">
            <x v="0"/>
          </reference>
        </references>
      </pivotArea>
    </chartFormat>
    <chartFormat chart="6" format="15">
      <pivotArea type="data" outline="0" fieldPosition="0">
        <references count="2">
          <reference field="4294967294" count="1" selected="0">
            <x v="1"/>
          </reference>
          <reference field="5" count="1" selected="0">
            <x v="0"/>
          </reference>
        </references>
      </pivotArea>
    </chartFormat>
    <chartFormat chart="6" format="16" series="1">
      <pivotArea type="data" outline="0" fieldPosition="0">
        <references count="2">
          <reference field="4294967294" count="1" selected="0">
            <x v="0"/>
          </reference>
          <reference field="5" count="1" selected="0">
            <x v="1"/>
          </reference>
        </references>
      </pivotArea>
    </chartFormat>
    <chartFormat chart="6" format="17">
      <pivotArea type="data" outline="0" fieldPosition="0">
        <references count="2">
          <reference field="4294967294" count="1" selected="0">
            <x v="0"/>
          </reference>
          <reference field="5" count="1" selected="0">
            <x v="1"/>
          </reference>
        </references>
      </pivotArea>
    </chartFormat>
    <chartFormat chart="6" format="18">
      <pivotArea type="data" outline="0" fieldPosition="0">
        <references count="2">
          <reference field="4294967294" count="1" selected="0">
            <x v="1"/>
          </reference>
          <reference field="5" count="1" selected="0">
            <x v="1"/>
          </reference>
        </references>
      </pivotArea>
    </chartFormat>
    <chartFormat chart="6" format="19" series="1">
      <pivotArea type="data" outline="0" fieldPosition="0">
        <references count="2">
          <reference field="4294967294" count="1" selected="0">
            <x v="0"/>
          </reference>
          <reference field="5" count="1" selected="0">
            <x v="2"/>
          </reference>
        </references>
      </pivotArea>
    </chartFormat>
    <chartFormat chart="6" format="20">
      <pivotArea type="data" outline="0" fieldPosition="0">
        <references count="2">
          <reference field="4294967294" count="1" selected="0">
            <x v="0"/>
          </reference>
          <reference field="5" count="1" selected="0">
            <x v="2"/>
          </reference>
        </references>
      </pivotArea>
    </chartFormat>
    <chartFormat chart="6" format="21">
      <pivotArea type="data" outline="0" fieldPosition="0">
        <references count="2">
          <reference field="4294967294" count="1" selected="0">
            <x v="1"/>
          </reference>
          <reference field="5" count="1" selected="0">
            <x v="2"/>
          </reference>
        </references>
      </pivotArea>
    </chartFormat>
  </chartFormats>
  <pivotTableStyleInfo name="PivotStyleLight16" showRowHeaders="1" showColHeaders="1" showRowStripes="0" showColStripes="0" showLastColumn="1"/>
  <filters count="1">
    <filter fld="1" type="dateBetween" evalOrder="-1" id="48" name="Appointment_Date">
      <autoFilter ref="A1">
        <filterColumn colId="0">
          <customFilters and="1">
            <customFilter operator="greaterThanOrEqual" val="45658"/>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C2DB27A-2C09-41EE-ACA2-52FA38FF6D11}" name="TherapistSummary" cacheId="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location ref="A12:F28" firstHeaderRow="0" firstDataRow="1" firstDataCol="1" rowPageCount="2" colPageCount="1"/>
  <pivotFields count="24">
    <pivotField dataField="1" compact="0" outline="0" showAll="0"/>
    <pivotField compact="0" numFmtId="164" outline="0" showAll="0">
      <items count="335">
        <item x="108"/>
        <item x="131"/>
        <item x="260"/>
        <item x="254"/>
        <item x="95"/>
        <item x="24"/>
        <item x="63"/>
        <item x="258"/>
        <item x="46"/>
        <item x="232"/>
        <item x="80"/>
        <item x="144"/>
        <item x="25"/>
        <item x="293"/>
        <item x="67"/>
        <item x="31"/>
        <item x="212"/>
        <item x="41"/>
        <item x="255"/>
        <item x="184"/>
        <item x="58"/>
        <item x="120"/>
        <item x="281"/>
        <item x="22"/>
        <item x="126"/>
        <item x="142"/>
        <item x="203"/>
        <item x="152"/>
        <item x="310"/>
        <item x="190"/>
        <item x="77"/>
        <item x="217"/>
        <item x="188"/>
        <item x="68"/>
        <item x="294"/>
        <item x="23"/>
        <item x="37"/>
        <item x="6"/>
        <item x="155"/>
        <item x="103"/>
        <item x="214"/>
        <item x="330"/>
        <item x="270"/>
        <item x="276"/>
        <item x="182"/>
        <item x="253"/>
        <item x="110"/>
        <item x="29"/>
        <item x="312"/>
        <item x="159"/>
        <item x="59"/>
        <item x="50"/>
        <item x="28"/>
        <item x="40"/>
        <item x="57"/>
        <item x="35"/>
        <item x="216"/>
        <item x="233"/>
        <item x="204"/>
        <item x="106"/>
        <item x="70"/>
        <item x="324"/>
        <item x="208"/>
        <item x="169"/>
        <item x="223"/>
        <item x="92"/>
        <item x="224"/>
        <item x="219"/>
        <item x="7"/>
        <item x="187"/>
        <item x="175"/>
        <item x="325"/>
        <item x="179"/>
        <item x="193"/>
        <item x="186"/>
        <item x="98"/>
        <item x="3"/>
        <item x="130"/>
        <item x="26"/>
        <item x="114"/>
        <item x="197"/>
        <item x="51"/>
        <item x="174"/>
        <item x="20"/>
        <item x="38"/>
        <item x="88"/>
        <item x="303"/>
        <item x="170"/>
        <item x="136"/>
        <item x="279"/>
        <item x="285"/>
        <item x="56"/>
        <item x="39"/>
        <item x="230"/>
        <item x="84"/>
        <item x="133"/>
        <item x="116"/>
        <item x="275"/>
        <item x="252"/>
        <item x="191"/>
        <item x="315"/>
        <item x="316"/>
        <item x="10"/>
        <item x="317"/>
        <item x="332"/>
        <item x="150"/>
        <item x="117"/>
        <item x="283"/>
        <item x="266"/>
        <item x="273"/>
        <item x="205"/>
        <item x="183"/>
        <item x="73"/>
        <item x="171"/>
        <item x="34"/>
        <item x="164"/>
        <item x="151"/>
        <item x="125"/>
        <item x="21"/>
        <item x="333"/>
        <item x="74"/>
        <item x="72"/>
        <item x="54"/>
        <item x="149"/>
        <item x="265"/>
        <item x="166"/>
        <item x="176"/>
        <item x="288"/>
        <item x="75"/>
        <item x="53"/>
        <item x="154"/>
        <item x="139"/>
        <item x="196"/>
        <item x="129"/>
        <item x="319"/>
        <item x="327"/>
        <item x="61"/>
        <item x="250"/>
        <item x="69"/>
        <item x="62"/>
        <item x="206"/>
        <item x="257"/>
        <item x="127"/>
        <item x="81"/>
        <item x="13"/>
        <item x="91"/>
        <item x="167"/>
        <item x="158"/>
        <item x="231"/>
        <item x="309"/>
        <item x="199"/>
        <item x="19"/>
        <item x="140"/>
        <item x="4"/>
        <item x="314"/>
        <item x="278"/>
        <item x="292"/>
        <item x="148"/>
        <item x="18"/>
        <item x="211"/>
        <item x="209"/>
        <item x="305"/>
        <item x="44"/>
        <item x="300"/>
        <item x="132"/>
        <item x="269"/>
        <item x="32"/>
        <item x="264"/>
        <item x="138"/>
        <item x="218"/>
        <item x="290"/>
        <item x="122"/>
        <item x="194"/>
        <item x="89"/>
        <item x="87"/>
        <item x="146"/>
        <item x="93"/>
        <item x="323"/>
        <item x="213"/>
        <item x="263"/>
        <item x="241"/>
        <item x="12"/>
        <item x="163"/>
        <item x="201"/>
        <item x="99"/>
        <item x="195"/>
        <item x="239"/>
        <item x="111"/>
        <item x="189"/>
        <item x="147"/>
        <item x="229"/>
        <item x="308"/>
        <item x="272"/>
        <item x="215"/>
        <item x="112"/>
        <item x="286"/>
        <item x="301"/>
        <item x="165"/>
        <item x="156"/>
        <item x="302"/>
        <item x="246"/>
        <item x="60"/>
        <item x="287"/>
        <item x="30"/>
        <item x="271"/>
        <item x="27"/>
        <item x="15"/>
        <item x="262"/>
        <item x="274"/>
        <item x="128"/>
        <item x="52"/>
        <item x="45"/>
        <item x="243"/>
        <item x="329"/>
        <item x="49"/>
        <item x="244"/>
        <item x="173"/>
        <item x="277"/>
        <item x="101"/>
        <item x="134"/>
        <item x="76"/>
        <item x="94"/>
        <item x="113"/>
        <item x="141"/>
        <item x="43"/>
        <item x="321"/>
        <item x="71"/>
        <item x="96"/>
        <item x="242"/>
        <item x="2"/>
        <item x="222"/>
        <item x="207"/>
        <item x="36"/>
        <item x="82"/>
        <item x="297"/>
        <item x="291"/>
        <item x="86"/>
        <item x="306"/>
        <item x="268"/>
        <item x="161"/>
        <item x="104"/>
        <item x="238"/>
        <item x="180"/>
        <item x="298"/>
        <item x="79"/>
        <item x="240"/>
        <item x="181"/>
        <item x="105"/>
        <item x="280"/>
        <item x="318"/>
        <item x="322"/>
        <item x="66"/>
        <item x="11"/>
        <item x="64"/>
        <item x="177"/>
        <item x="249"/>
        <item x="172"/>
        <item x="115"/>
        <item x="299"/>
        <item x="267"/>
        <item x="251"/>
        <item x="284"/>
        <item x="326"/>
        <item x="42"/>
        <item x="85"/>
        <item x="16"/>
        <item x="121"/>
        <item x="210"/>
        <item x="137"/>
        <item x="320"/>
        <item x="168"/>
        <item x="248"/>
        <item x="157"/>
        <item x="178"/>
        <item x="65"/>
        <item x="9"/>
        <item x="328"/>
        <item x="245"/>
        <item x="200"/>
        <item x="221"/>
        <item x="202"/>
        <item x="119"/>
        <item x="135"/>
        <item x="289"/>
        <item x="145"/>
        <item x="123"/>
        <item x="48"/>
        <item x="228"/>
        <item x="107"/>
        <item x="225"/>
        <item x="1"/>
        <item x="185"/>
        <item x="304"/>
        <item x="307"/>
        <item x="100"/>
        <item x="83"/>
        <item x="102"/>
        <item x="311"/>
        <item x="234"/>
        <item x="226"/>
        <item x="14"/>
        <item x="227"/>
        <item x="282"/>
        <item x="17"/>
        <item x="97"/>
        <item x="162"/>
        <item x="90"/>
        <item x="118"/>
        <item x="143"/>
        <item x="261"/>
        <item x="109"/>
        <item x="313"/>
        <item x="33"/>
        <item x="5"/>
        <item x="198"/>
        <item x="235"/>
        <item x="295"/>
        <item x="192"/>
        <item x="220"/>
        <item x="256"/>
        <item x="236"/>
        <item x="247"/>
        <item x="124"/>
        <item x="331"/>
        <item x="78"/>
        <item x="0"/>
        <item x="160"/>
        <item x="259"/>
        <item x="8"/>
        <item x="55"/>
        <item x="237"/>
        <item x="153"/>
        <item x="47"/>
        <item x="296"/>
        <item t="default"/>
      </items>
    </pivotField>
    <pivotField axis="axisPage" compact="0" outline="0" multipleItemSelectionAllowed="1" showAll="0">
      <items count="13">
        <item x="11"/>
        <item x="5"/>
        <item x="3"/>
        <item x="6"/>
        <item x="10"/>
        <item x="4"/>
        <item x="8"/>
        <item x="9"/>
        <item x="2"/>
        <item x="7"/>
        <item x="1"/>
        <item x="0"/>
        <item t="default"/>
      </items>
    </pivotField>
    <pivotField compact="0" outline="0" showAll="0"/>
    <pivotField compact="0" outline="0" showAll="0"/>
    <pivotField axis="axisPage" compact="0" outline="0" multipleItemSelectionAllowed="1" showAll="0">
      <items count="4">
        <item x="2"/>
        <item x="0"/>
        <item x="1"/>
        <item t="default"/>
      </items>
    </pivotField>
    <pivotField compact="0" outline="0" showAll="0"/>
    <pivotField axis="axisRow" compact="0" outline="0" showAll="0">
      <items count="16">
        <item x="6"/>
        <item x="5"/>
        <item x="1"/>
        <item x="9"/>
        <item x="14"/>
        <item x="12"/>
        <item x="4"/>
        <item x="8"/>
        <item x="0"/>
        <item x="10"/>
        <item x="7"/>
        <item x="13"/>
        <item x="3"/>
        <item x="2"/>
        <item x="11"/>
        <item t="default"/>
      </items>
    </pivotField>
    <pivotField compact="0" outline="0" showAll="0"/>
    <pivotField compact="0" outline="0" showAll="0"/>
    <pivotField compact="0" outline="0" showAll="0">
      <items count="7">
        <item x="3"/>
        <item x="5"/>
        <item x="1"/>
        <item x="2"/>
        <item x="0"/>
        <item x="4"/>
        <item t="default"/>
      </items>
    </pivotField>
    <pivotField compact="0" outline="0" showAll="0">
      <items count="5">
        <item x="3"/>
        <item x="1"/>
        <item x="2"/>
        <item x="0"/>
        <item t="default"/>
      </items>
    </pivotField>
    <pivotField compact="0" outline="0" showAll="0"/>
    <pivotField compact="0" outline="0" showAll="0"/>
    <pivotField compact="0" outline="0" showAll="0"/>
    <pivotField dataField="1" compact="0" outline="0" showAll="0"/>
    <pivotField dataField="1" compact="0" outline="0" showAll="0"/>
    <pivotField compact="0" outline="0" showAll="0"/>
    <pivotField dataField="1" compact="0" outline="0" showAll="0"/>
    <pivotField compact="0" outline="0" showAll="0"/>
    <pivotField dataField="1" compact="0" outline="0" showAll="0"/>
    <pivotField compact="0" outline="0" showAll="0"/>
    <pivotField compact="0" outline="0" showAll="0"/>
    <pivotField compact="0" outline="0" showAll="0"/>
  </pivotFields>
  <rowFields count="1">
    <field x="7"/>
  </rowFields>
  <rowItems count="16">
    <i>
      <x/>
    </i>
    <i>
      <x v="1"/>
    </i>
    <i>
      <x v="2"/>
    </i>
    <i>
      <x v="3"/>
    </i>
    <i>
      <x v="4"/>
    </i>
    <i>
      <x v="5"/>
    </i>
    <i>
      <x v="6"/>
    </i>
    <i>
      <x v="7"/>
    </i>
    <i>
      <x v="8"/>
    </i>
    <i>
      <x v="9"/>
    </i>
    <i>
      <x v="10"/>
    </i>
    <i>
      <x v="11"/>
    </i>
    <i>
      <x v="12"/>
    </i>
    <i>
      <x v="13"/>
    </i>
    <i>
      <x v="14"/>
    </i>
    <i t="grand">
      <x/>
    </i>
  </rowItems>
  <colFields count="1">
    <field x="-2"/>
  </colFields>
  <colItems count="5">
    <i>
      <x/>
    </i>
    <i i="1">
      <x v="1"/>
    </i>
    <i i="2">
      <x v="2"/>
    </i>
    <i i="3">
      <x v="3"/>
    </i>
    <i i="4">
      <x v="4"/>
    </i>
  </colItems>
  <pageFields count="2">
    <pageField fld="5" hier="-1"/>
    <pageField fld="2" hier="-1"/>
  </pageFields>
  <dataFields count="5">
    <dataField name="Total Appointments" fld="0" subtotal="count" baseField="0" baseItem="0"/>
    <dataField name="No-Show Count" fld="20" baseField="0" baseItem="0"/>
    <dataField name="Revenue Generated" fld="18" baseField="0" baseItem="0" numFmtId="165"/>
    <dataField name="Treated Minutes" fld="15" baseField="0" baseItem="0"/>
    <dataField name="Allocated Minutes" fld="16" baseField="0" baseItem="0"/>
  </dataFields>
  <formats count="22">
    <format dxfId="955">
      <pivotArea field="7" type="button" dataOnly="0" labelOnly="1" outline="0" axis="axisRow" fieldPosition="0"/>
    </format>
    <format dxfId="954">
      <pivotArea field="5" type="button" dataOnly="0" labelOnly="1" outline="0" axis="axisPage" fieldPosition="0"/>
    </format>
    <format dxfId="953">
      <pivotArea dataOnly="0" labelOnly="1" outline="0" fieldPosition="0">
        <references count="1">
          <reference field="4294967294" count="5">
            <x v="0"/>
            <x v="1"/>
            <x v="2"/>
            <x v="3"/>
            <x v="4"/>
          </reference>
        </references>
      </pivotArea>
    </format>
    <format dxfId="952">
      <pivotArea field="7" type="button" dataOnly="0" labelOnly="1" outline="0" axis="axisRow" fieldPosition="0"/>
    </format>
    <format dxfId="951">
      <pivotArea field="5" type="button" dataOnly="0" labelOnly="1" outline="0" axis="axisPage" fieldPosition="0"/>
    </format>
    <format dxfId="950">
      <pivotArea dataOnly="0" labelOnly="1" outline="0" fieldPosition="0">
        <references count="1">
          <reference field="4294967294" count="5">
            <x v="0"/>
            <x v="1"/>
            <x v="2"/>
            <x v="3"/>
            <x v="4"/>
          </reference>
        </references>
      </pivotArea>
    </format>
    <format dxfId="949">
      <pivotArea field="7" type="button" dataOnly="0" labelOnly="1" outline="0" axis="axisRow" fieldPosition="0"/>
    </format>
    <format dxfId="948">
      <pivotArea field="5" type="button" dataOnly="0" labelOnly="1" outline="0" axis="axisPage" fieldPosition="0"/>
    </format>
    <format dxfId="947">
      <pivotArea dataOnly="0" labelOnly="1" outline="0" fieldPosition="0">
        <references count="1">
          <reference field="4294967294" count="5">
            <x v="0"/>
            <x v="1"/>
            <x v="2"/>
            <x v="3"/>
            <x v="4"/>
          </reference>
        </references>
      </pivotArea>
    </format>
    <format dxfId="946">
      <pivotArea outline="0" fieldPosition="0">
        <references count="1">
          <reference field="4294967294" count="1" selected="0">
            <x v="2"/>
          </reference>
        </references>
      </pivotArea>
    </format>
    <format dxfId="945">
      <pivotArea field="7" type="button" dataOnly="0" labelOnly="1" outline="0" axis="axisRow" fieldPosition="0"/>
    </format>
    <format dxfId="944">
      <pivotArea field="5" type="button" dataOnly="0" labelOnly="1" outline="0" axis="axisPage" fieldPosition="0"/>
    </format>
    <format dxfId="943">
      <pivotArea field="2" type="button" dataOnly="0" labelOnly="1" outline="0" axis="axisPage" fieldPosition="1"/>
    </format>
    <format dxfId="942">
      <pivotArea dataOnly="0" labelOnly="1" outline="0" fieldPosition="0">
        <references count="1">
          <reference field="4294967294" count="5">
            <x v="0"/>
            <x v="1"/>
            <x v="2"/>
            <x v="3"/>
            <x v="4"/>
          </reference>
        </references>
      </pivotArea>
    </format>
    <format dxfId="941">
      <pivotArea field="7" type="button" dataOnly="0" labelOnly="1" outline="0" axis="axisRow" fieldPosition="0"/>
    </format>
    <format dxfId="940">
      <pivotArea field="5" type="button" dataOnly="0" labelOnly="1" outline="0" axis="axisPage" fieldPosition="0"/>
    </format>
    <format dxfId="939">
      <pivotArea field="2" type="button" dataOnly="0" labelOnly="1" outline="0" axis="axisPage" fieldPosition="1"/>
    </format>
    <format dxfId="938">
      <pivotArea dataOnly="0" labelOnly="1" outline="0" fieldPosition="0">
        <references count="1">
          <reference field="4294967294" count="5">
            <x v="0"/>
            <x v="1"/>
            <x v="2"/>
            <x v="3"/>
            <x v="4"/>
          </reference>
        </references>
      </pivotArea>
    </format>
    <format dxfId="937">
      <pivotArea field="7" type="button" dataOnly="0" labelOnly="1" outline="0" axis="axisRow" fieldPosition="0"/>
    </format>
    <format dxfId="936">
      <pivotArea field="5" type="button" dataOnly="0" labelOnly="1" outline="0" axis="axisPage" fieldPosition="0"/>
    </format>
    <format dxfId="935">
      <pivotArea field="2" type="button" dataOnly="0" labelOnly="1" outline="0" axis="axisPage" fieldPosition="1"/>
    </format>
    <format dxfId="934">
      <pivotArea dataOnly="0" labelOnly="1" outline="0" fieldPosition="0">
        <references count="1">
          <reference field="4294967294" count="5">
            <x v="0"/>
            <x v="1"/>
            <x v="2"/>
            <x v="3"/>
            <x v="4"/>
          </reference>
        </references>
      </pivotArea>
    </format>
  </formats>
  <pivotTableStyleInfo name="PivotStyleLight16" showRowHeaders="1" showColHeaders="1" showRowStripes="0" showColStripes="0" showLastColumn="1"/>
  <filters count="1">
    <filter fld="1" type="dateBetween" evalOrder="-1" id="221" name="Appointment_Date">
      <autoFilter ref="A1">
        <filterColumn colId="0">
          <customFilters and="1">
            <customFilter operator="greaterThanOrEqual" val="45658"/>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A521414-FF45-4A95-BCAD-20DB957BA38A}" name="NoShowByDayOfWeek" cacheId="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14">
  <location ref="A36:C44" firstHeaderRow="0" firstDataRow="1" firstDataCol="1" rowPageCount="2" colPageCount="1"/>
  <pivotFields count="24">
    <pivotField dataField="1" compact="0" outline="0" showAll="0"/>
    <pivotField compact="0" numFmtId="164" outline="0" showAll="0">
      <items count="335">
        <item x="108"/>
        <item x="131"/>
        <item x="260"/>
        <item x="254"/>
        <item x="95"/>
        <item x="24"/>
        <item x="63"/>
        <item x="258"/>
        <item x="46"/>
        <item x="232"/>
        <item x="80"/>
        <item x="144"/>
        <item x="25"/>
        <item x="293"/>
        <item x="67"/>
        <item x="31"/>
        <item x="212"/>
        <item x="41"/>
        <item x="255"/>
        <item x="184"/>
        <item x="58"/>
        <item x="120"/>
        <item x="281"/>
        <item x="22"/>
        <item x="126"/>
        <item x="142"/>
        <item x="203"/>
        <item x="152"/>
        <item x="310"/>
        <item x="190"/>
        <item x="77"/>
        <item x="217"/>
        <item x="188"/>
        <item x="68"/>
        <item x="294"/>
        <item x="23"/>
        <item x="37"/>
        <item x="6"/>
        <item x="155"/>
        <item x="103"/>
        <item x="214"/>
        <item x="330"/>
        <item x="270"/>
        <item x="276"/>
        <item x="182"/>
        <item x="253"/>
        <item x="110"/>
        <item x="29"/>
        <item x="312"/>
        <item x="159"/>
        <item x="59"/>
        <item x="50"/>
        <item x="28"/>
        <item x="40"/>
        <item x="57"/>
        <item x="35"/>
        <item x="216"/>
        <item x="233"/>
        <item x="204"/>
        <item x="106"/>
        <item x="70"/>
        <item x="324"/>
        <item x="208"/>
        <item x="169"/>
        <item x="223"/>
        <item x="92"/>
        <item x="224"/>
        <item x="219"/>
        <item x="7"/>
        <item x="187"/>
        <item x="175"/>
        <item x="325"/>
        <item x="179"/>
        <item x="193"/>
        <item x="186"/>
        <item x="98"/>
        <item x="3"/>
        <item x="130"/>
        <item x="26"/>
        <item x="114"/>
        <item x="197"/>
        <item x="51"/>
        <item x="174"/>
        <item x="20"/>
        <item x="38"/>
        <item x="88"/>
        <item x="303"/>
        <item x="170"/>
        <item x="136"/>
        <item x="279"/>
        <item x="285"/>
        <item x="56"/>
        <item x="39"/>
        <item x="230"/>
        <item x="84"/>
        <item x="133"/>
        <item x="116"/>
        <item x="275"/>
        <item x="252"/>
        <item x="191"/>
        <item x="315"/>
        <item x="316"/>
        <item x="10"/>
        <item x="317"/>
        <item x="332"/>
        <item x="150"/>
        <item x="117"/>
        <item x="283"/>
        <item x="266"/>
        <item x="273"/>
        <item x="205"/>
        <item x="183"/>
        <item x="73"/>
        <item x="171"/>
        <item x="34"/>
        <item x="164"/>
        <item x="151"/>
        <item x="125"/>
        <item x="21"/>
        <item x="333"/>
        <item x="74"/>
        <item x="72"/>
        <item x="54"/>
        <item x="149"/>
        <item x="265"/>
        <item x="166"/>
        <item x="176"/>
        <item x="288"/>
        <item x="75"/>
        <item x="53"/>
        <item x="154"/>
        <item x="139"/>
        <item x="196"/>
        <item x="129"/>
        <item x="319"/>
        <item x="327"/>
        <item x="61"/>
        <item x="250"/>
        <item x="69"/>
        <item x="62"/>
        <item x="206"/>
        <item x="257"/>
        <item x="127"/>
        <item x="81"/>
        <item x="13"/>
        <item x="91"/>
        <item x="167"/>
        <item x="158"/>
        <item x="231"/>
        <item x="309"/>
        <item x="199"/>
        <item x="19"/>
        <item x="140"/>
        <item x="4"/>
        <item x="314"/>
        <item x="278"/>
        <item x="292"/>
        <item x="148"/>
        <item x="18"/>
        <item x="211"/>
        <item x="209"/>
        <item x="305"/>
        <item x="44"/>
        <item x="300"/>
        <item x="132"/>
        <item x="269"/>
        <item x="32"/>
        <item x="264"/>
        <item x="138"/>
        <item x="218"/>
        <item x="290"/>
        <item x="122"/>
        <item x="194"/>
        <item x="89"/>
        <item x="87"/>
        <item x="146"/>
        <item x="93"/>
        <item x="323"/>
        <item x="213"/>
        <item x="263"/>
        <item x="241"/>
        <item x="12"/>
        <item x="163"/>
        <item x="201"/>
        <item x="99"/>
        <item x="195"/>
        <item x="239"/>
        <item x="111"/>
        <item x="189"/>
        <item x="147"/>
        <item x="229"/>
        <item x="308"/>
        <item x="272"/>
        <item x="215"/>
        <item x="112"/>
        <item x="286"/>
        <item x="301"/>
        <item x="165"/>
        <item x="156"/>
        <item x="302"/>
        <item x="246"/>
        <item x="60"/>
        <item x="287"/>
        <item x="30"/>
        <item x="271"/>
        <item x="27"/>
        <item x="15"/>
        <item x="262"/>
        <item x="274"/>
        <item x="128"/>
        <item x="52"/>
        <item x="45"/>
        <item x="243"/>
        <item x="329"/>
        <item x="49"/>
        <item x="244"/>
        <item x="173"/>
        <item x="277"/>
        <item x="101"/>
        <item x="134"/>
        <item x="76"/>
        <item x="94"/>
        <item x="113"/>
        <item x="141"/>
        <item x="43"/>
        <item x="321"/>
        <item x="71"/>
        <item x="96"/>
        <item x="242"/>
        <item x="2"/>
        <item x="222"/>
        <item x="207"/>
        <item x="36"/>
        <item x="82"/>
        <item x="297"/>
        <item x="291"/>
        <item x="86"/>
        <item x="306"/>
        <item x="268"/>
        <item x="161"/>
        <item x="104"/>
        <item x="238"/>
        <item x="180"/>
        <item x="298"/>
        <item x="79"/>
        <item x="240"/>
        <item x="181"/>
        <item x="105"/>
        <item x="280"/>
        <item x="318"/>
        <item x="322"/>
        <item x="66"/>
        <item x="11"/>
        <item x="64"/>
        <item x="177"/>
        <item x="249"/>
        <item x="172"/>
        <item x="115"/>
        <item x="299"/>
        <item x="267"/>
        <item x="251"/>
        <item x="284"/>
        <item x="326"/>
        <item x="42"/>
        <item x="85"/>
        <item x="16"/>
        <item x="121"/>
        <item x="210"/>
        <item x="137"/>
        <item x="320"/>
        <item x="168"/>
        <item x="248"/>
        <item x="157"/>
        <item x="178"/>
        <item x="65"/>
        <item x="9"/>
        <item x="328"/>
        <item x="245"/>
        <item x="200"/>
        <item x="221"/>
        <item x="202"/>
        <item x="119"/>
        <item x="135"/>
        <item x="289"/>
        <item x="145"/>
        <item x="123"/>
        <item x="48"/>
        <item x="228"/>
        <item x="107"/>
        <item x="225"/>
        <item x="1"/>
        <item x="185"/>
        <item x="304"/>
        <item x="307"/>
        <item x="100"/>
        <item x="83"/>
        <item x="102"/>
        <item x="311"/>
        <item x="234"/>
        <item x="226"/>
        <item x="14"/>
        <item x="227"/>
        <item x="282"/>
        <item x="17"/>
        <item x="97"/>
        <item x="162"/>
        <item x="90"/>
        <item x="118"/>
        <item x="143"/>
        <item x="261"/>
        <item x="109"/>
        <item x="313"/>
        <item x="33"/>
        <item x="5"/>
        <item x="198"/>
        <item x="235"/>
        <item x="295"/>
        <item x="192"/>
        <item x="220"/>
        <item x="256"/>
        <item x="236"/>
        <item x="247"/>
        <item x="124"/>
        <item x="331"/>
        <item x="78"/>
        <item x="0"/>
        <item x="160"/>
        <item x="259"/>
        <item x="8"/>
        <item x="55"/>
        <item x="237"/>
        <item x="153"/>
        <item x="47"/>
        <item x="296"/>
        <item t="default"/>
      </items>
    </pivotField>
    <pivotField axis="axisPage" compact="0" outline="0" multipleItemSelectionAllowed="1" showAll="0">
      <items count="13">
        <item x="11"/>
        <item x="5"/>
        <item x="3"/>
        <item x="6"/>
        <item x="10"/>
        <item x="4"/>
        <item x="8"/>
        <item x="9"/>
        <item x="2"/>
        <item x="7"/>
        <item x="1"/>
        <item x="0"/>
        <item t="default"/>
      </items>
    </pivotField>
    <pivotField axis="axisRow" compact="0" outline="0" showAll="0" includeNewItemsInFilter="1">
      <items count="8">
        <item x="6"/>
        <item x="1"/>
        <item x="0"/>
        <item x="3"/>
        <item x="2"/>
        <item x="4"/>
        <item x="5"/>
        <item t="default"/>
      </items>
    </pivotField>
    <pivotField compact="0" outline="0" showAll="0"/>
    <pivotField axis="axisPage" compact="0" outline="0" multipleItemSelectionAllowed="1" showAll="0">
      <items count="4">
        <item x="2"/>
        <item x="0"/>
        <item x="1"/>
        <item t="default"/>
      </items>
    </pivotField>
    <pivotField compact="0" outline="0" showAll="0"/>
    <pivotField compact="0" outline="0" showAll="0">
      <items count="16">
        <item x="6"/>
        <item x="5"/>
        <item x="1"/>
        <item x="9"/>
        <item x="14"/>
        <item x="12"/>
        <item x="4"/>
        <item x="8"/>
        <item x="0"/>
        <item x="10"/>
        <item x="7"/>
        <item x="13"/>
        <item x="3"/>
        <item x="2"/>
        <item x="11"/>
        <item t="default"/>
      </items>
    </pivotField>
    <pivotField compact="0" outline="0" showAll="0"/>
    <pivotField compact="0" outline="0" showAll="0"/>
    <pivotField compact="0" outline="0" showAll="0">
      <items count="7">
        <item x="3"/>
        <item x="5"/>
        <item x="1"/>
        <item x="2"/>
        <item x="0"/>
        <item x="4"/>
        <item t="default"/>
      </items>
    </pivotField>
    <pivotField compact="0" outline="0" showAll="0">
      <items count="5">
        <item x="3"/>
        <item x="1"/>
        <item x="2"/>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s>
  <rowFields count="1">
    <field x="3"/>
  </rowFields>
  <rowItems count="8">
    <i>
      <x/>
    </i>
    <i>
      <x v="1"/>
    </i>
    <i>
      <x v="2"/>
    </i>
    <i>
      <x v="3"/>
    </i>
    <i>
      <x v="4"/>
    </i>
    <i>
      <x v="5"/>
    </i>
    <i>
      <x v="6"/>
    </i>
    <i t="grand">
      <x/>
    </i>
  </rowItems>
  <colFields count="1">
    <field x="-2"/>
  </colFields>
  <colItems count="2">
    <i>
      <x/>
    </i>
    <i i="1">
      <x v="1"/>
    </i>
  </colItems>
  <pageFields count="2">
    <pageField fld="5" hier="-1"/>
    <pageField fld="2" hier="-1"/>
  </pageFields>
  <dataFields count="2">
    <dataField name="No-Show Count" fld="20" baseField="0" baseItem="0"/>
    <dataField name="Total Appointments" fld="0" subtotal="count" baseField="0" baseItem="0"/>
  </dataFields>
  <formats count="6">
    <format dxfId="961">
      <pivotArea field="3" type="button" dataOnly="0" labelOnly="1" outline="0" axis="axisRow" fieldPosition="0"/>
    </format>
    <format dxfId="960">
      <pivotArea dataOnly="0" labelOnly="1" outline="0" fieldPosition="0">
        <references count="1">
          <reference field="4294967294" count="2">
            <x v="0"/>
            <x v="1"/>
          </reference>
        </references>
      </pivotArea>
    </format>
    <format dxfId="959">
      <pivotArea field="3" type="button" dataOnly="0" labelOnly="1" outline="0" axis="axisRow" fieldPosition="0"/>
    </format>
    <format dxfId="958">
      <pivotArea dataOnly="0" labelOnly="1" outline="0" fieldPosition="0">
        <references count="1">
          <reference field="4294967294" count="2">
            <x v="0"/>
            <x v="1"/>
          </reference>
        </references>
      </pivotArea>
    </format>
    <format dxfId="957">
      <pivotArea field="3" type="button" dataOnly="0" labelOnly="1" outline="0" axis="axisRow" fieldPosition="0"/>
    </format>
    <format dxfId="956">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filters count="1">
    <filter fld="1" type="dateBetween" evalOrder="-1" id="204" name="Appointment_Date">
      <autoFilter ref="A1">
        <filterColumn colId="0">
          <customFilters and="1">
            <customFilter operator="greaterThanOrEqual" val="45658"/>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6559EBF-8C9B-4572-A653-E362069307A5}" name="AppointmentsByMonth" cacheId="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48">
  <location ref="A62:B75" firstHeaderRow="1" firstDataRow="1" firstDataCol="1" rowPageCount="1" colPageCount="1"/>
  <pivotFields count="24">
    <pivotField dataField="1" compact="0" outline="0" showAll="0"/>
    <pivotField compact="0" numFmtId="164" outline="0" showAll="0">
      <items count="335">
        <item x="108"/>
        <item x="131"/>
        <item x="260"/>
        <item x="254"/>
        <item x="95"/>
        <item x="24"/>
        <item x="63"/>
        <item x="258"/>
        <item x="46"/>
        <item x="232"/>
        <item x="80"/>
        <item x="144"/>
        <item x="25"/>
        <item x="293"/>
        <item x="67"/>
        <item x="31"/>
        <item x="212"/>
        <item x="41"/>
        <item x="255"/>
        <item x="184"/>
        <item x="58"/>
        <item x="120"/>
        <item x="281"/>
        <item x="22"/>
        <item x="126"/>
        <item x="142"/>
        <item x="203"/>
        <item x="152"/>
        <item x="310"/>
        <item x="190"/>
        <item x="77"/>
        <item x="217"/>
        <item x="188"/>
        <item x="68"/>
        <item x="294"/>
        <item x="23"/>
        <item x="37"/>
        <item x="6"/>
        <item x="155"/>
        <item x="103"/>
        <item x="214"/>
        <item x="330"/>
        <item x="270"/>
        <item x="276"/>
        <item x="182"/>
        <item x="253"/>
        <item x="110"/>
        <item x="29"/>
        <item x="312"/>
        <item x="159"/>
        <item x="59"/>
        <item x="50"/>
        <item x="28"/>
        <item x="40"/>
        <item x="57"/>
        <item x="35"/>
        <item x="216"/>
        <item x="233"/>
        <item x="204"/>
        <item x="106"/>
        <item x="70"/>
        <item x="324"/>
        <item x="208"/>
        <item x="169"/>
        <item x="223"/>
        <item x="92"/>
        <item x="224"/>
        <item x="219"/>
        <item x="7"/>
        <item x="187"/>
        <item x="175"/>
        <item x="325"/>
        <item x="179"/>
        <item x="193"/>
        <item x="186"/>
        <item x="98"/>
        <item x="3"/>
        <item x="130"/>
        <item x="26"/>
        <item x="114"/>
        <item x="197"/>
        <item x="51"/>
        <item x="174"/>
        <item x="20"/>
        <item x="38"/>
        <item x="88"/>
        <item x="303"/>
        <item x="170"/>
        <item x="136"/>
        <item x="279"/>
        <item x="285"/>
        <item x="56"/>
        <item x="39"/>
        <item x="230"/>
        <item x="84"/>
        <item x="133"/>
        <item x="116"/>
        <item x="275"/>
        <item x="252"/>
        <item x="191"/>
        <item x="315"/>
        <item x="316"/>
        <item x="10"/>
        <item x="317"/>
        <item x="332"/>
        <item x="150"/>
        <item x="117"/>
        <item x="283"/>
        <item x="266"/>
        <item x="273"/>
        <item x="205"/>
        <item x="183"/>
        <item x="73"/>
        <item x="171"/>
        <item x="34"/>
        <item x="164"/>
        <item x="151"/>
        <item x="125"/>
        <item x="21"/>
        <item x="333"/>
        <item x="74"/>
        <item x="72"/>
        <item x="54"/>
        <item x="149"/>
        <item x="265"/>
        <item x="166"/>
        <item x="176"/>
        <item x="288"/>
        <item x="75"/>
        <item x="53"/>
        <item x="154"/>
        <item x="139"/>
        <item x="196"/>
        <item x="129"/>
        <item x="319"/>
        <item x="327"/>
        <item x="61"/>
        <item x="250"/>
        <item x="69"/>
        <item x="62"/>
        <item x="206"/>
        <item x="257"/>
        <item x="127"/>
        <item x="81"/>
        <item x="13"/>
        <item x="91"/>
        <item x="167"/>
        <item x="158"/>
        <item x="231"/>
        <item x="309"/>
        <item x="199"/>
        <item x="19"/>
        <item x="140"/>
        <item x="4"/>
        <item x="314"/>
        <item x="278"/>
        <item x="292"/>
        <item x="148"/>
        <item x="18"/>
        <item x="211"/>
        <item x="209"/>
        <item x="305"/>
        <item x="44"/>
        <item x="300"/>
        <item x="132"/>
        <item x="269"/>
        <item x="32"/>
        <item x="264"/>
        <item x="138"/>
        <item x="218"/>
        <item x="290"/>
        <item x="122"/>
        <item x="194"/>
        <item x="89"/>
        <item x="87"/>
        <item x="146"/>
        <item x="93"/>
        <item x="323"/>
        <item x="213"/>
        <item x="263"/>
        <item x="241"/>
        <item x="12"/>
        <item x="163"/>
        <item x="201"/>
        <item x="99"/>
        <item x="195"/>
        <item x="239"/>
        <item x="111"/>
        <item x="189"/>
        <item x="147"/>
        <item x="229"/>
        <item x="308"/>
        <item x="272"/>
        <item x="215"/>
        <item x="112"/>
        <item x="286"/>
        <item x="301"/>
        <item x="165"/>
        <item x="156"/>
        <item x="302"/>
        <item x="246"/>
        <item x="60"/>
        <item x="287"/>
        <item x="30"/>
        <item x="271"/>
        <item x="27"/>
        <item x="15"/>
        <item x="262"/>
        <item x="274"/>
        <item x="128"/>
        <item x="52"/>
        <item x="45"/>
        <item x="243"/>
        <item x="329"/>
        <item x="49"/>
        <item x="244"/>
        <item x="173"/>
        <item x="277"/>
        <item x="101"/>
        <item x="134"/>
        <item x="76"/>
        <item x="94"/>
        <item x="113"/>
        <item x="141"/>
        <item x="43"/>
        <item x="321"/>
        <item x="71"/>
        <item x="96"/>
        <item x="242"/>
        <item x="2"/>
        <item x="222"/>
        <item x="207"/>
        <item x="36"/>
        <item x="82"/>
        <item x="297"/>
        <item x="291"/>
        <item x="86"/>
        <item x="306"/>
        <item x="268"/>
        <item x="161"/>
        <item x="104"/>
        <item x="238"/>
        <item x="180"/>
        <item x="298"/>
        <item x="79"/>
        <item x="240"/>
        <item x="181"/>
        <item x="105"/>
        <item x="280"/>
        <item x="318"/>
        <item x="322"/>
        <item x="66"/>
        <item x="11"/>
        <item x="64"/>
        <item x="177"/>
        <item x="249"/>
        <item x="172"/>
        <item x="115"/>
        <item x="299"/>
        <item x="267"/>
        <item x="251"/>
        <item x="284"/>
        <item x="326"/>
        <item x="42"/>
        <item x="85"/>
        <item x="16"/>
        <item x="121"/>
        <item x="210"/>
        <item x="137"/>
        <item x="320"/>
        <item x="168"/>
        <item x="248"/>
        <item x="157"/>
        <item x="178"/>
        <item x="65"/>
        <item x="9"/>
        <item x="328"/>
        <item x="245"/>
        <item x="200"/>
        <item x="221"/>
        <item x="202"/>
        <item x="119"/>
        <item x="135"/>
        <item x="289"/>
        <item x="145"/>
        <item x="123"/>
        <item x="48"/>
        <item x="228"/>
        <item x="107"/>
        <item x="225"/>
        <item x="1"/>
        <item x="185"/>
        <item x="304"/>
        <item x="307"/>
        <item x="100"/>
        <item x="83"/>
        <item x="102"/>
        <item x="311"/>
        <item x="234"/>
        <item x="226"/>
        <item x="14"/>
        <item x="227"/>
        <item x="282"/>
        <item x="17"/>
        <item x="97"/>
        <item x="162"/>
        <item x="90"/>
        <item x="118"/>
        <item x="143"/>
        <item x="261"/>
        <item x="109"/>
        <item x="313"/>
        <item x="33"/>
        <item x="5"/>
        <item x="198"/>
        <item x="235"/>
        <item x="295"/>
        <item x="192"/>
        <item x="220"/>
        <item x="256"/>
        <item x="236"/>
        <item x="247"/>
        <item x="124"/>
        <item x="331"/>
        <item x="78"/>
        <item x="0"/>
        <item x="160"/>
        <item x="259"/>
        <item x="8"/>
        <item x="55"/>
        <item x="237"/>
        <item x="153"/>
        <item x="47"/>
        <item x="296"/>
        <item t="default"/>
      </items>
    </pivotField>
    <pivotField axis="axisRow" compact="0" outline="0" showAll="0">
      <items count="13">
        <item x="11"/>
        <item x="5"/>
        <item x="3"/>
        <item x="6"/>
        <item x="10"/>
        <item x="4"/>
        <item x="8"/>
        <item x="9"/>
        <item x="2"/>
        <item x="7"/>
        <item x="1"/>
        <item x="0"/>
        <item t="default"/>
      </items>
    </pivotField>
    <pivotField compact="0" outline="0" showAll="0"/>
    <pivotField compact="0" outline="0" showAll="0"/>
    <pivotField axis="axisPage" compact="0" outline="0" multipleItemSelectionAllowed="1" showAll="0">
      <items count="4">
        <item x="2"/>
        <item x="0"/>
        <item x="1"/>
        <item t="default"/>
      </items>
    </pivotField>
    <pivotField compact="0" outline="0" showAll="0"/>
    <pivotField compact="0" outline="0" showAll="0">
      <items count="16">
        <item x="6"/>
        <item x="5"/>
        <item x="1"/>
        <item x="9"/>
        <item x="14"/>
        <item x="12"/>
        <item x="4"/>
        <item x="8"/>
        <item x="0"/>
        <item x="10"/>
        <item x="7"/>
        <item x="13"/>
        <item x="3"/>
        <item x="2"/>
        <item x="11"/>
        <item t="default"/>
      </items>
    </pivotField>
    <pivotField compact="0" outline="0" showAll="0"/>
    <pivotField compact="0" outline="0" showAll="0"/>
    <pivotField compact="0" outline="0" showAll="0">
      <items count="7">
        <item x="3"/>
        <item x="5"/>
        <item x="1"/>
        <item x="2"/>
        <item x="0"/>
        <item x="4"/>
        <item t="default"/>
      </items>
    </pivotField>
    <pivotField compact="0" outline="0" showAll="0">
      <items count="5">
        <item x="3"/>
        <item x="1"/>
        <item x="2"/>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2"/>
  </rowFields>
  <rowItems count="13">
    <i>
      <x/>
    </i>
    <i>
      <x v="1"/>
    </i>
    <i>
      <x v="2"/>
    </i>
    <i>
      <x v="3"/>
    </i>
    <i>
      <x v="4"/>
    </i>
    <i>
      <x v="5"/>
    </i>
    <i>
      <x v="6"/>
    </i>
    <i>
      <x v="7"/>
    </i>
    <i>
      <x v="8"/>
    </i>
    <i>
      <x v="9"/>
    </i>
    <i>
      <x v="10"/>
    </i>
    <i>
      <x v="11"/>
    </i>
    <i t="grand">
      <x/>
    </i>
  </rowItems>
  <colItems count="1">
    <i/>
  </colItems>
  <pageFields count="1">
    <pageField fld="5" hier="-1"/>
  </pageFields>
  <dataFields count="1">
    <dataField name="Total Appointments" fld="0" subtotal="count" baseField="0" baseItem="0"/>
  </dataFields>
  <formats count="6">
    <format dxfId="967">
      <pivotArea field="2" type="button" dataOnly="0" labelOnly="1" outline="0" axis="axisRow" fieldPosition="0"/>
    </format>
    <format dxfId="966">
      <pivotArea dataOnly="0" labelOnly="1" outline="0" axis="axisValues" fieldPosition="0"/>
    </format>
    <format dxfId="965">
      <pivotArea field="2" type="button" dataOnly="0" labelOnly="1" outline="0" axis="axisRow" fieldPosition="0"/>
    </format>
    <format dxfId="964">
      <pivotArea dataOnly="0" labelOnly="1" outline="0" axis="axisValues" fieldPosition="0"/>
    </format>
    <format dxfId="963">
      <pivotArea field="2" type="button" dataOnly="0" labelOnly="1" outline="0" axis="axisRow" fieldPosition="0"/>
    </format>
    <format dxfId="962">
      <pivotArea dataOnly="0" labelOnly="1" outline="0" axis="axisValues" fieldPosition="0"/>
    </format>
  </formats>
  <chartFormats count="21">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43"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204" name="Appointment_Date">
      <autoFilter ref="A1">
        <filterColumn colId="0">
          <customFilters and="1">
            <customFilter operator="greaterThanOrEqual" val="45658"/>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80D02A3-8ED3-4916-9151-AF377DD776AA}" name="Revenue_by_Therapy" cacheId="0" dataOnRows="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A81:B101" firstHeaderRow="1" firstDataRow="1" firstDataCol="1" rowPageCount="2" colPageCount="1"/>
  <pivotFields count="24">
    <pivotField showAll="0"/>
    <pivotField numFmtId="164" showAll="0">
      <items count="335">
        <item x="108"/>
        <item x="131"/>
        <item x="260"/>
        <item x="254"/>
        <item x="95"/>
        <item x="24"/>
        <item x="63"/>
        <item x="258"/>
        <item x="46"/>
        <item x="232"/>
        <item x="80"/>
        <item x="144"/>
        <item x="25"/>
        <item x="293"/>
        <item x="67"/>
        <item x="31"/>
        <item x="212"/>
        <item x="41"/>
        <item x="255"/>
        <item x="184"/>
        <item x="58"/>
        <item x="120"/>
        <item x="281"/>
        <item x="22"/>
        <item x="126"/>
        <item x="142"/>
        <item x="203"/>
        <item x="152"/>
        <item x="310"/>
        <item x="190"/>
        <item x="77"/>
        <item x="217"/>
        <item x="188"/>
        <item x="68"/>
        <item x="294"/>
        <item x="23"/>
        <item x="37"/>
        <item x="6"/>
        <item x="155"/>
        <item x="103"/>
        <item x="214"/>
        <item x="330"/>
        <item x="270"/>
        <item x="276"/>
        <item x="182"/>
        <item x="253"/>
        <item x="110"/>
        <item x="29"/>
        <item x="312"/>
        <item x="159"/>
        <item x="59"/>
        <item x="50"/>
        <item x="28"/>
        <item x="40"/>
        <item x="57"/>
        <item x="35"/>
        <item x="216"/>
        <item x="233"/>
        <item x="204"/>
        <item x="106"/>
        <item x="70"/>
        <item x="324"/>
        <item x="208"/>
        <item x="169"/>
        <item x="223"/>
        <item x="92"/>
        <item x="224"/>
        <item x="219"/>
        <item x="7"/>
        <item x="187"/>
        <item x="175"/>
        <item x="325"/>
        <item x="179"/>
        <item x="193"/>
        <item x="186"/>
        <item x="98"/>
        <item x="3"/>
        <item x="130"/>
        <item x="26"/>
        <item x="114"/>
        <item x="197"/>
        <item x="51"/>
        <item x="174"/>
        <item x="20"/>
        <item x="38"/>
        <item x="88"/>
        <item x="303"/>
        <item x="170"/>
        <item x="136"/>
        <item x="279"/>
        <item x="285"/>
        <item x="56"/>
        <item x="39"/>
        <item x="230"/>
        <item x="84"/>
        <item x="133"/>
        <item x="116"/>
        <item x="275"/>
        <item x="252"/>
        <item x="191"/>
        <item x="315"/>
        <item x="316"/>
        <item x="10"/>
        <item x="317"/>
        <item x="332"/>
        <item x="150"/>
        <item x="117"/>
        <item x="283"/>
        <item x="266"/>
        <item x="273"/>
        <item x="205"/>
        <item x="183"/>
        <item x="73"/>
        <item x="171"/>
        <item x="34"/>
        <item x="164"/>
        <item x="151"/>
        <item x="125"/>
        <item x="21"/>
        <item x="333"/>
        <item x="74"/>
        <item x="72"/>
        <item x="54"/>
        <item x="149"/>
        <item x="265"/>
        <item x="166"/>
        <item x="176"/>
        <item x="288"/>
        <item x="75"/>
        <item x="53"/>
        <item x="154"/>
        <item x="139"/>
        <item x="196"/>
        <item x="129"/>
        <item x="319"/>
        <item x="327"/>
        <item x="61"/>
        <item x="250"/>
        <item x="69"/>
        <item x="62"/>
        <item x="206"/>
        <item x="257"/>
        <item x="127"/>
        <item x="81"/>
        <item x="13"/>
        <item x="91"/>
        <item x="167"/>
        <item x="158"/>
        <item x="231"/>
        <item x="309"/>
        <item x="199"/>
        <item x="19"/>
        <item x="140"/>
        <item x="4"/>
        <item x="314"/>
        <item x="278"/>
        <item x="292"/>
        <item x="148"/>
        <item x="18"/>
        <item x="211"/>
        <item x="209"/>
        <item x="305"/>
        <item x="44"/>
        <item x="300"/>
        <item x="132"/>
        <item x="269"/>
        <item x="32"/>
        <item x="264"/>
        <item x="138"/>
        <item x="218"/>
        <item x="290"/>
        <item x="122"/>
        <item x="194"/>
        <item x="89"/>
        <item x="87"/>
        <item x="146"/>
        <item x="93"/>
        <item x="323"/>
        <item x="213"/>
        <item x="263"/>
        <item x="241"/>
        <item x="12"/>
        <item x="163"/>
        <item x="201"/>
        <item x="99"/>
        <item x="195"/>
        <item x="239"/>
        <item x="111"/>
        <item x="189"/>
        <item x="147"/>
        <item x="229"/>
        <item x="308"/>
        <item x="272"/>
        <item x="215"/>
        <item x="112"/>
        <item x="286"/>
        <item x="301"/>
        <item x="165"/>
        <item x="156"/>
        <item x="302"/>
        <item x="246"/>
        <item x="60"/>
        <item x="287"/>
        <item x="30"/>
        <item x="271"/>
        <item x="27"/>
        <item x="15"/>
        <item x="262"/>
        <item x="274"/>
        <item x="128"/>
        <item x="52"/>
        <item x="45"/>
        <item x="243"/>
        <item x="329"/>
        <item x="49"/>
        <item x="244"/>
        <item x="173"/>
        <item x="277"/>
        <item x="101"/>
        <item x="134"/>
        <item x="76"/>
        <item x="94"/>
        <item x="113"/>
        <item x="141"/>
        <item x="43"/>
        <item x="321"/>
        <item x="71"/>
        <item x="96"/>
        <item x="242"/>
        <item x="2"/>
        <item x="222"/>
        <item x="207"/>
        <item x="36"/>
        <item x="82"/>
        <item x="297"/>
        <item x="291"/>
        <item x="86"/>
        <item x="306"/>
        <item x="268"/>
        <item x="161"/>
        <item x="104"/>
        <item x="238"/>
        <item x="180"/>
        <item x="298"/>
        <item x="79"/>
        <item x="240"/>
        <item x="181"/>
        <item x="105"/>
        <item x="280"/>
        <item x="318"/>
        <item x="322"/>
        <item x="66"/>
        <item x="11"/>
        <item x="64"/>
        <item x="177"/>
        <item x="249"/>
        <item x="172"/>
        <item x="115"/>
        <item x="299"/>
        <item x="267"/>
        <item x="251"/>
        <item x="284"/>
        <item x="326"/>
        <item x="42"/>
        <item x="85"/>
        <item x="16"/>
        <item x="121"/>
        <item x="210"/>
        <item x="137"/>
        <item x="320"/>
        <item x="168"/>
        <item x="248"/>
        <item x="157"/>
        <item x="178"/>
        <item x="65"/>
        <item x="9"/>
        <item x="328"/>
        <item x="245"/>
        <item x="200"/>
        <item x="221"/>
        <item x="202"/>
        <item x="119"/>
        <item x="135"/>
        <item x="289"/>
        <item x="145"/>
        <item x="123"/>
        <item x="48"/>
        <item x="228"/>
        <item x="107"/>
        <item x="225"/>
        <item x="1"/>
        <item x="185"/>
        <item x="304"/>
        <item x="307"/>
        <item x="100"/>
        <item x="83"/>
        <item x="102"/>
        <item x="311"/>
        <item x="234"/>
        <item x="226"/>
        <item x="14"/>
        <item x="227"/>
        <item x="282"/>
        <item x="17"/>
        <item x="97"/>
        <item x="162"/>
        <item x="90"/>
        <item x="118"/>
        <item x="143"/>
        <item x="261"/>
        <item x="109"/>
        <item x="313"/>
        <item x="33"/>
        <item x="5"/>
        <item x="198"/>
        <item x="235"/>
        <item x="295"/>
        <item x="192"/>
        <item x="220"/>
        <item x="256"/>
        <item x="236"/>
        <item x="247"/>
        <item x="124"/>
        <item x="331"/>
        <item x="78"/>
        <item x="0"/>
        <item x="160"/>
        <item x="259"/>
        <item x="8"/>
        <item x="55"/>
        <item x="237"/>
        <item x="153"/>
        <item x="47"/>
        <item x="296"/>
        <item t="default"/>
      </items>
    </pivotField>
    <pivotField axis="axisPage" multipleItemSelectionAllowed="1" showAll="0">
      <items count="13">
        <item x="11"/>
        <item x="5"/>
        <item x="3"/>
        <item x="6"/>
        <item x="10"/>
        <item x="4"/>
        <item x="8"/>
        <item x="9"/>
        <item x="2"/>
        <item x="7"/>
        <item x="1"/>
        <item x="0"/>
        <item t="default"/>
      </items>
    </pivotField>
    <pivotField showAll="0"/>
    <pivotField showAll="0"/>
    <pivotField axis="axisPage" multipleItemSelectionAllowed="1" showAll="0">
      <items count="4">
        <item x="2"/>
        <item x="0"/>
        <item x="1"/>
        <item t="default"/>
      </items>
    </pivotField>
    <pivotField showAll="0"/>
    <pivotField showAll="0">
      <items count="16">
        <item x="6"/>
        <item x="5"/>
        <item x="1"/>
        <item x="9"/>
        <item x="14"/>
        <item x="12"/>
        <item x="4"/>
        <item x="8"/>
        <item x="0"/>
        <item x="10"/>
        <item x="7"/>
        <item x="13"/>
        <item x="3"/>
        <item x="2"/>
        <item x="11"/>
        <item t="default"/>
      </items>
    </pivotField>
    <pivotField showAll="0"/>
    <pivotField showAll="0"/>
    <pivotField axis="axisRow" multipleItemSelectionAllowed="1" showAll="0">
      <items count="7">
        <item x="3"/>
        <item x="5"/>
        <item x="1"/>
        <item x="2"/>
        <item x="0"/>
        <item x="4"/>
        <item t="default"/>
      </items>
    </pivotField>
    <pivotField showAll="0">
      <items count="5">
        <item x="3"/>
        <item x="1"/>
        <item x="2"/>
        <item x="0"/>
        <item t="default"/>
      </items>
    </pivotField>
    <pivotField showAll="0"/>
    <pivotField showAll="0"/>
    <pivotField showAll="0"/>
    <pivotField showAll="0"/>
    <pivotField showAll="0"/>
    <pivotField showAll="0"/>
    <pivotField dataField="1" showAll="0">
      <items count="38">
        <item x="9"/>
        <item x="29"/>
        <item x="16"/>
        <item x="36"/>
        <item x="19"/>
        <item x="27"/>
        <item x="18"/>
        <item x="23"/>
        <item x="17"/>
        <item x="7"/>
        <item x="13"/>
        <item x="2"/>
        <item x="20"/>
        <item x="15"/>
        <item x="26"/>
        <item x="5"/>
        <item x="22"/>
        <item x="14"/>
        <item x="21"/>
        <item x="10"/>
        <item x="3"/>
        <item x="1"/>
        <item x="11"/>
        <item x="32"/>
        <item x="6"/>
        <item x="25"/>
        <item x="24"/>
        <item x="0"/>
        <item x="8"/>
        <item x="33"/>
        <item x="31"/>
        <item x="30"/>
        <item x="12"/>
        <item x="35"/>
        <item x="28"/>
        <item x="4"/>
        <item x="34"/>
        <item t="default"/>
      </items>
    </pivotField>
    <pivotField dataField="1" showAll="0">
      <items count="36">
        <item x="0"/>
        <item x="29"/>
        <item x="18"/>
        <item x="20"/>
        <item x="3"/>
        <item x="31"/>
        <item x="30"/>
        <item x="24"/>
        <item x="19"/>
        <item x="16"/>
        <item x="15"/>
        <item x="6"/>
        <item x="11"/>
        <item x="27"/>
        <item x="9"/>
        <item x="1"/>
        <item x="2"/>
        <item x="23"/>
        <item x="22"/>
        <item x="12"/>
        <item x="14"/>
        <item x="10"/>
        <item x="26"/>
        <item x="5"/>
        <item x="13"/>
        <item x="34"/>
        <item x="4"/>
        <item x="17"/>
        <item x="21"/>
        <item x="28"/>
        <item x="8"/>
        <item x="7"/>
        <item x="32"/>
        <item x="33"/>
        <item x="25"/>
        <item t="default"/>
      </items>
    </pivotField>
    <pivotField showAll="0"/>
    <pivotField showAll="0"/>
    <pivotField showAll="0"/>
    <pivotField showAll="0"/>
  </pivotFields>
  <rowFields count="2">
    <field x="10"/>
    <field x="-2"/>
  </rowFields>
  <rowItems count="20">
    <i>
      <x/>
    </i>
    <i r="1">
      <x/>
    </i>
    <i r="1" i="1">
      <x v="1"/>
    </i>
    <i>
      <x v="1"/>
    </i>
    <i r="1">
      <x/>
    </i>
    <i r="1" i="1">
      <x v="1"/>
    </i>
    <i>
      <x v="2"/>
    </i>
    <i r="1">
      <x/>
    </i>
    <i r="1" i="1">
      <x v="1"/>
    </i>
    <i>
      <x v="3"/>
    </i>
    <i r="1">
      <x/>
    </i>
    <i r="1" i="1">
      <x v="1"/>
    </i>
    <i>
      <x v="4"/>
    </i>
    <i r="1">
      <x/>
    </i>
    <i r="1" i="1">
      <x v="1"/>
    </i>
    <i>
      <x v="5"/>
    </i>
    <i r="1">
      <x/>
    </i>
    <i r="1" i="1">
      <x v="1"/>
    </i>
    <i t="grand">
      <x/>
    </i>
    <i t="grand" i="1">
      <x/>
    </i>
  </rowItems>
  <colItems count="1">
    <i/>
  </colItems>
  <pageFields count="2">
    <pageField fld="5" hier="-1"/>
    <pageField fld="2" hier="-1"/>
  </pageFields>
  <dataFields count="2">
    <dataField name="Sum of Revenue_INR" fld="18" baseField="0" baseItem="0"/>
    <dataField name="Sum of Lost_Revenue_INR" fld="19" baseField="0" baseItem="0"/>
  </dataFields>
  <pivotTableStyleInfo name="PivotStyleLight16" showRowHeaders="1" showColHeaders="1" showRowStripes="0" showColStripes="0" showLastColumn="1"/>
  <filters count="1">
    <filter fld="1" type="dateBetween" evalOrder="-1" id="204" name="Appointment_Date">
      <autoFilter ref="A1">
        <filterColumn colId="0">
          <customFilters and="1">
            <customFilter operator="greaterThanOrEqual" val="45658"/>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 xr10:uid="{818E0B49-DE1D-4876-A459-11F4FD9246B1}" sourceName="Month">
  <pivotTables>
    <pivotTable tabId="6" name="Revenue_by_Therapy"/>
    <pivotTable tabId="6" name="AppointmentsByMonth"/>
    <pivotTable tabId="6" name="NoShowByDayOfWeek"/>
    <pivotTable tabId="6" name="StatusByTherapyType"/>
    <pivotTable tabId="6" name="TherapistSummary"/>
  </pivotTables>
  <data>
    <tabular pivotCacheId="2022236653">
      <items count="12">
        <i x="11" s="1"/>
        <i x="5" s="1"/>
        <i x="3" s="1"/>
        <i x="6" s="1"/>
        <i x="10" s="1"/>
        <i x="4" s="1"/>
        <i x="8" s="1"/>
        <i x="9" s="1"/>
        <i x="2" s="1"/>
        <i x="7"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inic1" xr10:uid="{96B06EB0-EACD-4145-9897-762797E0597E}" sourceName="Clinic">
  <pivotTables>
    <pivotTable tabId="6" name="Revenue_by_Therapy"/>
    <pivotTable tabId="6" name="AppointmentsByMonth"/>
    <pivotTable tabId="6" name="NoShowByDayOfWeek"/>
    <pivotTable tabId="6" name="StatusByTherapyType"/>
    <pivotTable tabId="6" name="TherapistSummary"/>
    <pivotTable tabId="6" name="PivotTable1"/>
    <pivotTable tabId="6" name="PivotTable4"/>
  </pivotTables>
  <data>
    <tabular pivotCacheId="2022236653">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herapy_Type1" xr10:uid="{6017EFD6-C9A1-4D69-A5E7-2740CA3428F2}" sourceName="Therapy_Type">
  <pivotTables>
    <pivotTable tabId="6" name="Revenue_by_Therapy"/>
    <pivotTable tabId="6" name="AppointmentsByMonth"/>
    <pivotTable tabId="6" name="NoShowByDayOfWeek"/>
    <pivotTable tabId="6" name="StatusByTherapyType"/>
    <pivotTable tabId="6" name="TherapistSummary"/>
  </pivotTables>
  <data>
    <tabular pivotCacheId="2022236653">
      <items count="6">
        <i x="3" s="1"/>
        <i x="5" s="1"/>
        <i x="1" s="1"/>
        <i x="2" s="1"/>
        <i x="0"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er_Type1" xr10:uid="{F70ECC71-824F-4B55-BF7F-A1A9170578E2}" sourceName="Payer_Type">
  <pivotTables>
    <pivotTable tabId="6" name="Revenue_by_Therapy"/>
    <pivotTable tabId="6" name="AppointmentsByMonth"/>
    <pivotTable tabId="6" name="NoShowByDayOfWeek"/>
    <pivotTable tabId="6" name="StatusByTherapyType"/>
    <pivotTable tabId="6" name="TherapistSummary"/>
  </pivotTables>
  <data>
    <tabular pivotCacheId="2022236653">
      <items count="4">
        <i x="3" s="1"/>
        <i x="1" s="1"/>
        <i x="2"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herapist" xr10:uid="{EB8CA482-9591-4852-A7D8-76E0EC8F1D26}" sourceName="Therapist">
  <pivotTables>
    <pivotTable tabId="6" name="TherapistSummary"/>
    <pivotTable tabId="6" name="AppointmentsByMonth"/>
    <pivotTable tabId="6" name="NoShowByDayOfWeek"/>
    <pivotTable tabId="6" name="PivotTable1"/>
    <pivotTable tabId="6" name="Revenue_by_Therapy"/>
    <pivotTable tabId="6" name="StatusByTherapyType"/>
    <pivotTable tabId="6" name="PivotTable4"/>
  </pivotTables>
  <data>
    <tabular pivotCacheId="2022236653">
      <items count="15">
        <i x="6" s="1"/>
        <i x="5" s="1"/>
        <i x="1" s="1"/>
        <i x="9" s="1"/>
        <i x="14" s="1"/>
        <i x="12" s="1"/>
        <i x="4" s="1"/>
        <i x="8" s="1"/>
        <i x="0" s="1"/>
        <i x="10" s="1"/>
        <i x="7" s="1"/>
        <i x="13" s="1"/>
        <i x="3" s="1"/>
        <i x="2" s="1"/>
        <i x="1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A35315D6-4126-4B66-8800-57ADF719F18A}" sourceName="Month">
  <extLst>
    <x:ext xmlns:x15="http://schemas.microsoft.com/office/spreadsheetml/2010/11/main" uri="{2F2917AC-EB37-4324-AD4E-5DD8C200BD13}">
      <x15:tableSlicerCache tableId="1" column="3"/>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herapy_Type" xr10:uid="{0CCFEE93-ECDE-4DE0-BD20-FDD0D8913CDF}" sourceName="Therapy_Type">
  <extLst>
    <x:ext xmlns:x15="http://schemas.microsoft.com/office/spreadsheetml/2010/11/main" uri="{2F2917AC-EB37-4324-AD4E-5DD8C200BD13}">
      <x15:tableSlicerCache tableId="1" column="11"/>
    </x:ext>
  </extLst>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inic" xr10:uid="{6862241A-FF8B-42FD-8BC4-FBDA7278E024}" sourceName="Clinic">
  <extLst>
    <x:ext xmlns:x15="http://schemas.microsoft.com/office/spreadsheetml/2010/11/main" uri="{2F2917AC-EB37-4324-AD4E-5DD8C200BD13}">
      <x15:tableSlicerCache tableId="1" column="6"/>
    </x:ext>
  </extLst>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er_Type" xr10:uid="{4F2A5043-E847-4C44-9592-5097E828CEBD}" sourceName="Payer_Type">
  <extLst>
    <x:ext xmlns:x15="http://schemas.microsoft.com/office/spreadsheetml/2010/11/main" uri="{2F2917AC-EB37-4324-AD4E-5DD8C200BD13}">
      <x15:tableSlicerCache tableId="1" column="1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linic 1" xr10:uid="{F2B2E136-F383-466D-B66E-AD2BD4D9CB38}" cache="Slicer_Clinic1" caption="Clinic" showCaption="0" style="SlicerStyleDark5" rowHeight="241300"/>
  <slicer name="Therapist 1" xr10:uid="{049F9C07-CB0A-4ACA-A246-44175819F5DE}" cache="Slicer_Therapist" caption="Therapist" columnCount="5" showCaption="0" style="SlicerStyleDark5"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29581F3B-8A08-415D-A949-CCD7E912E0E6}" cache="Slicer_Month1" caption="Filter by Month" rowHeight="241300"/>
  <slicer name="Clinic" xr10:uid="{1B98F16C-E4CF-4F8E-A890-CB1AB549D4D7}" cache="Slicer_Clinic1" caption="Filter by Clinic" rowHeight="241300"/>
  <slicer name="Therapy_Type" xr10:uid="{6B239D39-E812-4B41-B294-A55BCAB0BBDD}" cache="Slicer_Therapy_Type1" caption="Filter by Therapy" rowHeight="241300"/>
  <slicer name="Payer_Type 1" xr10:uid="{A2EBE5D0-3241-4882-B201-0B4569910C1C}" cache="Slicer_Payer_Type1" caption="Filter by Payer"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licer_Filter_By_Month" xr10:uid="{FD0948DC-F492-4575-B5CF-EE94AE157C9D}" cache="Slicer_Month" caption="Filter by Month" rowHeight="228600"/>
  <slicer name="Slicer_Filter_By_Therapy" xr10:uid="{7FD883A9-7134-4AA6-AEE4-8344E9102CD1}" cache="Slicer_Therapy_Type" caption="Filter by Therapy" rowHeight="228600"/>
  <slicer name="Slicer_Filter_By_Clinic" xr10:uid="{B1C69037-E34D-4908-BD9D-88D61E875290}" cache="Slicer_Clinic" caption="Filter by Clinic" rowHeight="228600"/>
  <slicer name="Payer_Type" xr10:uid="{0415F742-5A23-4EA8-8B43-A0E517C34E68}" cache="Slicer_Payer_Type" caption="Filter by Paye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18D0701-9D61-4BE1-94D5-57076B259579}" name="TherapyRevenueTable" displayName="TherapyRevenueTable" ref="E81:G87" totalsRowShown="0" headerRowDxfId="905" headerRowBorderDxfId="904" tableBorderDxfId="903">
  <autoFilter ref="E81:G87" xr:uid="{D18D0701-9D61-4BE1-94D5-57076B259579}"/>
  <tableColumns count="3">
    <tableColumn id="1" xr3:uid="{771ABF0A-3C19-4C4F-9CB5-B736623DCE69}" name="Therapy Type" dataDxfId="902"/>
    <tableColumn id="2" xr3:uid="{377A0A22-2F57-4479-8441-14EB16EEC68A}" name="Revenue Generated" dataDxfId="901"/>
    <tableColumn id="3" xr3:uid="{2CCEA780-162D-496D-A79E-B8D7FCDF1004}" name="Revenue Lost" dataDxfId="900"/>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047EBA8-3EFE-4F9B-9E86-39D48181A864}" name="Appointments_Tbl" displayName="Appointments_Tbl" ref="A1:X2001" totalsRowShown="0" headerRowDxfId="899" headerRowBorderDxfId="898" tableBorderDxfId="897">
  <autoFilter ref="A1:X2001" xr:uid="{F047EBA8-3EFE-4F9B-9E86-39D48181A864}"/>
  <tableColumns count="24">
    <tableColumn id="1" xr3:uid="{F83E5F8A-FDA9-44A8-BF6A-F1C7771ACAA4}" name="Appointment_ID"/>
    <tableColumn id="2" xr3:uid="{42811EA6-6598-4B69-B193-8E08593780D9}" name="Appointment_Date" dataDxfId="896"/>
    <tableColumn id="3" xr3:uid="{79DB95A9-32A3-48AE-BE10-D0D6B1A6BCBC}" name="Month"/>
    <tableColumn id="4" xr3:uid="{709410D7-7CD0-456F-A75D-E25BAB802158}" name="Day_of_Week"/>
    <tableColumn id="5" xr3:uid="{9F98E4EC-B2F3-4C2A-B5F1-1EF91C8D8AC7}" name="Time_Slot"/>
    <tableColumn id="6" xr3:uid="{029D3DF9-BD02-47F8-B69B-D2DF7EA0C0E1}" name="Clinic"/>
    <tableColumn id="7" xr3:uid="{2C15DF35-62CB-4FD7-8BEC-EA34C29385A7}" name="District"/>
    <tableColumn id="8" xr3:uid="{36768210-D6DE-4C41-B215-83D7B28EB2DB}" name="Therapist"/>
    <tableColumn id="9" xr3:uid="{98802CDA-847C-4871-AE7E-5F693EB0F29C}" name="Patient_ID"/>
    <tableColumn id="10" xr3:uid="{541E5620-F4D3-4D09-9E33-6977EBFF5B14}" name="Patient_Type"/>
    <tableColumn id="11" xr3:uid="{459474E6-73EF-4A3C-8C0A-113865B25032}" name="Therapy_Type"/>
    <tableColumn id="12" xr3:uid="{9393779F-968B-4E3A-97CD-9C0D4A22E3C7}" name="Payer_Type"/>
    <tableColumn id="13" xr3:uid="{39B07A7E-5F54-45C6-B615-460DC708BBD9}" name="Referral_Source"/>
    <tableColumn id="14" xr3:uid="{71AE6236-2948-43B2-8D04-A059B95AF341}" name="Appointment_Status"/>
    <tableColumn id="15" xr3:uid="{758103FF-81AB-4675-92BC-2A86C0A8F216}" name="Scheduled_Minutes"/>
    <tableColumn id="16" xr3:uid="{2D4F83AA-1B48-409D-9C7B-AEF5729225B0}" name="Treated_Minutes"/>
    <tableColumn id="17" xr3:uid="{B82CF6A1-B09B-4F58-91D0-051BA54ED6E9}" name="Allocated_Shift_Capacity_Minutes"/>
    <tableColumn id="18" xr3:uid="{2317E47E-AB2D-4DF9-9C94-9CB82CB115CB}" name="Session_Fee_INR"/>
    <tableColumn id="19" xr3:uid="{5E791A9E-40F2-4BC5-8BB4-D9D6B5D4208C}" name="Revenue_INR"/>
    <tableColumn id="20" xr3:uid="{C34A0B0A-E333-4D54-89C3-FF07A8C790E2}" name="Lost_Revenue_INR"/>
    <tableColumn id="21" xr3:uid="{58CAC444-A62E-4AD4-B18F-F58BEE2A74B8}" name="No_Show_Flag"/>
    <tableColumn id="22" xr3:uid="{6E424CB2-F512-45FC-9436-73AF83104F19}" name="Completed_Flag"/>
    <tableColumn id="23" xr3:uid="{50FE3747-0FDC-4D47-85E7-4E90E0B53BE0}" name="Cancellation_Flag"/>
    <tableColumn id="24" xr3:uid="{9CC7EE03-C032-471C-8CCE-A8249F877F28}" name="Utilization_Targe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Appointment_Date" xr10:uid="{E4779FAD-0241-4769-B99F-673AA78C4A1B}" sourceName="Appointment_Date">
  <pivotTables>
    <pivotTable tabId="6" name="TherapistSummary"/>
    <pivotTable tabId="6" name="AppointmentsByMonth"/>
    <pivotTable tabId="6" name="NoShowByDayOfWeek"/>
    <pivotTable tabId="6" name="Revenue_by_Therapy"/>
    <pivotTable tabId="6" name="StatusByTherapyType"/>
    <pivotTable tabId="6" name="PivotTable1"/>
    <pivotTable tabId="6" name="PivotTable4"/>
  </pivotTables>
  <state minimalRefreshVersion="6" lastRefreshVersion="6" pivotCacheId="2022236653" filterType="dateBetween">
    <selection startDate="2025-01-01T00:00:00" endDate="2025-12-31T00:00:00"/>
    <bounds startDate="2025-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Appointment_Date" xr10:uid="{14F614DF-28B9-43B9-8E81-3A686C2A85D9}" cache="NativeTimeline_Appointment_Date" caption="Appointment Month" showHeader="0" showSelectionLabel="0" showTimeLevel="0" level="2" selectionLevel="0" scrollPosition="2025-01-01T00:00:00" style="TimeSlicerStyleDark5"/>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table" Target="../tables/table1.xml"/><Relationship Id="rId4" Type="http://schemas.openxmlformats.org/officeDocument/2006/relationships/pivotTable" Target="../pivotTables/pivotTable4.xml"/><Relationship Id="rId9"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21400B-0B4D-420D-B79A-9CA5FEB1FE43}">
  <dimension ref="AA8:AB18"/>
  <sheetViews>
    <sheetView tabSelected="1" zoomScale="88" zoomScaleNormal="88" workbookViewId="0">
      <selection activeCell="Z37" sqref="Z37"/>
    </sheetView>
  </sheetViews>
  <sheetFormatPr defaultRowHeight="14.4" x14ac:dyDescent="0.3"/>
  <sheetData>
    <row r="8" spans="27:27" x14ac:dyDescent="0.3">
      <c r="AA8" s="26"/>
    </row>
    <row r="18" spans="28:28" x14ac:dyDescent="0.3">
      <c r="AB18" t="s">
        <v>2835</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E809CF-41D4-48D2-9B81-08092FD993A7}">
  <dimension ref="A1:V121"/>
  <sheetViews>
    <sheetView showGridLines="0" topLeftCell="A14" workbookViewId="0">
      <selection activeCell="X19" sqref="X19"/>
    </sheetView>
  </sheetViews>
  <sheetFormatPr defaultRowHeight="14.4" x14ac:dyDescent="0.3"/>
  <cols>
    <col min="8" max="8" width="12.44140625" bestFit="1" customWidth="1"/>
    <col min="18" max="18" width="9.109375" customWidth="1"/>
  </cols>
  <sheetData>
    <row r="1" spans="1:22" x14ac:dyDescent="0.3">
      <c r="A1" s="72" t="s">
        <v>2777</v>
      </c>
      <c r="B1" s="72"/>
      <c r="C1" s="72"/>
      <c r="D1" s="72"/>
      <c r="E1" s="72"/>
      <c r="F1" s="72"/>
      <c r="G1" s="72"/>
      <c r="H1" s="72"/>
      <c r="I1" s="72"/>
      <c r="J1" s="72"/>
      <c r="K1" s="72"/>
      <c r="L1" s="72"/>
      <c r="M1" s="72"/>
      <c r="N1" s="72"/>
      <c r="O1" s="72"/>
      <c r="P1" s="72" t="s">
        <v>2831</v>
      </c>
      <c r="Q1" s="72"/>
      <c r="R1" s="72"/>
      <c r="S1" s="72"/>
      <c r="T1" s="72"/>
      <c r="U1" s="39"/>
    </row>
    <row r="2" spans="1:22" x14ac:dyDescent="0.3">
      <c r="A2" s="72"/>
      <c r="B2" s="72"/>
      <c r="C2" s="72"/>
      <c r="D2" s="72"/>
      <c r="E2" s="72"/>
      <c r="F2" s="72"/>
      <c r="G2" s="72"/>
      <c r="H2" s="72"/>
      <c r="I2" s="72"/>
      <c r="J2" s="72"/>
      <c r="K2" s="72"/>
      <c r="L2" s="72"/>
      <c r="M2" s="72"/>
      <c r="N2" s="72"/>
      <c r="O2" s="72"/>
      <c r="P2" s="72"/>
      <c r="Q2" s="72"/>
      <c r="R2" s="72"/>
      <c r="S2" s="72"/>
      <c r="T2" s="72"/>
      <c r="U2" s="39"/>
    </row>
    <row r="3" spans="1:22" ht="15" customHeight="1" x14ac:dyDescent="0.3">
      <c r="A3" s="80" t="s">
        <v>2783</v>
      </c>
      <c r="B3" s="80"/>
      <c r="C3" s="80"/>
      <c r="D3" s="80"/>
      <c r="E3" s="80"/>
      <c r="F3" s="80" t="s">
        <v>2784</v>
      </c>
      <c r="G3" s="80"/>
      <c r="H3" s="80"/>
      <c r="I3" s="80"/>
      <c r="J3" s="80"/>
      <c r="K3" s="80" t="s">
        <v>2785</v>
      </c>
      <c r="L3" s="80"/>
      <c r="M3" s="80"/>
      <c r="N3" s="80"/>
      <c r="O3" s="80"/>
      <c r="P3" s="80" t="s">
        <v>2786</v>
      </c>
      <c r="Q3" s="80"/>
      <c r="R3" s="80"/>
      <c r="S3" s="80"/>
      <c r="T3" s="80"/>
      <c r="U3" s="39"/>
    </row>
    <row r="4" spans="1:22" ht="15" customHeight="1" thickBot="1" x14ac:dyDescent="0.35">
      <c r="A4" s="80"/>
      <c r="B4" s="80"/>
      <c r="C4" s="80"/>
      <c r="D4" s="80"/>
      <c r="E4" s="80"/>
      <c r="F4" s="80"/>
      <c r="G4" s="80"/>
      <c r="H4" s="80"/>
      <c r="I4" s="80"/>
      <c r="J4" s="80"/>
      <c r="K4" s="80"/>
      <c r="L4" s="80"/>
      <c r="M4" s="80"/>
      <c r="N4" s="80"/>
      <c r="O4" s="80"/>
      <c r="P4" s="80"/>
      <c r="Q4" s="80"/>
      <c r="R4" s="80"/>
      <c r="S4" s="80"/>
      <c r="T4" s="80"/>
      <c r="U4" s="39"/>
    </row>
    <row r="5" spans="1:22" ht="15.6" thickTop="1" thickBot="1" x14ac:dyDescent="0.35">
      <c r="A5" s="74"/>
      <c r="B5" s="74"/>
      <c r="C5" s="74"/>
      <c r="D5" s="74"/>
      <c r="E5" s="74"/>
      <c r="F5" s="75"/>
      <c r="G5" s="75"/>
      <c r="H5" s="75"/>
      <c r="I5" s="75"/>
      <c r="J5" s="75"/>
      <c r="K5" s="76"/>
      <c r="L5" s="76"/>
      <c r="M5" s="76"/>
      <c r="N5" s="76"/>
      <c r="O5" s="76"/>
      <c r="P5" s="77"/>
      <c r="Q5" s="77"/>
      <c r="R5" s="77"/>
      <c r="S5" s="77"/>
      <c r="T5" s="77"/>
      <c r="U5" s="39"/>
    </row>
    <row r="6" spans="1:22" ht="15.6" thickTop="1" thickBot="1" x14ac:dyDescent="0.35">
      <c r="A6" s="74"/>
      <c r="B6" s="74"/>
      <c r="C6" s="74"/>
      <c r="D6" s="74"/>
      <c r="E6" s="74"/>
      <c r="F6" s="75"/>
      <c r="G6" s="75"/>
      <c r="H6" s="75"/>
      <c r="I6" s="75"/>
      <c r="J6" s="75"/>
      <c r="K6" s="76"/>
      <c r="L6" s="76"/>
      <c r="M6" s="76"/>
      <c r="N6" s="76"/>
      <c r="O6" s="76"/>
      <c r="P6" s="77"/>
      <c r="Q6" s="77"/>
      <c r="R6" s="77"/>
      <c r="S6" s="77"/>
      <c r="T6" s="77"/>
      <c r="U6" s="39"/>
    </row>
    <row r="7" spans="1:22" ht="15" thickTop="1" x14ac:dyDescent="0.3">
      <c r="A7" s="78">
        <f>GETPIVOTDATA("Total Revenue Generated",Pivot_Data!$A$5)</f>
        <v>1990900</v>
      </c>
      <c r="B7" s="78"/>
      <c r="C7" s="78"/>
      <c r="D7" s="78"/>
      <c r="E7" s="78"/>
      <c r="F7" s="79">
        <f>GETPIVOTDATA("Overall No-Show Rate",Pivot_Data!$A$5)</f>
        <v>0.151</v>
      </c>
      <c r="G7" s="79"/>
      <c r="H7" s="79"/>
      <c r="I7" s="79"/>
      <c r="J7" s="79"/>
      <c r="K7" s="79">
        <f>Pivot_Data!D6</f>
        <v>0.62495010157102504</v>
      </c>
      <c r="L7" s="79"/>
      <c r="M7" s="79"/>
      <c r="N7" s="79"/>
      <c r="O7" s="79"/>
      <c r="P7" s="81">
        <f>GETPIVOTDATA("Total Lost Revenue",Pivot_Data!$A$5)</f>
        <v>543350</v>
      </c>
      <c r="Q7" s="81"/>
      <c r="R7" s="81"/>
      <c r="S7" s="81"/>
      <c r="T7" s="81"/>
      <c r="U7" s="39"/>
    </row>
    <row r="8" spans="1:22" x14ac:dyDescent="0.3">
      <c r="A8" s="78"/>
      <c r="B8" s="78"/>
      <c r="C8" s="78"/>
      <c r="D8" s="78"/>
      <c r="E8" s="78"/>
      <c r="F8" s="79"/>
      <c r="G8" s="79"/>
      <c r="H8" s="79"/>
      <c r="I8" s="79"/>
      <c r="J8" s="79"/>
      <c r="K8" s="79"/>
      <c r="L8" s="79"/>
      <c r="M8" s="79"/>
      <c r="N8" s="79"/>
      <c r="O8" s="79"/>
      <c r="P8" s="81"/>
      <c r="Q8" s="81"/>
      <c r="R8" s="81"/>
      <c r="S8" s="81"/>
      <c r="T8" s="81"/>
      <c r="U8" s="39"/>
    </row>
    <row r="9" spans="1:22" x14ac:dyDescent="0.3">
      <c r="A9" s="78"/>
      <c r="B9" s="78"/>
      <c r="C9" s="78"/>
      <c r="D9" s="78"/>
      <c r="E9" s="78"/>
      <c r="F9" s="79"/>
      <c r="G9" s="79"/>
      <c r="H9" s="79"/>
      <c r="I9" s="79"/>
      <c r="J9" s="79"/>
      <c r="K9" s="79"/>
      <c r="L9" s="79"/>
      <c r="M9" s="79"/>
      <c r="N9" s="79"/>
      <c r="O9" s="79"/>
      <c r="P9" s="81"/>
      <c r="Q9" s="81"/>
      <c r="R9" s="81"/>
      <c r="S9" s="81"/>
      <c r="T9" s="81"/>
      <c r="U9" s="39"/>
    </row>
    <row r="10" spans="1:22" ht="15" customHeight="1" x14ac:dyDescent="0.3">
      <c r="A10" s="73" t="s">
        <v>2787</v>
      </c>
      <c r="B10" s="73"/>
      <c r="C10" s="73"/>
      <c r="D10" s="73"/>
      <c r="E10" s="73"/>
      <c r="F10" s="73" t="s">
        <v>2788</v>
      </c>
      <c r="G10" s="73"/>
      <c r="H10" s="73"/>
      <c r="I10" s="73"/>
      <c r="J10" s="73"/>
      <c r="K10" s="73" t="s">
        <v>2789</v>
      </c>
      <c r="L10" s="73"/>
      <c r="M10" s="73"/>
      <c r="N10" s="73"/>
      <c r="O10" s="73"/>
      <c r="P10" s="73" t="s">
        <v>2790</v>
      </c>
      <c r="Q10" s="73"/>
      <c r="R10" s="73"/>
      <c r="S10" s="73"/>
      <c r="T10" s="73"/>
      <c r="U10" s="39"/>
    </row>
    <row r="11" spans="1:22" ht="15" customHeight="1" thickBot="1" x14ac:dyDescent="0.35">
      <c r="A11" s="73"/>
      <c r="B11" s="73"/>
      <c r="C11" s="73"/>
      <c r="D11" s="73"/>
      <c r="E11" s="73"/>
      <c r="F11" s="73"/>
      <c r="G11" s="73"/>
      <c r="H11" s="73"/>
      <c r="I11" s="73"/>
      <c r="J11" s="73"/>
      <c r="K11" s="73"/>
      <c r="L11" s="73"/>
      <c r="M11" s="73"/>
      <c r="N11" s="73"/>
      <c r="O11" s="73"/>
      <c r="P11" s="73"/>
      <c r="Q11" s="73"/>
      <c r="R11" s="73"/>
      <c r="S11" s="73"/>
      <c r="T11" s="73"/>
      <c r="U11" s="39"/>
    </row>
    <row r="12" spans="1:22" ht="15.6" thickTop="1" thickBot="1" x14ac:dyDescent="0.35">
      <c r="A12" s="74"/>
      <c r="B12" s="74"/>
      <c r="C12" s="74"/>
      <c r="D12" s="74"/>
      <c r="E12" s="74"/>
      <c r="F12" s="75"/>
      <c r="G12" s="75"/>
      <c r="H12" s="75"/>
      <c r="I12" s="75"/>
      <c r="J12" s="75"/>
      <c r="K12" s="76"/>
      <c r="L12" s="76"/>
      <c r="M12" s="76"/>
      <c r="N12" s="76"/>
      <c r="O12" s="76"/>
      <c r="P12" s="77"/>
      <c r="Q12" s="77"/>
      <c r="R12" s="77"/>
      <c r="S12" s="77"/>
      <c r="T12" s="77"/>
      <c r="U12" s="39"/>
    </row>
    <row r="13" spans="1:22" ht="15.6" thickTop="1" thickBot="1" x14ac:dyDescent="0.35">
      <c r="A13" s="74"/>
      <c r="B13" s="74"/>
      <c r="C13" s="74"/>
      <c r="D13" s="74"/>
      <c r="E13" s="74"/>
      <c r="F13" s="75"/>
      <c r="G13" s="75"/>
      <c r="H13" s="75"/>
      <c r="I13" s="75"/>
      <c r="J13" s="75"/>
      <c r="K13" s="76"/>
      <c r="L13" s="76"/>
      <c r="M13" s="76"/>
      <c r="N13" s="76"/>
      <c r="O13" s="76"/>
      <c r="P13" s="77"/>
      <c r="Q13" s="77"/>
      <c r="R13" s="77"/>
      <c r="S13" s="77"/>
      <c r="T13" s="77"/>
      <c r="U13" s="39"/>
    </row>
    <row r="14" spans="1:22" ht="15" thickTop="1" x14ac:dyDescent="0.3">
      <c r="A14" s="39"/>
      <c r="B14" s="39"/>
      <c r="C14" s="39"/>
      <c r="D14" s="39"/>
      <c r="E14" s="39"/>
      <c r="F14" s="39"/>
      <c r="G14" s="39"/>
      <c r="H14" s="39"/>
      <c r="I14" s="39"/>
      <c r="J14" s="39"/>
      <c r="K14" s="39"/>
      <c r="L14" s="39"/>
      <c r="M14" s="39"/>
      <c r="N14" s="39"/>
      <c r="O14" s="39"/>
      <c r="P14" s="39"/>
      <c r="Q14" s="39"/>
      <c r="R14" s="39"/>
      <c r="S14" s="39"/>
      <c r="T14" s="39"/>
      <c r="U14" s="39"/>
      <c r="V14" s="36"/>
    </row>
    <row r="15" spans="1:22" ht="15" customHeight="1" thickBot="1" x14ac:dyDescent="0.35">
      <c r="A15" s="39"/>
      <c r="B15" s="39"/>
      <c r="C15" s="39"/>
      <c r="D15" s="39"/>
      <c r="E15" s="39"/>
      <c r="F15" s="39"/>
      <c r="G15" s="39"/>
      <c r="H15" s="39"/>
      <c r="I15" s="39"/>
      <c r="J15" s="39"/>
      <c r="K15" s="39"/>
      <c r="L15" s="39"/>
      <c r="M15" s="39"/>
      <c r="N15" s="39"/>
      <c r="O15" s="39"/>
      <c r="P15" s="39"/>
      <c r="Q15" s="39"/>
      <c r="R15" s="39"/>
      <c r="S15" s="39"/>
      <c r="T15" s="39"/>
      <c r="U15" s="39"/>
    </row>
    <row r="16" spans="1:22" ht="15.75" customHeight="1" thickTop="1" thickBot="1" x14ac:dyDescent="0.35">
      <c r="A16" s="39"/>
      <c r="B16" s="39"/>
      <c r="C16" s="39"/>
      <c r="D16" s="39"/>
      <c r="E16" s="65" t="s">
        <v>2791</v>
      </c>
      <c r="F16" s="65"/>
      <c r="G16" s="65"/>
      <c r="H16" s="65"/>
      <c r="I16" s="65"/>
      <c r="J16" s="65"/>
      <c r="K16" s="65" t="s">
        <v>2823</v>
      </c>
      <c r="L16" s="65"/>
      <c r="M16" s="65"/>
      <c r="N16" s="65"/>
      <c r="O16" s="65"/>
      <c r="P16" s="65"/>
      <c r="Q16" s="65"/>
      <c r="R16" s="65"/>
      <c r="S16" s="65"/>
      <c r="T16" s="65"/>
      <c r="U16" s="39"/>
    </row>
    <row r="17" spans="1:21" ht="15" customHeight="1" thickTop="1" thickBot="1" x14ac:dyDescent="0.35">
      <c r="A17" s="39"/>
      <c r="B17" s="39"/>
      <c r="C17" s="39"/>
      <c r="D17" s="39"/>
      <c r="E17" s="65"/>
      <c r="F17" s="65"/>
      <c r="G17" s="65"/>
      <c r="H17" s="65"/>
      <c r="I17" s="65"/>
      <c r="J17" s="65"/>
      <c r="K17" s="65"/>
      <c r="L17" s="65"/>
      <c r="M17" s="65"/>
      <c r="N17" s="65"/>
      <c r="O17" s="65"/>
      <c r="P17" s="65"/>
      <c r="Q17" s="65"/>
      <c r="R17" s="65"/>
      <c r="S17" s="65"/>
      <c r="T17" s="65"/>
      <c r="U17" s="39"/>
    </row>
    <row r="18" spans="1:21" ht="15.6" thickTop="1" thickBot="1" x14ac:dyDescent="0.35">
      <c r="A18" s="39"/>
      <c r="B18" s="39"/>
      <c r="C18" s="39"/>
      <c r="D18" s="39"/>
      <c r="E18" s="39"/>
      <c r="F18" s="39"/>
      <c r="G18" s="39"/>
      <c r="H18" s="39"/>
      <c r="I18" s="39"/>
      <c r="J18" s="39"/>
      <c r="K18" s="39"/>
      <c r="L18" s="39"/>
      <c r="M18" s="39"/>
      <c r="N18" s="39"/>
      <c r="O18" s="39"/>
      <c r="P18" s="39"/>
      <c r="Q18" s="39"/>
      <c r="R18" s="39"/>
      <c r="S18" s="39"/>
      <c r="T18" s="39"/>
      <c r="U18" s="39"/>
    </row>
    <row r="19" spans="1:21" ht="15.6" thickTop="1" thickBot="1" x14ac:dyDescent="0.35">
      <c r="A19" s="39"/>
      <c r="B19" s="39"/>
      <c r="C19" s="39"/>
      <c r="D19" s="39"/>
      <c r="E19" s="71" t="s">
        <v>39</v>
      </c>
      <c r="F19" s="71"/>
      <c r="G19" s="71"/>
      <c r="H19" s="70">
        <f>INDEX(Pivot_Data!$A$36:$D$43,MATCH(Dashboard_Final!E19,Pivot_Data!$A$36:$A$43,0),4)</f>
        <v>0.19085487077534791</v>
      </c>
      <c r="I19" s="70"/>
      <c r="J19" s="70"/>
      <c r="K19" s="39"/>
      <c r="L19" s="39"/>
      <c r="M19" s="39"/>
      <c r="N19" s="39"/>
      <c r="O19" s="39"/>
      <c r="P19" s="39"/>
      <c r="Q19" s="39"/>
      <c r="R19" s="39"/>
      <c r="S19" s="39"/>
      <c r="T19" s="39"/>
      <c r="U19" s="39"/>
    </row>
    <row r="20" spans="1:21" ht="15.6" thickTop="1" thickBot="1" x14ac:dyDescent="0.35">
      <c r="A20" s="39"/>
      <c r="B20" s="39"/>
      <c r="C20" s="39"/>
      <c r="D20" s="39"/>
      <c r="E20" s="71"/>
      <c r="F20" s="71"/>
      <c r="G20" s="71"/>
      <c r="H20" s="70"/>
      <c r="I20" s="70"/>
      <c r="J20" s="70"/>
      <c r="K20" s="39"/>
      <c r="L20" s="39"/>
      <c r="M20" s="39"/>
      <c r="N20" s="39"/>
      <c r="O20" s="39"/>
      <c r="P20" s="39"/>
      <c r="Q20" s="39"/>
      <c r="R20" s="39"/>
      <c r="S20" s="39"/>
      <c r="T20" s="39"/>
      <c r="U20" s="39"/>
    </row>
    <row r="21" spans="1:21" ht="15.6" thickTop="1" thickBot="1" x14ac:dyDescent="0.35">
      <c r="A21" s="39"/>
      <c r="B21" s="39"/>
      <c r="C21" s="39"/>
      <c r="D21" s="39"/>
      <c r="E21" s="71" t="s">
        <v>26</v>
      </c>
      <c r="F21" s="71"/>
      <c r="G21" s="71"/>
      <c r="H21" s="70">
        <f>INDEX(Pivot_Data!$A$36:$D$43,MATCH(Dashboard_Final!E21,Pivot_Data!$A$36:$A$43,0),4)</f>
        <v>0.14331210191082802</v>
      </c>
      <c r="I21" s="70"/>
      <c r="J21" s="70"/>
      <c r="K21" s="39"/>
      <c r="L21" s="39"/>
      <c r="M21" s="39"/>
      <c r="N21" s="39"/>
      <c r="O21" s="39"/>
      <c r="P21" s="39"/>
      <c r="Q21" s="39"/>
      <c r="R21" s="39"/>
      <c r="S21" s="39"/>
      <c r="T21" s="39"/>
      <c r="U21" s="39"/>
    </row>
    <row r="22" spans="1:21" ht="15.6" thickTop="1" thickBot="1" x14ac:dyDescent="0.35">
      <c r="A22" s="39"/>
      <c r="B22" s="39"/>
      <c r="C22" s="39"/>
      <c r="D22" s="39"/>
      <c r="E22" s="71"/>
      <c r="F22" s="71"/>
      <c r="G22" s="71"/>
      <c r="H22" s="70"/>
      <c r="I22" s="70"/>
      <c r="J22" s="70"/>
      <c r="K22" s="39"/>
      <c r="L22" s="39"/>
      <c r="M22" s="39"/>
      <c r="N22" s="39"/>
      <c r="O22" s="39"/>
      <c r="P22" s="39"/>
      <c r="Q22" s="39"/>
      <c r="R22" s="39"/>
      <c r="S22" s="39"/>
      <c r="T22" s="39"/>
      <c r="U22" s="39"/>
    </row>
    <row r="23" spans="1:21" ht="15.6" thickTop="1" thickBot="1" x14ac:dyDescent="0.35">
      <c r="A23" s="39"/>
      <c r="B23" s="39"/>
      <c r="C23" s="39"/>
      <c r="D23" s="39"/>
      <c r="E23" s="71" t="s">
        <v>57</v>
      </c>
      <c r="F23" s="71"/>
      <c r="G23" s="71"/>
      <c r="H23" s="70">
        <f>INDEX(Pivot_Data!$A$36:$D$43,MATCH(Dashboard_Final!E23,Pivot_Data!$A$36:$A$43,0),4)</f>
        <v>0.14576271186440679</v>
      </c>
      <c r="I23" s="70"/>
      <c r="J23" s="70"/>
      <c r="K23" s="39"/>
      <c r="L23" s="39"/>
      <c r="M23" s="39"/>
      <c r="N23" s="39"/>
      <c r="O23" s="39"/>
      <c r="P23" s="39"/>
      <c r="Q23" s="39"/>
      <c r="R23" s="39"/>
      <c r="S23" s="39"/>
      <c r="T23" s="39"/>
      <c r="U23" s="39"/>
    </row>
    <row r="24" spans="1:21" ht="15.6" thickTop="1" thickBot="1" x14ac:dyDescent="0.35">
      <c r="A24" s="39"/>
      <c r="B24" s="39"/>
      <c r="C24" s="39"/>
      <c r="D24" s="39"/>
      <c r="E24" s="71"/>
      <c r="F24" s="71"/>
      <c r="G24" s="71"/>
      <c r="H24" s="70"/>
      <c r="I24" s="70"/>
      <c r="J24" s="70"/>
      <c r="K24" s="39"/>
      <c r="L24" s="39"/>
      <c r="M24" s="39"/>
      <c r="N24" s="39"/>
      <c r="O24" s="39"/>
      <c r="P24" s="39"/>
      <c r="Q24" s="39"/>
      <c r="R24" s="39"/>
      <c r="S24" s="39"/>
      <c r="T24" s="39"/>
      <c r="U24" s="39"/>
    </row>
    <row r="25" spans="1:21" ht="15.6" thickTop="1" thickBot="1" x14ac:dyDescent="0.35">
      <c r="A25" s="39"/>
      <c r="B25" s="39"/>
      <c r="C25" s="39"/>
      <c r="D25" s="39"/>
      <c r="E25" s="71" t="s">
        <v>50</v>
      </c>
      <c r="F25" s="71"/>
      <c r="G25" s="71"/>
      <c r="H25" s="70">
        <f>INDEX(Pivot_Data!$A$36:$D$43,MATCH(Dashboard_Final!E25,Pivot_Data!$A$36:$A$43,0),4)</f>
        <v>0.11481481481481481</v>
      </c>
      <c r="I25" s="70"/>
      <c r="J25" s="70"/>
      <c r="K25" s="39"/>
      <c r="L25" s="39"/>
      <c r="M25" s="39"/>
      <c r="N25" s="39"/>
      <c r="O25" s="39"/>
      <c r="P25" s="39"/>
      <c r="Q25" s="39"/>
      <c r="R25" s="39"/>
      <c r="S25" s="39"/>
      <c r="T25" s="39"/>
      <c r="U25" s="39"/>
    </row>
    <row r="26" spans="1:21" ht="15.6" thickTop="1" thickBot="1" x14ac:dyDescent="0.35">
      <c r="A26" s="39"/>
      <c r="B26" s="39"/>
      <c r="C26" s="39"/>
      <c r="D26" s="39"/>
      <c r="E26" s="71"/>
      <c r="F26" s="71"/>
      <c r="G26" s="71"/>
      <c r="H26" s="70"/>
      <c r="I26" s="70"/>
      <c r="J26" s="70"/>
      <c r="K26" s="39"/>
      <c r="L26" s="39"/>
      <c r="M26" s="39"/>
      <c r="N26" s="39"/>
      <c r="O26" s="39"/>
      <c r="P26" s="39"/>
      <c r="Q26" s="39"/>
      <c r="R26" s="39"/>
      <c r="S26" s="39"/>
      <c r="T26" s="39"/>
      <c r="U26" s="39"/>
    </row>
    <row r="27" spans="1:21" ht="15.6" thickTop="1" thickBot="1" x14ac:dyDescent="0.35">
      <c r="A27" s="39"/>
      <c r="B27" s="39"/>
      <c r="C27" s="39"/>
      <c r="D27" s="39"/>
      <c r="E27" s="71" t="s">
        <v>82</v>
      </c>
      <c r="F27" s="71"/>
      <c r="G27" s="71"/>
      <c r="H27" s="70">
        <f>INDEX(Pivot_Data!$A$36:$D$43,MATCH(Dashboard_Final!E27,Pivot_Data!$A$36:$A$43,0),4)</f>
        <v>0.1118421052631579</v>
      </c>
      <c r="I27" s="70"/>
      <c r="J27" s="70"/>
      <c r="K27" s="39"/>
      <c r="L27" s="39"/>
      <c r="M27" s="39"/>
      <c r="N27" s="39"/>
      <c r="O27" s="39"/>
      <c r="P27" s="39"/>
      <c r="Q27" s="39"/>
      <c r="R27" s="39"/>
      <c r="S27" s="39"/>
      <c r="T27" s="39"/>
      <c r="U27" s="39"/>
    </row>
    <row r="28" spans="1:21" ht="15.6" thickTop="1" thickBot="1" x14ac:dyDescent="0.35">
      <c r="A28" s="39"/>
      <c r="B28" s="39"/>
      <c r="C28" s="39"/>
      <c r="D28" s="39"/>
      <c r="E28" s="71"/>
      <c r="F28" s="71"/>
      <c r="G28" s="71"/>
      <c r="H28" s="70"/>
      <c r="I28" s="70"/>
      <c r="J28" s="70"/>
      <c r="K28" s="39"/>
      <c r="L28" s="39"/>
      <c r="M28" s="39"/>
      <c r="N28" s="39"/>
      <c r="O28" s="39"/>
      <c r="P28" s="39"/>
      <c r="Q28" s="39"/>
      <c r="R28" s="39"/>
      <c r="S28" s="39"/>
      <c r="T28" s="39"/>
      <c r="U28" s="39"/>
    </row>
    <row r="29" spans="1:21" ht="15.6" thickTop="1" thickBot="1" x14ac:dyDescent="0.35">
      <c r="A29" s="39"/>
      <c r="B29" s="39"/>
      <c r="C29" s="39"/>
      <c r="D29" s="39"/>
      <c r="E29" s="71" t="s">
        <v>88</v>
      </c>
      <c r="F29" s="71"/>
      <c r="G29" s="71"/>
      <c r="H29" s="70">
        <f>INDEX(Pivot_Data!$A$36:$D$43,MATCH(Dashboard_Final!E29,Pivot_Data!$A$36:$A$43,0),4)</f>
        <v>0.18021201413427562</v>
      </c>
      <c r="I29" s="70"/>
      <c r="J29" s="70"/>
      <c r="K29" s="39"/>
      <c r="L29" s="39"/>
      <c r="M29" s="39"/>
      <c r="N29" s="39"/>
      <c r="O29" s="39"/>
      <c r="P29" s="39"/>
      <c r="Q29" s="39"/>
      <c r="R29" s="39"/>
      <c r="S29" s="39"/>
      <c r="T29" s="39"/>
      <c r="U29" s="39"/>
    </row>
    <row r="30" spans="1:21" ht="15.6" thickTop="1" thickBot="1" x14ac:dyDescent="0.35">
      <c r="A30" s="39"/>
      <c r="B30" s="39"/>
      <c r="C30" s="39"/>
      <c r="D30" s="39"/>
      <c r="E30" s="71"/>
      <c r="F30" s="71"/>
      <c r="G30" s="71"/>
      <c r="H30" s="70"/>
      <c r="I30" s="70"/>
      <c r="J30" s="70"/>
      <c r="K30" s="39"/>
      <c r="L30" s="39"/>
      <c r="M30" s="39"/>
      <c r="N30" s="39"/>
      <c r="O30" s="39"/>
      <c r="P30" s="39"/>
      <c r="Q30" s="39"/>
      <c r="R30" s="39"/>
      <c r="S30" s="39"/>
      <c r="T30" s="39"/>
      <c r="U30" s="39"/>
    </row>
    <row r="31" spans="1:21" ht="15.6" thickTop="1" thickBot="1" x14ac:dyDescent="0.35">
      <c r="A31" s="39"/>
      <c r="B31" s="39"/>
      <c r="C31" s="39"/>
      <c r="D31" s="39"/>
      <c r="E31" s="71" t="s">
        <v>287</v>
      </c>
      <c r="F31" s="71"/>
      <c r="G31" s="71"/>
      <c r="H31" s="70">
        <f>INDEX(Pivot_Data!$A$36:$D$43,MATCH(Dashboard_Final!E31,Pivot_Data!$A$36:$A$43,0),4)</f>
        <v>6.4516129032258063E-2</v>
      </c>
      <c r="I31" s="70"/>
      <c r="J31" s="70"/>
      <c r="K31" s="39"/>
      <c r="L31" s="39"/>
      <c r="M31" s="39"/>
      <c r="N31" s="39"/>
      <c r="O31" s="39"/>
      <c r="P31" s="39"/>
      <c r="Q31" s="39"/>
      <c r="R31" s="39"/>
      <c r="S31" s="39"/>
      <c r="T31" s="39"/>
      <c r="U31" s="39"/>
    </row>
    <row r="32" spans="1:21" ht="15.6" thickTop="1" thickBot="1" x14ac:dyDescent="0.35">
      <c r="A32" s="39"/>
      <c r="B32" s="39"/>
      <c r="C32" s="39"/>
      <c r="D32" s="39"/>
      <c r="E32" s="71"/>
      <c r="F32" s="71"/>
      <c r="G32" s="71"/>
      <c r="H32" s="70"/>
      <c r="I32" s="70"/>
      <c r="J32" s="70"/>
      <c r="K32" s="39"/>
      <c r="L32" s="39"/>
      <c r="M32" s="39"/>
      <c r="N32" s="39"/>
      <c r="O32" s="39"/>
      <c r="P32" s="39"/>
      <c r="Q32" s="39"/>
      <c r="R32" s="39"/>
      <c r="S32" s="39"/>
      <c r="T32" s="39"/>
      <c r="U32" s="39"/>
    </row>
    <row r="33" spans="1:21" ht="15" thickTop="1" x14ac:dyDescent="0.3">
      <c r="A33" s="39"/>
      <c r="B33" s="39"/>
      <c r="C33" s="39"/>
      <c r="D33" s="39"/>
      <c r="E33" s="39"/>
      <c r="F33" s="39"/>
      <c r="G33" s="39"/>
      <c r="H33" s="39"/>
      <c r="I33" s="39"/>
      <c r="J33" s="39"/>
      <c r="K33" s="39"/>
      <c r="L33" s="39"/>
      <c r="M33" s="39"/>
      <c r="N33" s="39"/>
      <c r="O33" s="39"/>
      <c r="P33" s="39"/>
      <c r="Q33" s="39"/>
      <c r="R33" s="39"/>
      <c r="S33" s="39"/>
      <c r="T33" s="39"/>
      <c r="U33" s="39"/>
    </row>
    <row r="34" spans="1:21" x14ac:dyDescent="0.3">
      <c r="A34" s="39"/>
      <c r="B34" s="39"/>
      <c r="C34" s="39"/>
      <c r="D34" s="39"/>
      <c r="E34" s="39"/>
      <c r="F34" s="39"/>
      <c r="G34" s="39"/>
      <c r="H34" s="39"/>
      <c r="I34" s="39"/>
      <c r="J34" s="39"/>
      <c r="K34" s="39"/>
      <c r="L34" s="39"/>
      <c r="M34" s="39"/>
      <c r="N34" s="39"/>
      <c r="O34" s="39"/>
      <c r="P34" s="39"/>
      <c r="Q34" s="39"/>
      <c r="R34" s="39"/>
      <c r="S34" s="39"/>
      <c r="T34" s="39"/>
      <c r="U34" s="39"/>
    </row>
    <row r="35" spans="1:21" ht="15" thickBot="1" x14ac:dyDescent="0.35">
      <c r="A35" s="39"/>
      <c r="B35" s="39"/>
      <c r="C35" s="39"/>
      <c r="D35" s="39"/>
      <c r="E35" s="39"/>
      <c r="F35" s="39"/>
      <c r="G35" s="39"/>
      <c r="H35" s="39"/>
      <c r="I35" s="39"/>
      <c r="J35" s="39"/>
      <c r="K35" s="39"/>
      <c r="L35" s="39"/>
      <c r="M35" s="39"/>
      <c r="N35" s="39"/>
      <c r="O35" s="39"/>
      <c r="P35" s="39"/>
      <c r="Q35" s="39"/>
      <c r="R35" s="39"/>
      <c r="S35" s="39"/>
      <c r="T35" s="39"/>
      <c r="U35" s="39"/>
    </row>
    <row r="36" spans="1:21" ht="15" customHeight="1" thickTop="1" thickBot="1" x14ac:dyDescent="0.35">
      <c r="A36" s="39"/>
      <c r="B36" s="39"/>
      <c r="C36" s="39"/>
      <c r="D36" s="39"/>
      <c r="E36" s="65" t="s">
        <v>2811</v>
      </c>
      <c r="F36" s="65"/>
      <c r="G36" s="65"/>
      <c r="H36" s="65"/>
      <c r="I36" s="65"/>
      <c r="J36" s="65"/>
      <c r="K36" s="59" t="s">
        <v>2827</v>
      </c>
      <c r="L36" s="60"/>
      <c r="M36" s="60"/>
      <c r="N36" s="60"/>
      <c r="O36" s="60"/>
      <c r="P36" s="60"/>
      <c r="Q36" s="60"/>
      <c r="R36" s="60"/>
      <c r="S36" s="60"/>
      <c r="T36" s="61"/>
      <c r="U36" s="39"/>
    </row>
    <row r="37" spans="1:21" ht="15" customHeight="1" thickTop="1" thickBot="1" x14ac:dyDescent="0.35">
      <c r="A37" s="39"/>
      <c r="B37" s="39"/>
      <c r="C37" s="39"/>
      <c r="D37" s="39"/>
      <c r="E37" s="65"/>
      <c r="F37" s="65"/>
      <c r="G37" s="65"/>
      <c r="H37" s="65"/>
      <c r="I37" s="65"/>
      <c r="J37" s="65"/>
      <c r="K37" s="62"/>
      <c r="L37" s="63"/>
      <c r="M37" s="63"/>
      <c r="N37" s="63"/>
      <c r="O37" s="63"/>
      <c r="P37" s="63"/>
      <c r="Q37" s="63"/>
      <c r="R37" s="63"/>
      <c r="S37" s="63"/>
      <c r="T37" s="64"/>
      <c r="U37" s="39"/>
    </row>
    <row r="38" spans="1:21" ht="15.6" thickTop="1" thickBot="1" x14ac:dyDescent="0.35">
      <c r="A38" s="39"/>
      <c r="B38" s="39"/>
      <c r="C38" s="39"/>
      <c r="D38" s="39"/>
      <c r="E38" s="39"/>
      <c r="F38" s="39"/>
      <c r="G38" s="39"/>
      <c r="H38" s="39"/>
      <c r="I38" s="39"/>
      <c r="J38" s="39"/>
      <c r="K38" s="39"/>
      <c r="L38" s="39"/>
      <c r="M38" s="39"/>
      <c r="N38" s="39"/>
      <c r="O38" s="39"/>
      <c r="P38" s="39"/>
      <c r="Q38" s="39"/>
      <c r="R38" s="39"/>
      <c r="S38" s="39"/>
      <c r="T38" s="39"/>
      <c r="U38" s="39"/>
    </row>
    <row r="39" spans="1:21" ht="16.8" thickTop="1" thickBot="1" x14ac:dyDescent="0.35">
      <c r="A39" s="39"/>
      <c r="B39" s="39"/>
      <c r="C39" s="39"/>
      <c r="D39" s="39"/>
      <c r="E39" s="66" t="s">
        <v>7</v>
      </c>
      <c r="F39" s="66"/>
      <c r="G39" s="66"/>
      <c r="H39" s="67" t="s">
        <v>117</v>
      </c>
      <c r="I39" s="67"/>
      <c r="J39" s="67"/>
      <c r="K39" s="39"/>
      <c r="L39" s="39"/>
      <c r="M39" s="39"/>
      <c r="N39" s="39"/>
      <c r="O39" s="39"/>
      <c r="P39" s="39"/>
      <c r="Q39" s="39"/>
      <c r="R39" s="39"/>
      <c r="S39" s="39"/>
      <c r="T39" s="39"/>
      <c r="U39" s="39"/>
    </row>
    <row r="40" spans="1:21" ht="16.8" thickTop="1" thickBot="1" x14ac:dyDescent="0.35">
      <c r="A40" s="39"/>
      <c r="B40" s="39"/>
      <c r="C40" s="39"/>
      <c r="D40" s="39"/>
      <c r="E40" s="66" t="s">
        <v>2781</v>
      </c>
      <c r="F40" s="66"/>
      <c r="G40" s="66"/>
      <c r="H40" s="68">
        <f>_xlfn.IFNA(INDEX(Pivot_Data!$A$12:$G$27,MATCH($H$39,Pivot_Data!$A$12:$A$27,0),7),"")</f>
        <v>0.66237376602745879</v>
      </c>
      <c r="I40" s="68"/>
      <c r="J40" s="68"/>
      <c r="K40" s="39"/>
      <c r="L40" s="39"/>
      <c r="M40" s="39"/>
      <c r="N40" s="39"/>
      <c r="O40" s="39"/>
      <c r="P40" s="39"/>
      <c r="Q40" s="39"/>
      <c r="R40" s="39"/>
      <c r="S40" s="39"/>
      <c r="T40" s="39"/>
      <c r="U40" s="39"/>
    </row>
    <row r="41" spans="1:21" ht="16.8" thickTop="1" thickBot="1" x14ac:dyDescent="0.35">
      <c r="A41" s="39"/>
      <c r="B41" s="39"/>
      <c r="C41" s="39"/>
      <c r="D41" s="39"/>
      <c r="E41" s="66" t="s">
        <v>2757</v>
      </c>
      <c r="F41" s="66"/>
      <c r="G41" s="66"/>
      <c r="H41" s="67">
        <f>_xlfn.IFNA(INDEX(Pivot_Data!$A$12:$G$27,MATCH($H$39,Pivot_Data!$A$12:$A$27,0),2),"")</f>
        <v>160</v>
      </c>
      <c r="I41" s="67"/>
      <c r="J41" s="67"/>
      <c r="K41" s="39"/>
      <c r="L41" s="39"/>
      <c r="M41" s="39"/>
      <c r="N41" s="39"/>
      <c r="O41" s="39"/>
      <c r="P41" s="39"/>
      <c r="Q41" s="39"/>
      <c r="R41" s="39"/>
      <c r="S41" s="39"/>
      <c r="T41" s="39"/>
      <c r="U41" s="39"/>
    </row>
    <row r="42" spans="1:21" ht="16.8" thickTop="1" thickBot="1" x14ac:dyDescent="0.35">
      <c r="A42" s="39"/>
      <c r="B42" s="39"/>
      <c r="C42" s="39"/>
      <c r="D42" s="39"/>
      <c r="E42" s="66" t="s">
        <v>2825</v>
      </c>
      <c r="F42" s="66"/>
      <c r="G42" s="66"/>
      <c r="H42" s="67">
        <f>_xlfn.IFNA(INDEX(Pivot_Data!$A$12:$G$27,MATCH($H$39,Pivot_Data!$A$12:$A$27,0),3),"")</f>
        <v>18</v>
      </c>
      <c r="I42" s="67"/>
      <c r="J42" s="67"/>
      <c r="K42" s="39"/>
      <c r="L42" s="39"/>
      <c r="M42" s="39"/>
      <c r="N42" s="39"/>
      <c r="O42" s="39"/>
      <c r="P42" s="39"/>
      <c r="Q42" s="39"/>
      <c r="R42" s="39"/>
      <c r="S42" s="39"/>
      <c r="T42" s="39"/>
      <c r="U42" s="39"/>
    </row>
    <row r="43" spans="1:21" ht="16.8" thickTop="1" thickBot="1" x14ac:dyDescent="0.35">
      <c r="A43" s="39"/>
      <c r="B43" s="39"/>
      <c r="C43" s="39"/>
      <c r="D43" s="39"/>
      <c r="E43" s="66" t="s">
        <v>2826</v>
      </c>
      <c r="F43" s="66"/>
      <c r="G43" s="66"/>
      <c r="H43" s="69">
        <f>_xlfn.IFNA(INDEX(Pivot_Data!$A$12:$G$27,MATCH($H$39,Pivot_Data!$A$12:$A$27,0),4),"")</f>
        <v>180050</v>
      </c>
      <c r="I43" s="69"/>
      <c r="J43" s="69"/>
      <c r="K43" s="39"/>
      <c r="L43" s="39"/>
      <c r="M43" s="39"/>
      <c r="N43" s="39"/>
      <c r="O43" s="39"/>
      <c r="P43" s="39"/>
      <c r="Q43" s="39"/>
      <c r="R43" s="39"/>
      <c r="S43" s="39"/>
      <c r="T43" s="39"/>
      <c r="U43" s="39"/>
    </row>
    <row r="44" spans="1:21" ht="15" thickTop="1" x14ac:dyDescent="0.3">
      <c r="A44" s="39"/>
      <c r="B44" s="39"/>
      <c r="C44" s="39"/>
      <c r="D44" s="39"/>
      <c r="E44" s="39"/>
      <c r="F44" s="39"/>
      <c r="G44" s="39"/>
      <c r="H44" s="39"/>
      <c r="I44" s="39"/>
      <c r="J44" s="39"/>
      <c r="K44" s="39"/>
      <c r="L44" s="39"/>
      <c r="M44" s="39"/>
      <c r="N44" s="39"/>
      <c r="O44" s="39"/>
      <c r="P44" s="39"/>
      <c r="Q44" s="39"/>
      <c r="R44" s="39"/>
      <c r="S44" s="39"/>
      <c r="T44" s="39"/>
      <c r="U44" s="39"/>
    </row>
    <row r="45" spans="1:21" x14ac:dyDescent="0.3">
      <c r="A45" s="39"/>
      <c r="B45" s="39"/>
      <c r="C45" s="39"/>
      <c r="D45" s="39"/>
      <c r="E45" s="39"/>
      <c r="F45" s="39"/>
      <c r="G45" s="39"/>
      <c r="H45" s="39"/>
      <c r="I45" s="39"/>
      <c r="J45" s="39"/>
      <c r="K45" s="39"/>
      <c r="L45" s="39"/>
      <c r="M45" s="39"/>
      <c r="N45" s="39"/>
      <c r="O45" s="39"/>
      <c r="P45" s="39"/>
      <c r="Q45" s="39"/>
      <c r="R45" s="39"/>
      <c r="S45" s="39"/>
      <c r="T45" s="39"/>
      <c r="U45" s="39"/>
    </row>
    <row r="46" spans="1:21" x14ac:dyDescent="0.3">
      <c r="A46" s="39"/>
      <c r="B46" s="39"/>
      <c r="C46" s="39"/>
      <c r="D46" s="39"/>
      <c r="E46" s="39"/>
      <c r="F46" s="39"/>
      <c r="G46" s="39"/>
      <c r="H46" s="39"/>
      <c r="I46" s="39"/>
      <c r="J46" s="39"/>
      <c r="K46" s="39"/>
      <c r="L46" s="39"/>
      <c r="M46" s="39"/>
      <c r="N46" s="39"/>
      <c r="O46" s="39"/>
      <c r="P46" s="39"/>
      <c r="Q46" s="39"/>
      <c r="R46" s="39"/>
      <c r="S46" s="39"/>
      <c r="T46" s="39"/>
      <c r="U46" s="39"/>
    </row>
    <row r="47" spans="1:21" x14ac:dyDescent="0.3">
      <c r="A47" s="39"/>
      <c r="B47" s="39"/>
      <c r="C47" s="39"/>
      <c r="D47" s="39"/>
      <c r="E47" s="39"/>
      <c r="F47" s="39"/>
      <c r="G47" s="39"/>
      <c r="H47" s="39"/>
      <c r="I47" s="39"/>
      <c r="J47" s="39"/>
      <c r="K47" s="39"/>
      <c r="L47" s="39"/>
      <c r="M47" s="39"/>
      <c r="N47" s="39"/>
      <c r="O47" s="39"/>
      <c r="P47" s="39"/>
      <c r="Q47" s="39"/>
      <c r="R47" s="39"/>
      <c r="S47" s="39"/>
      <c r="T47" s="39"/>
      <c r="U47" s="39"/>
    </row>
    <row r="48" spans="1:21" x14ac:dyDescent="0.3">
      <c r="A48" s="39"/>
      <c r="B48" s="39"/>
      <c r="C48" s="39"/>
      <c r="D48" s="39"/>
      <c r="E48" s="39"/>
      <c r="F48" s="39"/>
      <c r="G48" s="39"/>
      <c r="H48" s="39"/>
      <c r="I48" s="39"/>
      <c r="J48" s="39"/>
      <c r="K48" s="39"/>
      <c r="L48" s="39"/>
      <c r="M48" s="39"/>
      <c r="N48" s="39"/>
      <c r="O48" s="39"/>
      <c r="P48" s="39"/>
      <c r="Q48" s="39"/>
      <c r="R48" s="39"/>
      <c r="S48" s="39"/>
      <c r="T48" s="39"/>
      <c r="U48" s="39"/>
    </row>
    <row r="49" spans="1:21" x14ac:dyDescent="0.3">
      <c r="A49" s="39"/>
      <c r="B49" s="39"/>
      <c r="C49" s="39"/>
      <c r="D49" s="39"/>
      <c r="E49" s="39"/>
      <c r="F49" s="39"/>
      <c r="G49" s="39"/>
      <c r="H49" s="39"/>
      <c r="I49" s="39"/>
      <c r="J49" s="39"/>
      <c r="K49" s="39"/>
      <c r="L49" s="39"/>
      <c r="M49" s="39"/>
      <c r="N49" s="39"/>
      <c r="O49" s="39"/>
      <c r="P49" s="39"/>
      <c r="Q49" s="39"/>
      <c r="R49" s="39"/>
      <c r="S49" s="39"/>
      <c r="T49" s="39"/>
      <c r="U49" s="39"/>
    </row>
    <row r="50" spans="1:21" x14ac:dyDescent="0.3">
      <c r="A50" s="39"/>
      <c r="B50" s="39"/>
      <c r="C50" s="39"/>
      <c r="D50" s="39"/>
      <c r="E50" s="39"/>
      <c r="F50" s="39"/>
      <c r="G50" s="39"/>
      <c r="H50" s="39"/>
      <c r="I50" s="39"/>
      <c r="J50" s="39"/>
      <c r="K50" s="39"/>
      <c r="L50" s="39"/>
      <c r="M50" s="39"/>
      <c r="N50" s="39"/>
      <c r="O50" s="39"/>
      <c r="P50" s="39"/>
      <c r="Q50" s="39"/>
      <c r="R50" s="39"/>
      <c r="S50" s="39"/>
      <c r="T50" s="39"/>
      <c r="U50" s="39"/>
    </row>
    <row r="51" spans="1:21" x14ac:dyDescent="0.3">
      <c r="A51" s="39"/>
      <c r="B51" s="39"/>
      <c r="C51" s="39"/>
      <c r="D51" s="39"/>
      <c r="E51" s="39"/>
      <c r="F51" s="39"/>
      <c r="G51" s="39"/>
      <c r="H51" s="39"/>
      <c r="I51" s="39"/>
      <c r="J51" s="39"/>
      <c r="K51" s="39"/>
      <c r="L51" s="39"/>
      <c r="M51" s="39"/>
      <c r="N51" s="39"/>
      <c r="O51" s="39"/>
      <c r="P51" s="39"/>
      <c r="Q51" s="39"/>
      <c r="R51" s="39"/>
      <c r="S51" s="39"/>
      <c r="T51" s="39"/>
      <c r="U51" s="39"/>
    </row>
    <row r="52" spans="1:21" x14ac:dyDescent="0.3">
      <c r="A52" s="39"/>
      <c r="B52" s="39"/>
      <c r="C52" s="39"/>
      <c r="D52" s="39"/>
      <c r="E52" s="39"/>
      <c r="F52" s="39"/>
      <c r="G52" s="39"/>
      <c r="H52" s="39"/>
      <c r="I52" s="39"/>
      <c r="J52" s="39"/>
      <c r="K52" s="39"/>
      <c r="L52" s="39"/>
      <c r="M52" s="39"/>
      <c r="N52" s="39"/>
      <c r="O52" s="39"/>
      <c r="P52" s="39"/>
      <c r="Q52" s="39"/>
      <c r="R52" s="39"/>
      <c r="S52" s="39"/>
      <c r="T52" s="39"/>
      <c r="U52" s="39"/>
    </row>
    <row r="53" spans="1:21" x14ac:dyDescent="0.3">
      <c r="A53" s="39"/>
      <c r="B53" s="39"/>
      <c r="C53" s="39"/>
      <c r="D53" s="39"/>
      <c r="E53" s="39"/>
      <c r="F53" s="39"/>
      <c r="G53" s="39"/>
      <c r="H53" s="39"/>
      <c r="I53" s="39"/>
      <c r="J53" s="39"/>
      <c r="K53" s="39"/>
      <c r="L53" s="39"/>
      <c r="M53" s="39"/>
      <c r="N53" s="39"/>
      <c r="O53" s="39"/>
      <c r="P53" s="39"/>
      <c r="Q53" s="39"/>
      <c r="R53" s="39"/>
      <c r="S53" s="39"/>
      <c r="T53" s="39"/>
      <c r="U53" s="39"/>
    </row>
    <row r="54" spans="1:21" x14ac:dyDescent="0.3">
      <c r="A54" s="39"/>
      <c r="B54" s="39"/>
      <c r="C54" s="39"/>
      <c r="D54" s="39"/>
      <c r="E54" s="39"/>
      <c r="F54" s="39"/>
      <c r="G54" s="39"/>
      <c r="H54" s="39"/>
      <c r="I54" s="39"/>
      <c r="J54" s="39"/>
      <c r="K54" s="39"/>
      <c r="L54" s="39"/>
      <c r="M54" s="39"/>
      <c r="N54" s="39"/>
      <c r="O54" s="39"/>
      <c r="P54" s="39"/>
      <c r="Q54" s="39"/>
      <c r="R54" s="39"/>
      <c r="S54" s="39"/>
      <c r="T54" s="39"/>
      <c r="U54" s="39"/>
    </row>
    <row r="55" spans="1:21" ht="15" thickBot="1" x14ac:dyDescent="0.35">
      <c r="A55" s="39"/>
      <c r="B55" s="39"/>
      <c r="C55" s="39"/>
      <c r="D55" s="39"/>
      <c r="E55" s="39"/>
      <c r="F55" s="39"/>
      <c r="G55" s="39"/>
      <c r="H55" s="39"/>
      <c r="I55" s="39"/>
      <c r="J55" s="39"/>
      <c r="K55" s="39"/>
      <c r="L55" s="39"/>
      <c r="M55" s="39"/>
      <c r="N55" s="39"/>
      <c r="O55" s="39"/>
      <c r="P55" s="39"/>
      <c r="Q55" s="39"/>
      <c r="R55" s="39"/>
      <c r="S55" s="39"/>
      <c r="T55" s="39"/>
      <c r="U55" s="39"/>
    </row>
    <row r="56" spans="1:21" ht="15.6" thickTop="1" thickBot="1" x14ac:dyDescent="0.35">
      <c r="A56" s="39"/>
      <c r="B56" s="39"/>
      <c r="C56" s="39"/>
      <c r="D56" s="39"/>
      <c r="E56" s="65" t="s">
        <v>2793</v>
      </c>
      <c r="F56" s="65"/>
      <c r="G56" s="65"/>
      <c r="H56" s="65"/>
      <c r="I56" s="65"/>
      <c r="J56" s="65"/>
      <c r="K56" s="65"/>
      <c r="L56" s="65"/>
      <c r="M56" s="65"/>
      <c r="N56" s="65"/>
      <c r="O56" s="65"/>
      <c r="P56" s="65"/>
      <c r="Q56" s="65"/>
      <c r="R56" s="65"/>
      <c r="S56" s="65"/>
      <c r="T56" s="65"/>
      <c r="U56" s="39"/>
    </row>
    <row r="57" spans="1:21" ht="15.6" thickTop="1" thickBot="1" x14ac:dyDescent="0.35">
      <c r="A57" s="39"/>
      <c r="B57" s="39"/>
      <c r="C57" s="39"/>
      <c r="D57" s="39"/>
      <c r="E57" s="65"/>
      <c r="F57" s="65"/>
      <c r="G57" s="65"/>
      <c r="H57" s="65"/>
      <c r="I57" s="65"/>
      <c r="J57" s="65"/>
      <c r="K57" s="65"/>
      <c r="L57" s="65"/>
      <c r="M57" s="65"/>
      <c r="N57" s="65"/>
      <c r="O57" s="65"/>
      <c r="P57" s="65"/>
      <c r="Q57" s="65"/>
      <c r="R57" s="65"/>
      <c r="S57" s="65"/>
      <c r="T57" s="65"/>
      <c r="U57" s="39"/>
    </row>
    <row r="58" spans="1:21" ht="15" thickTop="1" x14ac:dyDescent="0.3">
      <c r="A58" s="39"/>
      <c r="B58" s="39"/>
      <c r="C58" s="39"/>
      <c r="D58" s="39"/>
      <c r="E58" s="39"/>
      <c r="F58" s="39"/>
      <c r="G58" s="39"/>
      <c r="H58" s="39"/>
      <c r="I58" s="39"/>
      <c r="J58" s="39"/>
      <c r="K58" s="39"/>
      <c r="L58" s="39"/>
      <c r="M58" s="39"/>
      <c r="N58" s="39"/>
      <c r="O58" s="39"/>
      <c r="P58" s="39"/>
      <c r="Q58" s="39"/>
      <c r="R58" s="39"/>
      <c r="S58" s="39"/>
      <c r="T58" s="39"/>
      <c r="U58" s="39"/>
    </row>
    <row r="59" spans="1:21" x14ac:dyDescent="0.3">
      <c r="A59" s="39"/>
      <c r="B59" s="39"/>
      <c r="C59" s="39"/>
      <c r="D59" s="39"/>
      <c r="E59" s="39"/>
      <c r="F59" s="39"/>
      <c r="G59" s="39"/>
      <c r="H59" s="39"/>
      <c r="I59" s="39"/>
      <c r="J59" s="39"/>
      <c r="K59" s="39"/>
      <c r="L59" s="39"/>
      <c r="M59" s="39"/>
      <c r="N59" s="39"/>
      <c r="O59" s="39"/>
      <c r="P59" s="39"/>
      <c r="Q59" s="39"/>
      <c r="R59" s="39"/>
      <c r="S59" s="39"/>
      <c r="T59" s="39"/>
      <c r="U59" s="39"/>
    </row>
    <row r="60" spans="1:21" x14ac:dyDescent="0.3">
      <c r="A60" s="39"/>
      <c r="B60" s="39"/>
      <c r="C60" s="39"/>
      <c r="D60" s="39"/>
      <c r="E60" s="39"/>
      <c r="F60" s="39"/>
      <c r="G60" s="39"/>
      <c r="H60" s="39"/>
      <c r="I60" s="39"/>
      <c r="J60" s="39"/>
      <c r="K60" s="39"/>
      <c r="L60" s="39"/>
      <c r="M60" s="39"/>
      <c r="N60" s="39"/>
      <c r="O60" s="39"/>
      <c r="P60" s="39"/>
      <c r="Q60" s="39"/>
      <c r="R60" s="39"/>
      <c r="S60" s="39"/>
      <c r="T60" s="39"/>
      <c r="U60" s="39"/>
    </row>
    <row r="61" spans="1:21" x14ac:dyDescent="0.3">
      <c r="A61" s="39"/>
      <c r="B61" s="39"/>
      <c r="C61" s="39"/>
      <c r="D61" s="39"/>
      <c r="E61" s="39"/>
      <c r="F61" s="39"/>
      <c r="G61" s="39"/>
      <c r="H61" s="39"/>
      <c r="I61" s="39"/>
      <c r="J61" s="39"/>
      <c r="K61" s="39"/>
      <c r="L61" s="39"/>
      <c r="M61" s="39"/>
      <c r="N61" s="39"/>
      <c r="O61" s="39"/>
      <c r="P61" s="39"/>
      <c r="Q61" s="39"/>
      <c r="R61" s="39"/>
      <c r="S61" s="39"/>
      <c r="T61" s="39"/>
      <c r="U61" s="39"/>
    </row>
    <row r="62" spans="1:21" x14ac:dyDescent="0.3">
      <c r="A62" s="39"/>
      <c r="B62" s="39"/>
      <c r="C62" s="39"/>
      <c r="D62" s="39"/>
      <c r="E62" s="39"/>
      <c r="F62" s="39"/>
      <c r="G62" s="39"/>
      <c r="H62" s="39"/>
      <c r="I62" s="39"/>
      <c r="J62" s="39"/>
      <c r="K62" s="39"/>
      <c r="L62" s="39"/>
      <c r="M62" s="39"/>
      <c r="N62" s="39"/>
      <c r="O62" s="39"/>
      <c r="P62" s="39"/>
      <c r="Q62" s="39"/>
      <c r="R62" s="39"/>
      <c r="S62" s="39"/>
      <c r="T62" s="39"/>
      <c r="U62" s="39"/>
    </row>
    <row r="63" spans="1:21" x14ac:dyDescent="0.3">
      <c r="A63" s="39"/>
      <c r="B63" s="39"/>
      <c r="C63" s="39"/>
      <c r="D63" s="39"/>
      <c r="E63" s="39"/>
      <c r="F63" s="39"/>
      <c r="G63" s="39"/>
      <c r="H63" s="39"/>
      <c r="I63" s="39"/>
      <c r="J63" s="39"/>
      <c r="K63" s="39"/>
      <c r="L63" s="39"/>
      <c r="M63" s="39"/>
      <c r="N63" s="39"/>
      <c r="O63" s="39"/>
      <c r="P63" s="39"/>
      <c r="Q63" s="39"/>
      <c r="R63" s="39"/>
      <c r="S63" s="39"/>
      <c r="T63" s="39"/>
      <c r="U63" s="39"/>
    </row>
    <row r="64" spans="1:21" x14ac:dyDescent="0.3">
      <c r="A64" s="39"/>
      <c r="B64" s="39"/>
      <c r="C64" s="39"/>
      <c r="D64" s="39"/>
      <c r="E64" s="39"/>
      <c r="F64" s="39"/>
      <c r="G64" s="39"/>
      <c r="H64" s="39"/>
      <c r="I64" s="39"/>
      <c r="J64" s="39"/>
      <c r="K64" s="39"/>
      <c r="L64" s="39"/>
      <c r="M64" s="39"/>
      <c r="N64" s="39"/>
      <c r="O64" s="39"/>
      <c r="P64" s="39"/>
      <c r="Q64" s="39"/>
      <c r="R64" s="39"/>
      <c r="S64" s="39"/>
      <c r="T64" s="39"/>
      <c r="U64" s="39"/>
    </row>
    <row r="65" spans="1:21" x14ac:dyDescent="0.3">
      <c r="A65" s="39"/>
      <c r="B65" s="39"/>
      <c r="C65" s="39"/>
      <c r="D65" s="39"/>
      <c r="E65" s="39"/>
      <c r="F65" s="39"/>
      <c r="G65" s="39"/>
      <c r="H65" s="39"/>
      <c r="I65" s="39"/>
      <c r="J65" s="39"/>
      <c r="K65" s="39"/>
      <c r="L65" s="39"/>
      <c r="M65" s="39"/>
      <c r="N65" s="39"/>
      <c r="O65" s="39"/>
      <c r="P65" s="39"/>
      <c r="Q65" s="39"/>
      <c r="R65" s="39"/>
      <c r="S65" s="39"/>
      <c r="T65" s="39"/>
      <c r="U65" s="39"/>
    </row>
    <row r="66" spans="1:21" x14ac:dyDescent="0.3">
      <c r="A66" s="39"/>
      <c r="B66" s="39"/>
      <c r="C66" s="39"/>
      <c r="D66" s="39"/>
      <c r="E66" s="39"/>
      <c r="F66" s="39"/>
      <c r="G66" s="39"/>
      <c r="H66" s="39"/>
      <c r="I66" s="39"/>
      <c r="J66" s="39"/>
      <c r="K66" s="39"/>
      <c r="L66" s="39"/>
      <c r="M66" s="39"/>
      <c r="N66" s="39"/>
      <c r="O66" s="39"/>
      <c r="P66" s="39"/>
      <c r="Q66" s="39"/>
      <c r="R66" s="39"/>
      <c r="S66" s="39"/>
      <c r="T66" s="39"/>
      <c r="U66" s="39"/>
    </row>
    <row r="67" spans="1:21" x14ac:dyDescent="0.3">
      <c r="A67" s="39"/>
      <c r="B67" s="39"/>
      <c r="C67" s="39"/>
      <c r="D67" s="39"/>
      <c r="E67" s="39"/>
      <c r="F67" s="39"/>
      <c r="G67" s="39"/>
      <c r="H67" s="39"/>
      <c r="I67" s="39"/>
      <c r="J67" s="39"/>
      <c r="K67" s="39"/>
      <c r="L67" s="39"/>
      <c r="M67" s="39"/>
      <c r="N67" s="39"/>
      <c r="O67" s="39"/>
      <c r="P67" s="39"/>
      <c r="Q67" s="39"/>
      <c r="R67" s="39"/>
      <c r="S67" s="39"/>
      <c r="T67" s="39"/>
      <c r="U67" s="39"/>
    </row>
    <row r="68" spans="1:21" x14ac:dyDescent="0.3">
      <c r="A68" s="39"/>
      <c r="B68" s="39"/>
      <c r="C68" s="39"/>
      <c r="D68" s="39"/>
      <c r="E68" s="39"/>
      <c r="F68" s="39"/>
      <c r="G68" s="39"/>
      <c r="H68" s="39"/>
      <c r="I68" s="39"/>
      <c r="J68" s="39"/>
      <c r="K68" s="39"/>
      <c r="L68" s="39"/>
      <c r="M68" s="39"/>
      <c r="N68" s="39"/>
      <c r="O68" s="39"/>
      <c r="P68" s="39"/>
      <c r="Q68" s="39"/>
      <c r="R68" s="39"/>
      <c r="S68" s="39"/>
      <c r="T68" s="39"/>
      <c r="U68" s="39"/>
    </row>
    <row r="69" spans="1:21" x14ac:dyDescent="0.3">
      <c r="A69" s="39"/>
      <c r="B69" s="39"/>
      <c r="C69" s="39"/>
      <c r="D69" s="39"/>
      <c r="E69" s="39"/>
      <c r="F69" s="39"/>
      <c r="G69" s="39"/>
      <c r="H69" s="39"/>
      <c r="I69" s="39"/>
      <c r="J69" s="39"/>
      <c r="K69" s="39"/>
      <c r="L69" s="39"/>
      <c r="M69" s="39"/>
      <c r="N69" s="39"/>
      <c r="O69" s="39"/>
      <c r="P69" s="39"/>
      <c r="Q69" s="39"/>
      <c r="R69" s="39"/>
      <c r="S69" s="39"/>
      <c r="T69" s="39"/>
      <c r="U69" s="39"/>
    </row>
    <row r="70" spans="1:21" x14ac:dyDescent="0.3">
      <c r="A70" s="39"/>
      <c r="B70" s="39"/>
      <c r="C70" s="39"/>
      <c r="D70" s="39"/>
      <c r="E70" s="39"/>
      <c r="F70" s="39"/>
      <c r="G70" s="39"/>
      <c r="H70" s="39"/>
      <c r="I70" s="39"/>
      <c r="J70" s="39"/>
      <c r="K70" s="39"/>
      <c r="L70" s="39"/>
      <c r="M70" s="39"/>
      <c r="N70" s="39"/>
      <c r="O70" s="39"/>
      <c r="P70" s="39"/>
      <c r="Q70" s="39"/>
      <c r="R70" s="39"/>
      <c r="S70" s="39"/>
      <c r="T70" s="39"/>
      <c r="U70" s="39"/>
    </row>
    <row r="71" spans="1:21" x14ac:dyDescent="0.3">
      <c r="A71" s="39"/>
      <c r="B71" s="39"/>
      <c r="C71" s="39"/>
      <c r="D71" s="39"/>
      <c r="E71" s="39"/>
      <c r="F71" s="39"/>
      <c r="G71" s="39"/>
      <c r="H71" s="39"/>
      <c r="I71" s="39"/>
      <c r="J71" s="39"/>
      <c r="K71" s="39"/>
      <c r="L71" s="39"/>
      <c r="M71" s="39"/>
      <c r="N71" s="39"/>
      <c r="O71" s="39"/>
      <c r="P71" s="39"/>
      <c r="Q71" s="39"/>
      <c r="R71" s="39"/>
      <c r="S71" s="39"/>
      <c r="T71" s="39"/>
      <c r="U71" s="39"/>
    </row>
    <row r="72" spans="1:21" x14ac:dyDescent="0.3">
      <c r="A72" s="39"/>
      <c r="B72" s="39"/>
      <c r="C72" s="39"/>
      <c r="D72" s="39"/>
      <c r="E72" s="39"/>
      <c r="F72" s="39"/>
      <c r="G72" s="39"/>
      <c r="H72" s="39"/>
      <c r="I72" s="39"/>
      <c r="J72" s="39"/>
      <c r="K72" s="39"/>
      <c r="L72" s="39"/>
      <c r="M72" s="39"/>
      <c r="N72" s="39"/>
      <c r="O72" s="39"/>
      <c r="P72" s="39"/>
      <c r="Q72" s="39"/>
      <c r="R72" s="39"/>
      <c r="S72" s="39"/>
      <c r="T72" s="39"/>
      <c r="U72" s="39"/>
    </row>
    <row r="73" spans="1:21" x14ac:dyDescent="0.3">
      <c r="A73" s="39"/>
      <c r="B73" s="39"/>
      <c r="C73" s="39"/>
      <c r="D73" s="39"/>
      <c r="E73" s="39"/>
      <c r="F73" s="39"/>
      <c r="G73" s="39"/>
      <c r="H73" s="39"/>
      <c r="I73" s="39"/>
      <c r="J73" s="39"/>
      <c r="K73" s="39"/>
      <c r="L73" s="39"/>
      <c r="M73" s="39"/>
      <c r="N73" s="39"/>
      <c r="O73" s="39"/>
      <c r="P73" s="39"/>
      <c r="Q73" s="39"/>
      <c r="R73" s="39"/>
      <c r="S73" s="39"/>
      <c r="T73" s="39"/>
      <c r="U73" s="39"/>
    </row>
    <row r="74" spans="1:21" x14ac:dyDescent="0.3">
      <c r="A74" s="39"/>
      <c r="B74" s="39"/>
      <c r="C74" s="39"/>
      <c r="D74" s="39"/>
      <c r="E74" s="39"/>
      <c r="F74" s="39"/>
      <c r="G74" s="39"/>
      <c r="H74" s="39"/>
      <c r="I74" s="39"/>
      <c r="J74" s="39"/>
      <c r="K74" s="39"/>
      <c r="L74" s="39"/>
      <c r="M74" s="39"/>
      <c r="N74" s="39"/>
      <c r="O74" s="39"/>
      <c r="P74" s="39"/>
      <c r="Q74" s="39"/>
      <c r="R74" s="39"/>
      <c r="S74" s="39"/>
      <c r="T74" s="39"/>
      <c r="U74" s="39"/>
    </row>
    <row r="75" spans="1:21" x14ac:dyDescent="0.3">
      <c r="A75" s="39"/>
      <c r="B75" s="39"/>
      <c r="C75" s="39"/>
      <c r="D75" s="39"/>
      <c r="E75" s="39"/>
      <c r="F75" s="39"/>
      <c r="G75" s="39"/>
      <c r="H75" s="39"/>
      <c r="I75" s="39"/>
      <c r="J75" s="39"/>
      <c r="K75" s="39"/>
      <c r="L75" s="39"/>
      <c r="M75" s="39"/>
      <c r="N75" s="39"/>
      <c r="O75" s="39"/>
      <c r="P75" s="39"/>
      <c r="Q75" s="39"/>
      <c r="R75" s="39"/>
      <c r="S75" s="39"/>
      <c r="T75" s="39"/>
      <c r="U75" s="39"/>
    </row>
    <row r="76" spans="1:21" x14ac:dyDescent="0.3">
      <c r="A76" s="39"/>
      <c r="B76" s="39"/>
      <c r="C76" s="39"/>
      <c r="D76" s="39"/>
      <c r="E76" s="39"/>
      <c r="F76" s="39"/>
      <c r="G76" s="39"/>
      <c r="H76" s="39"/>
      <c r="I76" s="39"/>
      <c r="J76" s="39"/>
      <c r="K76" s="39"/>
      <c r="L76" s="39"/>
      <c r="M76" s="39"/>
      <c r="N76" s="39"/>
      <c r="O76" s="39"/>
      <c r="P76" s="39"/>
      <c r="Q76" s="39"/>
      <c r="R76" s="39"/>
      <c r="S76" s="39"/>
      <c r="T76" s="39"/>
      <c r="U76" s="39"/>
    </row>
    <row r="77" spans="1:21" x14ac:dyDescent="0.3">
      <c r="A77" s="39"/>
      <c r="B77" s="39"/>
      <c r="C77" s="39"/>
      <c r="D77" s="39"/>
      <c r="E77" s="39"/>
      <c r="F77" s="39"/>
      <c r="G77" s="39"/>
      <c r="H77" s="39"/>
      <c r="I77" s="39"/>
      <c r="J77" s="39"/>
      <c r="K77" s="39"/>
      <c r="L77" s="39"/>
      <c r="M77" s="39"/>
      <c r="N77" s="39"/>
      <c r="O77" s="39"/>
      <c r="P77" s="39"/>
      <c r="Q77" s="39"/>
      <c r="R77" s="39"/>
      <c r="S77" s="39"/>
      <c r="T77" s="39"/>
      <c r="U77" s="39"/>
    </row>
    <row r="78" spans="1:21" x14ac:dyDescent="0.3">
      <c r="A78" s="39"/>
      <c r="B78" s="39"/>
      <c r="C78" s="39"/>
      <c r="D78" s="39"/>
      <c r="E78" s="39"/>
      <c r="F78" s="39"/>
      <c r="G78" s="39"/>
      <c r="H78" s="39"/>
      <c r="I78" s="39"/>
      <c r="J78" s="39"/>
      <c r="K78" s="39"/>
      <c r="L78" s="39"/>
      <c r="M78" s="39"/>
      <c r="N78" s="39"/>
      <c r="O78" s="39"/>
      <c r="P78" s="39"/>
      <c r="Q78" s="39"/>
      <c r="R78" s="39"/>
      <c r="S78" s="39"/>
      <c r="T78" s="39"/>
      <c r="U78" s="39"/>
    </row>
    <row r="79" spans="1:21" ht="15" thickBot="1" x14ac:dyDescent="0.35">
      <c r="A79" s="39"/>
      <c r="B79" s="39"/>
      <c r="C79" s="39"/>
      <c r="D79" s="39"/>
      <c r="E79" s="39"/>
      <c r="F79" s="39"/>
      <c r="G79" s="39"/>
      <c r="H79" s="39"/>
      <c r="I79" s="39"/>
      <c r="J79" s="39"/>
      <c r="K79" s="39"/>
      <c r="L79" s="39"/>
      <c r="M79" s="39"/>
      <c r="N79" s="39"/>
      <c r="O79" s="39"/>
      <c r="P79" s="39"/>
      <c r="Q79" s="39"/>
      <c r="R79" s="39"/>
      <c r="S79" s="39"/>
      <c r="T79" s="39"/>
      <c r="U79" s="39"/>
    </row>
    <row r="80" spans="1:21" ht="15.6" thickTop="1" thickBot="1" x14ac:dyDescent="0.35">
      <c r="A80" s="39"/>
      <c r="B80" s="39"/>
      <c r="C80" s="39"/>
      <c r="D80" s="39"/>
      <c r="E80" s="65" t="s">
        <v>2824</v>
      </c>
      <c r="F80" s="65"/>
      <c r="G80" s="65"/>
      <c r="H80" s="65"/>
      <c r="I80" s="65"/>
      <c r="J80" s="65"/>
      <c r="K80" s="65"/>
      <c r="L80" s="65"/>
      <c r="M80" s="65"/>
      <c r="N80" s="65"/>
      <c r="O80" s="65"/>
      <c r="P80" s="65"/>
      <c r="Q80" s="65"/>
      <c r="R80" s="65"/>
      <c r="S80" s="65"/>
      <c r="T80" s="65"/>
      <c r="U80" s="39"/>
    </row>
    <row r="81" spans="1:21" ht="15.6" thickTop="1" thickBot="1" x14ac:dyDescent="0.35">
      <c r="A81" s="39"/>
      <c r="B81" s="39"/>
      <c r="C81" s="39"/>
      <c r="D81" s="39"/>
      <c r="E81" s="65"/>
      <c r="F81" s="65"/>
      <c r="G81" s="65"/>
      <c r="H81" s="65"/>
      <c r="I81" s="65"/>
      <c r="J81" s="65"/>
      <c r="K81" s="65"/>
      <c r="L81" s="65"/>
      <c r="M81" s="65"/>
      <c r="N81" s="65"/>
      <c r="O81" s="65"/>
      <c r="P81" s="65"/>
      <c r="Q81" s="65"/>
      <c r="R81" s="65"/>
      <c r="S81" s="65"/>
      <c r="T81" s="65"/>
      <c r="U81" s="39"/>
    </row>
    <row r="82" spans="1:21" ht="15" thickTop="1" x14ac:dyDescent="0.3">
      <c r="A82" s="39"/>
      <c r="B82" s="39"/>
      <c r="C82" s="39"/>
      <c r="D82" s="39"/>
      <c r="E82" s="39"/>
      <c r="F82" s="39"/>
      <c r="G82" s="39"/>
      <c r="H82" s="39"/>
      <c r="I82" s="39"/>
      <c r="J82" s="39"/>
      <c r="K82" s="39"/>
      <c r="L82" s="39"/>
      <c r="M82" s="39"/>
      <c r="N82" s="39"/>
      <c r="O82" s="39"/>
      <c r="P82" s="39"/>
      <c r="Q82" s="39"/>
      <c r="R82" s="39"/>
      <c r="S82" s="39"/>
      <c r="T82" s="39"/>
      <c r="U82" s="39"/>
    </row>
    <row r="83" spans="1:21" x14ac:dyDescent="0.3">
      <c r="A83" s="39"/>
      <c r="B83" s="39"/>
      <c r="C83" s="39"/>
      <c r="D83" s="39"/>
      <c r="E83" s="39"/>
      <c r="F83" s="39"/>
      <c r="G83" s="39"/>
      <c r="H83" s="39"/>
      <c r="I83" s="39"/>
      <c r="J83" s="39"/>
      <c r="K83" s="39"/>
      <c r="L83" s="39"/>
      <c r="M83" s="39"/>
      <c r="N83" s="39"/>
      <c r="O83" s="39"/>
      <c r="P83" s="39"/>
      <c r="Q83" s="39"/>
      <c r="R83" s="39"/>
      <c r="S83" s="39"/>
      <c r="T83" s="39"/>
      <c r="U83" s="39"/>
    </row>
    <row r="84" spans="1:21" x14ac:dyDescent="0.3">
      <c r="A84" s="39"/>
      <c r="B84" s="39"/>
      <c r="C84" s="39"/>
      <c r="D84" s="39"/>
      <c r="E84" s="39"/>
      <c r="F84" s="39"/>
      <c r="G84" s="39"/>
      <c r="H84" s="39"/>
      <c r="I84" s="39"/>
      <c r="J84" s="39"/>
      <c r="K84" s="39"/>
      <c r="L84" s="39"/>
      <c r="M84" s="39"/>
      <c r="N84" s="39"/>
      <c r="O84" s="39"/>
      <c r="P84" s="39"/>
      <c r="Q84" s="39"/>
      <c r="R84" s="39"/>
      <c r="S84" s="39"/>
      <c r="T84" s="39"/>
      <c r="U84" s="39"/>
    </row>
    <row r="85" spans="1:21" x14ac:dyDescent="0.3">
      <c r="A85" s="39"/>
      <c r="B85" s="39"/>
      <c r="C85" s="39"/>
      <c r="D85" s="39"/>
      <c r="E85" s="39"/>
      <c r="F85" s="39"/>
      <c r="G85" s="39"/>
      <c r="H85" s="39"/>
      <c r="I85" s="39"/>
      <c r="J85" s="39"/>
      <c r="K85" s="39"/>
      <c r="L85" s="39"/>
      <c r="M85" s="39"/>
      <c r="N85" s="39"/>
      <c r="O85" s="39"/>
      <c r="P85" s="39"/>
      <c r="Q85" s="39"/>
      <c r="R85" s="39"/>
      <c r="S85" s="39"/>
      <c r="T85" s="39"/>
      <c r="U85" s="39"/>
    </row>
    <row r="86" spans="1:21" x14ac:dyDescent="0.3">
      <c r="A86" s="39"/>
      <c r="B86" s="39"/>
      <c r="C86" s="39"/>
      <c r="D86" s="39"/>
      <c r="E86" s="39"/>
      <c r="F86" s="39"/>
      <c r="G86" s="39"/>
      <c r="H86" s="39"/>
      <c r="I86" s="39"/>
      <c r="J86" s="39"/>
      <c r="K86" s="39"/>
      <c r="L86" s="39"/>
      <c r="M86" s="39"/>
      <c r="N86" s="39"/>
      <c r="O86" s="39"/>
      <c r="P86" s="39"/>
      <c r="Q86" s="39"/>
      <c r="R86" s="39"/>
      <c r="S86" s="39"/>
      <c r="T86" s="39"/>
      <c r="U86" s="39"/>
    </row>
    <row r="87" spans="1:21" x14ac:dyDescent="0.3">
      <c r="A87" s="39"/>
      <c r="B87" s="39"/>
      <c r="C87" s="39"/>
      <c r="D87" s="39"/>
      <c r="E87" s="39"/>
      <c r="F87" s="39"/>
      <c r="G87" s="39"/>
      <c r="H87" s="39"/>
      <c r="I87" s="39"/>
      <c r="J87" s="39"/>
      <c r="K87" s="39"/>
      <c r="L87" s="39"/>
      <c r="M87" s="39"/>
      <c r="N87" s="39"/>
      <c r="O87" s="39"/>
      <c r="P87" s="39"/>
      <c r="Q87" s="39"/>
      <c r="R87" s="39"/>
      <c r="S87" s="39"/>
      <c r="T87" s="39"/>
      <c r="U87" s="39"/>
    </row>
    <row r="88" spans="1:21" x14ac:dyDescent="0.3">
      <c r="A88" s="39"/>
      <c r="B88" s="39"/>
      <c r="C88" s="39"/>
      <c r="D88" s="39"/>
      <c r="E88" s="39"/>
      <c r="F88" s="39"/>
      <c r="G88" s="39"/>
      <c r="H88" s="39"/>
      <c r="I88" s="39"/>
      <c r="J88" s="39"/>
      <c r="K88" s="39"/>
      <c r="L88" s="39"/>
      <c r="M88" s="39"/>
      <c r="N88" s="39"/>
      <c r="O88" s="39"/>
      <c r="P88" s="39"/>
      <c r="Q88" s="39"/>
      <c r="R88" s="39"/>
      <c r="S88" s="39"/>
      <c r="T88" s="39"/>
      <c r="U88" s="39"/>
    </row>
    <row r="89" spans="1:21" x14ac:dyDescent="0.3">
      <c r="A89" s="39"/>
      <c r="B89" s="39"/>
      <c r="C89" s="39"/>
      <c r="D89" s="39"/>
      <c r="E89" s="39"/>
      <c r="F89" s="39"/>
      <c r="G89" s="39"/>
      <c r="H89" s="39"/>
      <c r="I89" s="39"/>
      <c r="J89" s="39"/>
      <c r="K89" s="39"/>
      <c r="L89" s="39"/>
      <c r="M89" s="39"/>
      <c r="N89" s="39"/>
      <c r="O89" s="39"/>
      <c r="P89" s="39"/>
      <c r="Q89" s="39"/>
      <c r="R89" s="39"/>
      <c r="S89" s="39"/>
      <c r="T89" s="39"/>
      <c r="U89" s="39"/>
    </row>
    <row r="90" spans="1:21" x14ac:dyDescent="0.3">
      <c r="A90" s="39"/>
      <c r="B90" s="39"/>
      <c r="C90" s="39"/>
      <c r="D90" s="39"/>
      <c r="E90" s="39"/>
      <c r="F90" s="39"/>
      <c r="G90" s="39"/>
      <c r="H90" s="39"/>
      <c r="I90" s="39"/>
      <c r="J90" s="39"/>
      <c r="K90" s="39"/>
      <c r="L90" s="39"/>
      <c r="M90" s="39"/>
      <c r="N90" s="39"/>
      <c r="O90" s="39"/>
      <c r="P90" s="39"/>
      <c r="Q90" s="39"/>
      <c r="R90" s="39"/>
      <c r="S90" s="39"/>
      <c r="T90" s="39"/>
      <c r="U90" s="39"/>
    </row>
    <row r="91" spans="1:21" x14ac:dyDescent="0.3">
      <c r="A91" s="39"/>
      <c r="B91" s="39"/>
      <c r="C91" s="39"/>
      <c r="D91" s="39"/>
      <c r="E91" s="39"/>
      <c r="F91" s="39"/>
      <c r="G91" s="39"/>
      <c r="H91" s="39"/>
      <c r="I91" s="39"/>
      <c r="J91" s="39"/>
      <c r="K91" s="39"/>
      <c r="L91" s="39"/>
      <c r="M91" s="39"/>
      <c r="N91" s="39"/>
      <c r="O91" s="39"/>
      <c r="P91" s="39"/>
      <c r="Q91" s="39"/>
      <c r="R91" s="39"/>
      <c r="S91" s="39"/>
      <c r="T91" s="39"/>
      <c r="U91" s="39"/>
    </row>
    <row r="92" spans="1:21" x14ac:dyDescent="0.3">
      <c r="A92" s="39"/>
      <c r="B92" s="39"/>
      <c r="C92" s="39"/>
      <c r="D92" s="39"/>
      <c r="E92" s="39"/>
      <c r="F92" s="39"/>
      <c r="G92" s="39"/>
      <c r="H92" s="39"/>
      <c r="I92" s="39"/>
      <c r="J92" s="39"/>
      <c r="K92" s="39"/>
      <c r="L92" s="39"/>
      <c r="M92" s="39"/>
      <c r="N92" s="39"/>
      <c r="O92" s="39"/>
      <c r="P92" s="39"/>
      <c r="Q92" s="39"/>
      <c r="R92" s="39"/>
      <c r="S92" s="39"/>
      <c r="T92" s="39"/>
      <c r="U92" s="39"/>
    </row>
    <row r="93" spans="1:21" x14ac:dyDescent="0.3">
      <c r="A93" s="39"/>
      <c r="B93" s="39"/>
      <c r="C93" s="39"/>
      <c r="D93" s="39"/>
      <c r="E93" s="39"/>
      <c r="F93" s="39"/>
      <c r="G93" s="39"/>
      <c r="H93" s="39"/>
      <c r="I93" s="39"/>
      <c r="J93" s="39"/>
      <c r="K93" s="39"/>
      <c r="L93" s="39"/>
      <c r="M93" s="39"/>
      <c r="N93" s="39"/>
      <c r="O93" s="39"/>
      <c r="P93" s="39"/>
      <c r="Q93" s="39"/>
      <c r="R93" s="39"/>
      <c r="S93" s="39"/>
      <c r="T93" s="39"/>
      <c r="U93" s="39"/>
    </row>
    <row r="94" spans="1:21" x14ac:dyDescent="0.3">
      <c r="A94" s="39"/>
      <c r="B94" s="39"/>
      <c r="C94" s="39"/>
      <c r="D94" s="39"/>
      <c r="E94" s="39"/>
      <c r="F94" s="39"/>
      <c r="G94" s="39"/>
      <c r="H94" s="39"/>
      <c r="I94" s="39"/>
      <c r="J94" s="39"/>
      <c r="K94" s="39"/>
      <c r="L94" s="39"/>
      <c r="M94" s="39"/>
      <c r="N94" s="39"/>
      <c r="O94" s="39"/>
      <c r="P94" s="39"/>
      <c r="Q94" s="39"/>
      <c r="R94" s="39"/>
      <c r="S94" s="39"/>
      <c r="T94" s="39"/>
      <c r="U94" s="39"/>
    </row>
    <row r="95" spans="1:21" x14ac:dyDescent="0.3">
      <c r="A95" s="39"/>
      <c r="B95" s="39"/>
      <c r="C95" s="39"/>
      <c r="D95" s="39"/>
      <c r="E95" s="39"/>
      <c r="F95" s="39"/>
      <c r="G95" s="39"/>
      <c r="H95" s="39"/>
      <c r="I95" s="39"/>
      <c r="J95" s="39"/>
      <c r="K95" s="39"/>
      <c r="L95" s="39"/>
      <c r="M95" s="39"/>
      <c r="N95" s="39"/>
      <c r="O95" s="39"/>
      <c r="P95" s="39"/>
      <c r="Q95" s="39"/>
      <c r="R95" s="39"/>
      <c r="S95" s="39"/>
      <c r="T95" s="39"/>
      <c r="U95" s="39"/>
    </row>
    <row r="96" spans="1:21" x14ac:dyDescent="0.3">
      <c r="A96" s="39"/>
      <c r="B96" s="39"/>
      <c r="C96" s="39"/>
      <c r="D96" s="39"/>
      <c r="E96" s="39"/>
      <c r="F96" s="39"/>
      <c r="G96" s="39"/>
      <c r="H96" s="39"/>
      <c r="I96" s="39"/>
      <c r="J96" s="39"/>
      <c r="K96" s="39"/>
      <c r="L96" s="39"/>
      <c r="M96" s="39"/>
      <c r="N96" s="39"/>
      <c r="O96" s="39"/>
      <c r="P96" s="39"/>
      <c r="Q96" s="39"/>
      <c r="R96" s="39"/>
      <c r="S96" s="39"/>
      <c r="T96" s="39"/>
      <c r="U96" s="39"/>
    </row>
    <row r="97" spans="1:21" x14ac:dyDescent="0.3">
      <c r="A97" s="39"/>
      <c r="B97" s="39"/>
      <c r="C97" s="39"/>
      <c r="D97" s="39"/>
      <c r="E97" s="39"/>
      <c r="F97" s="39"/>
      <c r="G97" s="39"/>
      <c r="H97" s="39"/>
      <c r="I97" s="39"/>
      <c r="J97" s="39"/>
      <c r="K97" s="39"/>
      <c r="L97" s="39"/>
      <c r="M97" s="39"/>
      <c r="N97" s="39"/>
      <c r="O97" s="39"/>
      <c r="P97" s="39"/>
      <c r="Q97" s="39"/>
      <c r="R97" s="39"/>
      <c r="S97" s="39"/>
      <c r="T97" s="39"/>
      <c r="U97" s="39"/>
    </row>
    <row r="98" spans="1:21" x14ac:dyDescent="0.3">
      <c r="A98" s="39"/>
      <c r="B98" s="39"/>
      <c r="C98" s="39"/>
      <c r="D98" s="39"/>
      <c r="E98" s="39"/>
      <c r="F98" s="39"/>
      <c r="G98" s="39"/>
      <c r="H98" s="39"/>
      <c r="I98" s="39"/>
      <c r="J98" s="39"/>
      <c r="K98" s="39"/>
      <c r="L98" s="39"/>
      <c r="M98" s="39"/>
      <c r="N98" s="39"/>
      <c r="O98" s="39"/>
      <c r="P98" s="39"/>
      <c r="Q98" s="39"/>
      <c r="R98" s="39"/>
      <c r="S98" s="39"/>
      <c r="T98" s="39"/>
      <c r="U98" s="39"/>
    </row>
    <row r="99" spans="1:21" x14ac:dyDescent="0.3">
      <c r="A99" s="39"/>
      <c r="B99" s="39"/>
      <c r="C99" s="39"/>
      <c r="D99" s="39"/>
      <c r="E99" s="39"/>
      <c r="F99" s="39"/>
      <c r="G99" s="39"/>
      <c r="H99" s="39"/>
      <c r="I99" s="39"/>
      <c r="J99" s="39"/>
      <c r="K99" s="39"/>
      <c r="L99" s="39"/>
      <c r="M99" s="39"/>
      <c r="N99" s="39"/>
      <c r="O99" s="39"/>
      <c r="P99" s="39"/>
      <c r="Q99" s="39"/>
      <c r="R99" s="39"/>
      <c r="S99" s="39"/>
      <c r="T99" s="39"/>
      <c r="U99" s="39"/>
    </row>
    <row r="100" spans="1:21" x14ac:dyDescent="0.3">
      <c r="A100" s="39"/>
      <c r="B100" s="39"/>
      <c r="C100" s="39"/>
      <c r="D100" s="39"/>
      <c r="E100" s="39"/>
      <c r="F100" s="39"/>
      <c r="G100" s="39"/>
      <c r="H100" s="39"/>
      <c r="I100" s="39"/>
      <c r="J100" s="39"/>
      <c r="K100" s="39"/>
      <c r="L100" s="39"/>
      <c r="M100" s="39"/>
      <c r="N100" s="39"/>
      <c r="O100" s="39"/>
      <c r="P100" s="39"/>
      <c r="Q100" s="39"/>
      <c r="R100" s="39"/>
      <c r="S100" s="39"/>
      <c r="T100" s="39"/>
      <c r="U100" s="39"/>
    </row>
    <row r="101" spans="1:21" x14ac:dyDescent="0.3">
      <c r="A101" s="39"/>
      <c r="B101" s="39"/>
      <c r="C101" s="39"/>
      <c r="D101" s="39"/>
      <c r="E101" s="39"/>
      <c r="F101" s="39"/>
      <c r="G101" s="39"/>
      <c r="H101" s="39"/>
      <c r="I101" s="39"/>
      <c r="J101" s="39"/>
      <c r="K101" s="39"/>
      <c r="L101" s="39"/>
      <c r="M101" s="39"/>
      <c r="N101" s="39"/>
      <c r="O101" s="39"/>
      <c r="P101" s="39"/>
      <c r="Q101" s="39"/>
      <c r="R101" s="39"/>
      <c r="S101" s="39"/>
      <c r="T101" s="39"/>
      <c r="U101" s="39"/>
    </row>
    <row r="102" spans="1:21" x14ac:dyDescent="0.3">
      <c r="A102" s="39"/>
      <c r="B102" s="39"/>
      <c r="C102" s="39"/>
      <c r="D102" s="39"/>
      <c r="E102" s="39"/>
      <c r="F102" s="39"/>
      <c r="G102" s="39"/>
      <c r="H102" s="39"/>
      <c r="I102" s="39"/>
      <c r="J102" s="39"/>
      <c r="K102" s="39"/>
      <c r="L102" s="39"/>
      <c r="M102" s="39"/>
      <c r="N102" s="39"/>
      <c r="O102" s="39"/>
      <c r="P102" s="39"/>
      <c r="Q102" s="39"/>
      <c r="R102" s="39"/>
      <c r="S102" s="39"/>
      <c r="T102" s="39"/>
      <c r="U102" s="39"/>
    </row>
    <row r="103" spans="1:21" x14ac:dyDescent="0.3">
      <c r="A103" s="39"/>
      <c r="B103" s="39"/>
      <c r="C103" s="39"/>
      <c r="D103" s="39"/>
      <c r="E103" s="39"/>
      <c r="F103" s="39"/>
      <c r="G103" s="39"/>
      <c r="H103" s="39"/>
      <c r="I103" s="39"/>
      <c r="J103" s="39"/>
      <c r="K103" s="39"/>
      <c r="L103" s="39"/>
      <c r="M103" s="39"/>
      <c r="N103" s="39"/>
      <c r="O103" s="39"/>
      <c r="P103" s="39"/>
      <c r="Q103" s="39"/>
      <c r="R103" s="39"/>
      <c r="S103" s="39"/>
      <c r="T103" s="39"/>
      <c r="U103" s="39"/>
    </row>
    <row r="104" spans="1:21" x14ac:dyDescent="0.3">
      <c r="A104" s="39"/>
      <c r="B104" s="39"/>
      <c r="C104" s="39"/>
      <c r="D104" s="39"/>
      <c r="E104" s="39"/>
      <c r="F104" s="39"/>
      <c r="G104" s="39"/>
      <c r="H104" s="39"/>
      <c r="I104" s="39"/>
      <c r="J104" s="39"/>
      <c r="K104" s="39"/>
      <c r="L104" s="39"/>
      <c r="M104" s="39"/>
      <c r="N104" s="39"/>
      <c r="O104" s="39"/>
      <c r="P104" s="39"/>
      <c r="Q104" s="39"/>
      <c r="R104" s="39"/>
      <c r="S104" s="39"/>
      <c r="T104" s="39"/>
      <c r="U104" s="39"/>
    </row>
    <row r="105" spans="1:21" x14ac:dyDescent="0.3">
      <c r="A105" s="39"/>
      <c r="B105" s="39"/>
      <c r="C105" s="39"/>
      <c r="D105" s="39"/>
      <c r="E105" s="39"/>
      <c r="F105" s="39"/>
      <c r="G105" s="39"/>
      <c r="H105" s="39"/>
      <c r="I105" s="39"/>
      <c r="J105" s="39"/>
      <c r="K105" s="39"/>
      <c r="L105" s="39"/>
      <c r="M105" s="39"/>
      <c r="N105" s="39"/>
      <c r="O105" s="39"/>
      <c r="P105" s="39"/>
      <c r="Q105" s="39"/>
      <c r="R105" s="39"/>
      <c r="S105" s="39"/>
      <c r="T105" s="39"/>
      <c r="U105" s="39"/>
    </row>
    <row r="106" spans="1:21" x14ac:dyDescent="0.3">
      <c r="A106" s="39"/>
      <c r="B106" s="39"/>
      <c r="C106" s="39"/>
      <c r="D106" s="39"/>
      <c r="E106" s="39"/>
      <c r="F106" s="39"/>
      <c r="G106" s="39"/>
      <c r="H106" s="39"/>
      <c r="I106" s="39"/>
      <c r="J106" s="39"/>
      <c r="K106" s="39"/>
      <c r="L106" s="39"/>
      <c r="M106" s="39"/>
      <c r="N106" s="39"/>
      <c r="O106" s="39"/>
      <c r="P106" s="39"/>
      <c r="Q106" s="39"/>
      <c r="R106" s="39"/>
      <c r="S106" s="39"/>
      <c r="T106" s="39"/>
      <c r="U106" s="39"/>
    </row>
    <row r="107" spans="1:21" x14ac:dyDescent="0.3">
      <c r="A107" s="39"/>
      <c r="B107" s="39"/>
      <c r="C107" s="39"/>
      <c r="D107" s="39"/>
      <c r="E107" s="39"/>
      <c r="F107" s="39"/>
      <c r="G107" s="39"/>
      <c r="H107" s="39"/>
      <c r="I107" s="39"/>
      <c r="J107" s="39"/>
      <c r="K107" s="39"/>
      <c r="L107" s="39"/>
      <c r="M107" s="39"/>
      <c r="N107" s="39"/>
      <c r="O107" s="39"/>
      <c r="P107" s="39"/>
      <c r="Q107" s="39"/>
      <c r="R107" s="39"/>
      <c r="S107" s="39"/>
      <c r="T107" s="39"/>
      <c r="U107" s="39"/>
    </row>
    <row r="108" spans="1:21" x14ac:dyDescent="0.3">
      <c r="A108" s="39"/>
      <c r="B108" s="39"/>
      <c r="C108" s="39"/>
      <c r="D108" s="39"/>
      <c r="E108" s="39"/>
      <c r="F108" s="39"/>
      <c r="G108" s="39"/>
      <c r="H108" s="39"/>
      <c r="I108" s="39"/>
      <c r="J108" s="39"/>
      <c r="K108" s="39"/>
      <c r="L108" s="39"/>
      <c r="M108" s="39"/>
      <c r="N108" s="39"/>
      <c r="O108" s="39"/>
      <c r="P108" s="39"/>
      <c r="Q108" s="39"/>
      <c r="R108" s="39"/>
      <c r="S108" s="39"/>
      <c r="T108" s="39"/>
      <c r="U108" s="39"/>
    </row>
    <row r="109" spans="1:21" x14ac:dyDescent="0.3">
      <c r="A109" s="39"/>
      <c r="B109" s="39"/>
      <c r="C109" s="39"/>
      <c r="D109" s="39"/>
      <c r="E109" s="39"/>
      <c r="F109" s="39"/>
      <c r="G109" s="39"/>
      <c r="H109" s="39"/>
      <c r="I109" s="39"/>
      <c r="J109" s="39"/>
      <c r="K109" s="39"/>
      <c r="L109" s="39"/>
      <c r="M109" s="39"/>
      <c r="N109" s="39"/>
      <c r="O109" s="39"/>
      <c r="P109" s="39"/>
      <c r="Q109" s="39"/>
      <c r="R109" s="39"/>
      <c r="S109" s="39"/>
      <c r="T109" s="39"/>
      <c r="U109" s="39"/>
    </row>
    <row r="110" spans="1:21" x14ac:dyDescent="0.3">
      <c r="A110" s="39"/>
      <c r="B110" s="39"/>
      <c r="C110" s="39"/>
      <c r="D110" s="39"/>
      <c r="E110" s="39"/>
      <c r="F110" s="39"/>
      <c r="G110" s="39"/>
      <c r="H110" s="39"/>
      <c r="I110" s="39"/>
      <c r="J110" s="39"/>
      <c r="K110" s="39"/>
      <c r="L110" s="39"/>
      <c r="M110" s="39"/>
      <c r="N110" s="39"/>
      <c r="O110" s="39"/>
      <c r="P110" s="39"/>
      <c r="Q110" s="39"/>
      <c r="R110" s="39"/>
      <c r="S110" s="39"/>
      <c r="T110" s="39"/>
      <c r="U110" s="39"/>
    </row>
    <row r="111" spans="1:21" x14ac:dyDescent="0.3">
      <c r="A111" s="39"/>
      <c r="B111" s="39"/>
      <c r="C111" s="39"/>
      <c r="D111" s="39"/>
      <c r="E111" s="39"/>
      <c r="F111" s="39"/>
      <c r="G111" s="39"/>
      <c r="H111" s="39"/>
      <c r="I111" s="39"/>
      <c r="J111" s="39"/>
      <c r="K111" s="39"/>
      <c r="L111" s="39"/>
      <c r="M111" s="39"/>
      <c r="N111" s="39"/>
      <c r="O111" s="39"/>
      <c r="P111" s="39"/>
      <c r="Q111" s="39"/>
      <c r="R111" s="39"/>
      <c r="S111" s="39"/>
      <c r="T111" s="39"/>
      <c r="U111" s="39"/>
    </row>
    <row r="112" spans="1:21" ht="30" customHeight="1" x14ac:dyDescent="0.3">
      <c r="A112" s="39"/>
      <c r="B112" s="39"/>
      <c r="C112" s="39"/>
      <c r="D112" s="39"/>
      <c r="E112" s="46" t="s">
        <v>2794</v>
      </c>
      <c r="F112" s="47"/>
      <c r="G112" s="47"/>
      <c r="H112" s="47"/>
      <c r="I112" s="47"/>
      <c r="J112" s="47"/>
      <c r="K112" s="47"/>
      <c r="L112" s="47"/>
      <c r="M112" s="47"/>
      <c r="N112" s="47"/>
      <c r="O112" s="47"/>
      <c r="P112" s="47"/>
      <c r="Q112" s="47"/>
      <c r="R112" s="47"/>
      <c r="S112" s="47"/>
      <c r="T112" s="47"/>
      <c r="U112" s="39"/>
    </row>
    <row r="113" spans="1:21" x14ac:dyDescent="0.3">
      <c r="A113" s="39"/>
      <c r="B113" s="39"/>
      <c r="C113" s="39"/>
      <c r="D113" s="39"/>
      <c r="E113" s="40"/>
      <c r="F113" s="39"/>
      <c r="G113" s="39"/>
      <c r="H113" s="39"/>
      <c r="I113" s="39"/>
      <c r="J113" s="39"/>
      <c r="K113" s="39"/>
      <c r="L113" s="39"/>
      <c r="M113" s="39"/>
      <c r="N113" s="41"/>
      <c r="O113" s="39"/>
      <c r="P113" s="39"/>
      <c r="Q113" s="39"/>
      <c r="R113" s="39"/>
      <c r="S113" s="39"/>
      <c r="T113" s="39"/>
      <c r="U113" s="39"/>
    </row>
    <row r="114" spans="1:21" ht="19.5" customHeight="1" x14ac:dyDescent="0.3">
      <c r="A114" s="39"/>
      <c r="B114" s="39"/>
      <c r="C114" s="39"/>
      <c r="D114" s="39"/>
      <c r="E114" s="49" t="s">
        <v>2795</v>
      </c>
      <c r="F114" s="44"/>
      <c r="G114" s="44"/>
      <c r="H114" s="44"/>
      <c r="I114" s="44" t="s">
        <v>2796</v>
      </c>
      <c r="J114" s="44"/>
      <c r="K114" s="44"/>
      <c r="L114" s="44" t="s">
        <v>2797</v>
      </c>
      <c r="M114" s="44"/>
      <c r="N114" s="45"/>
      <c r="O114" s="44" t="s">
        <v>2798</v>
      </c>
      <c r="P114" s="44"/>
      <c r="Q114" s="45"/>
      <c r="R114" s="44" t="s">
        <v>2799</v>
      </c>
      <c r="S114" s="44"/>
      <c r="T114" s="45"/>
      <c r="U114" s="39"/>
    </row>
    <row r="115" spans="1:21" ht="15" customHeight="1" x14ac:dyDescent="0.3">
      <c r="A115" s="39"/>
      <c r="B115" s="39"/>
      <c r="C115" s="39"/>
      <c r="D115" s="39"/>
      <c r="E115" s="50">
        <v>0.02</v>
      </c>
      <c r="F115" s="51"/>
      <c r="G115" s="51"/>
      <c r="H115" s="51"/>
      <c r="I115" s="52" cm="1">
        <f t="array" aca="1" ref="I115" ca="1">SUMPRODUCT((SUBTOTAL(103,OFFSET(INDEX(Appointments_Tbl[Appointment_ID],1),ROW(Appointments_Tbl[Appointment_ID])-ROW(INDEX(Appointments_Tbl[Appointment_ID],1)),0,1)))*(Appointments_Tbl[No_Show_Flag]))</f>
        <v>302</v>
      </c>
      <c r="J115" s="52"/>
      <c r="K115" s="52"/>
      <c r="L115" s="53">
        <f ca="1">I115*E115</f>
        <v>6.04</v>
      </c>
      <c r="M115" s="53"/>
      <c r="N115" s="54"/>
      <c r="O115" s="55" cm="1">
        <f t="array" aca="1" ref="O115" ca="1">IFERROR(SUMPRODUCT((SUBTOTAL(103,OFFSET(INDEX(Appointments_Tbl[Appointment_ID],1),ROW(Appointments_Tbl[Appointment_ID])-ROW(INDEX(Appointments_Tbl[Appointment_ID],1)),0,1)))*(Appointments_Tbl[No_Show_Flag])*(Appointments_Tbl[Session_Fee_INR]))/I115,0)</f>
        <v>1334.4370860927152</v>
      </c>
      <c r="P115" s="55"/>
      <c r="Q115" s="56"/>
      <c r="R115" s="57">
        <f ca="1">O115*L115</f>
        <v>8060</v>
      </c>
      <c r="S115" s="58"/>
      <c r="T115" s="58"/>
      <c r="U115" s="39"/>
    </row>
    <row r="116" spans="1:21" ht="15" customHeight="1" x14ac:dyDescent="0.3">
      <c r="A116" s="39"/>
      <c r="B116" s="39"/>
      <c r="C116" s="39"/>
      <c r="D116" s="39"/>
      <c r="E116" s="50"/>
      <c r="F116" s="51"/>
      <c r="G116" s="51"/>
      <c r="H116" s="51"/>
      <c r="I116" s="52"/>
      <c r="J116" s="52"/>
      <c r="K116" s="52"/>
      <c r="L116" s="53"/>
      <c r="M116" s="53"/>
      <c r="N116" s="54"/>
      <c r="O116" s="55"/>
      <c r="P116" s="55"/>
      <c r="Q116" s="56"/>
      <c r="R116" s="57"/>
      <c r="S116" s="58"/>
      <c r="T116" s="58"/>
      <c r="U116" s="39"/>
    </row>
    <row r="117" spans="1:21" ht="15" customHeight="1" x14ac:dyDescent="0.3">
      <c r="A117" s="39"/>
      <c r="B117" s="39"/>
      <c r="C117" s="39"/>
      <c r="D117" s="39"/>
      <c r="E117" s="50"/>
      <c r="F117" s="51"/>
      <c r="G117" s="51"/>
      <c r="H117" s="51"/>
      <c r="I117" s="52"/>
      <c r="J117" s="52"/>
      <c r="K117" s="52"/>
      <c r="L117" s="53"/>
      <c r="M117" s="53"/>
      <c r="N117" s="54"/>
      <c r="O117" s="55"/>
      <c r="P117" s="55"/>
      <c r="Q117" s="56"/>
      <c r="R117" s="57"/>
      <c r="S117" s="58"/>
      <c r="T117" s="58"/>
      <c r="U117" s="39"/>
    </row>
    <row r="118" spans="1:21" ht="15" customHeight="1" x14ac:dyDescent="0.3">
      <c r="A118" s="39"/>
      <c r="B118" s="39"/>
      <c r="C118" s="39"/>
      <c r="D118" s="39"/>
      <c r="E118" s="48" t="s">
        <v>2800</v>
      </c>
      <c r="F118" s="48"/>
      <c r="G118" s="48"/>
      <c r="H118" s="48"/>
      <c r="I118" s="48"/>
      <c r="J118" s="48"/>
      <c r="K118" s="48"/>
      <c r="L118" s="48"/>
      <c r="M118" s="48"/>
      <c r="N118" s="48"/>
      <c r="O118" s="48"/>
      <c r="P118" s="48"/>
      <c r="Q118" s="48"/>
      <c r="R118" s="48"/>
      <c r="S118" s="48"/>
      <c r="T118" s="48"/>
      <c r="U118" s="39"/>
    </row>
    <row r="119" spans="1:21" x14ac:dyDescent="0.3">
      <c r="A119" s="39"/>
      <c r="B119" s="39"/>
      <c r="C119" s="39"/>
      <c r="D119" s="39"/>
      <c r="E119" s="48"/>
      <c r="F119" s="48"/>
      <c r="G119" s="48"/>
      <c r="H119" s="48"/>
      <c r="I119" s="48"/>
      <c r="J119" s="48"/>
      <c r="K119" s="48"/>
      <c r="L119" s="48"/>
      <c r="M119" s="48"/>
      <c r="N119" s="48"/>
      <c r="O119" s="48"/>
      <c r="P119" s="48"/>
      <c r="Q119" s="48"/>
      <c r="R119" s="48"/>
      <c r="S119" s="48"/>
      <c r="T119" s="48"/>
      <c r="U119" s="39"/>
    </row>
    <row r="120" spans="1:21" x14ac:dyDescent="0.3">
      <c r="A120" s="39"/>
      <c r="B120" s="39"/>
      <c r="C120" s="39"/>
      <c r="D120" s="39"/>
      <c r="E120" s="39"/>
      <c r="F120" s="39"/>
      <c r="G120" s="39"/>
      <c r="H120" s="39"/>
      <c r="I120" s="39"/>
      <c r="J120" s="39"/>
      <c r="K120" s="39"/>
      <c r="L120" s="39"/>
      <c r="M120" s="39"/>
      <c r="N120" s="39"/>
      <c r="O120" s="39"/>
      <c r="P120" s="39"/>
      <c r="Q120" s="39"/>
      <c r="R120" s="39"/>
      <c r="S120" s="39"/>
      <c r="T120" s="39"/>
      <c r="U120" s="39"/>
    </row>
    <row r="121" spans="1:21" x14ac:dyDescent="0.3">
      <c r="A121" s="39"/>
      <c r="B121" s="39"/>
      <c r="C121" s="39"/>
      <c r="D121" s="39"/>
      <c r="E121" s="39"/>
      <c r="F121" s="39"/>
      <c r="G121" s="39"/>
      <c r="H121" s="39"/>
      <c r="I121" s="39"/>
      <c r="J121" s="39"/>
      <c r="K121" s="39"/>
      <c r="L121" s="39"/>
      <c r="M121" s="39"/>
      <c r="N121" s="39"/>
      <c r="O121" s="39"/>
      <c r="P121" s="39"/>
      <c r="Q121" s="39"/>
      <c r="R121" s="39"/>
      <c r="S121" s="39"/>
      <c r="T121" s="39"/>
      <c r="U121" s="39"/>
    </row>
  </sheetData>
  <mergeCells count="64">
    <mergeCell ref="A3:E4"/>
    <mergeCell ref="F3:J4"/>
    <mergeCell ref="K3:O4"/>
    <mergeCell ref="P3:T4"/>
    <mergeCell ref="K7:O9"/>
    <mergeCell ref="P7:T9"/>
    <mergeCell ref="A5:E6"/>
    <mergeCell ref="F5:J6"/>
    <mergeCell ref="K5:O6"/>
    <mergeCell ref="P5:T6"/>
    <mergeCell ref="E19:G20"/>
    <mergeCell ref="E21:G22"/>
    <mergeCell ref="A1:O2"/>
    <mergeCell ref="P1:T2"/>
    <mergeCell ref="E16:J17"/>
    <mergeCell ref="K16:T17"/>
    <mergeCell ref="A10:E11"/>
    <mergeCell ref="F10:J11"/>
    <mergeCell ref="K10:O11"/>
    <mergeCell ref="P10:T11"/>
    <mergeCell ref="A12:E13"/>
    <mergeCell ref="F12:J13"/>
    <mergeCell ref="K12:O13"/>
    <mergeCell ref="P12:T13"/>
    <mergeCell ref="A7:E9"/>
    <mergeCell ref="F7:J9"/>
    <mergeCell ref="H19:J20"/>
    <mergeCell ref="H21:J22"/>
    <mergeCell ref="H23:J24"/>
    <mergeCell ref="H25:J26"/>
    <mergeCell ref="H27:J28"/>
    <mergeCell ref="E23:G24"/>
    <mergeCell ref="E25:G26"/>
    <mergeCell ref="E27:G28"/>
    <mergeCell ref="E29:G30"/>
    <mergeCell ref="E31:G32"/>
    <mergeCell ref="H29:J30"/>
    <mergeCell ref="H31:J32"/>
    <mergeCell ref="E39:G39"/>
    <mergeCell ref="E40:G40"/>
    <mergeCell ref="E41:G41"/>
    <mergeCell ref="E36:J37"/>
    <mergeCell ref="K36:T37"/>
    <mergeCell ref="E80:T81"/>
    <mergeCell ref="E43:G43"/>
    <mergeCell ref="H39:J39"/>
    <mergeCell ref="H40:J40"/>
    <mergeCell ref="H41:J41"/>
    <mergeCell ref="H42:J42"/>
    <mergeCell ref="H43:J43"/>
    <mergeCell ref="E42:G42"/>
    <mergeCell ref="E56:T57"/>
    <mergeCell ref="R114:T114"/>
    <mergeCell ref="E112:T112"/>
    <mergeCell ref="E118:T119"/>
    <mergeCell ref="E114:H114"/>
    <mergeCell ref="E115:H117"/>
    <mergeCell ref="I115:K117"/>
    <mergeCell ref="I114:K114"/>
    <mergeCell ref="L115:N117"/>
    <mergeCell ref="L114:N114"/>
    <mergeCell ref="O115:Q117"/>
    <mergeCell ref="O114:Q114"/>
    <mergeCell ref="R115:T117"/>
  </mergeCells>
  <phoneticPr fontId="30" type="noConversion"/>
  <conditionalFormatting sqref="H19:J32">
    <cfRule type="colorScale" priority="1">
      <colorScale>
        <cfvo type="min"/>
        <cfvo type="percentile" val="50"/>
        <cfvo type="max"/>
        <color rgb="FF63BE7B"/>
        <color rgb="FFFFEB84"/>
        <color rgb="FFF8696B"/>
      </colorScale>
    </cfRule>
  </conditionalFormatting>
  <dataValidations count="1">
    <dataValidation type="decimal" allowBlank="1" showInputMessage="1" showErrorMessage="1" promptTitle="Target No-Show Reduction Goal" prompt="Enter a percentage, e.g., 5%." sqref="E115" xr:uid="{EC65AC55-CA14-47A7-B3BF-D6A3D50F0D47}">
      <formula1>0</formula1>
      <formula2>1</formula2>
    </dataValidation>
  </dataValidation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EECE79D9-F6CE-4DAB-AE83-473DC0AAD42C}">
          <x14:formula1>
            <xm:f>OFFSET(Pivot_Data!$A$12,1,0,COUNTA(Pivot_Data!$A$13:$A$30)-2,1)</xm:f>
          </x14:formula1>
          <xm:sqref>H39:J39</xm:sqref>
        </x14:dataValidation>
      </x14:dataValidations>
    </ex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13EC50-0FDE-41E6-8DF1-CAFAC1B3807C}">
  <dimension ref="A5:P123"/>
  <sheetViews>
    <sheetView workbookViewId="0"/>
  </sheetViews>
  <sheetFormatPr defaultRowHeight="14.4" x14ac:dyDescent="0.3"/>
  <cols>
    <col min="1" max="1" width="12.5546875" bestFit="1" customWidth="1"/>
    <col min="2" max="2" width="20.109375" bestFit="1" customWidth="1"/>
    <col min="3" max="3" width="19.5546875" bestFit="1" customWidth="1"/>
    <col min="4" max="4" width="19.77734375" bestFit="1" customWidth="1"/>
    <col min="5" max="5" width="10.77734375" bestFit="1" customWidth="1"/>
    <col min="6" max="6" width="16.33203125" bestFit="1" customWidth="1"/>
    <col min="7" max="9" width="19.109375" bestFit="1" customWidth="1"/>
    <col min="10" max="10" width="19.6640625" bestFit="1" customWidth="1"/>
    <col min="11" max="11" width="26" bestFit="1" customWidth="1"/>
    <col min="12" max="16" width="8.109375" bestFit="1" customWidth="1"/>
    <col min="17" max="17" width="11.33203125" bestFit="1" customWidth="1"/>
  </cols>
  <sheetData>
    <row r="5" spans="1:16" x14ac:dyDescent="0.3">
      <c r="A5" s="33" t="s">
        <v>2783</v>
      </c>
      <c r="B5" s="33" t="s">
        <v>2784</v>
      </c>
      <c r="C5" s="33" t="s">
        <v>2786</v>
      </c>
      <c r="D5" s="33" t="s">
        <v>2785</v>
      </c>
    </row>
    <row r="6" spans="1:16" x14ac:dyDescent="0.3">
      <c r="A6" s="30">
        <v>1990900</v>
      </c>
      <c r="B6" s="31">
        <v>0.151</v>
      </c>
      <c r="C6" s="30">
        <v>543350</v>
      </c>
      <c r="D6" s="31">
        <f>SUMIF(Appointments_Tbl[Appointment_Status],"Completed",Appointments_Tbl[Treated_Minutes])/SUM(Appointments_Tbl[Allocated_Shift_Capacity_Minutes])</f>
        <v>0.62495010157102504</v>
      </c>
    </row>
    <row r="7" spans="1:16" x14ac:dyDescent="0.3">
      <c r="A7" s="30"/>
      <c r="B7" s="31"/>
      <c r="C7" s="30"/>
    </row>
    <row r="8" spans="1:16" x14ac:dyDescent="0.3">
      <c r="A8" s="30"/>
      <c r="B8" s="31"/>
      <c r="C8" s="30"/>
    </row>
    <row r="9" spans="1:16" x14ac:dyDescent="0.3">
      <c r="A9" s="33" t="s">
        <v>5</v>
      </c>
      <c r="B9" t="s">
        <v>2817</v>
      </c>
      <c r="C9" s="30"/>
    </row>
    <row r="10" spans="1:16" x14ac:dyDescent="0.3">
      <c r="A10" s="33" t="s">
        <v>2</v>
      </c>
      <c r="B10" t="s">
        <v>2817</v>
      </c>
    </row>
    <row r="12" spans="1:16" x14ac:dyDescent="0.3">
      <c r="A12" s="33" t="s">
        <v>7</v>
      </c>
      <c r="B12" s="33" t="s">
        <v>2757</v>
      </c>
      <c r="C12" s="33" t="s">
        <v>2816</v>
      </c>
      <c r="D12" s="33" t="s">
        <v>2807</v>
      </c>
      <c r="E12" s="33" t="s">
        <v>2818</v>
      </c>
      <c r="F12" s="33" t="s">
        <v>2819</v>
      </c>
      <c r="G12" s="33" t="s">
        <v>2781</v>
      </c>
      <c r="J12" s="33" t="s">
        <v>7</v>
      </c>
      <c r="K12" s="33" t="s">
        <v>2821</v>
      </c>
      <c r="L12" s="33" t="s">
        <v>2822</v>
      </c>
      <c r="O12" s="32"/>
      <c r="P12" s="32"/>
    </row>
    <row r="13" spans="1:16" x14ac:dyDescent="0.3">
      <c r="A13" t="s">
        <v>102</v>
      </c>
      <c r="B13" s="145">
        <v>121</v>
      </c>
      <c r="C13" s="145">
        <v>24</v>
      </c>
      <c r="D13" s="30">
        <v>103400</v>
      </c>
      <c r="E13" s="145">
        <v>4800</v>
      </c>
      <c r="F13" s="145">
        <v>7793.0000000000009</v>
      </c>
      <c r="G13" s="31">
        <f>IF(F13=0,0,E13/F13)</f>
        <v>0.6159373796997305</v>
      </c>
      <c r="I13" s="31"/>
      <c r="J13" t="str" cm="1">
        <f t="array" aca="1" ref="J13:J27" ca="1">OFFSET(A12,1,0,COUNTA(A12:A31)-2,1)</f>
        <v>Anjali Menon</v>
      </c>
      <c r="K13" s="35">
        <f ca="1">IF(J13="","",INDEX(A12:G28,MATCH(J13,A12:A28,0),7))</f>
        <v>0.6159373796997305</v>
      </c>
      <c r="L13" s="35">
        <v>0.85</v>
      </c>
      <c r="P13" s="31"/>
    </row>
    <row r="14" spans="1:16" x14ac:dyDescent="0.3">
      <c r="A14" t="s">
        <v>89</v>
      </c>
      <c r="B14" s="145">
        <v>132</v>
      </c>
      <c r="C14" s="145">
        <v>11</v>
      </c>
      <c r="D14" s="30">
        <v>141400</v>
      </c>
      <c r="E14" s="145">
        <v>6120</v>
      </c>
      <c r="F14" s="145">
        <v>9180.8999999999978</v>
      </c>
      <c r="G14" s="31">
        <f t="shared" ref="G14:G28" si="0">IF(F14=0,0,E14/F14)</f>
        <v>0.66660131359670638</v>
      </c>
      <c r="I14" s="31"/>
      <c r="J14" t="str">
        <f ca="1"/>
        <v>Aparna Varma</v>
      </c>
      <c r="K14" s="35">
        <f t="shared" ref="K14:K27" ca="1" si="1">IF(J14="","",INDEX(A13:G29,MATCH(J14,A13:A29,0),7))</f>
        <v>0.66660131359670638</v>
      </c>
      <c r="L14" s="35">
        <v>0.85</v>
      </c>
      <c r="P14" s="31"/>
    </row>
    <row r="15" spans="1:16" x14ac:dyDescent="0.3">
      <c r="A15" t="s">
        <v>43</v>
      </c>
      <c r="B15" s="145">
        <v>123</v>
      </c>
      <c r="C15" s="145">
        <v>17</v>
      </c>
      <c r="D15" s="30">
        <v>120900</v>
      </c>
      <c r="E15" s="145">
        <v>5160</v>
      </c>
      <c r="F15" s="145">
        <v>8499.899999999996</v>
      </c>
      <c r="G15" s="31">
        <f t="shared" si="0"/>
        <v>0.60706596548194713</v>
      </c>
      <c r="I15" s="31"/>
      <c r="J15" t="str">
        <f ca="1"/>
        <v>Arun Raj</v>
      </c>
      <c r="K15" s="35">
        <f t="shared" ca="1" si="1"/>
        <v>0.60706596548194713</v>
      </c>
      <c r="L15" s="35">
        <v>0.85</v>
      </c>
      <c r="P15" s="31"/>
    </row>
    <row r="16" spans="1:16" x14ac:dyDescent="0.3">
      <c r="A16" t="s">
        <v>120</v>
      </c>
      <c r="B16" s="145">
        <v>126</v>
      </c>
      <c r="C16" s="145">
        <v>32</v>
      </c>
      <c r="D16" s="30">
        <v>101550</v>
      </c>
      <c r="E16" s="145">
        <v>4800</v>
      </c>
      <c r="F16" s="145">
        <v>8668.1999999999971</v>
      </c>
      <c r="G16" s="31">
        <f t="shared" si="0"/>
        <v>0.55374818301377471</v>
      </c>
      <c r="I16" s="31"/>
      <c r="J16" t="str">
        <f ca="1"/>
        <v>Deepa Krishnan</v>
      </c>
      <c r="K16" s="35">
        <f t="shared" ca="1" si="1"/>
        <v>0.55374818301377471</v>
      </c>
      <c r="L16" s="35">
        <v>0.85</v>
      </c>
      <c r="P16" s="31"/>
    </row>
    <row r="17" spans="1:16" x14ac:dyDescent="0.3">
      <c r="A17" t="s">
        <v>296</v>
      </c>
      <c r="B17" s="145">
        <v>135</v>
      </c>
      <c r="C17" s="145">
        <v>19</v>
      </c>
      <c r="D17" s="30">
        <v>146550</v>
      </c>
      <c r="E17" s="145">
        <v>5715</v>
      </c>
      <c r="F17" s="145">
        <v>8826.7999999999993</v>
      </c>
      <c r="G17" s="31">
        <f t="shared" si="0"/>
        <v>0.64746000815697657</v>
      </c>
      <c r="I17" s="31"/>
      <c r="J17" t="str">
        <f ca="1"/>
        <v>Divya Nambiar</v>
      </c>
      <c r="K17" s="35">
        <f t="shared" ca="1" si="1"/>
        <v>0.64746000815697657</v>
      </c>
      <c r="L17" s="35">
        <v>0.85</v>
      </c>
      <c r="P17" s="31"/>
    </row>
    <row r="18" spans="1:16" x14ac:dyDescent="0.3">
      <c r="A18" t="s">
        <v>151</v>
      </c>
      <c r="B18" s="145">
        <v>134</v>
      </c>
      <c r="C18" s="145">
        <v>15</v>
      </c>
      <c r="D18" s="30">
        <v>149000</v>
      </c>
      <c r="E18" s="145">
        <v>5820</v>
      </c>
      <c r="F18" s="145">
        <v>8988.899999999996</v>
      </c>
      <c r="G18" s="31">
        <f t="shared" si="0"/>
        <v>0.64746520708874311</v>
      </c>
      <c r="I18" s="31"/>
      <c r="J18" t="str">
        <f ca="1"/>
        <v>Fathima Rahman</v>
      </c>
      <c r="K18" s="35">
        <f t="shared" ca="1" si="1"/>
        <v>0.64746520708874311</v>
      </c>
      <c r="L18" s="35">
        <v>0.85</v>
      </c>
      <c r="P18" s="31"/>
    </row>
    <row r="19" spans="1:16" x14ac:dyDescent="0.3">
      <c r="A19" t="s">
        <v>73</v>
      </c>
      <c r="B19" s="145">
        <v>133</v>
      </c>
      <c r="C19" s="145">
        <v>15</v>
      </c>
      <c r="D19" s="30">
        <v>151600</v>
      </c>
      <c r="E19" s="145">
        <v>5940</v>
      </c>
      <c r="F19" s="145">
        <v>8974.5999999999985</v>
      </c>
      <c r="G19" s="31">
        <f t="shared" si="0"/>
        <v>0.66186793840394009</v>
      </c>
      <c r="I19" s="31"/>
      <c r="J19" t="str">
        <f ca="1"/>
        <v>Joel Thomas</v>
      </c>
      <c r="K19" s="35">
        <f t="shared" ca="1" si="1"/>
        <v>0.66186793840394009</v>
      </c>
      <c r="L19" s="35">
        <v>0.85</v>
      </c>
      <c r="P19" s="31"/>
    </row>
    <row r="20" spans="1:16" x14ac:dyDescent="0.3">
      <c r="A20" t="s">
        <v>117</v>
      </c>
      <c r="B20" s="145">
        <v>160</v>
      </c>
      <c r="C20" s="145">
        <v>18</v>
      </c>
      <c r="D20" s="30">
        <v>180050</v>
      </c>
      <c r="E20" s="145">
        <v>7005</v>
      </c>
      <c r="F20" s="145">
        <v>10575.600000000009</v>
      </c>
      <c r="G20" s="31">
        <f t="shared" si="0"/>
        <v>0.66237376602745879</v>
      </c>
      <c r="I20" s="31"/>
      <c r="J20" t="str">
        <f ca="1"/>
        <v>Lakshmi Pillai</v>
      </c>
      <c r="K20" s="35">
        <f t="shared" ca="1" si="1"/>
        <v>0.66237376602745879</v>
      </c>
      <c r="L20" s="35">
        <v>0.85</v>
      </c>
      <c r="P20" s="31"/>
    </row>
    <row r="21" spans="1:16" x14ac:dyDescent="0.3">
      <c r="A21" t="s">
        <v>30</v>
      </c>
      <c r="B21" s="145">
        <v>127</v>
      </c>
      <c r="C21" s="145">
        <v>24</v>
      </c>
      <c r="D21" s="30">
        <v>105800</v>
      </c>
      <c r="E21" s="145">
        <v>4935</v>
      </c>
      <c r="F21" s="145">
        <v>8448.7000000000007</v>
      </c>
      <c r="G21" s="31">
        <f t="shared" si="0"/>
        <v>0.58411353225940077</v>
      </c>
      <c r="I21" s="31"/>
      <c r="J21" t="str">
        <f ca="1"/>
        <v>Meera S</v>
      </c>
      <c r="K21" s="35">
        <f t="shared" ca="1" si="1"/>
        <v>0.58411353225940077</v>
      </c>
      <c r="L21" s="35">
        <v>0.85</v>
      </c>
      <c r="P21" s="31"/>
    </row>
    <row r="22" spans="1:16" x14ac:dyDescent="0.3">
      <c r="A22" t="s">
        <v>125</v>
      </c>
      <c r="B22" s="145">
        <v>152</v>
      </c>
      <c r="C22" s="145">
        <v>22</v>
      </c>
      <c r="D22" s="30">
        <v>155850</v>
      </c>
      <c r="E22" s="145">
        <v>6705</v>
      </c>
      <c r="F22" s="145">
        <v>10675.1</v>
      </c>
      <c r="G22" s="31">
        <f t="shared" si="0"/>
        <v>0.62809716068233545</v>
      </c>
      <c r="I22" s="31"/>
      <c r="J22" t="str">
        <f ca="1"/>
        <v>Nisha Thomas</v>
      </c>
      <c r="K22" s="35">
        <f t="shared" ca="1" si="1"/>
        <v>0.62809716068233545</v>
      </c>
      <c r="L22" s="35">
        <v>0.85</v>
      </c>
      <c r="P22" s="31"/>
    </row>
    <row r="23" spans="1:16" x14ac:dyDescent="0.3">
      <c r="A23" t="s">
        <v>111</v>
      </c>
      <c r="B23" s="145">
        <v>129</v>
      </c>
      <c r="C23" s="145">
        <v>18</v>
      </c>
      <c r="D23" s="30">
        <v>127600</v>
      </c>
      <c r="E23" s="145">
        <v>5505</v>
      </c>
      <c r="F23" s="145">
        <v>8898.3000000000011</v>
      </c>
      <c r="G23" s="31">
        <f t="shared" si="0"/>
        <v>0.6186574963757121</v>
      </c>
      <c r="I23" s="31"/>
      <c r="J23" t="str">
        <f ca="1"/>
        <v>Priya Mathew</v>
      </c>
      <c r="K23" s="35">
        <f t="shared" ca="1" si="1"/>
        <v>0.6186574963757121</v>
      </c>
      <c r="L23" s="35">
        <v>0.85</v>
      </c>
      <c r="P23" s="31"/>
    </row>
    <row r="24" spans="1:16" x14ac:dyDescent="0.3">
      <c r="A24" t="s">
        <v>210</v>
      </c>
      <c r="B24" s="145">
        <v>118</v>
      </c>
      <c r="C24" s="145">
        <v>19</v>
      </c>
      <c r="D24" s="30">
        <v>108600</v>
      </c>
      <c r="E24" s="145">
        <v>5115</v>
      </c>
      <c r="F24" s="145">
        <v>8088.6</v>
      </c>
      <c r="G24" s="31">
        <f t="shared" si="0"/>
        <v>0.63237148579482227</v>
      </c>
      <c r="I24" s="31"/>
      <c r="J24" t="str">
        <f ca="1"/>
        <v>Rahul P</v>
      </c>
      <c r="K24" s="35">
        <f t="shared" ca="1" si="1"/>
        <v>0.63237148579482227</v>
      </c>
      <c r="L24" s="35">
        <v>0.85</v>
      </c>
      <c r="P24" s="31"/>
    </row>
    <row r="25" spans="1:16" x14ac:dyDescent="0.3">
      <c r="A25" t="s">
        <v>60</v>
      </c>
      <c r="B25" s="145">
        <v>139</v>
      </c>
      <c r="C25" s="145">
        <v>18</v>
      </c>
      <c r="D25" s="30">
        <v>152450</v>
      </c>
      <c r="E25" s="145">
        <v>6000</v>
      </c>
      <c r="F25" s="145">
        <v>9360.1999999999989</v>
      </c>
      <c r="G25" s="31">
        <f t="shared" si="0"/>
        <v>0.6410119441892268</v>
      </c>
      <c r="I25" s="31"/>
      <c r="J25" t="str">
        <f ca="1"/>
        <v>Rohit George</v>
      </c>
      <c r="K25" s="35">
        <f t="shared" ca="1" si="1"/>
        <v>0.6410119441892268</v>
      </c>
      <c r="L25" s="35">
        <v>0.85</v>
      </c>
      <c r="P25" s="31"/>
    </row>
    <row r="26" spans="1:16" x14ac:dyDescent="0.3">
      <c r="A26" t="s">
        <v>51</v>
      </c>
      <c r="B26" s="145">
        <v>143</v>
      </c>
      <c r="C26" s="145">
        <v>30</v>
      </c>
      <c r="D26" s="30">
        <v>134250</v>
      </c>
      <c r="E26" s="145">
        <v>5745</v>
      </c>
      <c r="F26" s="145">
        <v>9856.7999999999993</v>
      </c>
      <c r="G26" s="31">
        <f t="shared" si="0"/>
        <v>0.58284635987338695</v>
      </c>
      <c r="I26" s="31"/>
      <c r="J26" t="str">
        <f ca="1"/>
        <v>Sreejith K</v>
      </c>
      <c r="K26" s="35">
        <f t="shared" ca="1" si="1"/>
        <v>0.58284635987338695</v>
      </c>
      <c r="L26" s="35">
        <v>0.85</v>
      </c>
      <c r="P26" s="31"/>
    </row>
    <row r="27" spans="1:16" x14ac:dyDescent="0.3">
      <c r="A27" t="s">
        <v>135</v>
      </c>
      <c r="B27" s="145">
        <v>128</v>
      </c>
      <c r="C27" s="145">
        <v>20</v>
      </c>
      <c r="D27" s="30">
        <v>111900</v>
      </c>
      <c r="E27" s="145">
        <v>5175</v>
      </c>
      <c r="F27" s="145">
        <v>8439.1999999999989</v>
      </c>
      <c r="G27" s="31">
        <f t="shared" si="0"/>
        <v>0.61320978291781214</v>
      </c>
      <c r="I27" s="31"/>
      <c r="J27" t="str">
        <f ca="1"/>
        <v>Vishnu Nair</v>
      </c>
      <c r="K27" s="35">
        <f t="shared" ca="1" si="1"/>
        <v>0.61320978291781214</v>
      </c>
      <c r="L27" s="35">
        <v>0.85</v>
      </c>
      <c r="P27" s="31"/>
    </row>
    <row r="28" spans="1:16" x14ac:dyDescent="0.3">
      <c r="A28" t="s">
        <v>2815</v>
      </c>
      <c r="B28" s="145">
        <v>2000</v>
      </c>
      <c r="C28" s="145">
        <v>302</v>
      </c>
      <c r="D28" s="30">
        <v>1990900</v>
      </c>
      <c r="E28" s="145">
        <v>84540</v>
      </c>
      <c r="F28" s="145">
        <v>135274.80000000008</v>
      </c>
      <c r="G28" s="31">
        <f t="shared" si="0"/>
        <v>0.62495010157102393</v>
      </c>
      <c r="I28" s="31"/>
    </row>
    <row r="29" spans="1:16" x14ac:dyDescent="0.3">
      <c r="I29" s="31"/>
    </row>
    <row r="30" spans="1:16" x14ac:dyDescent="0.3">
      <c r="I30" s="31"/>
    </row>
    <row r="33" spans="1:7" x14ac:dyDescent="0.3">
      <c r="A33" s="34" t="s">
        <v>5</v>
      </c>
      <c r="B33" t="s">
        <v>2817</v>
      </c>
    </row>
    <row r="34" spans="1:7" x14ac:dyDescent="0.3">
      <c r="A34" s="34" t="s">
        <v>2</v>
      </c>
      <c r="B34" t="s">
        <v>2817</v>
      </c>
    </row>
    <row r="36" spans="1:7" x14ac:dyDescent="0.3">
      <c r="A36" s="33" t="s">
        <v>3</v>
      </c>
      <c r="B36" s="33" t="s">
        <v>2816</v>
      </c>
      <c r="C36" s="33" t="s">
        <v>2757</v>
      </c>
      <c r="D36" s="33" t="s">
        <v>2780</v>
      </c>
      <c r="F36" s="33" t="s">
        <v>2779</v>
      </c>
      <c r="G36" s="33" t="s">
        <v>2832</v>
      </c>
    </row>
    <row r="37" spans="1:7" x14ac:dyDescent="0.3">
      <c r="A37" t="s">
        <v>287</v>
      </c>
      <c r="B37" s="145">
        <v>2</v>
      </c>
      <c r="C37" s="145">
        <v>31</v>
      </c>
      <c r="D37" s="31">
        <f>IF(C37=0,0,B37/C37)</f>
        <v>6.4516129032258063E-2</v>
      </c>
      <c r="F37" t="s">
        <v>39</v>
      </c>
      <c r="G37" s="35" cm="1">
        <f t="array" ref="G37:G43">INDEX($A$37:$D$43,MATCH($A$37:$A$43,$A$37:$A$43,0),4)</f>
        <v>6.4516129032258063E-2</v>
      </c>
    </row>
    <row r="38" spans="1:7" x14ac:dyDescent="0.3">
      <c r="A38" t="s">
        <v>39</v>
      </c>
      <c r="B38" s="145">
        <v>96</v>
      </c>
      <c r="C38" s="145">
        <v>503</v>
      </c>
      <c r="D38" s="31">
        <f t="shared" ref="D38:D44" si="2">IF(C38=0,0,B38/C38)</f>
        <v>0.19085487077534791</v>
      </c>
      <c r="F38" t="s">
        <v>26</v>
      </c>
      <c r="G38" s="35">
        <v>0.19085487077534791</v>
      </c>
    </row>
    <row r="39" spans="1:7" x14ac:dyDescent="0.3">
      <c r="A39" t="s">
        <v>26</v>
      </c>
      <c r="B39" s="145">
        <v>45</v>
      </c>
      <c r="C39" s="145">
        <v>314</v>
      </c>
      <c r="D39" s="31">
        <f t="shared" si="2"/>
        <v>0.14331210191082802</v>
      </c>
      <c r="F39" t="s">
        <v>57</v>
      </c>
      <c r="G39" s="35">
        <v>0.14331210191082802</v>
      </c>
    </row>
    <row r="40" spans="1:7" x14ac:dyDescent="0.3">
      <c r="A40" t="s">
        <v>57</v>
      </c>
      <c r="B40" s="145">
        <v>43</v>
      </c>
      <c r="C40" s="145">
        <v>295</v>
      </c>
      <c r="D40" s="31">
        <f t="shared" si="2"/>
        <v>0.14576271186440679</v>
      </c>
      <c r="F40" t="s">
        <v>50</v>
      </c>
      <c r="G40" s="35">
        <v>0.14576271186440679</v>
      </c>
    </row>
    <row r="41" spans="1:7" x14ac:dyDescent="0.3">
      <c r="A41" t="s">
        <v>50</v>
      </c>
      <c r="B41" s="145">
        <v>31</v>
      </c>
      <c r="C41" s="145">
        <v>270</v>
      </c>
      <c r="D41" s="31">
        <f t="shared" si="2"/>
        <v>0.11481481481481481</v>
      </c>
      <c r="F41" t="s">
        <v>82</v>
      </c>
      <c r="G41" s="35">
        <v>0.11481481481481481</v>
      </c>
    </row>
    <row r="42" spans="1:7" x14ac:dyDescent="0.3">
      <c r="A42" t="s">
        <v>82</v>
      </c>
      <c r="B42" s="145">
        <v>34</v>
      </c>
      <c r="C42" s="145">
        <v>304</v>
      </c>
      <c r="D42" s="31">
        <f t="shared" si="2"/>
        <v>0.1118421052631579</v>
      </c>
      <c r="F42" t="s">
        <v>88</v>
      </c>
      <c r="G42" s="35">
        <v>0.1118421052631579</v>
      </c>
    </row>
    <row r="43" spans="1:7" x14ac:dyDescent="0.3">
      <c r="A43" t="s">
        <v>88</v>
      </c>
      <c r="B43" s="145">
        <v>51</v>
      </c>
      <c r="C43" s="145">
        <v>283</v>
      </c>
      <c r="D43" s="31">
        <f t="shared" si="2"/>
        <v>0.18021201413427562</v>
      </c>
      <c r="F43" t="s">
        <v>287</v>
      </c>
      <c r="G43" s="35">
        <v>0.18021201413427562</v>
      </c>
    </row>
    <row r="44" spans="1:7" x14ac:dyDescent="0.3">
      <c r="A44" t="s">
        <v>2815</v>
      </c>
      <c r="B44" s="145">
        <v>302</v>
      </c>
      <c r="C44" s="145">
        <v>2000</v>
      </c>
      <c r="D44" s="31">
        <f t="shared" si="2"/>
        <v>0.151</v>
      </c>
    </row>
    <row r="45" spans="1:7" x14ac:dyDescent="0.3">
      <c r="D45" s="31"/>
    </row>
    <row r="46" spans="1:7" x14ac:dyDescent="0.3">
      <c r="D46" s="31"/>
    </row>
    <row r="47" spans="1:7" x14ac:dyDescent="0.3">
      <c r="A47" s="34" t="s">
        <v>5</v>
      </c>
      <c r="B47" t="s">
        <v>2817</v>
      </c>
      <c r="D47" s="31"/>
    </row>
    <row r="48" spans="1:7" x14ac:dyDescent="0.3">
      <c r="A48" s="33" t="s">
        <v>2</v>
      </c>
      <c r="B48" t="s">
        <v>2817</v>
      </c>
    </row>
    <row r="50" spans="1:6" x14ac:dyDescent="0.3">
      <c r="A50" s="33" t="s">
        <v>2820</v>
      </c>
      <c r="B50" s="33" t="s">
        <v>13</v>
      </c>
      <c r="C50" s="33"/>
      <c r="D50" s="33"/>
      <c r="E50" s="33"/>
      <c r="F50" s="33"/>
    </row>
    <row r="51" spans="1:6" x14ac:dyDescent="0.3">
      <c r="A51" s="33" t="s">
        <v>10</v>
      </c>
      <c r="B51" s="33" t="s">
        <v>113</v>
      </c>
      <c r="C51" s="33" t="s">
        <v>36</v>
      </c>
      <c r="D51" s="33" t="s">
        <v>95</v>
      </c>
      <c r="E51" s="33" t="s">
        <v>153</v>
      </c>
      <c r="F51" s="33" t="s">
        <v>2815</v>
      </c>
    </row>
    <row r="52" spans="1:6" x14ac:dyDescent="0.3">
      <c r="A52" t="s">
        <v>70</v>
      </c>
      <c r="B52" s="145">
        <v>15</v>
      </c>
      <c r="C52" s="145">
        <v>248</v>
      </c>
      <c r="D52" s="145">
        <v>40</v>
      </c>
      <c r="E52" s="145">
        <v>10</v>
      </c>
      <c r="F52" s="145">
        <v>313</v>
      </c>
    </row>
    <row r="53" spans="1:6" x14ac:dyDescent="0.3">
      <c r="A53" t="s">
        <v>104</v>
      </c>
      <c r="B53" s="145">
        <v>17</v>
      </c>
      <c r="C53" s="145">
        <v>248</v>
      </c>
      <c r="D53" s="145">
        <v>56</v>
      </c>
      <c r="E53" s="145">
        <v>10</v>
      </c>
      <c r="F53" s="145">
        <v>331</v>
      </c>
    </row>
    <row r="54" spans="1:6" x14ac:dyDescent="0.3">
      <c r="A54" t="s">
        <v>46</v>
      </c>
      <c r="B54" s="145">
        <v>18</v>
      </c>
      <c r="C54" s="145">
        <v>255</v>
      </c>
      <c r="D54" s="145">
        <v>56</v>
      </c>
      <c r="E54" s="145">
        <v>18</v>
      </c>
      <c r="F54" s="145">
        <v>347</v>
      </c>
    </row>
    <row r="55" spans="1:6" x14ac:dyDescent="0.3">
      <c r="A55" t="s">
        <v>63</v>
      </c>
      <c r="B55" s="145">
        <v>17</v>
      </c>
      <c r="C55" s="145">
        <v>278</v>
      </c>
      <c r="D55" s="145">
        <v>48</v>
      </c>
      <c r="E55" s="145">
        <v>8</v>
      </c>
      <c r="F55" s="145">
        <v>351</v>
      </c>
    </row>
    <row r="56" spans="1:6" x14ac:dyDescent="0.3">
      <c r="A56" t="s">
        <v>33</v>
      </c>
      <c r="B56" s="145">
        <v>21</v>
      </c>
      <c r="C56" s="145">
        <v>252</v>
      </c>
      <c r="D56" s="145">
        <v>53</v>
      </c>
      <c r="E56" s="145">
        <v>11</v>
      </c>
      <c r="F56" s="145">
        <v>337</v>
      </c>
    </row>
    <row r="57" spans="1:6" x14ac:dyDescent="0.3">
      <c r="A57" t="s">
        <v>85</v>
      </c>
      <c r="B57" s="145">
        <v>22</v>
      </c>
      <c r="C57" s="145">
        <v>236</v>
      </c>
      <c r="D57" s="145">
        <v>49</v>
      </c>
      <c r="E57" s="145">
        <v>14</v>
      </c>
      <c r="F57" s="145">
        <v>321</v>
      </c>
    </row>
    <row r="58" spans="1:6" x14ac:dyDescent="0.3">
      <c r="A58" t="s">
        <v>2815</v>
      </c>
      <c r="B58" s="145">
        <v>110</v>
      </c>
      <c r="C58" s="145">
        <v>1517</v>
      </c>
      <c r="D58" s="145">
        <v>302</v>
      </c>
      <c r="E58" s="145">
        <v>71</v>
      </c>
      <c r="F58" s="145">
        <v>2000</v>
      </c>
    </row>
    <row r="60" spans="1:6" x14ac:dyDescent="0.3">
      <c r="A60" s="34" t="s">
        <v>5</v>
      </c>
      <c r="B60" t="s">
        <v>2817</v>
      </c>
    </row>
    <row r="62" spans="1:6" x14ac:dyDescent="0.3">
      <c r="A62" s="33" t="s">
        <v>2</v>
      </c>
      <c r="B62" s="33" t="s">
        <v>2757</v>
      </c>
    </row>
    <row r="63" spans="1:6" x14ac:dyDescent="0.3">
      <c r="A63" t="s">
        <v>130</v>
      </c>
      <c r="B63" s="145">
        <v>159</v>
      </c>
    </row>
    <row r="64" spans="1:6" x14ac:dyDescent="0.3">
      <c r="A64" t="s">
        <v>76</v>
      </c>
      <c r="B64" s="145">
        <v>165</v>
      </c>
    </row>
    <row r="65" spans="1:2" x14ac:dyDescent="0.3">
      <c r="A65" t="s">
        <v>56</v>
      </c>
      <c r="B65" s="145">
        <v>174</v>
      </c>
    </row>
    <row r="66" spans="1:2" x14ac:dyDescent="0.3">
      <c r="A66" t="s">
        <v>92</v>
      </c>
      <c r="B66" s="145">
        <v>152</v>
      </c>
    </row>
    <row r="67" spans="1:2" x14ac:dyDescent="0.3">
      <c r="A67" t="s">
        <v>128</v>
      </c>
      <c r="B67" s="145">
        <v>170</v>
      </c>
    </row>
    <row r="68" spans="1:2" x14ac:dyDescent="0.3">
      <c r="A68" t="s">
        <v>67</v>
      </c>
      <c r="B68" s="145">
        <v>175</v>
      </c>
    </row>
    <row r="69" spans="1:2" x14ac:dyDescent="0.3">
      <c r="A69" t="s">
        <v>101</v>
      </c>
      <c r="B69" s="145">
        <v>171</v>
      </c>
    </row>
    <row r="70" spans="1:2" x14ac:dyDescent="0.3">
      <c r="A70" t="s">
        <v>110</v>
      </c>
      <c r="B70" s="145">
        <v>175</v>
      </c>
    </row>
    <row r="71" spans="1:2" x14ac:dyDescent="0.3">
      <c r="A71" t="s">
        <v>49</v>
      </c>
      <c r="B71" s="145">
        <v>166</v>
      </c>
    </row>
    <row r="72" spans="1:2" x14ac:dyDescent="0.3">
      <c r="A72" t="s">
        <v>97</v>
      </c>
      <c r="B72" s="145">
        <v>166</v>
      </c>
    </row>
    <row r="73" spans="1:2" x14ac:dyDescent="0.3">
      <c r="A73" t="s">
        <v>38</v>
      </c>
      <c r="B73" s="145">
        <v>148</v>
      </c>
    </row>
    <row r="74" spans="1:2" x14ac:dyDescent="0.3">
      <c r="A74" t="s">
        <v>25</v>
      </c>
      <c r="B74" s="145">
        <v>179</v>
      </c>
    </row>
    <row r="75" spans="1:2" x14ac:dyDescent="0.3">
      <c r="A75" t="s">
        <v>2815</v>
      </c>
      <c r="B75" s="145">
        <v>2000</v>
      </c>
    </row>
    <row r="78" spans="1:2" x14ac:dyDescent="0.3">
      <c r="A78" s="34" t="s">
        <v>5</v>
      </c>
      <c r="B78" t="s">
        <v>2817</v>
      </c>
    </row>
    <row r="79" spans="1:2" x14ac:dyDescent="0.3">
      <c r="A79" s="34" t="s">
        <v>2</v>
      </c>
      <c r="B79" t="s">
        <v>2817</v>
      </c>
    </row>
    <row r="81" spans="1:7" x14ac:dyDescent="0.3">
      <c r="A81" s="34" t="s">
        <v>2830</v>
      </c>
      <c r="E81" s="42" t="s">
        <v>2806</v>
      </c>
      <c r="F81" s="42" t="s">
        <v>2807</v>
      </c>
      <c r="G81" s="42" t="s">
        <v>2808</v>
      </c>
    </row>
    <row r="82" spans="1:7" x14ac:dyDescent="0.3">
      <c r="A82" s="37" t="s">
        <v>70</v>
      </c>
      <c r="B82" s="145"/>
      <c r="E82" s="37" t="s">
        <v>70</v>
      </c>
      <c r="F82" s="38">
        <f>GETPIVOTDATA("Sum of Revenue_INR",$A$81,"Therapy_Type","Electrotherapy")</f>
        <v>328100</v>
      </c>
      <c r="G82" s="38">
        <f>GETPIVOTDATA("Sum of Lost_Revenue_INR",$A$81,"Therapy_Type","Electrotherapy")</f>
        <v>74150</v>
      </c>
    </row>
    <row r="83" spans="1:7" x14ac:dyDescent="0.3">
      <c r="A83" s="43" t="s">
        <v>2828</v>
      </c>
      <c r="B83" s="145">
        <v>328100</v>
      </c>
      <c r="E83" s="37" t="s">
        <v>104</v>
      </c>
      <c r="F83" s="38">
        <f>GETPIVOTDATA("Sum of Revenue_INR",$A$81,"Therapy_Type","Exercise Therapy")</f>
        <v>319300</v>
      </c>
      <c r="G83" s="38">
        <f>GETPIVOTDATA("Sum of Lost_Revenue_INR",$A$81,"Therapy_Type","Exercise Therapy")</f>
        <v>95600</v>
      </c>
    </row>
    <row r="84" spans="1:7" x14ac:dyDescent="0.3">
      <c r="A84" s="43" t="s">
        <v>2829</v>
      </c>
      <c r="B84" s="145">
        <v>74150</v>
      </c>
      <c r="E84" s="37" t="s">
        <v>46</v>
      </c>
      <c r="F84" s="38">
        <f>GETPIVOTDATA("Sum of Revenue_INR",$A$81,"Therapy_Type","Manual Therapy")</f>
        <v>328950</v>
      </c>
      <c r="G84" s="38">
        <f>GETPIVOTDATA("Sum of Lost_Revenue_INR",$A$81,"Therapy_Type","Manual Therapy")</f>
        <v>96150</v>
      </c>
    </row>
    <row r="85" spans="1:7" x14ac:dyDescent="0.3">
      <c r="A85" s="37" t="s">
        <v>104</v>
      </c>
      <c r="B85" s="145"/>
      <c r="E85" s="37" t="s">
        <v>63</v>
      </c>
      <c r="F85" s="38">
        <f>GETPIVOTDATA("Sum of Revenue_INR",$A$81,"Therapy_Type","Neuro Rehab")</f>
        <v>365500</v>
      </c>
      <c r="G85" s="38">
        <f>GETPIVOTDATA("Sum of Lost_Revenue_INR",$A$81,"Therapy_Type","Neuro Rehab")</f>
        <v>87100</v>
      </c>
    </row>
    <row r="86" spans="1:7" x14ac:dyDescent="0.3">
      <c r="A86" s="43" t="s">
        <v>2828</v>
      </c>
      <c r="B86" s="145">
        <v>319300</v>
      </c>
      <c r="E86" s="37" t="s">
        <v>33</v>
      </c>
      <c r="F86" s="38">
        <f>GETPIVOTDATA("Sum of Revenue_INR",$A$81,"Therapy_Type","Posture Correction")</f>
        <v>330500</v>
      </c>
      <c r="G86" s="38">
        <f>GETPIVOTDATA("Sum of Lost_Revenue_INR",$A$81,"Therapy_Type","Posture Correction")</f>
        <v>95750</v>
      </c>
    </row>
    <row r="87" spans="1:7" x14ac:dyDescent="0.3">
      <c r="A87" s="43" t="s">
        <v>2829</v>
      </c>
      <c r="B87" s="145">
        <v>95600</v>
      </c>
      <c r="E87" s="37" t="s">
        <v>85</v>
      </c>
      <c r="F87" s="38">
        <f>GETPIVOTDATA("Sum of Revenue_INR",$A$81,"Therapy_Type","Sports Rehab")</f>
        <v>318550</v>
      </c>
      <c r="G87" s="38">
        <f>GETPIVOTDATA("Sum of Lost_Revenue_INR",$A$81,"Therapy_Type","Sports Rehab")</f>
        <v>94600</v>
      </c>
    </row>
    <row r="88" spans="1:7" x14ac:dyDescent="0.3">
      <c r="A88" s="37" t="s">
        <v>46</v>
      </c>
      <c r="B88" s="145"/>
    </row>
    <row r="89" spans="1:7" x14ac:dyDescent="0.3">
      <c r="A89" s="43" t="s">
        <v>2828</v>
      </c>
      <c r="B89" s="145">
        <v>328950</v>
      </c>
    </row>
    <row r="90" spans="1:7" x14ac:dyDescent="0.3">
      <c r="A90" s="43" t="s">
        <v>2829</v>
      </c>
      <c r="B90" s="145">
        <v>96150</v>
      </c>
    </row>
    <row r="91" spans="1:7" x14ac:dyDescent="0.3">
      <c r="A91" s="37" t="s">
        <v>63</v>
      </c>
      <c r="B91" s="145"/>
    </row>
    <row r="92" spans="1:7" x14ac:dyDescent="0.3">
      <c r="A92" s="43" t="s">
        <v>2828</v>
      </c>
      <c r="B92" s="145">
        <v>365500</v>
      </c>
    </row>
    <row r="93" spans="1:7" x14ac:dyDescent="0.3">
      <c r="A93" s="43" t="s">
        <v>2829</v>
      </c>
      <c r="B93" s="145">
        <v>87100</v>
      </c>
    </row>
    <row r="94" spans="1:7" x14ac:dyDescent="0.3">
      <c r="A94" s="37" t="s">
        <v>33</v>
      </c>
      <c r="B94" s="145"/>
    </row>
    <row r="95" spans="1:7" x14ac:dyDescent="0.3">
      <c r="A95" s="43" t="s">
        <v>2828</v>
      </c>
      <c r="B95" s="145">
        <v>330500</v>
      </c>
    </row>
    <row r="96" spans="1:7" x14ac:dyDescent="0.3">
      <c r="A96" s="43" t="s">
        <v>2829</v>
      </c>
      <c r="B96" s="145">
        <v>95750</v>
      </c>
      <c r="G96" s="30"/>
    </row>
    <row r="97" spans="1:7" x14ac:dyDescent="0.3">
      <c r="A97" s="37" t="s">
        <v>85</v>
      </c>
      <c r="B97" s="145"/>
      <c r="G97" s="30"/>
    </row>
    <row r="98" spans="1:7" x14ac:dyDescent="0.3">
      <c r="A98" s="43" t="s">
        <v>2828</v>
      </c>
      <c r="B98" s="145">
        <v>318550</v>
      </c>
      <c r="G98" s="30"/>
    </row>
    <row r="99" spans="1:7" x14ac:dyDescent="0.3">
      <c r="A99" s="43" t="s">
        <v>2829</v>
      </c>
      <c r="B99" s="145">
        <v>94600</v>
      </c>
      <c r="G99" s="30"/>
    </row>
    <row r="100" spans="1:7" x14ac:dyDescent="0.3">
      <c r="A100" s="37" t="s">
        <v>2833</v>
      </c>
      <c r="B100" s="145">
        <v>1990900</v>
      </c>
      <c r="G100" s="30"/>
    </row>
    <row r="101" spans="1:7" x14ac:dyDescent="0.3">
      <c r="A101" s="37" t="s">
        <v>2834</v>
      </c>
      <c r="B101" s="145">
        <v>543350</v>
      </c>
      <c r="G101" s="30"/>
    </row>
    <row r="102" spans="1:7" x14ac:dyDescent="0.3">
      <c r="G102" s="30"/>
    </row>
    <row r="103" spans="1:7" x14ac:dyDescent="0.3">
      <c r="G103" s="30"/>
    </row>
    <row r="104" spans="1:7" x14ac:dyDescent="0.3">
      <c r="G104" s="30"/>
    </row>
    <row r="105" spans="1:7" x14ac:dyDescent="0.3">
      <c r="G105" s="30"/>
    </row>
    <row r="106" spans="1:7" x14ac:dyDescent="0.3">
      <c r="B106" s="34" t="s">
        <v>2836</v>
      </c>
      <c r="G106" s="30"/>
    </row>
    <row r="107" spans="1:7" x14ac:dyDescent="0.3">
      <c r="A107" s="34" t="s">
        <v>2837</v>
      </c>
      <c r="B107" t="s">
        <v>58</v>
      </c>
      <c r="C107" t="s">
        <v>28</v>
      </c>
      <c r="D107" t="s">
        <v>41</v>
      </c>
      <c r="E107" t="s">
        <v>2815</v>
      </c>
      <c r="G107" s="30"/>
    </row>
    <row r="108" spans="1:7" x14ac:dyDescent="0.3">
      <c r="A108" s="37" t="s">
        <v>2838</v>
      </c>
      <c r="B108" s="38">
        <v>779650</v>
      </c>
      <c r="C108" s="38">
        <v>531250</v>
      </c>
      <c r="D108" s="38">
        <v>680000</v>
      </c>
      <c r="E108" s="145">
        <v>1990900</v>
      </c>
    </row>
    <row r="109" spans="1:7" x14ac:dyDescent="0.3">
      <c r="A109" s="37" t="s">
        <v>2808</v>
      </c>
      <c r="B109" s="38">
        <v>172500</v>
      </c>
      <c r="C109" s="38">
        <v>182400</v>
      </c>
      <c r="D109" s="38">
        <v>188450</v>
      </c>
      <c r="E109" s="145">
        <v>543350</v>
      </c>
    </row>
    <row r="116" spans="1:2" x14ac:dyDescent="0.3">
      <c r="A116" s="34" t="s">
        <v>5</v>
      </c>
      <c r="B116" t="s">
        <v>2817</v>
      </c>
    </row>
    <row r="118" spans="1:2" x14ac:dyDescent="0.3">
      <c r="A118" s="34" t="s">
        <v>2830</v>
      </c>
      <c r="B118" t="s">
        <v>2839</v>
      </c>
    </row>
    <row r="119" spans="1:2" x14ac:dyDescent="0.3">
      <c r="A119" s="37" t="s">
        <v>68</v>
      </c>
      <c r="B119" s="145">
        <v>74</v>
      </c>
    </row>
    <row r="120" spans="1:2" x14ac:dyDescent="0.3">
      <c r="A120" s="37" t="s">
        <v>27</v>
      </c>
      <c r="B120" s="145">
        <v>64</v>
      </c>
    </row>
    <row r="121" spans="1:2" x14ac:dyDescent="0.3">
      <c r="A121" s="37" t="s">
        <v>83</v>
      </c>
      <c r="B121" s="145">
        <v>92</v>
      </c>
    </row>
    <row r="122" spans="1:2" x14ac:dyDescent="0.3">
      <c r="A122" s="37" t="s">
        <v>40</v>
      </c>
      <c r="B122" s="145">
        <v>72</v>
      </c>
    </row>
    <row r="123" spans="1:2" x14ac:dyDescent="0.3">
      <c r="A123" s="37" t="s">
        <v>2815</v>
      </c>
      <c r="B123" s="145">
        <v>302</v>
      </c>
    </row>
  </sheetData>
  <pageMargins left="0.7" right="0.7" top="0.75" bottom="0.75" header="0.3" footer="0.3"/>
  <drawing r:id="rId9"/>
  <tableParts count="1">
    <tablePart r:id="rId10"/>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2001"/>
  <sheetViews>
    <sheetView workbookViewId="0">
      <pane ySplit="1" topLeftCell="A2" activePane="bottomLeft" state="frozen"/>
      <selection pane="bottomLeft"/>
    </sheetView>
  </sheetViews>
  <sheetFormatPr defaultRowHeight="14.4" x14ac:dyDescent="0.3"/>
  <cols>
    <col min="1" max="1" width="18" customWidth="1"/>
    <col min="2" max="2" width="20" customWidth="1"/>
    <col min="3" max="3" width="14" customWidth="1"/>
    <col min="4" max="4" width="15" customWidth="1"/>
    <col min="5" max="9" width="14" customWidth="1"/>
    <col min="10" max="11" width="16" customWidth="1"/>
    <col min="12" max="12" width="14" customWidth="1"/>
    <col min="13" max="13" width="19" customWidth="1"/>
    <col min="14" max="14" width="22" customWidth="1"/>
    <col min="15" max="15" width="21" customWidth="1"/>
    <col min="16" max="16" width="19" customWidth="1"/>
    <col min="17" max="17" width="34" customWidth="1"/>
    <col min="18" max="18" width="19" customWidth="1"/>
    <col min="19" max="19" width="15" customWidth="1"/>
    <col min="20" max="20" width="20" customWidth="1"/>
    <col min="21" max="21" width="16" customWidth="1"/>
    <col min="22" max="22" width="18" customWidth="1"/>
    <col min="23" max="23" width="21" customWidth="1"/>
    <col min="24" max="24" width="22" customWidth="1"/>
  </cols>
  <sheetData>
    <row r="1" spans="1:24" x14ac:dyDescent="0.3">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row>
    <row r="2" spans="1:24" x14ac:dyDescent="0.3">
      <c r="A2" t="s">
        <v>24</v>
      </c>
      <c r="B2" s="1">
        <v>46014</v>
      </c>
      <c r="C2" t="s">
        <v>25</v>
      </c>
      <c r="D2" t="s">
        <v>26</v>
      </c>
      <c r="E2" t="s">
        <v>27</v>
      </c>
      <c r="F2" t="s">
        <v>28</v>
      </c>
      <c r="G2" t="s">
        <v>29</v>
      </c>
      <c r="H2" t="s">
        <v>30</v>
      </c>
      <c r="I2" t="s">
        <v>31</v>
      </c>
      <c r="J2" t="s">
        <v>32</v>
      </c>
      <c r="K2" t="s">
        <v>33</v>
      </c>
      <c r="L2" t="s">
        <v>34</v>
      </c>
      <c r="M2" t="s">
        <v>35</v>
      </c>
      <c r="N2" t="s">
        <v>36</v>
      </c>
      <c r="O2">
        <v>90</v>
      </c>
      <c r="P2">
        <v>90</v>
      </c>
      <c r="Q2">
        <v>118.8</v>
      </c>
      <c r="R2">
        <v>1900</v>
      </c>
      <c r="S2">
        <v>1900</v>
      </c>
      <c r="T2">
        <v>0</v>
      </c>
      <c r="U2">
        <v>0</v>
      </c>
      <c r="V2">
        <v>1</v>
      </c>
      <c r="W2">
        <v>0</v>
      </c>
      <c r="X2">
        <v>0.85</v>
      </c>
    </row>
    <row r="3" spans="1:24" x14ac:dyDescent="0.3">
      <c r="A3" t="s">
        <v>37</v>
      </c>
      <c r="B3" s="1">
        <v>45978</v>
      </c>
      <c r="C3" t="s">
        <v>38</v>
      </c>
      <c r="D3" t="s">
        <v>39</v>
      </c>
      <c r="E3" t="s">
        <v>40</v>
      </c>
      <c r="F3" t="s">
        <v>41</v>
      </c>
      <c r="G3" t="s">
        <v>42</v>
      </c>
      <c r="H3" t="s">
        <v>43</v>
      </c>
      <c r="I3" t="s">
        <v>44</v>
      </c>
      <c r="J3" t="s">
        <v>45</v>
      </c>
      <c r="K3" t="s">
        <v>46</v>
      </c>
      <c r="L3" t="s">
        <v>34</v>
      </c>
      <c r="M3" t="s">
        <v>47</v>
      </c>
      <c r="N3" t="s">
        <v>36</v>
      </c>
      <c r="O3">
        <v>60</v>
      </c>
      <c r="P3">
        <v>60</v>
      </c>
      <c r="Q3">
        <v>67.2</v>
      </c>
      <c r="R3">
        <v>1550</v>
      </c>
      <c r="S3">
        <v>1550</v>
      </c>
      <c r="T3">
        <v>0</v>
      </c>
      <c r="U3">
        <v>0</v>
      </c>
      <c r="V3">
        <v>1</v>
      </c>
      <c r="W3">
        <v>0</v>
      </c>
      <c r="X3">
        <v>0.85</v>
      </c>
    </row>
    <row r="4" spans="1:24" x14ac:dyDescent="0.3">
      <c r="A4" t="s">
        <v>48</v>
      </c>
      <c r="B4" s="1">
        <v>45911</v>
      </c>
      <c r="C4" t="s">
        <v>49</v>
      </c>
      <c r="D4" t="s">
        <v>50</v>
      </c>
      <c r="E4" t="s">
        <v>40</v>
      </c>
      <c r="F4" t="s">
        <v>41</v>
      </c>
      <c r="G4" t="s">
        <v>42</v>
      </c>
      <c r="H4" t="s">
        <v>51</v>
      </c>
      <c r="I4" t="s">
        <v>52</v>
      </c>
      <c r="J4" t="s">
        <v>53</v>
      </c>
      <c r="K4" t="s">
        <v>46</v>
      </c>
      <c r="L4" t="s">
        <v>54</v>
      </c>
      <c r="M4" t="s">
        <v>47</v>
      </c>
      <c r="N4" t="s">
        <v>36</v>
      </c>
      <c r="O4">
        <v>45</v>
      </c>
      <c r="P4">
        <v>45</v>
      </c>
      <c r="Q4">
        <v>58.2</v>
      </c>
      <c r="R4">
        <v>1050</v>
      </c>
      <c r="S4">
        <v>1050</v>
      </c>
      <c r="T4">
        <v>0</v>
      </c>
      <c r="U4">
        <v>0</v>
      </c>
      <c r="V4">
        <v>1</v>
      </c>
      <c r="W4">
        <v>0</v>
      </c>
      <c r="X4">
        <v>0.85</v>
      </c>
    </row>
    <row r="5" spans="1:24" x14ac:dyDescent="0.3">
      <c r="A5" t="s">
        <v>55</v>
      </c>
      <c r="B5" s="1">
        <v>45742</v>
      </c>
      <c r="C5" t="s">
        <v>56</v>
      </c>
      <c r="D5" t="s">
        <v>57</v>
      </c>
      <c r="E5" t="s">
        <v>40</v>
      </c>
      <c r="F5" t="s">
        <v>58</v>
      </c>
      <c r="G5" t="s">
        <v>59</v>
      </c>
      <c r="H5" t="s">
        <v>60</v>
      </c>
      <c r="I5" t="s">
        <v>61</v>
      </c>
      <c r="J5" t="s">
        <v>62</v>
      </c>
      <c r="K5" t="s">
        <v>63</v>
      </c>
      <c r="L5" t="s">
        <v>64</v>
      </c>
      <c r="M5" t="s">
        <v>65</v>
      </c>
      <c r="N5" t="s">
        <v>36</v>
      </c>
      <c r="O5">
        <v>75</v>
      </c>
      <c r="P5">
        <v>75</v>
      </c>
      <c r="Q5">
        <v>83.9</v>
      </c>
      <c r="R5">
        <v>1900</v>
      </c>
      <c r="S5">
        <v>1900</v>
      </c>
      <c r="T5">
        <v>0</v>
      </c>
      <c r="U5">
        <v>0</v>
      </c>
      <c r="V5">
        <v>1</v>
      </c>
      <c r="W5">
        <v>0</v>
      </c>
      <c r="X5">
        <v>0.85</v>
      </c>
    </row>
    <row r="6" spans="1:24" x14ac:dyDescent="0.3">
      <c r="A6" t="s">
        <v>66</v>
      </c>
      <c r="B6" s="1">
        <v>45827</v>
      </c>
      <c r="C6" t="s">
        <v>67</v>
      </c>
      <c r="D6" t="s">
        <v>50</v>
      </c>
      <c r="E6" t="s">
        <v>68</v>
      </c>
      <c r="F6" t="s">
        <v>58</v>
      </c>
      <c r="G6" t="s">
        <v>59</v>
      </c>
      <c r="H6" t="s">
        <v>60</v>
      </c>
      <c r="I6" t="s">
        <v>69</v>
      </c>
      <c r="J6" t="s">
        <v>62</v>
      </c>
      <c r="K6" t="s">
        <v>70</v>
      </c>
      <c r="L6" t="s">
        <v>34</v>
      </c>
      <c r="M6" t="s">
        <v>71</v>
      </c>
      <c r="N6" t="s">
        <v>36</v>
      </c>
      <c r="O6">
        <v>60</v>
      </c>
      <c r="P6">
        <v>60</v>
      </c>
      <c r="Q6">
        <v>79.5</v>
      </c>
      <c r="R6">
        <v>1500</v>
      </c>
      <c r="S6">
        <v>1500</v>
      </c>
      <c r="T6">
        <v>0</v>
      </c>
      <c r="U6">
        <v>0</v>
      </c>
      <c r="V6">
        <v>1</v>
      </c>
      <c r="W6">
        <v>0</v>
      </c>
      <c r="X6">
        <v>0.85</v>
      </c>
    </row>
    <row r="7" spans="1:24" x14ac:dyDescent="0.3">
      <c r="A7" t="s">
        <v>72</v>
      </c>
      <c r="B7" s="1">
        <v>46002</v>
      </c>
      <c r="C7" t="s">
        <v>25</v>
      </c>
      <c r="D7" t="s">
        <v>50</v>
      </c>
      <c r="E7" t="s">
        <v>68</v>
      </c>
      <c r="F7" t="s">
        <v>58</v>
      </c>
      <c r="G7" t="s">
        <v>59</v>
      </c>
      <c r="H7" t="s">
        <v>73</v>
      </c>
      <c r="I7" t="s">
        <v>74</v>
      </c>
      <c r="J7" t="s">
        <v>45</v>
      </c>
      <c r="K7" t="s">
        <v>63</v>
      </c>
      <c r="L7" t="s">
        <v>64</v>
      </c>
      <c r="M7" t="s">
        <v>35</v>
      </c>
      <c r="N7" t="s">
        <v>36</v>
      </c>
      <c r="O7">
        <v>90</v>
      </c>
      <c r="P7">
        <v>90</v>
      </c>
      <c r="Q7">
        <v>108.6</v>
      </c>
      <c r="R7">
        <v>2600</v>
      </c>
      <c r="S7">
        <v>2600</v>
      </c>
      <c r="T7">
        <v>0</v>
      </c>
      <c r="U7">
        <v>0</v>
      </c>
      <c r="V7">
        <v>1</v>
      </c>
      <c r="W7">
        <v>0</v>
      </c>
      <c r="X7">
        <v>0.85</v>
      </c>
    </row>
    <row r="8" spans="1:24" x14ac:dyDescent="0.3">
      <c r="A8" t="s">
        <v>75</v>
      </c>
      <c r="B8" s="1">
        <v>45700</v>
      </c>
      <c r="C8" t="s">
        <v>76</v>
      </c>
      <c r="D8" t="s">
        <v>57</v>
      </c>
      <c r="E8" t="s">
        <v>68</v>
      </c>
      <c r="F8" t="s">
        <v>41</v>
      </c>
      <c r="G8" t="s">
        <v>42</v>
      </c>
      <c r="H8" t="s">
        <v>51</v>
      </c>
      <c r="I8" t="s">
        <v>77</v>
      </c>
      <c r="J8" t="s">
        <v>62</v>
      </c>
      <c r="K8" t="s">
        <v>63</v>
      </c>
      <c r="L8" t="s">
        <v>78</v>
      </c>
      <c r="M8" t="s">
        <v>35</v>
      </c>
      <c r="N8" t="s">
        <v>36</v>
      </c>
      <c r="O8">
        <v>60</v>
      </c>
      <c r="P8">
        <v>60</v>
      </c>
      <c r="Q8">
        <v>71.099999999999994</v>
      </c>
      <c r="R8">
        <v>1250</v>
      </c>
      <c r="S8">
        <v>1250</v>
      </c>
      <c r="T8">
        <v>0</v>
      </c>
      <c r="U8">
        <v>0</v>
      </c>
      <c r="V8">
        <v>1</v>
      </c>
      <c r="W8">
        <v>0</v>
      </c>
      <c r="X8">
        <v>0.85</v>
      </c>
    </row>
    <row r="9" spans="1:24" x14ac:dyDescent="0.3">
      <c r="A9" t="s">
        <v>79</v>
      </c>
      <c r="B9" s="1">
        <v>45733</v>
      </c>
      <c r="C9" t="s">
        <v>56</v>
      </c>
      <c r="D9" t="s">
        <v>39</v>
      </c>
      <c r="E9" t="s">
        <v>68</v>
      </c>
      <c r="F9" t="s">
        <v>41</v>
      </c>
      <c r="G9" t="s">
        <v>42</v>
      </c>
      <c r="H9" t="s">
        <v>51</v>
      </c>
      <c r="I9" t="s">
        <v>80</v>
      </c>
      <c r="J9" t="s">
        <v>53</v>
      </c>
      <c r="K9" t="s">
        <v>63</v>
      </c>
      <c r="L9" t="s">
        <v>54</v>
      </c>
      <c r="M9" t="s">
        <v>71</v>
      </c>
      <c r="N9" t="s">
        <v>36</v>
      </c>
      <c r="O9">
        <v>75</v>
      </c>
      <c r="P9">
        <v>75</v>
      </c>
      <c r="Q9">
        <v>86</v>
      </c>
      <c r="R9">
        <v>1700</v>
      </c>
      <c r="S9">
        <v>1700</v>
      </c>
      <c r="T9">
        <v>0</v>
      </c>
      <c r="U9">
        <v>0</v>
      </c>
      <c r="V9">
        <v>1</v>
      </c>
      <c r="W9">
        <v>0</v>
      </c>
      <c r="X9">
        <v>0.85</v>
      </c>
    </row>
    <row r="10" spans="1:24" x14ac:dyDescent="0.3">
      <c r="A10" t="s">
        <v>81</v>
      </c>
      <c r="B10" s="1">
        <v>46017</v>
      </c>
      <c r="C10" t="s">
        <v>25</v>
      </c>
      <c r="D10" t="s">
        <v>82</v>
      </c>
      <c r="E10" t="s">
        <v>83</v>
      </c>
      <c r="F10" t="s">
        <v>58</v>
      </c>
      <c r="G10" t="s">
        <v>59</v>
      </c>
      <c r="H10" t="s">
        <v>73</v>
      </c>
      <c r="I10" t="s">
        <v>84</v>
      </c>
      <c r="J10" t="s">
        <v>62</v>
      </c>
      <c r="K10" t="s">
        <v>85</v>
      </c>
      <c r="L10" t="s">
        <v>54</v>
      </c>
      <c r="M10" t="s">
        <v>86</v>
      </c>
      <c r="N10" t="s">
        <v>36</v>
      </c>
      <c r="O10">
        <v>45</v>
      </c>
      <c r="P10">
        <v>45</v>
      </c>
      <c r="Q10">
        <v>60.3</v>
      </c>
      <c r="R10">
        <v>950</v>
      </c>
      <c r="S10">
        <v>950</v>
      </c>
      <c r="T10">
        <v>0</v>
      </c>
      <c r="U10">
        <v>0</v>
      </c>
      <c r="V10">
        <v>1</v>
      </c>
      <c r="W10">
        <v>0</v>
      </c>
      <c r="X10">
        <v>0.85</v>
      </c>
    </row>
    <row r="11" spans="1:24" x14ac:dyDescent="0.3">
      <c r="A11" t="s">
        <v>87</v>
      </c>
      <c r="B11" s="1">
        <v>45962</v>
      </c>
      <c r="C11" t="s">
        <v>38</v>
      </c>
      <c r="D11" t="s">
        <v>88</v>
      </c>
      <c r="E11" t="s">
        <v>83</v>
      </c>
      <c r="F11" t="s">
        <v>41</v>
      </c>
      <c r="G11" t="s">
        <v>42</v>
      </c>
      <c r="H11" t="s">
        <v>89</v>
      </c>
      <c r="I11" t="s">
        <v>90</v>
      </c>
      <c r="J11" t="s">
        <v>45</v>
      </c>
      <c r="K11" t="s">
        <v>85</v>
      </c>
      <c r="L11" t="s">
        <v>34</v>
      </c>
      <c r="M11" t="s">
        <v>47</v>
      </c>
      <c r="N11" t="s">
        <v>36</v>
      </c>
      <c r="O11">
        <v>75</v>
      </c>
      <c r="P11">
        <v>75</v>
      </c>
      <c r="Q11">
        <v>97</v>
      </c>
      <c r="R11">
        <v>1950</v>
      </c>
      <c r="S11">
        <v>1950</v>
      </c>
      <c r="T11">
        <v>0</v>
      </c>
      <c r="U11">
        <v>0</v>
      </c>
      <c r="V11">
        <v>1</v>
      </c>
      <c r="W11">
        <v>0</v>
      </c>
      <c r="X11">
        <v>0.85</v>
      </c>
    </row>
    <row r="12" spans="1:24" x14ac:dyDescent="0.3">
      <c r="A12" t="s">
        <v>91</v>
      </c>
      <c r="B12" s="1">
        <v>45771</v>
      </c>
      <c r="C12" t="s">
        <v>92</v>
      </c>
      <c r="D12" t="s">
        <v>50</v>
      </c>
      <c r="E12" t="s">
        <v>40</v>
      </c>
      <c r="F12" t="s">
        <v>58</v>
      </c>
      <c r="G12" t="s">
        <v>59</v>
      </c>
      <c r="H12" t="s">
        <v>73</v>
      </c>
      <c r="I12" t="s">
        <v>93</v>
      </c>
      <c r="J12" t="s">
        <v>62</v>
      </c>
      <c r="K12" t="s">
        <v>46</v>
      </c>
      <c r="L12" t="s">
        <v>54</v>
      </c>
      <c r="M12" t="s">
        <v>94</v>
      </c>
      <c r="N12" t="s">
        <v>95</v>
      </c>
      <c r="O12">
        <v>60</v>
      </c>
      <c r="P12">
        <v>0</v>
      </c>
      <c r="Q12">
        <v>74.099999999999994</v>
      </c>
      <c r="R12">
        <v>1300</v>
      </c>
      <c r="S12">
        <v>0</v>
      </c>
      <c r="T12">
        <v>1300</v>
      </c>
      <c r="U12">
        <v>1</v>
      </c>
      <c r="V12">
        <v>0</v>
      </c>
      <c r="W12">
        <v>0</v>
      </c>
      <c r="X12">
        <v>0.85</v>
      </c>
    </row>
    <row r="13" spans="1:24" x14ac:dyDescent="0.3">
      <c r="A13" t="s">
        <v>96</v>
      </c>
      <c r="B13" s="1">
        <v>45937</v>
      </c>
      <c r="C13" t="s">
        <v>97</v>
      </c>
      <c r="D13" t="s">
        <v>26</v>
      </c>
      <c r="E13" t="s">
        <v>40</v>
      </c>
      <c r="F13" t="s">
        <v>28</v>
      </c>
      <c r="G13" t="s">
        <v>29</v>
      </c>
      <c r="H13" t="s">
        <v>30</v>
      </c>
      <c r="I13" t="s">
        <v>98</v>
      </c>
      <c r="J13" t="s">
        <v>99</v>
      </c>
      <c r="K13" t="s">
        <v>70</v>
      </c>
      <c r="L13" t="s">
        <v>78</v>
      </c>
      <c r="M13" t="s">
        <v>47</v>
      </c>
      <c r="N13" t="s">
        <v>36</v>
      </c>
      <c r="O13">
        <v>75</v>
      </c>
      <c r="P13">
        <v>75</v>
      </c>
      <c r="Q13">
        <v>90.3</v>
      </c>
      <c r="R13">
        <v>1450</v>
      </c>
      <c r="S13">
        <v>1450</v>
      </c>
      <c r="T13">
        <v>0</v>
      </c>
      <c r="U13">
        <v>0</v>
      </c>
      <c r="V13">
        <v>1</v>
      </c>
      <c r="W13">
        <v>0</v>
      </c>
      <c r="X13">
        <v>0.85</v>
      </c>
    </row>
    <row r="14" spans="1:24" x14ac:dyDescent="0.3">
      <c r="A14" t="s">
        <v>100</v>
      </c>
      <c r="B14" s="1">
        <v>45859</v>
      </c>
      <c r="C14" t="s">
        <v>101</v>
      </c>
      <c r="D14" t="s">
        <v>39</v>
      </c>
      <c r="E14" t="s">
        <v>27</v>
      </c>
      <c r="F14" t="s">
        <v>28</v>
      </c>
      <c r="G14" t="s">
        <v>29</v>
      </c>
      <c r="H14" t="s">
        <v>102</v>
      </c>
      <c r="I14" t="s">
        <v>103</v>
      </c>
      <c r="J14" t="s">
        <v>53</v>
      </c>
      <c r="K14" t="s">
        <v>104</v>
      </c>
      <c r="L14" t="s">
        <v>34</v>
      </c>
      <c r="M14" t="s">
        <v>35</v>
      </c>
      <c r="N14" t="s">
        <v>36</v>
      </c>
      <c r="O14">
        <v>60</v>
      </c>
      <c r="P14">
        <v>60</v>
      </c>
      <c r="Q14">
        <v>77.3</v>
      </c>
      <c r="R14">
        <v>1500</v>
      </c>
      <c r="S14">
        <v>1500</v>
      </c>
      <c r="T14">
        <v>0</v>
      </c>
      <c r="U14">
        <v>0</v>
      </c>
      <c r="V14">
        <v>1</v>
      </c>
      <c r="W14">
        <v>0</v>
      </c>
      <c r="X14">
        <v>0.85</v>
      </c>
    </row>
    <row r="15" spans="1:24" x14ac:dyDescent="0.3">
      <c r="A15" t="s">
        <v>105</v>
      </c>
      <c r="B15" s="1">
        <v>45818</v>
      </c>
      <c r="C15" t="s">
        <v>67</v>
      </c>
      <c r="D15" t="s">
        <v>26</v>
      </c>
      <c r="E15" t="s">
        <v>40</v>
      </c>
      <c r="F15" t="s">
        <v>28</v>
      </c>
      <c r="G15" t="s">
        <v>29</v>
      </c>
      <c r="H15" t="s">
        <v>102</v>
      </c>
      <c r="I15" t="s">
        <v>106</v>
      </c>
      <c r="J15" t="s">
        <v>62</v>
      </c>
      <c r="K15" t="s">
        <v>63</v>
      </c>
      <c r="L15" t="s">
        <v>64</v>
      </c>
      <c r="M15" t="s">
        <v>65</v>
      </c>
      <c r="N15" t="s">
        <v>36</v>
      </c>
      <c r="O15">
        <v>45</v>
      </c>
      <c r="P15">
        <v>45</v>
      </c>
      <c r="Q15">
        <v>58</v>
      </c>
      <c r="R15">
        <v>950</v>
      </c>
      <c r="S15">
        <v>950</v>
      </c>
      <c r="T15">
        <v>0</v>
      </c>
      <c r="U15">
        <v>0</v>
      </c>
      <c r="V15">
        <v>1</v>
      </c>
      <c r="W15">
        <v>0</v>
      </c>
      <c r="X15">
        <v>0.85</v>
      </c>
    </row>
    <row r="16" spans="1:24" x14ac:dyDescent="0.3">
      <c r="A16" t="s">
        <v>107</v>
      </c>
      <c r="B16" s="1">
        <v>45989</v>
      </c>
      <c r="C16" t="s">
        <v>38</v>
      </c>
      <c r="D16" t="s">
        <v>82</v>
      </c>
      <c r="E16" t="s">
        <v>83</v>
      </c>
      <c r="F16" t="s">
        <v>58</v>
      </c>
      <c r="G16" t="s">
        <v>59</v>
      </c>
      <c r="H16" t="s">
        <v>73</v>
      </c>
      <c r="I16" t="s">
        <v>108</v>
      </c>
      <c r="J16" t="s">
        <v>32</v>
      </c>
      <c r="K16" t="s">
        <v>104</v>
      </c>
      <c r="L16" t="s">
        <v>34</v>
      </c>
      <c r="M16" t="s">
        <v>71</v>
      </c>
      <c r="N16" t="s">
        <v>36</v>
      </c>
      <c r="O16">
        <v>60</v>
      </c>
      <c r="P16">
        <v>60</v>
      </c>
      <c r="Q16">
        <v>80.900000000000006</v>
      </c>
      <c r="R16">
        <v>1500</v>
      </c>
      <c r="S16">
        <v>1500</v>
      </c>
      <c r="T16">
        <v>0</v>
      </c>
      <c r="U16">
        <v>0</v>
      </c>
      <c r="V16">
        <v>1</v>
      </c>
      <c r="W16">
        <v>0</v>
      </c>
      <c r="X16">
        <v>0.85</v>
      </c>
    </row>
    <row r="17" spans="1:24" x14ac:dyDescent="0.3">
      <c r="A17" t="s">
        <v>109</v>
      </c>
      <c r="B17" s="1">
        <v>45885</v>
      </c>
      <c r="C17" t="s">
        <v>110</v>
      </c>
      <c r="D17" t="s">
        <v>88</v>
      </c>
      <c r="E17" t="s">
        <v>27</v>
      </c>
      <c r="F17" t="s">
        <v>41</v>
      </c>
      <c r="G17" t="s">
        <v>42</v>
      </c>
      <c r="H17" t="s">
        <v>111</v>
      </c>
      <c r="I17" t="s">
        <v>112</v>
      </c>
      <c r="J17" t="s">
        <v>62</v>
      </c>
      <c r="K17" t="s">
        <v>63</v>
      </c>
      <c r="L17" t="s">
        <v>34</v>
      </c>
      <c r="M17" t="s">
        <v>65</v>
      </c>
      <c r="N17" t="s">
        <v>113</v>
      </c>
      <c r="O17">
        <v>60</v>
      </c>
      <c r="P17">
        <v>0</v>
      </c>
      <c r="Q17">
        <v>68.5</v>
      </c>
      <c r="R17">
        <v>1350</v>
      </c>
      <c r="S17">
        <v>0</v>
      </c>
      <c r="T17">
        <v>1350</v>
      </c>
      <c r="U17">
        <v>0</v>
      </c>
      <c r="V17">
        <v>0</v>
      </c>
      <c r="W17">
        <v>1</v>
      </c>
      <c r="X17">
        <v>0.85</v>
      </c>
    </row>
    <row r="18" spans="1:24" x14ac:dyDescent="0.3">
      <c r="A18" t="s">
        <v>114</v>
      </c>
      <c r="B18" s="1">
        <v>45952</v>
      </c>
      <c r="C18" t="s">
        <v>97</v>
      </c>
      <c r="D18" t="s">
        <v>57</v>
      </c>
      <c r="E18" t="s">
        <v>40</v>
      </c>
      <c r="F18" t="s">
        <v>41</v>
      </c>
      <c r="G18" t="s">
        <v>42</v>
      </c>
      <c r="H18" t="s">
        <v>51</v>
      </c>
      <c r="I18" t="s">
        <v>115</v>
      </c>
      <c r="J18" t="s">
        <v>53</v>
      </c>
      <c r="K18" t="s">
        <v>85</v>
      </c>
      <c r="L18" t="s">
        <v>64</v>
      </c>
      <c r="M18" t="s">
        <v>94</v>
      </c>
      <c r="N18" t="s">
        <v>36</v>
      </c>
      <c r="O18">
        <v>60</v>
      </c>
      <c r="P18">
        <v>60</v>
      </c>
      <c r="Q18">
        <v>78.2</v>
      </c>
      <c r="R18">
        <v>1600</v>
      </c>
      <c r="S18">
        <v>1600</v>
      </c>
      <c r="T18">
        <v>0</v>
      </c>
      <c r="U18">
        <v>0</v>
      </c>
      <c r="V18">
        <v>1</v>
      </c>
      <c r="W18">
        <v>0</v>
      </c>
      <c r="X18">
        <v>0.85</v>
      </c>
    </row>
    <row r="19" spans="1:24" x14ac:dyDescent="0.3">
      <c r="A19" t="s">
        <v>116</v>
      </c>
      <c r="B19" s="1">
        <v>45992</v>
      </c>
      <c r="C19" t="s">
        <v>25</v>
      </c>
      <c r="D19" t="s">
        <v>39</v>
      </c>
      <c r="E19" t="s">
        <v>68</v>
      </c>
      <c r="F19" t="s">
        <v>58</v>
      </c>
      <c r="G19" t="s">
        <v>59</v>
      </c>
      <c r="H19" t="s">
        <v>117</v>
      </c>
      <c r="I19" t="s">
        <v>118</v>
      </c>
      <c r="J19" t="s">
        <v>62</v>
      </c>
      <c r="K19" t="s">
        <v>63</v>
      </c>
      <c r="L19" t="s">
        <v>64</v>
      </c>
      <c r="M19" t="s">
        <v>35</v>
      </c>
      <c r="N19" t="s">
        <v>36</v>
      </c>
      <c r="O19">
        <v>90</v>
      </c>
      <c r="P19">
        <v>90</v>
      </c>
      <c r="Q19">
        <v>108</v>
      </c>
      <c r="R19">
        <v>2250</v>
      </c>
      <c r="S19">
        <v>2250</v>
      </c>
      <c r="T19">
        <v>0</v>
      </c>
      <c r="U19">
        <v>0</v>
      </c>
      <c r="V19">
        <v>1</v>
      </c>
      <c r="W19">
        <v>0</v>
      </c>
      <c r="X19">
        <v>0.85</v>
      </c>
    </row>
    <row r="20" spans="1:24" x14ac:dyDescent="0.3">
      <c r="A20" t="s">
        <v>119</v>
      </c>
      <c r="B20" s="1">
        <v>45833</v>
      </c>
      <c r="C20" t="s">
        <v>67</v>
      </c>
      <c r="D20" t="s">
        <v>57</v>
      </c>
      <c r="E20" t="s">
        <v>68</v>
      </c>
      <c r="F20" t="s">
        <v>28</v>
      </c>
      <c r="G20" t="s">
        <v>29</v>
      </c>
      <c r="H20" t="s">
        <v>120</v>
      </c>
      <c r="I20" t="s">
        <v>121</v>
      </c>
      <c r="J20" t="s">
        <v>62</v>
      </c>
      <c r="K20" t="s">
        <v>63</v>
      </c>
      <c r="L20" t="s">
        <v>64</v>
      </c>
      <c r="M20" t="s">
        <v>65</v>
      </c>
      <c r="N20" t="s">
        <v>36</v>
      </c>
      <c r="O20">
        <v>60</v>
      </c>
      <c r="P20">
        <v>60</v>
      </c>
      <c r="Q20">
        <v>75.2</v>
      </c>
      <c r="R20">
        <v>1250</v>
      </c>
      <c r="S20">
        <v>1250</v>
      </c>
      <c r="T20">
        <v>0</v>
      </c>
      <c r="U20">
        <v>0</v>
      </c>
      <c r="V20">
        <v>1</v>
      </c>
      <c r="W20">
        <v>0</v>
      </c>
      <c r="X20">
        <v>0.85</v>
      </c>
    </row>
    <row r="21" spans="1:24" x14ac:dyDescent="0.3">
      <c r="A21" t="s">
        <v>122</v>
      </c>
      <c r="B21" s="1">
        <v>45825</v>
      </c>
      <c r="C21" t="s">
        <v>67</v>
      </c>
      <c r="D21" t="s">
        <v>26</v>
      </c>
      <c r="E21" t="s">
        <v>27</v>
      </c>
      <c r="F21" t="s">
        <v>58</v>
      </c>
      <c r="G21" t="s">
        <v>59</v>
      </c>
      <c r="H21" t="s">
        <v>117</v>
      </c>
      <c r="I21" t="s">
        <v>123</v>
      </c>
      <c r="J21" t="s">
        <v>62</v>
      </c>
      <c r="K21" t="s">
        <v>70</v>
      </c>
      <c r="L21" t="s">
        <v>34</v>
      </c>
      <c r="M21" t="s">
        <v>86</v>
      </c>
      <c r="N21" t="s">
        <v>36</v>
      </c>
      <c r="O21">
        <v>60</v>
      </c>
      <c r="P21">
        <v>60</v>
      </c>
      <c r="Q21">
        <v>74.3</v>
      </c>
      <c r="R21">
        <v>1500</v>
      </c>
      <c r="S21">
        <v>1500</v>
      </c>
      <c r="T21">
        <v>0</v>
      </c>
      <c r="U21">
        <v>0</v>
      </c>
      <c r="V21">
        <v>1</v>
      </c>
      <c r="W21">
        <v>0</v>
      </c>
      <c r="X21">
        <v>0.85</v>
      </c>
    </row>
    <row r="22" spans="1:24" x14ac:dyDescent="0.3">
      <c r="A22" t="s">
        <v>124</v>
      </c>
      <c r="B22" s="1">
        <v>45750</v>
      </c>
      <c r="C22" t="s">
        <v>92</v>
      </c>
      <c r="D22" t="s">
        <v>50</v>
      </c>
      <c r="E22" t="s">
        <v>83</v>
      </c>
      <c r="F22" t="s">
        <v>41</v>
      </c>
      <c r="G22" t="s">
        <v>42</v>
      </c>
      <c r="H22" t="s">
        <v>125</v>
      </c>
      <c r="I22" t="s">
        <v>126</v>
      </c>
      <c r="J22" t="s">
        <v>62</v>
      </c>
      <c r="K22" t="s">
        <v>63</v>
      </c>
      <c r="L22" t="s">
        <v>34</v>
      </c>
      <c r="M22" t="s">
        <v>86</v>
      </c>
      <c r="N22" t="s">
        <v>36</v>
      </c>
      <c r="O22">
        <v>45</v>
      </c>
      <c r="P22">
        <v>45</v>
      </c>
      <c r="Q22">
        <v>52.1</v>
      </c>
      <c r="R22">
        <v>1000</v>
      </c>
      <c r="S22">
        <v>1000</v>
      </c>
      <c r="T22">
        <v>0</v>
      </c>
      <c r="U22">
        <v>0</v>
      </c>
      <c r="V22">
        <v>1</v>
      </c>
      <c r="W22">
        <v>0</v>
      </c>
      <c r="X22">
        <v>0.85</v>
      </c>
    </row>
    <row r="23" spans="1:24" x14ac:dyDescent="0.3">
      <c r="A23" t="s">
        <v>127</v>
      </c>
      <c r="B23" s="1">
        <v>45789</v>
      </c>
      <c r="C23" t="s">
        <v>128</v>
      </c>
      <c r="D23" t="s">
        <v>39</v>
      </c>
      <c r="E23" t="s">
        <v>68</v>
      </c>
      <c r="F23" t="s">
        <v>28</v>
      </c>
      <c r="G23" t="s">
        <v>29</v>
      </c>
      <c r="H23" t="s">
        <v>102</v>
      </c>
      <c r="I23" t="s">
        <v>44</v>
      </c>
      <c r="J23" t="s">
        <v>53</v>
      </c>
      <c r="K23" t="s">
        <v>33</v>
      </c>
      <c r="L23" t="s">
        <v>34</v>
      </c>
      <c r="M23" t="s">
        <v>65</v>
      </c>
      <c r="N23" t="s">
        <v>36</v>
      </c>
      <c r="O23">
        <v>60</v>
      </c>
      <c r="P23">
        <v>60</v>
      </c>
      <c r="Q23">
        <v>73.3</v>
      </c>
      <c r="R23">
        <v>1500</v>
      </c>
      <c r="S23">
        <v>1500</v>
      </c>
      <c r="T23">
        <v>0</v>
      </c>
      <c r="U23">
        <v>0</v>
      </c>
      <c r="V23">
        <v>1</v>
      </c>
      <c r="W23">
        <v>0</v>
      </c>
      <c r="X23">
        <v>0.85</v>
      </c>
    </row>
    <row r="24" spans="1:24" x14ac:dyDescent="0.3">
      <c r="A24" t="s">
        <v>129</v>
      </c>
      <c r="B24" s="1">
        <v>45684</v>
      </c>
      <c r="C24" t="s">
        <v>130</v>
      </c>
      <c r="D24" t="s">
        <v>39</v>
      </c>
      <c r="E24" t="s">
        <v>40</v>
      </c>
      <c r="F24" t="s">
        <v>41</v>
      </c>
      <c r="G24" t="s">
        <v>42</v>
      </c>
      <c r="H24" t="s">
        <v>51</v>
      </c>
      <c r="I24" t="s">
        <v>131</v>
      </c>
      <c r="J24" t="s">
        <v>62</v>
      </c>
      <c r="K24" t="s">
        <v>85</v>
      </c>
      <c r="L24" t="s">
        <v>64</v>
      </c>
      <c r="M24" t="s">
        <v>35</v>
      </c>
      <c r="N24" t="s">
        <v>36</v>
      </c>
      <c r="O24">
        <v>60</v>
      </c>
      <c r="P24">
        <v>60</v>
      </c>
      <c r="Q24">
        <v>70</v>
      </c>
      <c r="R24">
        <v>1350</v>
      </c>
      <c r="S24">
        <v>1350</v>
      </c>
      <c r="T24">
        <v>0</v>
      </c>
      <c r="U24">
        <v>0</v>
      </c>
      <c r="V24">
        <v>1</v>
      </c>
      <c r="W24">
        <v>0</v>
      </c>
      <c r="X24">
        <v>0.85</v>
      </c>
    </row>
    <row r="25" spans="1:24" x14ac:dyDescent="0.3">
      <c r="A25" t="s">
        <v>132</v>
      </c>
      <c r="B25" s="1">
        <v>45698</v>
      </c>
      <c r="C25" t="s">
        <v>76</v>
      </c>
      <c r="D25" t="s">
        <v>39</v>
      </c>
      <c r="E25" t="s">
        <v>27</v>
      </c>
      <c r="F25" t="s">
        <v>41</v>
      </c>
      <c r="G25" t="s">
        <v>42</v>
      </c>
      <c r="H25" t="s">
        <v>89</v>
      </c>
      <c r="I25" t="s">
        <v>133</v>
      </c>
      <c r="J25" t="s">
        <v>45</v>
      </c>
      <c r="K25" t="s">
        <v>70</v>
      </c>
      <c r="L25" t="s">
        <v>64</v>
      </c>
      <c r="M25" t="s">
        <v>94</v>
      </c>
      <c r="N25" t="s">
        <v>36</v>
      </c>
      <c r="O25">
        <v>45</v>
      </c>
      <c r="P25">
        <v>45</v>
      </c>
      <c r="Q25">
        <v>53.7</v>
      </c>
      <c r="R25">
        <v>1150</v>
      </c>
      <c r="S25">
        <v>1150</v>
      </c>
      <c r="T25">
        <v>0</v>
      </c>
      <c r="U25">
        <v>0</v>
      </c>
      <c r="V25">
        <v>1</v>
      </c>
      <c r="W25">
        <v>0</v>
      </c>
      <c r="X25">
        <v>0.85</v>
      </c>
    </row>
    <row r="26" spans="1:24" x14ac:dyDescent="0.3">
      <c r="A26" t="s">
        <v>134</v>
      </c>
      <c r="B26" s="1">
        <v>45827</v>
      </c>
      <c r="C26" t="s">
        <v>67</v>
      </c>
      <c r="D26" t="s">
        <v>50</v>
      </c>
      <c r="E26" t="s">
        <v>68</v>
      </c>
      <c r="F26" t="s">
        <v>28</v>
      </c>
      <c r="G26" t="s">
        <v>29</v>
      </c>
      <c r="H26" t="s">
        <v>135</v>
      </c>
      <c r="I26" t="s">
        <v>136</v>
      </c>
      <c r="J26" t="s">
        <v>137</v>
      </c>
      <c r="K26" t="s">
        <v>46</v>
      </c>
      <c r="L26" t="s">
        <v>64</v>
      </c>
      <c r="M26" t="s">
        <v>35</v>
      </c>
      <c r="N26" t="s">
        <v>36</v>
      </c>
      <c r="O26">
        <v>30</v>
      </c>
      <c r="P26">
        <v>30</v>
      </c>
      <c r="Q26">
        <v>40.299999999999997</v>
      </c>
      <c r="R26">
        <v>600</v>
      </c>
      <c r="S26">
        <v>600</v>
      </c>
      <c r="T26">
        <v>0</v>
      </c>
      <c r="U26">
        <v>0</v>
      </c>
      <c r="V26">
        <v>1</v>
      </c>
      <c r="W26">
        <v>0</v>
      </c>
      <c r="X26">
        <v>0.85</v>
      </c>
    </row>
    <row r="27" spans="1:24" x14ac:dyDescent="0.3">
      <c r="A27" t="s">
        <v>138</v>
      </c>
      <c r="B27" s="1">
        <v>45663</v>
      </c>
      <c r="C27" t="s">
        <v>130</v>
      </c>
      <c r="D27" t="s">
        <v>39</v>
      </c>
      <c r="E27" t="s">
        <v>83</v>
      </c>
      <c r="F27" t="s">
        <v>41</v>
      </c>
      <c r="G27" t="s">
        <v>42</v>
      </c>
      <c r="H27" t="s">
        <v>51</v>
      </c>
      <c r="I27" t="s">
        <v>139</v>
      </c>
      <c r="J27" t="s">
        <v>45</v>
      </c>
      <c r="K27" t="s">
        <v>46</v>
      </c>
      <c r="L27" t="s">
        <v>78</v>
      </c>
      <c r="M27" t="s">
        <v>94</v>
      </c>
      <c r="N27" t="s">
        <v>113</v>
      </c>
      <c r="O27">
        <v>30</v>
      </c>
      <c r="P27">
        <v>0</v>
      </c>
      <c r="Q27">
        <v>35.299999999999997</v>
      </c>
      <c r="R27">
        <v>700</v>
      </c>
      <c r="S27">
        <v>0</v>
      </c>
      <c r="T27">
        <v>700</v>
      </c>
      <c r="U27">
        <v>0</v>
      </c>
      <c r="V27">
        <v>0</v>
      </c>
      <c r="W27">
        <v>1</v>
      </c>
      <c r="X27">
        <v>0.85</v>
      </c>
    </row>
    <row r="28" spans="1:24" x14ac:dyDescent="0.3">
      <c r="A28" t="s">
        <v>140</v>
      </c>
      <c r="B28" s="1">
        <v>45671</v>
      </c>
      <c r="C28" t="s">
        <v>130</v>
      </c>
      <c r="D28" t="s">
        <v>26</v>
      </c>
      <c r="E28" t="s">
        <v>83</v>
      </c>
      <c r="F28" t="s">
        <v>28</v>
      </c>
      <c r="G28" t="s">
        <v>29</v>
      </c>
      <c r="H28" t="s">
        <v>120</v>
      </c>
      <c r="I28" t="s">
        <v>141</v>
      </c>
      <c r="J28" t="s">
        <v>53</v>
      </c>
      <c r="K28" t="s">
        <v>63</v>
      </c>
      <c r="L28" t="s">
        <v>64</v>
      </c>
      <c r="M28" t="s">
        <v>86</v>
      </c>
      <c r="N28" t="s">
        <v>95</v>
      </c>
      <c r="O28">
        <v>75</v>
      </c>
      <c r="P28">
        <v>0</v>
      </c>
      <c r="Q28">
        <v>87.4</v>
      </c>
      <c r="R28">
        <v>1900</v>
      </c>
      <c r="S28">
        <v>0</v>
      </c>
      <c r="T28">
        <v>1900</v>
      </c>
      <c r="U28">
        <v>1</v>
      </c>
      <c r="V28">
        <v>0</v>
      </c>
      <c r="W28">
        <v>0</v>
      </c>
      <c r="X28">
        <v>0.85</v>
      </c>
    </row>
    <row r="29" spans="1:24" x14ac:dyDescent="0.3">
      <c r="A29" t="s">
        <v>142</v>
      </c>
      <c r="B29" s="1">
        <v>45744</v>
      </c>
      <c r="C29" t="s">
        <v>56</v>
      </c>
      <c r="D29" t="s">
        <v>82</v>
      </c>
      <c r="E29" t="s">
        <v>27</v>
      </c>
      <c r="F29" t="s">
        <v>28</v>
      </c>
      <c r="G29" t="s">
        <v>29</v>
      </c>
      <c r="H29" t="s">
        <v>120</v>
      </c>
      <c r="I29" t="s">
        <v>143</v>
      </c>
      <c r="J29" t="s">
        <v>45</v>
      </c>
      <c r="K29" t="s">
        <v>70</v>
      </c>
      <c r="L29" t="s">
        <v>78</v>
      </c>
      <c r="M29" t="s">
        <v>86</v>
      </c>
      <c r="N29" t="s">
        <v>36</v>
      </c>
      <c r="O29">
        <v>45</v>
      </c>
      <c r="P29">
        <v>45</v>
      </c>
      <c r="Q29">
        <v>52.8</v>
      </c>
      <c r="R29">
        <v>1000</v>
      </c>
      <c r="S29">
        <v>1000</v>
      </c>
      <c r="T29">
        <v>0</v>
      </c>
      <c r="U29">
        <v>0</v>
      </c>
      <c r="V29">
        <v>1</v>
      </c>
      <c r="W29">
        <v>0</v>
      </c>
      <c r="X29">
        <v>0.85</v>
      </c>
    </row>
    <row r="30" spans="1:24" x14ac:dyDescent="0.3">
      <c r="A30" t="s">
        <v>144</v>
      </c>
      <c r="B30" s="1">
        <v>45884</v>
      </c>
      <c r="C30" t="s">
        <v>110</v>
      </c>
      <c r="D30" t="s">
        <v>82</v>
      </c>
      <c r="E30" t="s">
        <v>83</v>
      </c>
      <c r="F30" t="s">
        <v>58</v>
      </c>
      <c r="G30" t="s">
        <v>59</v>
      </c>
      <c r="H30" t="s">
        <v>73</v>
      </c>
      <c r="I30" t="s">
        <v>145</v>
      </c>
      <c r="J30" t="s">
        <v>62</v>
      </c>
      <c r="K30" t="s">
        <v>33</v>
      </c>
      <c r="L30" t="s">
        <v>64</v>
      </c>
      <c r="M30" t="s">
        <v>47</v>
      </c>
      <c r="N30" t="s">
        <v>36</v>
      </c>
      <c r="O30">
        <v>75</v>
      </c>
      <c r="P30">
        <v>75</v>
      </c>
      <c r="Q30">
        <v>84.6</v>
      </c>
      <c r="R30">
        <v>1900</v>
      </c>
      <c r="S30">
        <v>1900</v>
      </c>
      <c r="T30">
        <v>0</v>
      </c>
      <c r="U30">
        <v>0</v>
      </c>
      <c r="V30">
        <v>1</v>
      </c>
      <c r="W30">
        <v>0</v>
      </c>
      <c r="X30">
        <v>0.85</v>
      </c>
    </row>
    <row r="31" spans="1:24" x14ac:dyDescent="0.3">
      <c r="A31" t="s">
        <v>146</v>
      </c>
      <c r="B31" s="1">
        <v>45715</v>
      </c>
      <c r="C31" t="s">
        <v>76</v>
      </c>
      <c r="D31" t="s">
        <v>50</v>
      </c>
      <c r="E31" t="s">
        <v>27</v>
      </c>
      <c r="F31" t="s">
        <v>58</v>
      </c>
      <c r="G31" t="s">
        <v>59</v>
      </c>
      <c r="H31" t="s">
        <v>117</v>
      </c>
      <c r="I31" t="s">
        <v>147</v>
      </c>
      <c r="J31" t="s">
        <v>53</v>
      </c>
      <c r="K31" t="s">
        <v>46</v>
      </c>
      <c r="L31" t="s">
        <v>34</v>
      </c>
      <c r="M31" t="s">
        <v>47</v>
      </c>
      <c r="N31" t="s">
        <v>36</v>
      </c>
      <c r="O31">
        <v>30</v>
      </c>
      <c r="P31">
        <v>30</v>
      </c>
      <c r="Q31">
        <v>33.799999999999997</v>
      </c>
      <c r="R31">
        <v>900</v>
      </c>
      <c r="S31">
        <v>900</v>
      </c>
      <c r="T31">
        <v>0</v>
      </c>
      <c r="U31">
        <v>0</v>
      </c>
      <c r="V31">
        <v>1</v>
      </c>
      <c r="W31">
        <v>0</v>
      </c>
      <c r="X31">
        <v>0.85</v>
      </c>
    </row>
    <row r="32" spans="1:24" x14ac:dyDescent="0.3">
      <c r="A32" t="s">
        <v>148</v>
      </c>
      <c r="B32" s="1">
        <v>45710</v>
      </c>
      <c r="C32" t="s">
        <v>76</v>
      </c>
      <c r="D32" t="s">
        <v>88</v>
      </c>
      <c r="E32" t="s">
        <v>27</v>
      </c>
      <c r="F32" t="s">
        <v>28</v>
      </c>
      <c r="G32" t="s">
        <v>29</v>
      </c>
      <c r="H32" t="s">
        <v>102</v>
      </c>
      <c r="I32" t="s">
        <v>149</v>
      </c>
      <c r="J32" t="s">
        <v>62</v>
      </c>
      <c r="K32" t="s">
        <v>46</v>
      </c>
      <c r="L32" t="s">
        <v>54</v>
      </c>
      <c r="M32" t="s">
        <v>47</v>
      </c>
      <c r="N32" t="s">
        <v>36</v>
      </c>
      <c r="O32">
        <v>45</v>
      </c>
      <c r="P32">
        <v>45</v>
      </c>
      <c r="Q32">
        <v>52.4</v>
      </c>
      <c r="R32">
        <v>800</v>
      </c>
      <c r="S32">
        <v>800</v>
      </c>
      <c r="T32">
        <v>0</v>
      </c>
      <c r="U32">
        <v>0</v>
      </c>
      <c r="V32">
        <v>1</v>
      </c>
      <c r="W32">
        <v>0</v>
      </c>
      <c r="X32">
        <v>0.85</v>
      </c>
    </row>
    <row r="33" spans="1:24" x14ac:dyDescent="0.3">
      <c r="A33" t="s">
        <v>150</v>
      </c>
      <c r="B33" s="1">
        <v>45710</v>
      </c>
      <c r="C33" t="s">
        <v>76</v>
      </c>
      <c r="D33" t="s">
        <v>88</v>
      </c>
      <c r="E33" t="s">
        <v>68</v>
      </c>
      <c r="F33" t="s">
        <v>58</v>
      </c>
      <c r="G33" t="s">
        <v>59</v>
      </c>
      <c r="H33" t="s">
        <v>151</v>
      </c>
      <c r="I33" t="s">
        <v>152</v>
      </c>
      <c r="J33" t="s">
        <v>45</v>
      </c>
      <c r="K33" t="s">
        <v>85</v>
      </c>
      <c r="L33" t="s">
        <v>78</v>
      </c>
      <c r="M33" t="s">
        <v>35</v>
      </c>
      <c r="N33" t="s">
        <v>153</v>
      </c>
      <c r="O33">
        <v>90</v>
      </c>
      <c r="P33">
        <v>0</v>
      </c>
      <c r="Q33">
        <v>111.9</v>
      </c>
      <c r="R33">
        <v>2400</v>
      </c>
      <c r="S33">
        <v>0</v>
      </c>
      <c r="T33">
        <v>0</v>
      </c>
      <c r="U33">
        <v>0</v>
      </c>
      <c r="V33">
        <v>0</v>
      </c>
      <c r="W33">
        <v>0</v>
      </c>
      <c r="X33">
        <v>0.85</v>
      </c>
    </row>
    <row r="34" spans="1:24" x14ac:dyDescent="0.3">
      <c r="A34" t="s">
        <v>154</v>
      </c>
      <c r="B34" s="1">
        <v>45882</v>
      </c>
      <c r="C34" t="s">
        <v>110</v>
      </c>
      <c r="D34" t="s">
        <v>57</v>
      </c>
      <c r="E34" t="s">
        <v>68</v>
      </c>
      <c r="F34" t="s">
        <v>41</v>
      </c>
      <c r="G34" t="s">
        <v>42</v>
      </c>
      <c r="H34" t="s">
        <v>111</v>
      </c>
      <c r="I34" t="s">
        <v>155</v>
      </c>
      <c r="J34" t="s">
        <v>32</v>
      </c>
      <c r="K34" t="s">
        <v>46</v>
      </c>
      <c r="L34" t="s">
        <v>64</v>
      </c>
      <c r="M34" t="s">
        <v>71</v>
      </c>
      <c r="N34" t="s">
        <v>36</v>
      </c>
      <c r="O34">
        <v>30</v>
      </c>
      <c r="P34">
        <v>30</v>
      </c>
      <c r="Q34">
        <v>36.700000000000003</v>
      </c>
      <c r="R34">
        <v>700</v>
      </c>
      <c r="S34">
        <v>700</v>
      </c>
      <c r="T34">
        <v>0</v>
      </c>
      <c r="U34">
        <v>0</v>
      </c>
      <c r="V34">
        <v>1</v>
      </c>
      <c r="W34">
        <v>0</v>
      </c>
      <c r="X34">
        <v>0.85</v>
      </c>
    </row>
    <row r="35" spans="1:24" x14ac:dyDescent="0.3">
      <c r="A35" t="s">
        <v>156</v>
      </c>
      <c r="B35" s="1">
        <v>45674</v>
      </c>
      <c r="C35" t="s">
        <v>130</v>
      </c>
      <c r="D35" t="s">
        <v>82</v>
      </c>
      <c r="E35" t="s">
        <v>68</v>
      </c>
      <c r="F35" t="s">
        <v>41</v>
      </c>
      <c r="G35" t="s">
        <v>42</v>
      </c>
      <c r="H35" t="s">
        <v>51</v>
      </c>
      <c r="I35" t="s">
        <v>157</v>
      </c>
      <c r="J35" t="s">
        <v>53</v>
      </c>
      <c r="K35" t="s">
        <v>33</v>
      </c>
      <c r="L35" t="s">
        <v>34</v>
      </c>
      <c r="M35" t="s">
        <v>94</v>
      </c>
      <c r="N35" t="s">
        <v>36</v>
      </c>
      <c r="O35">
        <v>60</v>
      </c>
      <c r="P35">
        <v>60</v>
      </c>
      <c r="Q35">
        <v>75.400000000000006</v>
      </c>
      <c r="R35">
        <v>1600</v>
      </c>
      <c r="S35">
        <v>1600</v>
      </c>
      <c r="T35">
        <v>0</v>
      </c>
      <c r="U35">
        <v>0</v>
      </c>
      <c r="V35">
        <v>1</v>
      </c>
      <c r="W35">
        <v>0</v>
      </c>
      <c r="X35">
        <v>0.85</v>
      </c>
    </row>
    <row r="36" spans="1:24" x14ac:dyDescent="0.3">
      <c r="A36" t="s">
        <v>158</v>
      </c>
      <c r="B36" s="1">
        <v>45842</v>
      </c>
      <c r="C36" t="s">
        <v>101</v>
      </c>
      <c r="D36" t="s">
        <v>82</v>
      </c>
      <c r="E36" t="s">
        <v>40</v>
      </c>
      <c r="F36" t="s">
        <v>41</v>
      </c>
      <c r="G36" t="s">
        <v>42</v>
      </c>
      <c r="H36" t="s">
        <v>43</v>
      </c>
      <c r="I36" t="s">
        <v>159</v>
      </c>
      <c r="J36" t="s">
        <v>45</v>
      </c>
      <c r="K36" t="s">
        <v>63</v>
      </c>
      <c r="L36" t="s">
        <v>34</v>
      </c>
      <c r="M36" t="s">
        <v>35</v>
      </c>
      <c r="N36" t="s">
        <v>36</v>
      </c>
      <c r="O36">
        <v>45</v>
      </c>
      <c r="P36">
        <v>45</v>
      </c>
      <c r="Q36">
        <v>49.3</v>
      </c>
      <c r="R36">
        <v>1150</v>
      </c>
      <c r="S36">
        <v>1150</v>
      </c>
      <c r="T36">
        <v>0</v>
      </c>
      <c r="U36">
        <v>0</v>
      </c>
      <c r="V36">
        <v>1</v>
      </c>
      <c r="W36">
        <v>0</v>
      </c>
      <c r="X36">
        <v>0.85</v>
      </c>
    </row>
    <row r="37" spans="1:24" x14ac:dyDescent="0.3">
      <c r="A37" t="s">
        <v>160</v>
      </c>
      <c r="B37" s="1">
        <v>46001</v>
      </c>
      <c r="C37" t="s">
        <v>25</v>
      </c>
      <c r="D37" t="s">
        <v>57</v>
      </c>
      <c r="E37" t="s">
        <v>68</v>
      </c>
      <c r="F37" t="s">
        <v>28</v>
      </c>
      <c r="G37" t="s">
        <v>29</v>
      </c>
      <c r="H37" t="s">
        <v>120</v>
      </c>
      <c r="I37" t="s">
        <v>161</v>
      </c>
      <c r="J37" t="s">
        <v>45</v>
      </c>
      <c r="K37" t="s">
        <v>33</v>
      </c>
      <c r="L37" t="s">
        <v>64</v>
      </c>
      <c r="M37" t="s">
        <v>86</v>
      </c>
      <c r="N37" t="s">
        <v>36</v>
      </c>
      <c r="O37">
        <v>45</v>
      </c>
      <c r="P37">
        <v>45</v>
      </c>
      <c r="Q37">
        <v>49.2</v>
      </c>
      <c r="R37">
        <v>1100</v>
      </c>
      <c r="S37">
        <v>1100</v>
      </c>
      <c r="T37">
        <v>0</v>
      </c>
      <c r="U37">
        <v>0</v>
      </c>
      <c r="V37">
        <v>1</v>
      </c>
      <c r="W37">
        <v>0</v>
      </c>
      <c r="X37">
        <v>0.85</v>
      </c>
    </row>
    <row r="38" spans="1:24" x14ac:dyDescent="0.3">
      <c r="A38" t="s">
        <v>162</v>
      </c>
      <c r="B38" s="1">
        <v>45882</v>
      </c>
      <c r="C38" t="s">
        <v>110</v>
      </c>
      <c r="D38" t="s">
        <v>57</v>
      </c>
      <c r="E38" t="s">
        <v>27</v>
      </c>
      <c r="F38" t="s">
        <v>41</v>
      </c>
      <c r="G38" t="s">
        <v>42</v>
      </c>
      <c r="H38" t="s">
        <v>43</v>
      </c>
      <c r="I38" t="s">
        <v>163</v>
      </c>
      <c r="J38" t="s">
        <v>32</v>
      </c>
      <c r="K38" t="s">
        <v>46</v>
      </c>
      <c r="L38" t="s">
        <v>64</v>
      </c>
      <c r="M38" t="s">
        <v>65</v>
      </c>
      <c r="N38" t="s">
        <v>95</v>
      </c>
      <c r="O38">
        <v>75</v>
      </c>
      <c r="P38">
        <v>0</v>
      </c>
      <c r="Q38">
        <v>87.3</v>
      </c>
      <c r="R38">
        <v>1700</v>
      </c>
      <c r="S38">
        <v>0</v>
      </c>
      <c r="T38">
        <v>1700</v>
      </c>
      <c r="U38">
        <v>1</v>
      </c>
      <c r="V38">
        <v>0</v>
      </c>
      <c r="W38">
        <v>0</v>
      </c>
      <c r="X38">
        <v>0.85</v>
      </c>
    </row>
    <row r="39" spans="1:24" x14ac:dyDescent="0.3">
      <c r="A39" t="s">
        <v>164</v>
      </c>
      <c r="B39" s="1">
        <v>45744</v>
      </c>
      <c r="C39" t="s">
        <v>56</v>
      </c>
      <c r="D39" t="s">
        <v>82</v>
      </c>
      <c r="E39" t="s">
        <v>27</v>
      </c>
      <c r="F39" t="s">
        <v>58</v>
      </c>
      <c r="G39" t="s">
        <v>59</v>
      </c>
      <c r="H39" t="s">
        <v>73</v>
      </c>
      <c r="I39" t="s">
        <v>52</v>
      </c>
      <c r="J39" t="s">
        <v>62</v>
      </c>
      <c r="K39" t="s">
        <v>46</v>
      </c>
      <c r="L39" t="s">
        <v>78</v>
      </c>
      <c r="M39" t="s">
        <v>71</v>
      </c>
      <c r="N39" t="s">
        <v>36</v>
      </c>
      <c r="O39">
        <v>60</v>
      </c>
      <c r="P39">
        <v>60</v>
      </c>
      <c r="Q39">
        <v>78.099999999999994</v>
      </c>
      <c r="R39">
        <v>1400</v>
      </c>
      <c r="S39">
        <v>1400</v>
      </c>
      <c r="T39">
        <v>0</v>
      </c>
      <c r="U39">
        <v>0</v>
      </c>
      <c r="V39">
        <v>1</v>
      </c>
      <c r="W39">
        <v>0</v>
      </c>
      <c r="X39">
        <v>0.85</v>
      </c>
    </row>
    <row r="40" spans="1:24" x14ac:dyDescent="0.3">
      <c r="A40" t="s">
        <v>165</v>
      </c>
      <c r="B40" s="1">
        <v>45785</v>
      </c>
      <c r="C40" t="s">
        <v>128</v>
      </c>
      <c r="D40" t="s">
        <v>50</v>
      </c>
      <c r="E40" t="s">
        <v>83</v>
      </c>
      <c r="F40" t="s">
        <v>58</v>
      </c>
      <c r="G40" t="s">
        <v>59</v>
      </c>
      <c r="H40" t="s">
        <v>60</v>
      </c>
      <c r="I40" t="s">
        <v>166</v>
      </c>
      <c r="J40" t="s">
        <v>45</v>
      </c>
      <c r="K40" t="s">
        <v>85</v>
      </c>
      <c r="L40" t="s">
        <v>64</v>
      </c>
      <c r="M40" t="s">
        <v>47</v>
      </c>
      <c r="N40" t="s">
        <v>36</v>
      </c>
      <c r="O40">
        <v>45</v>
      </c>
      <c r="P40">
        <v>45</v>
      </c>
      <c r="Q40">
        <v>49</v>
      </c>
      <c r="R40">
        <v>1300</v>
      </c>
      <c r="S40">
        <v>1300</v>
      </c>
      <c r="T40">
        <v>0</v>
      </c>
      <c r="U40">
        <v>0</v>
      </c>
      <c r="V40">
        <v>1</v>
      </c>
      <c r="W40">
        <v>0</v>
      </c>
      <c r="X40">
        <v>0.85</v>
      </c>
    </row>
    <row r="41" spans="1:24" x14ac:dyDescent="0.3">
      <c r="A41" t="s">
        <v>167</v>
      </c>
      <c r="B41" s="1">
        <v>45719</v>
      </c>
      <c r="C41" t="s">
        <v>56</v>
      </c>
      <c r="D41" t="s">
        <v>39</v>
      </c>
      <c r="E41" t="s">
        <v>40</v>
      </c>
      <c r="F41" t="s">
        <v>58</v>
      </c>
      <c r="G41" t="s">
        <v>59</v>
      </c>
      <c r="H41" t="s">
        <v>151</v>
      </c>
      <c r="I41" t="s">
        <v>168</v>
      </c>
      <c r="J41" t="s">
        <v>62</v>
      </c>
      <c r="K41" t="s">
        <v>104</v>
      </c>
      <c r="L41" t="s">
        <v>34</v>
      </c>
      <c r="M41" t="s">
        <v>86</v>
      </c>
      <c r="N41" t="s">
        <v>36</v>
      </c>
      <c r="O41">
        <v>60</v>
      </c>
      <c r="P41">
        <v>60</v>
      </c>
      <c r="Q41">
        <v>80.5</v>
      </c>
      <c r="R41">
        <v>1500</v>
      </c>
      <c r="S41">
        <v>1500</v>
      </c>
      <c r="T41">
        <v>0</v>
      </c>
      <c r="U41">
        <v>0</v>
      </c>
      <c r="V41">
        <v>1</v>
      </c>
      <c r="W41">
        <v>0</v>
      </c>
      <c r="X41">
        <v>0.85</v>
      </c>
    </row>
    <row r="42" spans="1:24" x14ac:dyDescent="0.3">
      <c r="A42" t="s">
        <v>169</v>
      </c>
      <c r="B42" s="1">
        <v>45915</v>
      </c>
      <c r="C42" t="s">
        <v>49</v>
      </c>
      <c r="D42" t="s">
        <v>39</v>
      </c>
      <c r="E42" t="s">
        <v>68</v>
      </c>
      <c r="F42" t="s">
        <v>41</v>
      </c>
      <c r="G42" t="s">
        <v>42</v>
      </c>
      <c r="H42" t="s">
        <v>51</v>
      </c>
      <c r="I42" t="s">
        <v>170</v>
      </c>
      <c r="J42" t="s">
        <v>137</v>
      </c>
      <c r="K42" t="s">
        <v>33</v>
      </c>
      <c r="L42" t="s">
        <v>34</v>
      </c>
      <c r="M42" t="s">
        <v>35</v>
      </c>
      <c r="N42" t="s">
        <v>36</v>
      </c>
      <c r="O42">
        <v>30</v>
      </c>
      <c r="P42">
        <v>30</v>
      </c>
      <c r="Q42">
        <v>35.4</v>
      </c>
      <c r="R42">
        <v>700</v>
      </c>
      <c r="S42">
        <v>700</v>
      </c>
      <c r="T42">
        <v>0</v>
      </c>
      <c r="U42">
        <v>0</v>
      </c>
      <c r="V42">
        <v>1</v>
      </c>
      <c r="W42">
        <v>0</v>
      </c>
      <c r="X42">
        <v>0.85</v>
      </c>
    </row>
    <row r="43" spans="1:24" x14ac:dyDescent="0.3">
      <c r="A43" t="s">
        <v>171</v>
      </c>
      <c r="B43" s="1">
        <v>45699</v>
      </c>
      <c r="C43" t="s">
        <v>76</v>
      </c>
      <c r="D43" t="s">
        <v>26</v>
      </c>
      <c r="E43" t="s">
        <v>27</v>
      </c>
      <c r="F43" t="s">
        <v>58</v>
      </c>
      <c r="G43" t="s">
        <v>59</v>
      </c>
      <c r="H43" t="s">
        <v>151</v>
      </c>
      <c r="I43" t="s">
        <v>172</v>
      </c>
      <c r="J43" t="s">
        <v>45</v>
      </c>
      <c r="K43" t="s">
        <v>70</v>
      </c>
      <c r="L43" t="s">
        <v>34</v>
      </c>
      <c r="M43" t="s">
        <v>94</v>
      </c>
      <c r="N43" t="s">
        <v>36</v>
      </c>
      <c r="O43">
        <v>60</v>
      </c>
      <c r="P43">
        <v>60</v>
      </c>
      <c r="Q43">
        <v>78.599999999999994</v>
      </c>
      <c r="R43">
        <v>1700</v>
      </c>
      <c r="S43">
        <v>1700</v>
      </c>
      <c r="T43">
        <v>0</v>
      </c>
      <c r="U43">
        <v>0</v>
      </c>
      <c r="V43">
        <v>1</v>
      </c>
      <c r="W43">
        <v>0</v>
      </c>
      <c r="X43">
        <v>0.85</v>
      </c>
    </row>
    <row r="44" spans="1:24" x14ac:dyDescent="0.3">
      <c r="A44" t="s">
        <v>173</v>
      </c>
      <c r="B44" s="1">
        <v>45978</v>
      </c>
      <c r="C44" t="s">
        <v>38</v>
      </c>
      <c r="D44" t="s">
        <v>39</v>
      </c>
      <c r="E44" t="s">
        <v>68</v>
      </c>
      <c r="F44" t="s">
        <v>41</v>
      </c>
      <c r="G44" t="s">
        <v>42</v>
      </c>
      <c r="H44" t="s">
        <v>125</v>
      </c>
      <c r="I44" t="s">
        <v>174</v>
      </c>
      <c r="J44" t="s">
        <v>137</v>
      </c>
      <c r="K44" t="s">
        <v>46</v>
      </c>
      <c r="L44" t="s">
        <v>64</v>
      </c>
      <c r="M44" t="s">
        <v>47</v>
      </c>
      <c r="N44" t="s">
        <v>153</v>
      </c>
      <c r="O44">
        <v>60</v>
      </c>
      <c r="P44">
        <v>0</v>
      </c>
      <c r="Q44">
        <v>66.3</v>
      </c>
      <c r="R44">
        <v>1350</v>
      </c>
      <c r="S44">
        <v>0</v>
      </c>
      <c r="T44">
        <v>0</v>
      </c>
      <c r="U44">
        <v>0</v>
      </c>
      <c r="V44">
        <v>0</v>
      </c>
      <c r="W44">
        <v>0</v>
      </c>
      <c r="X44">
        <v>0.85</v>
      </c>
    </row>
    <row r="45" spans="1:24" x14ac:dyDescent="0.3">
      <c r="A45" t="s">
        <v>175</v>
      </c>
      <c r="B45" s="1">
        <v>45751</v>
      </c>
      <c r="C45" t="s">
        <v>92</v>
      </c>
      <c r="D45" t="s">
        <v>82</v>
      </c>
      <c r="E45" t="s">
        <v>40</v>
      </c>
      <c r="F45" t="s">
        <v>58</v>
      </c>
      <c r="G45" t="s">
        <v>59</v>
      </c>
      <c r="H45" t="s">
        <v>73</v>
      </c>
      <c r="I45" t="s">
        <v>176</v>
      </c>
      <c r="J45" t="s">
        <v>99</v>
      </c>
      <c r="K45" t="s">
        <v>70</v>
      </c>
      <c r="L45" t="s">
        <v>64</v>
      </c>
      <c r="M45" t="s">
        <v>86</v>
      </c>
      <c r="N45" t="s">
        <v>95</v>
      </c>
      <c r="O45">
        <v>45</v>
      </c>
      <c r="P45">
        <v>0</v>
      </c>
      <c r="Q45">
        <v>54.9</v>
      </c>
      <c r="R45">
        <v>1100</v>
      </c>
      <c r="S45">
        <v>0</v>
      </c>
      <c r="T45">
        <v>1100</v>
      </c>
      <c r="U45">
        <v>1</v>
      </c>
      <c r="V45">
        <v>0</v>
      </c>
      <c r="W45">
        <v>0</v>
      </c>
      <c r="X45">
        <v>0.85</v>
      </c>
    </row>
    <row r="46" spans="1:24" x14ac:dyDescent="0.3">
      <c r="A46" t="s">
        <v>177</v>
      </c>
      <c r="B46" s="1">
        <v>45759</v>
      </c>
      <c r="C46" t="s">
        <v>92</v>
      </c>
      <c r="D46" t="s">
        <v>88</v>
      </c>
      <c r="E46" t="s">
        <v>68</v>
      </c>
      <c r="F46" t="s">
        <v>28</v>
      </c>
      <c r="G46" t="s">
        <v>29</v>
      </c>
      <c r="H46" t="s">
        <v>135</v>
      </c>
      <c r="I46" t="s">
        <v>178</v>
      </c>
      <c r="J46" t="s">
        <v>62</v>
      </c>
      <c r="K46" t="s">
        <v>46</v>
      </c>
      <c r="L46" t="s">
        <v>34</v>
      </c>
      <c r="M46" t="s">
        <v>71</v>
      </c>
      <c r="N46" t="s">
        <v>36</v>
      </c>
      <c r="O46">
        <v>60</v>
      </c>
      <c r="P46">
        <v>60</v>
      </c>
      <c r="Q46">
        <v>70.3</v>
      </c>
      <c r="R46">
        <v>1250</v>
      </c>
      <c r="S46">
        <v>1250</v>
      </c>
      <c r="T46">
        <v>0</v>
      </c>
      <c r="U46">
        <v>0</v>
      </c>
      <c r="V46">
        <v>1</v>
      </c>
      <c r="W46">
        <v>0</v>
      </c>
      <c r="X46">
        <v>0.85</v>
      </c>
    </row>
    <row r="47" spans="1:24" x14ac:dyDescent="0.3">
      <c r="A47" t="s">
        <v>179</v>
      </c>
      <c r="B47" s="1">
        <v>45716</v>
      </c>
      <c r="C47" t="s">
        <v>76</v>
      </c>
      <c r="D47" t="s">
        <v>82</v>
      </c>
      <c r="E47" t="s">
        <v>68</v>
      </c>
      <c r="F47" t="s">
        <v>28</v>
      </c>
      <c r="G47" t="s">
        <v>29</v>
      </c>
      <c r="H47" t="s">
        <v>135</v>
      </c>
      <c r="I47" t="s">
        <v>152</v>
      </c>
      <c r="J47" t="s">
        <v>99</v>
      </c>
      <c r="K47" t="s">
        <v>46</v>
      </c>
      <c r="L47" t="s">
        <v>34</v>
      </c>
      <c r="M47" t="s">
        <v>35</v>
      </c>
      <c r="N47" t="s">
        <v>36</v>
      </c>
      <c r="O47">
        <v>60</v>
      </c>
      <c r="P47">
        <v>60</v>
      </c>
      <c r="Q47">
        <v>75.7</v>
      </c>
      <c r="R47">
        <v>1250</v>
      </c>
      <c r="S47">
        <v>1250</v>
      </c>
      <c r="T47">
        <v>0</v>
      </c>
      <c r="U47">
        <v>0</v>
      </c>
      <c r="V47">
        <v>1</v>
      </c>
      <c r="W47">
        <v>0</v>
      </c>
      <c r="X47">
        <v>0.85</v>
      </c>
    </row>
    <row r="48" spans="1:24" x14ac:dyDescent="0.3">
      <c r="A48" t="s">
        <v>180</v>
      </c>
      <c r="B48" s="1">
        <v>45677</v>
      </c>
      <c r="C48" t="s">
        <v>130</v>
      </c>
      <c r="D48" t="s">
        <v>39</v>
      </c>
      <c r="E48" t="s">
        <v>40</v>
      </c>
      <c r="F48" t="s">
        <v>41</v>
      </c>
      <c r="G48" t="s">
        <v>42</v>
      </c>
      <c r="H48" t="s">
        <v>89</v>
      </c>
      <c r="I48" t="s">
        <v>131</v>
      </c>
      <c r="J48" t="s">
        <v>32</v>
      </c>
      <c r="K48" t="s">
        <v>104</v>
      </c>
      <c r="L48" t="s">
        <v>78</v>
      </c>
      <c r="M48" t="s">
        <v>94</v>
      </c>
      <c r="N48" t="s">
        <v>36</v>
      </c>
      <c r="O48">
        <v>45</v>
      </c>
      <c r="P48">
        <v>45</v>
      </c>
      <c r="Q48">
        <v>55.4</v>
      </c>
      <c r="R48">
        <v>950</v>
      </c>
      <c r="S48">
        <v>950</v>
      </c>
      <c r="T48">
        <v>0</v>
      </c>
      <c r="U48">
        <v>0</v>
      </c>
      <c r="V48">
        <v>1</v>
      </c>
      <c r="W48">
        <v>0</v>
      </c>
      <c r="X48">
        <v>0.85</v>
      </c>
    </row>
    <row r="49" spans="1:24" x14ac:dyDescent="0.3">
      <c r="A49" t="s">
        <v>181</v>
      </c>
      <c r="B49" s="1">
        <v>45950</v>
      </c>
      <c r="C49" t="s">
        <v>97</v>
      </c>
      <c r="D49" t="s">
        <v>39</v>
      </c>
      <c r="E49" t="s">
        <v>27</v>
      </c>
      <c r="F49" t="s">
        <v>58</v>
      </c>
      <c r="G49" t="s">
        <v>59</v>
      </c>
      <c r="H49" t="s">
        <v>60</v>
      </c>
      <c r="I49" t="s">
        <v>182</v>
      </c>
      <c r="J49" t="s">
        <v>62</v>
      </c>
      <c r="K49" t="s">
        <v>70</v>
      </c>
      <c r="L49" t="s">
        <v>34</v>
      </c>
      <c r="M49" t="s">
        <v>65</v>
      </c>
      <c r="N49" t="s">
        <v>95</v>
      </c>
      <c r="O49">
        <v>90</v>
      </c>
      <c r="P49">
        <v>0</v>
      </c>
      <c r="Q49">
        <v>101.6</v>
      </c>
      <c r="R49">
        <v>2250</v>
      </c>
      <c r="S49">
        <v>0</v>
      </c>
      <c r="T49">
        <v>2250</v>
      </c>
      <c r="U49">
        <v>1</v>
      </c>
      <c r="V49">
        <v>0</v>
      </c>
      <c r="W49">
        <v>0</v>
      </c>
      <c r="X49">
        <v>0.85</v>
      </c>
    </row>
    <row r="50" spans="1:24" x14ac:dyDescent="0.3">
      <c r="A50" t="s">
        <v>183</v>
      </c>
      <c r="B50" s="1">
        <v>45906</v>
      </c>
      <c r="C50" t="s">
        <v>49</v>
      </c>
      <c r="D50" t="s">
        <v>88</v>
      </c>
      <c r="E50" t="s">
        <v>68</v>
      </c>
      <c r="F50" t="s">
        <v>58</v>
      </c>
      <c r="G50" t="s">
        <v>59</v>
      </c>
      <c r="H50" t="s">
        <v>60</v>
      </c>
      <c r="I50" t="s">
        <v>184</v>
      </c>
      <c r="J50" t="s">
        <v>45</v>
      </c>
      <c r="K50" t="s">
        <v>70</v>
      </c>
      <c r="L50" t="s">
        <v>64</v>
      </c>
      <c r="M50" t="s">
        <v>47</v>
      </c>
      <c r="N50" t="s">
        <v>95</v>
      </c>
      <c r="O50">
        <v>75</v>
      </c>
      <c r="P50">
        <v>0</v>
      </c>
      <c r="Q50">
        <v>93.3</v>
      </c>
      <c r="R50">
        <v>2150</v>
      </c>
      <c r="S50">
        <v>0</v>
      </c>
      <c r="T50">
        <v>2150</v>
      </c>
      <c r="U50">
        <v>1</v>
      </c>
      <c r="V50">
        <v>0</v>
      </c>
      <c r="W50">
        <v>0</v>
      </c>
      <c r="X50">
        <v>0.85</v>
      </c>
    </row>
    <row r="51" spans="1:24" x14ac:dyDescent="0.3">
      <c r="A51" t="s">
        <v>185</v>
      </c>
      <c r="B51" s="1">
        <v>45838</v>
      </c>
      <c r="C51" t="s">
        <v>67</v>
      </c>
      <c r="D51" t="s">
        <v>39</v>
      </c>
      <c r="E51" t="s">
        <v>40</v>
      </c>
      <c r="F51" t="s">
        <v>58</v>
      </c>
      <c r="G51" t="s">
        <v>59</v>
      </c>
      <c r="H51" t="s">
        <v>117</v>
      </c>
      <c r="I51" t="s">
        <v>186</v>
      </c>
      <c r="J51" t="s">
        <v>45</v>
      </c>
      <c r="K51" t="s">
        <v>63</v>
      </c>
      <c r="L51" t="s">
        <v>78</v>
      </c>
      <c r="M51" t="s">
        <v>71</v>
      </c>
      <c r="N51" t="s">
        <v>36</v>
      </c>
      <c r="O51">
        <v>60</v>
      </c>
      <c r="P51">
        <v>60</v>
      </c>
      <c r="Q51">
        <v>70.099999999999994</v>
      </c>
      <c r="R51">
        <v>1600</v>
      </c>
      <c r="S51">
        <v>1600</v>
      </c>
      <c r="T51">
        <v>0</v>
      </c>
      <c r="U51">
        <v>0</v>
      </c>
      <c r="V51">
        <v>1</v>
      </c>
      <c r="W51">
        <v>0</v>
      </c>
      <c r="X51">
        <v>0.85</v>
      </c>
    </row>
    <row r="52" spans="1:24" x14ac:dyDescent="0.3">
      <c r="A52" t="s">
        <v>187</v>
      </c>
      <c r="B52" s="1">
        <v>45891</v>
      </c>
      <c r="C52" t="s">
        <v>110</v>
      </c>
      <c r="D52" t="s">
        <v>82</v>
      </c>
      <c r="E52" t="s">
        <v>40</v>
      </c>
      <c r="F52" t="s">
        <v>28</v>
      </c>
      <c r="G52" t="s">
        <v>29</v>
      </c>
      <c r="H52" t="s">
        <v>120</v>
      </c>
      <c r="I52" t="s">
        <v>188</v>
      </c>
      <c r="J52" t="s">
        <v>32</v>
      </c>
      <c r="K52" t="s">
        <v>46</v>
      </c>
      <c r="L52" t="s">
        <v>64</v>
      </c>
      <c r="M52" t="s">
        <v>35</v>
      </c>
      <c r="N52" t="s">
        <v>95</v>
      </c>
      <c r="O52">
        <v>60</v>
      </c>
      <c r="P52">
        <v>0</v>
      </c>
      <c r="Q52">
        <v>72.099999999999994</v>
      </c>
      <c r="R52">
        <v>1250</v>
      </c>
      <c r="S52">
        <v>0</v>
      </c>
      <c r="T52">
        <v>1250</v>
      </c>
      <c r="U52">
        <v>1</v>
      </c>
      <c r="V52">
        <v>0</v>
      </c>
      <c r="W52">
        <v>0</v>
      </c>
      <c r="X52">
        <v>0.85</v>
      </c>
    </row>
    <row r="53" spans="1:24" x14ac:dyDescent="0.3">
      <c r="A53" t="s">
        <v>189</v>
      </c>
      <c r="B53" s="1">
        <v>45666</v>
      </c>
      <c r="C53" t="s">
        <v>130</v>
      </c>
      <c r="D53" t="s">
        <v>50</v>
      </c>
      <c r="E53" t="s">
        <v>40</v>
      </c>
      <c r="F53" t="s">
        <v>28</v>
      </c>
      <c r="G53" t="s">
        <v>29</v>
      </c>
      <c r="H53" t="s">
        <v>102</v>
      </c>
      <c r="I53" t="s">
        <v>190</v>
      </c>
      <c r="J53" t="s">
        <v>45</v>
      </c>
      <c r="K53" t="s">
        <v>85</v>
      </c>
      <c r="L53" t="s">
        <v>34</v>
      </c>
      <c r="M53" t="s">
        <v>94</v>
      </c>
      <c r="N53" t="s">
        <v>36</v>
      </c>
      <c r="O53">
        <v>60</v>
      </c>
      <c r="P53">
        <v>60</v>
      </c>
      <c r="Q53">
        <v>72.8</v>
      </c>
      <c r="R53">
        <v>1450</v>
      </c>
      <c r="S53">
        <v>1450</v>
      </c>
      <c r="T53">
        <v>0</v>
      </c>
      <c r="U53">
        <v>0</v>
      </c>
      <c r="V53">
        <v>1</v>
      </c>
      <c r="W53">
        <v>0</v>
      </c>
      <c r="X53">
        <v>0.85</v>
      </c>
    </row>
    <row r="54" spans="1:24" x14ac:dyDescent="0.3">
      <c r="A54" t="s">
        <v>191</v>
      </c>
      <c r="B54" s="1">
        <v>46021</v>
      </c>
      <c r="C54" t="s">
        <v>25</v>
      </c>
      <c r="D54" t="s">
        <v>26</v>
      </c>
      <c r="E54" t="s">
        <v>68</v>
      </c>
      <c r="F54" t="s">
        <v>41</v>
      </c>
      <c r="G54" t="s">
        <v>42</v>
      </c>
      <c r="H54" t="s">
        <v>89</v>
      </c>
      <c r="I54" t="s">
        <v>192</v>
      </c>
      <c r="J54" t="s">
        <v>45</v>
      </c>
      <c r="K54" t="s">
        <v>63</v>
      </c>
      <c r="L54" t="s">
        <v>64</v>
      </c>
      <c r="M54" t="s">
        <v>65</v>
      </c>
      <c r="N54" t="s">
        <v>36</v>
      </c>
      <c r="O54">
        <v>60</v>
      </c>
      <c r="P54">
        <v>60</v>
      </c>
      <c r="Q54">
        <v>78.400000000000006</v>
      </c>
      <c r="R54">
        <v>1550</v>
      </c>
      <c r="S54">
        <v>1550</v>
      </c>
      <c r="T54">
        <v>0</v>
      </c>
      <c r="U54">
        <v>0</v>
      </c>
      <c r="V54">
        <v>1</v>
      </c>
      <c r="W54">
        <v>0</v>
      </c>
      <c r="X54">
        <v>0.85</v>
      </c>
    </row>
    <row r="55" spans="1:24" x14ac:dyDescent="0.3">
      <c r="A55" t="s">
        <v>193</v>
      </c>
      <c r="B55" s="1">
        <v>45973</v>
      </c>
      <c r="C55" t="s">
        <v>38</v>
      </c>
      <c r="D55" t="s">
        <v>57</v>
      </c>
      <c r="E55" t="s">
        <v>68</v>
      </c>
      <c r="F55" t="s">
        <v>41</v>
      </c>
      <c r="G55" t="s">
        <v>42</v>
      </c>
      <c r="H55" t="s">
        <v>125</v>
      </c>
      <c r="I55" t="s">
        <v>194</v>
      </c>
      <c r="J55" t="s">
        <v>45</v>
      </c>
      <c r="K55" t="s">
        <v>104</v>
      </c>
      <c r="L55" t="s">
        <v>64</v>
      </c>
      <c r="M55" t="s">
        <v>71</v>
      </c>
      <c r="N55" t="s">
        <v>36</v>
      </c>
      <c r="O55">
        <v>60</v>
      </c>
      <c r="P55">
        <v>60</v>
      </c>
      <c r="Q55">
        <v>79.099999999999994</v>
      </c>
      <c r="R55">
        <v>1550</v>
      </c>
      <c r="S55">
        <v>1550</v>
      </c>
      <c r="T55">
        <v>0</v>
      </c>
      <c r="U55">
        <v>0</v>
      </c>
      <c r="V55">
        <v>1</v>
      </c>
      <c r="W55">
        <v>0</v>
      </c>
      <c r="X55">
        <v>0.85</v>
      </c>
    </row>
    <row r="56" spans="1:24" x14ac:dyDescent="0.3">
      <c r="A56" t="s">
        <v>195</v>
      </c>
      <c r="B56" s="1">
        <v>45894</v>
      </c>
      <c r="C56" t="s">
        <v>110</v>
      </c>
      <c r="D56" t="s">
        <v>39</v>
      </c>
      <c r="E56" t="s">
        <v>40</v>
      </c>
      <c r="F56" t="s">
        <v>41</v>
      </c>
      <c r="G56" t="s">
        <v>42</v>
      </c>
      <c r="H56" t="s">
        <v>111</v>
      </c>
      <c r="I56" t="s">
        <v>196</v>
      </c>
      <c r="J56" t="s">
        <v>137</v>
      </c>
      <c r="K56" t="s">
        <v>46</v>
      </c>
      <c r="L56" t="s">
        <v>78</v>
      </c>
      <c r="M56" t="s">
        <v>94</v>
      </c>
      <c r="N56" t="s">
        <v>153</v>
      </c>
      <c r="O56">
        <v>60</v>
      </c>
      <c r="P56">
        <v>0</v>
      </c>
      <c r="Q56">
        <v>78.099999999999994</v>
      </c>
      <c r="R56">
        <v>1250</v>
      </c>
      <c r="S56">
        <v>0</v>
      </c>
      <c r="T56">
        <v>0</v>
      </c>
      <c r="U56">
        <v>0</v>
      </c>
      <c r="V56">
        <v>0</v>
      </c>
      <c r="W56">
        <v>0</v>
      </c>
      <c r="X56">
        <v>0.85</v>
      </c>
    </row>
    <row r="57" spans="1:24" x14ac:dyDescent="0.3">
      <c r="A57" t="s">
        <v>197</v>
      </c>
      <c r="B57" s="1">
        <v>45714</v>
      </c>
      <c r="C57" t="s">
        <v>76</v>
      </c>
      <c r="D57" t="s">
        <v>57</v>
      </c>
      <c r="E57" t="s">
        <v>83</v>
      </c>
      <c r="F57" t="s">
        <v>41</v>
      </c>
      <c r="G57" t="s">
        <v>42</v>
      </c>
      <c r="H57" t="s">
        <v>89</v>
      </c>
      <c r="I57" t="s">
        <v>198</v>
      </c>
      <c r="J57" t="s">
        <v>32</v>
      </c>
      <c r="K57" t="s">
        <v>63</v>
      </c>
      <c r="L57" t="s">
        <v>34</v>
      </c>
      <c r="M57" t="s">
        <v>86</v>
      </c>
      <c r="N57" t="s">
        <v>36</v>
      </c>
      <c r="O57">
        <v>60</v>
      </c>
      <c r="P57">
        <v>60</v>
      </c>
      <c r="Q57">
        <v>73</v>
      </c>
      <c r="R57">
        <v>1350</v>
      </c>
      <c r="S57">
        <v>1350</v>
      </c>
      <c r="T57">
        <v>0</v>
      </c>
      <c r="U57">
        <v>0</v>
      </c>
      <c r="V57">
        <v>1</v>
      </c>
      <c r="W57">
        <v>0</v>
      </c>
      <c r="X57">
        <v>0.85</v>
      </c>
    </row>
    <row r="58" spans="1:24" x14ac:dyDescent="0.3">
      <c r="A58" t="s">
        <v>199</v>
      </c>
      <c r="B58" s="1">
        <v>45748</v>
      </c>
      <c r="C58" t="s">
        <v>92</v>
      </c>
      <c r="D58" t="s">
        <v>26</v>
      </c>
      <c r="E58" t="s">
        <v>68</v>
      </c>
      <c r="F58" t="s">
        <v>28</v>
      </c>
      <c r="G58" t="s">
        <v>29</v>
      </c>
      <c r="H58" t="s">
        <v>120</v>
      </c>
      <c r="I58" t="s">
        <v>200</v>
      </c>
      <c r="J58" t="s">
        <v>62</v>
      </c>
      <c r="K58" t="s">
        <v>63</v>
      </c>
      <c r="L58" t="s">
        <v>34</v>
      </c>
      <c r="M58" t="s">
        <v>71</v>
      </c>
      <c r="N58" t="s">
        <v>36</v>
      </c>
      <c r="O58">
        <v>45</v>
      </c>
      <c r="P58">
        <v>45</v>
      </c>
      <c r="Q58">
        <v>50.6</v>
      </c>
      <c r="R58">
        <v>950</v>
      </c>
      <c r="S58">
        <v>950</v>
      </c>
      <c r="T58">
        <v>0</v>
      </c>
      <c r="U58">
        <v>0</v>
      </c>
      <c r="V58">
        <v>1</v>
      </c>
      <c r="W58">
        <v>0</v>
      </c>
      <c r="X58">
        <v>0.85</v>
      </c>
    </row>
    <row r="59" spans="1:24" x14ac:dyDescent="0.3">
      <c r="A59" t="s">
        <v>201</v>
      </c>
      <c r="B59" s="1">
        <v>45890</v>
      </c>
      <c r="C59" t="s">
        <v>110</v>
      </c>
      <c r="D59" t="s">
        <v>50</v>
      </c>
      <c r="E59" t="s">
        <v>40</v>
      </c>
      <c r="F59" t="s">
        <v>41</v>
      </c>
      <c r="G59" t="s">
        <v>42</v>
      </c>
      <c r="H59" t="s">
        <v>111</v>
      </c>
      <c r="I59" t="s">
        <v>202</v>
      </c>
      <c r="J59" t="s">
        <v>62</v>
      </c>
      <c r="K59" t="s">
        <v>70</v>
      </c>
      <c r="L59" t="s">
        <v>78</v>
      </c>
      <c r="M59" t="s">
        <v>86</v>
      </c>
      <c r="N59" t="s">
        <v>36</v>
      </c>
      <c r="O59">
        <v>45</v>
      </c>
      <c r="P59">
        <v>45</v>
      </c>
      <c r="Q59">
        <v>56.7</v>
      </c>
      <c r="R59">
        <v>950</v>
      </c>
      <c r="S59">
        <v>950</v>
      </c>
      <c r="T59">
        <v>0</v>
      </c>
      <c r="U59">
        <v>0</v>
      </c>
      <c r="V59">
        <v>1</v>
      </c>
      <c r="W59">
        <v>0</v>
      </c>
      <c r="X59">
        <v>0.85</v>
      </c>
    </row>
    <row r="60" spans="1:24" x14ac:dyDescent="0.3">
      <c r="A60" t="s">
        <v>203</v>
      </c>
      <c r="B60" s="1">
        <v>45800</v>
      </c>
      <c r="C60" t="s">
        <v>128</v>
      </c>
      <c r="D60" t="s">
        <v>82</v>
      </c>
      <c r="E60" t="s">
        <v>83</v>
      </c>
      <c r="F60" t="s">
        <v>28</v>
      </c>
      <c r="G60" t="s">
        <v>29</v>
      </c>
      <c r="H60" t="s">
        <v>120</v>
      </c>
      <c r="I60" t="s">
        <v>204</v>
      </c>
      <c r="J60" t="s">
        <v>32</v>
      </c>
      <c r="K60" t="s">
        <v>33</v>
      </c>
      <c r="L60" t="s">
        <v>54</v>
      </c>
      <c r="M60" t="s">
        <v>35</v>
      </c>
      <c r="N60" t="s">
        <v>95</v>
      </c>
      <c r="O60">
        <v>90</v>
      </c>
      <c r="P60">
        <v>0</v>
      </c>
      <c r="Q60">
        <v>118.1</v>
      </c>
      <c r="R60">
        <v>1600</v>
      </c>
      <c r="S60">
        <v>0</v>
      </c>
      <c r="T60">
        <v>1600</v>
      </c>
      <c r="U60">
        <v>1</v>
      </c>
      <c r="V60">
        <v>0</v>
      </c>
      <c r="W60">
        <v>0</v>
      </c>
      <c r="X60">
        <v>0.85</v>
      </c>
    </row>
    <row r="61" spans="1:24" x14ac:dyDescent="0.3">
      <c r="A61" t="s">
        <v>205</v>
      </c>
      <c r="B61" s="1">
        <v>45793</v>
      </c>
      <c r="C61" t="s">
        <v>128</v>
      </c>
      <c r="D61" t="s">
        <v>82</v>
      </c>
      <c r="E61" t="s">
        <v>68</v>
      </c>
      <c r="F61" t="s">
        <v>28</v>
      </c>
      <c r="G61" t="s">
        <v>29</v>
      </c>
      <c r="H61" t="s">
        <v>30</v>
      </c>
      <c r="I61" t="s">
        <v>206</v>
      </c>
      <c r="J61" t="s">
        <v>99</v>
      </c>
      <c r="K61" t="s">
        <v>70</v>
      </c>
      <c r="L61" t="s">
        <v>34</v>
      </c>
      <c r="M61" t="s">
        <v>35</v>
      </c>
      <c r="N61" t="s">
        <v>36</v>
      </c>
      <c r="O61">
        <v>30</v>
      </c>
      <c r="P61">
        <v>30</v>
      </c>
      <c r="Q61">
        <v>38.200000000000003</v>
      </c>
      <c r="R61">
        <v>600</v>
      </c>
      <c r="S61">
        <v>600</v>
      </c>
      <c r="T61">
        <v>0</v>
      </c>
      <c r="U61">
        <v>0</v>
      </c>
      <c r="V61">
        <v>1</v>
      </c>
      <c r="W61">
        <v>0</v>
      </c>
      <c r="X61">
        <v>0.85</v>
      </c>
    </row>
    <row r="62" spans="1:24" x14ac:dyDescent="0.3">
      <c r="A62" t="s">
        <v>207</v>
      </c>
      <c r="B62" s="1">
        <v>46018</v>
      </c>
      <c r="C62" t="s">
        <v>25</v>
      </c>
      <c r="D62" t="s">
        <v>88</v>
      </c>
      <c r="E62" t="s">
        <v>40</v>
      </c>
      <c r="F62" t="s">
        <v>58</v>
      </c>
      <c r="G62" t="s">
        <v>59</v>
      </c>
      <c r="H62" t="s">
        <v>60</v>
      </c>
      <c r="I62" t="s">
        <v>208</v>
      </c>
      <c r="J62" t="s">
        <v>45</v>
      </c>
      <c r="K62" t="s">
        <v>63</v>
      </c>
      <c r="L62" t="s">
        <v>34</v>
      </c>
      <c r="M62" t="s">
        <v>71</v>
      </c>
      <c r="N62" t="s">
        <v>36</v>
      </c>
      <c r="O62">
        <v>30</v>
      </c>
      <c r="P62">
        <v>30</v>
      </c>
      <c r="Q62">
        <v>36.700000000000003</v>
      </c>
      <c r="R62">
        <v>850</v>
      </c>
      <c r="S62">
        <v>850</v>
      </c>
      <c r="T62">
        <v>0</v>
      </c>
      <c r="U62">
        <v>0</v>
      </c>
      <c r="V62">
        <v>1</v>
      </c>
      <c r="W62">
        <v>0</v>
      </c>
      <c r="X62">
        <v>0.85</v>
      </c>
    </row>
    <row r="63" spans="1:24" x14ac:dyDescent="0.3">
      <c r="A63" t="s">
        <v>209</v>
      </c>
      <c r="B63" s="1">
        <v>45758</v>
      </c>
      <c r="C63" t="s">
        <v>92</v>
      </c>
      <c r="D63" t="s">
        <v>82</v>
      </c>
      <c r="E63" t="s">
        <v>68</v>
      </c>
      <c r="F63" t="s">
        <v>28</v>
      </c>
      <c r="G63" t="s">
        <v>29</v>
      </c>
      <c r="H63" t="s">
        <v>210</v>
      </c>
      <c r="I63" t="s">
        <v>211</v>
      </c>
      <c r="J63" t="s">
        <v>62</v>
      </c>
      <c r="K63" t="s">
        <v>104</v>
      </c>
      <c r="L63" t="s">
        <v>64</v>
      </c>
      <c r="M63" t="s">
        <v>94</v>
      </c>
      <c r="N63" t="s">
        <v>36</v>
      </c>
      <c r="O63">
        <v>75</v>
      </c>
      <c r="P63">
        <v>75</v>
      </c>
      <c r="Q63">
        <v>87.2</v>
      </c>
      <c r="R63">
        <v>1550</v>
      </c>
      <c r="S63">
        <v>1550</v>
      </c>
      <c r="T63">
        <v>0</v>
      </c>
      <c r="U63">
        <v>0</v>
      </c>
      <c r="V63">
        <v>1</v>
      </c>
      <c r="W63">
        <v>0</v>
      </c>
      <c r="X63">
        <v>0.85</v>
      </c>
    </row>
    <row r="64" spans="1:24" x14ac:dyDescent="0.3">
      <c r="A64" t="s">
        <v>212</v>
      </c>
      <c r="B64" s="1">
        <v>45717</v>
      </c>
      <c r="C64" t="s">
        <v>56</v>
      </c>
      <c r="D64" t="s">
        <v>88</v>
      </c>
      <c r="E64" t="s">
        <v>68</v>
      </c>
      <c r="F64" t="s">
        <v>28</v>
      </c>
      <c r="G64" t="s">
        <v>29</v>
      </c>
      <c r="H64" t="s">
        <v>135</v>
      </c>
      <c r="I64" t="s">
        <v>213</v>
      </c>
      <c r="J64" t="s">
        <v>62</v>
      </c>
      <c r="K64" t="s">
        <v>70</v>
      </c>
      <c r="L64" t="s">
        <v>64</v>
      </c>
      <c r="M64" t="s">
        <v>94</v>
      </c>
      <c r="N64" t="s">
        <v>36</v>
      </c>
      <c r="O64">
        <v>60</v>
      </c>
      <c r="P64">
        <v>60</v>
      </c>
      <c r="Q64">
        <v>68.5</v>
      </c>
      <c r="R64">
        <v>1250</v>
      </c>
      <c r="S64">
        <v>1250</v>
      </c>
      <c r="T64">
        <v>0</v>
      </c>
      <c r="U64">
        <v>0</v>
      </c>
      <c r="V64">
        <v>1</v>
      </c>
      <c r="W64">
        <v>0</v>
      </c>
      <c r="X64">
        <v>0.85</v>
      </c>
    </row>
    <row r="65" spans="1:24" x14ac:dyDescent="0.3">
      <c r="A65" t="s">
        <v>214</v>
      </c>
      <c r="B65" s="1">
        <v>45680</v>
      </c>
      <c r="C65" t="s">
        <v>130</v>
      </c>
      <c r="D65" t="s">
        <v>50</v>
      </c>
      <c r="E65" t="s">
        <v>68</v>
      </c>
      <c r="F65" t="s">
        <v>41</v>
      </c>
      <c r="G65" t="s">
        <v>42</v>
      </c>
      <c r="H65" t="s">
        <v>89</v>
      </c>
      <c r="I65" t="s">
        <v>215</v>
      </c>
      <c r="J65" t="s">
        <v>62</v>
      </c>
      <c r="K65" t="s">
        <v>46</v>
      </c>
      <c r="L65" t="s">
        <v>34</v>
      </c>
      <c r="M65" t="s">
        <v>94</v>
      </c>
      <c r="N65" t="s">
        <v>95</v>
      </c>
      <c r="O65">
        <v>60</v>
      </c>
      <c r="P65">
        <v>0</v>
      </c>
      <c r="Q65">
        <v>70</v>
      </c>
      <c r="R65">
        <v>1350</v>
      </c>
      <c r="S65">
        <v>0</v>
      </c>
      <c r="T65">
        <v>1350</v>
      </c>
      <c r="U65">
        <v>1</v>
      </c>
      <c r="V65">
        <v>0</v>
      </c>
      <c r="W65">
        <v>0</v>
      </c>
      <c r="X65">
        <v>0.85</v>
      </c>
    </row>
    <row r="66" spans="1:24" x14ac:dyDescent="0.3">
      <c r="A66" t="s">
        <v>216</v>
      </c>
      <c r="B66" s="1">
        <v>45717</v>
      </c>
      <c r="C66" t="s">
        <v>56</v>
      </c>
      <c r="D66" t="s">
        <v>88</v>
      </c>
      <c r="E66" t="s">
        <v>83</v>
      </c>
      <c r="F66" t="s">
        <v>28</v>
      </c>
      <c r="G66" t="s">
        <v>29</v>
      </c>
      <c r="H66" t="s">
        <v>30</v>
      </c>
      <c r="I66" t="s">
        <v>31</v>
      </c>
      <c r="J66" t="s">
        <v>53</v>
      </c>
      <c r="K66" t="s">
        <v>33</v>
      </c>
      <c r="L66" t="s">
        <v>64</v>
      </c>
      <c r="M66" t="s">
        <v>71</v>
      </c>
      <c r="N66" t="s">
        <v>36</v>
      </c>
      <c r="O66">
        <v>45</v>
      </c>
      <c r="P66">
        <v>45</v>
      </c>
      <c r="Q66">
        <v>54.8</v>
      </c>
      <c r="R66">
        <v>1100</v>
      </c>
      <c r="S66">
        <v>1100</v>
      </c>
      <c r="T66">
        <v>0</v>
      </c>
      <c r="U66">
        <v>0</v>
      </c>
      <c r="V66">
        <v>1</v>
      </c>
      <c r="W66">
        <v>0</v>
      </c>
      <c r="X66">
        <v>0.85</v>
      </c>
    </row>
    <row r="67" spans="1:24" x14ac:dyDescent="0.3">
      <c r="A67" t="s">
        <v>217</v>
      </c>
      <c r="B67" s="1">
        <v>45713</v>
      </c>
      <c r="C67" t="s">
        <v>76</v>
      </c>
      <c r="D67" t="s">
        <v>26</v>
      </c>
      <c r="E67" t="s">
        <v>68</v>
      </c>
      <c r="F67" t="s">
        <v>58</v>
      </c>
      <c r="G67" t="s">
        <v>59</v>
      </c>
      <c r="H67" t="s">
        <v>117</v>
      </c>
      <c r="I67" t="s">
        <v>218</v>
      </c>
      <c r="J67" t="s">
        <v>62</v>
      </c>
      <c r="K67" t="s">
        <v>70</v>
      </c>
      <c r="L67" t="s">
        <v>34</v>
      </c>
      <c r="M67" t="s">
        <v>71</v>
      </c>
      <c r="N67" t="s">
        <v>153</v>
      </c>
      <c r="O67">
        <v>60</v>
      </c>
      <c r="P67">
        <v>0</v>
      </c>
      <c r="Q67">
        <v>66.3</v>
      </c>
      <c r="R67">
        <v>1500</v>
      </c>
      <c r="S67">
        <v>0</v>
      </c>
      <c r="T67">
        <v>0</v>
      </c>
      <c r="U67">
        <v>0</v>
      </c>
      <c r="V67">
        <v>0</v>
      </c>
      <c r="W67">
        <v>0</v>
      </c>
      <c r="X67">
        <v>0.85</v>
      </c>
    </row>
    <row r="68" spans="1:24" x14ac:dyDescent="0.3">
      <c r="A68" t="s">
        <v>219</v>
      </c>
      <c r="B68" s="1">
        <v>45880</v>
      </c>
      <c r="C68" t="s">
        <v>110</v>
      </c>
      <c r="D68" t="s">
        <v>39</v>
      </c>
      <c r="E68" t="s">
        <v>68</v>
      </c>
      <c r="F68" t="s">
        <v>41</v>
      </c>
      <c r="G68" t="s">
        <v>42</v>
      </c>
      <c r="H68" t="s">
        <v>111</v>
      </c>
      <c r="I68" t="s">
        <v>220</v>
      </c>
      <c r="J68" t="s">
        <v>53</v>
      </c>
      <c r="K68" t="s">
        <v>63</v>
      </c>
      <c r="L68" t="s">
        <v>34</v>
      </c>
      <c r="M68" t="s">
        <v>35</v>
      </c>
      <c r="N68" t="s">
        <v>36</v>
      </c>
      <c r="O68">
        <v>30</v>
      </c>
      <c r="P68">
        <v>30</v>
      </c>
      <c r="Q68">
        <v>36.200000000000003</v>
      </c>
      <c r="R68">
        <v>800</v>
      </c>
      <c r="S68">
        <v>800</v>
      </c>
      <c r="T68">
        <v>0</v>
      </c>
      <c r="U68">
        <v>0</v>
      </c>
      <c r="V68">
        <v>1</v>
      </c>
      <c r="W68">
        <v>0</v>
      </c>
      <c r="X68">
        <v>0.85</v>
      </c>
    </row>
    <row r="69" spans="1:24" x14ac:dyDescent="0.3">
      <c r="A69" t="s">
        <v>221</v>
      </c>
      <c r="B69" s="1">
        <v>45808</v>
      </c>
      <c r="C69" t="s">
        <v>128</v>
      </c>
      <c r="D69" t="s">
        <v>88</v>
      </c>
      <c r="E69" t="s">
        <v>27</v>
      </c>
      <c r="F69" t="s">
        <v>41</v>
      </c>
      <c r="G69" t="s">
        <v>42</v>
      </c>
      <c r="H69" t="s">
        <v>111</v>
      </c>
      <c r="I69" t="s">
        <v>222</v>
      </c>
      <c r="J69" t="s">
        <v>53</v>
      </c>
      <c r="K69" t="s">
        <v>46</v>
      </c>
      <c r="L69" t="s">
        <v>64</v>
      </c>
      <c r="M69" t="s">
        <v>94</v>
      </c>
      <c r="N69" t="s">
        <v>95</v>
      </c>
      <c r="O69">
        <v>60</v>
      </c>
      <c r="P69">
        <v>0</v>
      </c>
      <c r="Q69">
        <v>71</v>
      </c>
      <c r="R69">
        <v>1600</v>
      </c>
      <c r="S69">
        <v>0</v>
      </c>
      <c r="T69">
        <v>1600</v>
      </c>
      <c r="U69">
        <v>1</v>
      </c>
      <c r="V69">
        <v>0</v>
      </c>
      <c r="W69">
        <v>0</v>
      </c>
      <c r="X69">
        <v>0.85</v>
      </c>
    </row>
    <row r="70" spans="1:24" x14ac:dyDescent="0.3">
      <c r="A70" t="s">
        <v>223</v>
      </c>
      <c r="B70" s="1">
        <v>45812</v>
      </c>
      <c r="C70" t="s">
        <v>67</v>
      </c>
      <c r="D70" t="s">
        <v>57</v>
      </c>
      <c r="E70" t="s">
        <v>68</v>
      </c>
      <c r="F70" t="s">
        <v>28</v>
      </c>
      <c r="G70" t="s">
        <v>29</v>
      </c>
      <c r="H70" t="s">
        <v>120</v>
      </c>
      <c r="I70" t="s">
        <v>224</v>
      </c>
      <c r="J70" t="s">
        <v>62</v>
      </c>
      <c r="K70" t="s">
        <v>85</v>
      </c>
      <c r="L70" t="s">
        <v>64</v>
      </c>
      <c r="M70" t="s">
        <v>86</v>
      </c>
      <c r="N70" t="s">
        <v>36</v>
      </c>
      <c r="O70">
        <v>75</v>
      </c>
      <c r="P70">
        <v>75</v>
      </c>
      <c r="Q70">
        <v>99.4</v>
      </c>
      <c r="R70">
        <v>1550</v>
      </c>
      <c r="S70">
        <v>1550</v>
      </c>
      <c r="T70">
        <v>0</v>
      </c>
      <c r="U70">
        <v>0</v>
      </c>
      <c r="V70">
        <v>1</v>
      </c>
      <c r="W70">
        <v>0</v>
      </c>
      <c r="X70">
        <v>0.85</v>
      </c>
    </row>
    <row r="71" spans="1:24" x14ac:dyDescent="0.3">
      <c r="A71" t="s">
        <v>225</v>
      </c>
      <c r="B71" s="1">
        <v>46021</v>
      </c>
      <c r="C71" t="s">
        <v>25</v>
      </c>
      <c r="D71" t="s">
        <v>26</v>
      </c>
      <c r="E71" t="s">
        <v>83</v>
      </c>
      <c r="F71" t="s">
        <v>58</v>
      </c>
      <c r="G71" t="s">
        <v>59</v>
      </c>
      <c r="H71" t="s">
        <v>151</v>
      </c>
      <c r="I71" t="s">
        <v>226</v>
      </c>
      <c r="J71" t="s">
        <v>53</v>
      </c>
      <c r="K71" t="s">
        <v>46</v>
      </c>
      <c r="L71" t="s">
        <v>34</v>
      </c>
      <c r="M71" t="s">
        <v>94</v>
      </c>
      <c r="N71" t="s">
        <v>36</v>
      </c>
      <c r="O71">
        <v>45</v>
      </c>
      <c r="P71">
        <v>45</v>
      </c>
      <c r="Q71">
        <v>49.3</v>
      </c>
      <c r="R71">
        <v>1350</v>
      </c>
      <c r="S71">
        <v>1350</v>
      </c>
      <c r="T71">
        <v>0</v>
      </c>
      <c r="U71">
        <v>0</v>
      </c>
      <c r="V71">
        <v>1</v>
      </c>
      <c r="W71">
        <v>0</v>
      </c>
      <c r="X71">
        <v>0.85</v>
      </c>
    </row>
    <row r="72" spans="1:24" x14ac:dyDescent="0.3">
      <c r="A72" t="s">
        <v>227</v>
      </c>
      <c r="B72" s="1">
        <v>46018</v>
      </c>
      <c r="C72" t="s">
        <v>25</v>
      </c>
      <c r="D72" t="s">
        <v>88</v>
      </c>
      <c r="E72" t="s">
        <v>83</v>
      </c>
      <c r="F72" t="s">
        <v>28</v>
      </c>
      <c r="G72" t="s">
        <v>29</v>
      </c>
      <c r="H72" t="s">
        <v>30</v>
      </c>
      <c r="I72" t="s">
        <v>133</v>
      </c>
      <c r="J72" t="s">
        <v>62</v>
      </c>
      <c r="K72" t="s">
        <v>85</v>
      </c>
      <c r="L72" t="s">
        <v>78</v>
      </c>
      <c r="M72" t="s">
        <v>65</v>
      </c>
      <c r="N72" t="s">
        <v>113</v>
      </c>
      <c r="O72">
        <v>60</v>
      </c>
      <c r="P72">
        <v>0</v>
      </c>
      <c r="Q72">
        <v>67.3</v>
      </c>
      <c r="R72">
        <v>1150</v>
      </c>
      <c r="S72">
        <v>0</v>
      </c>
      <c r="T72">
        <v>1150</v>
      </c>
      <c r="U72">
        <v>0</v>
      </c>
      <c r="V72">
        <v>0</v>
      </c>
      <c r="W72">
        <v>1</v>
      </c>
      <c r="X72">
        <v>0.85</v>
      </c>
    </row>
    <row r="73" spans="1:24" x14ac:dyDescent="0.3">
      <c r="A73" t="s">
        <v>228</v>
      </c>
      <c r="B73" s="1">
        <v>45664</v>
      </c>
      <c r="C73" t="s">
        <v>130</v>
      </c>
      <c r="D73" t="s">
        <v>26</v>
      </c>
      <c r="E73" t="s">
        <v>68</v>
      </c>
      <c r="F73" t="s">
        <v>28</v>
      </c>
      <c r="G73" t="s">
        <v>29</v>
      </c>
      <c r="H73" t="s">
        <v>120</v>
      </c>
      <c r="I73" t="s">
        <v>229</v>
      </c>
      <c r="J73" t="s">
        <v>99</v>
      </c>
      <c r="K73" t="s">
        <v>46</v>
      </c>
      <c r="L73" t="s">
        <v>64</v>
      </c>
      <c r="M73" t="s">
        <v>86</v>
      </c>
      <c r="N73" t="s">
        <v>153</v>
      </c>
      <c r="O73">
        <v>60</v>
      </c>
      <c r="P73">
        <v>0</v>
      </c>
      <c r="Q73">
        <v>75.7</v>
      </c>
      <c r="R73">
        <v>1250</v>
      </c>
      <c r="S73">
        <v>0</v>
      </c>
      <c r="T73">
        <v>0</v>
      </c>
      <c r="U73">
        <v>0</v>
      </c>
      <c r="V73">
        <v>0</v>
      </c>
      <c r="W73">
        <v>0</v>
      </c>
      <c r="X73">
        <v>0.85</v>
      </c>
    </row>
    <row r="74" spans="1:24" x14ac:dyDescent="0.3">
      <c r="A74" t="s">
        <v>230</v>
      </c>
      <c r="B74" s="1">
        <v>45733</v>
      </c>
      <c r="C74" t="s">
        <v>56</v>
      </c>
      <c r="D74" t="s">
        <v>39</v>
      </c>
      <c r="E74" t="s">
        <v>40</v>
      </c>
      <c r="F74" t="s">
        <v>41</v>
      </c>
      <c r="G74" t="s">
        <v>42</v>
      </c>
      <c r="H74" t="s">
        <v>111</v>
      </c>
      <c r="I74" t="s">
        <v>231</v>
      </c>
      <c r="J74" t="s">
        <v>53</v>
      </c>
      <c r="K74" t="s">
        <v>63</v>
      </c>
      <c r="L74" t="s">
        <v>78</v>
      </c>
      <c r="M74" t="s">
        <v>94</v>
      </c>
      <c r="N74" t="s">
        <v>36</v>
      </c>
      <c r="O74">
        <v>60</v>
      </c>
      <c r="P74">
        <v>60</v>
      </c>
      <c r="Q74">
        <v>78.7</v>
      </c>
      <c r="R74">
        <v>1500</v>
      </c>
      <c r="S74">
        <v>1500</v>
      </c>
      <c r="T74">
        <v>0</v>
      </c>
      <c r="U74">
        <v>0</v>
      </c>
      <c r="V74">
        <v>1</v>
      </c>
      <c r="W74">
        <v>0</v>
      </c>
      <c r="X74">
        <v>0.85</v>
      </c>
    </row>
    <row r="75" spans="1:24" x14ac:dyDescent="0.3">
      <c r="A75" t="s">
        <v>232</v>
      </c>
      <c r="B75" s="1">
        <v>45715</v>
      </c>
      <c r="C75" t="s">
        <v>76</v>
      </c>
      <c r="D75" t="s">
        <v>50</v>
      </c>
      <c r="E75" t="s">
        <v>68</v>
      </c>
      <c r="F75" t="s">
        <v>41</v>
      </c>
      <c r="G75" t="s">
        <v>42</v>
      </c>
      <c r="H75" t="s">
        <v>89</v>
      </c>
      <c r="I75" t="s">
        <v>233</v>
      </c>
      <c r="J75" t="s">
        <v>53</v>
      </c>
      <c r="K75" t="s">
        <v>63</v>
      </c>
      <c r="L75" t="s">
        <v>34</v>
      </c>
      <c r="M75" t="s">
        <v>47</v>
      </c>
      <c r="N75" t="s">
        <v>36</v>
      </c>
      <c r="O75">
        <v>60</v>
      </c>
      <c r="P75">
        <v>60</v>
      </c>
      <c r="Q75">
        <v>77.7</v>
      </c>
      <c r="R75">
        <v>1600</v>
      </c>
      <c r="S75">
        <v>1600</v>
      </c>
      <c r="T75">
        <v>0</v>
      </c>
      <c r="U75">
        <v>0</v>
      </c>
      <c r="V75">
        <v>1</v>
      </c>
      <c r="W75">
        <v>0</v>
      </c>
      <c r="X75">
        <v>0.85</v>
      </c>
    </row>
    <row r="76" spans="1:24" x14ac:dyDescent="0.3">
      <c r="A76" t="s">
        <v>234</v>
      </c>
      <c r="B76" s="1">
        <v>45938</v>
      </c>
      <c r="C76" t="s">
        <v>97</v>
      </c>
      <c r="D76" t="s">
        <v>57</v>
      </c>
      <c r="E76" t="s">
        <v>83</v>
      </c>
      <c r="F76" t="s">
        <v>58</v>
      </c>
      <c r="G76" t="s">
        <v>59</v>
      </c>
      <c r="H76" t="s">
        <v>73</v>
      </c>
      <c r="I76" t="s">
        <v>235</v>
      </c>
      <c r="J76" t="s">
        <v>62</v>
      </c>
      <c r="K76" t="s">
        <v>46</v>
      </c>
      <c r="L76" t="s">
        <v>64</v>
      </c>
      <c r="M76" t="s">
        <v>71</v>
      </c>
      <c r="N76" t="s">
        <v>36</v>
      </c>
      <c r="O76">
        <v>75</v>
      </c>
      <c r="P76">
        <v>75</v>
      </c>
      <c r="Q76">
        <v>87.2</v>
      </c>
      <c r="R76">
        <v>1900</v>
      </c>
      <c r="S76">
        <v>1900</v>
      </c>
      <c r="T76">
        <v>0</v>
      </c>
      <c r="U76">
        <v>0</v>
      </c>
      <c r="V76">
        <v>1</v>
      </c>
      <c r="W76">
        <v>0</v>
      </c>
      <c r="X76">
        <v>0.85</v>
      </c>
    </row>
    <row r="77" spans="1:24" x14ac:dyDescent="0.3">
      <c r="A77" t="s">
        <v>236</v>
      </c>
      <c r="B77" s="1">
        <v>45961</v>
      </c>
      <c r="C77" t="s">
        <v>97</v>
      </c>
      <c r="D77" t="s">
        <v>82</v>
      </c>
      <c r="E77" t="s">
        <v>68</v>
      </c>
      <c r="F77" t="s">
        <v>28</v>
      </c>
      <c r="G77" t="s">
        <v>29</v>
      </c>
      <c r="H77" t="s">
        <v>102</v>
      </c>
      <c r="I77" t="s">
        <v>161</v>
      </c>
      <c r="J77" t="s">
        <v>62</v>
      </c>
      <c r="K77" t="s">
        <v>104</v>
      </c>
      <c r="L77" t="s">
        <v>64</v>
      </c>
      <c r="M77" t="s">
        <v>35</v>
      </c>
      <c r="N77" t="s">
        <v>36</v>
      </c>
      <c r="O77">
        <v>45</v>
      </c>
      <c r="P77">
        <v>45</v>
      </c>
      <c r="Q77">
        <v>49.6</v>
      </c>
      <c r="R77">
        <v>950</v>
      </c>
      <c r="S77">
        <v>950</v>
      </c>
      <c r="T77">
        <v>0</v>
      </c>
      <c r="U77">
        <v>0</v>
      </c>
      <c r="V77">
        <v>1</v>
      </c>
      <c r="W77">
        <v>0</v>
      </c>
      <c r="X77">
        <v>0.85</v>
      </c>
    </row>
    <row r="78" spans="1:24" x14ac:dyDescent="0.3">
      <c r="A78" t="s">
        <v>237</v>
      </c>
      <c r="B78" s="1">
        <v>45714</v>
      </c>
      <c r="C78" t="s">
        <v>76</v>
      </c>
      <c r="D78" t="s">
        <v>57</v>
      </c>
      <c r="E78" t="s">
        <v>40</v>
      </c>
      <c r="F78" t="s">
        <v>41</v>
      </c>
      <c r="G78" t="s">
        <v>42</v>
      </c>
      <c r="H78" t="s">
        <v>111</v>
      </c>
      <c r="I78" t="s">
        <v>238</v>
      </c>
      <c r="J78" t="s">
        <v>62</v>
      </c>
      <c r="K78" t="s">
        <v>63</v>
      </c>
      <c r="L78" t="s">
        <v>78</v>
      </c>
      <c r="M78" t="s">
        <v>71</v>
      </c>
      <c r="N78" t="s">
        <v>36</v>
      </c>
      <c r="O78">
        <v>90</v>
      </c>
      <c r="P78">
        <v>90</v>
      </c>
      <c r="Q78">
        <v>106.4</v>
      </c>
      <c r="R78">
        <v>1850</v>
      </c>
      <c r="S78">
        <v>1850</v>
      </c>
      <c r="T78">
        <v>0</v>
      </c>
      <c r="U78">
        <v>0</v>
      </c>
      <c r="V78">
        <v>1</v>
      </c>
      <c r="W78">
        <v>0</v>
      </c>
      <c r="X78">
        <v>0.85</v>
      </c>
    </row>
    <row r="79" spans="1:24" x14ac:dyDescent="0.3">
      <c r="A79" t="s">
        <v>239</v>
      </c>
      <c r="B79" s="1">
        <v>45936</v>
      </c>
      <c r="C79" t="s">
        <v>97</v>
      </c>
      <c r="D79" t="s">
        <v>39</v>
      </c>
      <c r="E79" t="s">
        <v>40</v>
      </c>
      <c r="F79" t="s">
        <v>28</v>
      </c>
      <c r="G79" t="s">
        <v>29</v>
      </c>
      <c r="H79" t="s">
        <v>120</v>
      </c>
      <c r="I79" t="s">
        <v>98</v>
      </c>
      <c r="J79" t="s">
        <v>99</v>
      </c>
      <c r="K79" t="s">
        <v>85</v>
      </c>
      <c r="L79" t="s">
        <v>34</v>
      </c>
      <c r="M79" t="s">
        <v>71</v>
      </c>
      <c r="N79" t="s">
        <v>36</v>
      </c>
      <c r="O79">
        <v>45</v>
      </c>
      <c r="P79">
        <v>45</v>
      </c>
      <c r="Q79">
        <v>53.4</v>
      </c>
      <c r="R79">
        <v>950</v>
      </c>
      <c r="S79">
        <v>950</v>
      </c>
      <c r="T79">
        <v>0</v>
      </c>
      <c r="U79">
        <v>0</v>
      </c>
      <c r="V79">
        <v>1</v>
      </c>
      <c r="W79">
        <v>0</v>
      </c>
      <c r="X79">
        <v>0.85</v>
      </c>
    </row>
    <row r="80" spans="1:24" x14ac:dyDescent="0.3">
      <c r="A80" t="s">
        <v>240</v>
      </c>
      <c r="B80" s="1">
        <v>45673</v>
      </c>
      <c r="C80" t="s">
        <v>130</v>
      </c>
      <c r="D80" t="s">
        <v>50</v>
      </c>
      <c r="E80" t="s">
        <v>27</v>
      </c>
      <c r="F80" t="s">
        <v>58</v>
      </c>
      <c r="G80" t="s">
        <v>59</v>
      </c>
      <c r="H80" t="s">
        <v>60</v>
      </c>
      <c r="I80" t="s">
        <v>241</v>
      </c>
      <c r="J80" t="s">
        <v>137</v>
      </c>
      <c r="K80" t="s">
        <v>46</v>
      </c>
      <c r="L80" t="s">
        <v>34</v>
      </c>
      <c r="M80" t="s">
        <v>47</v>
      </c>
      <c r="N80" t="s">
        <v>113</v>
      </c>
      <c r="O80">
        <v>60</v>
      </c>
      <c r="P80">
        <v>0</v>
      </c>
      <c r="Q80">
        <v>73.400000000000006</v>
      </c>
      <c r="R80">
        <v>1500</v>
      </c>
      <c r="S80">
        <v>0</v>
      </c>
      <c r="T80">
        <v>1500</v>
      </c>
      <c r="U80">
        <v>0</v>
      </c>
      <c r="V80">
        <v>0</v>
      </c>
      <c r="W80">
        <v>1</v>
      </c>
      <c r="X80">
        <v>0.85</v>
      </c>
    </row>
    <row r="81" spans="1:24" x14ac:dyDescent="0.3">
      <c r="A81" t="s">
        <v>242</v>
      </c>
      <c r="B81" s="1">
        <v>45717</v>
      </c>
      <c r="C81" t="s">
        <v>56</v>
      </c>
      <c r="D81" t="s">
        <v>88</v>
      </c>
      <c r="E81" t="s">
        <v>27</v>
      </c>
      <c r="F81" t="s">
        <v>28</v>
      </c>
      <c r="G81" t="s">
        <v>29</v>
      </c>
      <c r="H81" t="s">
        <v>210</v>
      </c>
      <c r="I81" t="s">
        <v>243</v>
      </c>
      <c r="J81" t="s">
        <v>45</v>
      </c>
      <c r="K81" t="s">
        <v>46</v>
      </c>
      <c r="L81" t="s">
        <v>64</v>
      </c>
      <c r="M81" t="s">
        <v>71</v>
      </c>
      <c r="N81" t="s">
        <v>95</v>
      </c>
      <c r="O81">
        <v>30</v>
      </c>
      <c r="P81">
        <v>0</v>
      </c>
      <c r="Q81">
        <v>36.6</v>
      </c>
      <c r="R81">
        <v>700</v>
      </c>
      <c r="S81">
        <v>0</v>
      </c>
      <c r="T81">
        <v>700</v>
      </c>
      <c r="U81">
        <v>1</v>
      </c>
      <c r="V81">
        <v>0</v>
      </c>
      <c r="W81">
        <v>0</v>
      </c>
      <c r="X81">
        <v>0.85</v>
      </c>
    </row>
    <row r="82" spans="1:24" x14ac:dyDescent="0.3">
      <c r="A82" t="s">
        <v>244</v>
      </c>
      <c r="B82" s="1">
        <v>45695</v>
      </c>
      <c r="C82" t="s">
        <v>76</v>
      </c>
      <c r="D82" t="s">
        <v>82</v>
      </c>
      <c r="E82" t="s">
        <v>40</v>
      </c>
      <c r="F82" t="s">
        <v>41</v>
      </c>
      <c r="G82" t="s">
        <v>42</v>
      </c>
      <c r="H82" t="s">
        <v>125</v>
      </c>
      <c r="I82" t="s">
        <v>245</v>
      </c>
      <c r="J82" t="s">
        <v>62</v>
      </c>
      <c r="K82" t="s">
        <v>46</v>
      </c>
      <c r="L82" t="s">
        <v>34</v>
      </c>
      <c r="M82" t="s">
        <v>71</v>
      </c>
      <c r="N82" t="s">
        <v>36</v>
      </c>
      <c r="O82">
        <v>60</v>
      </c>
      <c r="P82">
        <v>60</v>
      </c>
      <c r="Q82">
        <v>73.2</v>
      </c>
      <c r="R82">
        <v>1350</v>
      </c>
      <c r="S82">
        <v>1350</v>
      </c>
      <c r="T82">
        <v>0</v>
      </c>
      <c r="U82">
        <v>0</v>
      </c>
      <c r="V82">
        <v>1</v>
      </c>
      <c r="W82">
        <v>0</v>
      </c>
      <c r="X82">
        <v>0.85</v>
      </c>
    </row>
    <row r="83" spans="1:24" x14ac:dyDescent="0.3">
      <c r="A83" t="s">
        <v>246</v>
      </c>
      <c r="B83" s="1">
        <v>45811</v>
      </c>
      <c r="C83" t="s">
        <v>67</v>
      </c>
      <c r="D83" t="s">
        <v>26</v>
      </c>
      <c r="E83" t="s">
        <v>68</v>
      </c>
      <c r="F83" t="s">
        <v>28</v>
      </c>
      <c r="G83" t="s">
        <v>29</v>
      </c>
      <c r="H83" t="s">
        <v>210</v>
      </c>
      <c r="I83" t="s">
        <v>247</v>
      </c>
      <c r="J83" t="s">
        <v>62</v>
      </c>
      <c r="K83" t="s">
        <v>85</v>
      </c>
      <c r="L83" t="s">
        <v>34</v>
      </c>
      <c r="M83" t="s">
        <v>86</v>
      </c>
      <c r="N83" t="s">
        <v>36</v>
      </c>
      <c r="O83">
        <v>60</v>
      </c>
      <c r="P83">
        <v>60</v>
      </c>
      <c r="Q83">
        <v>71.099999999999994</v>
      </c>
      <c r="R83">
        <v>1250</v>
      </c>
      <c r="S83">
        <v>1250</v>
      </c>
      <c r="T83">
        <v>0</v>
      </c>
      <c r="U83">
        <v>0</v>
      </c>
      <c r="V83">
        <v>1</v>
      </c>
      <c r="W83">
        <v>0</v>
      </c>
      <c r="X83">
        <v>0.85</v>
      </c>
    </row>
    <row r="84" spans="1:24" x14ac:dyDescent="0.3">
      <c r="A84" t="s">
        <v>248</v>
      </c>
      <c r="B84" s="1">
        <v>45724</v>
      </c>
      <c r="C84" t="s">
        <v>56</v>
      </c>
      <c r="D84" t="s">
        <v>88</v>
      </c>
      <c r="E84" t="s">
        <v>83</v>
      </c>
      <c r="F84" t="s">
        <v>41</v>
      </c>
      <c r="G84" t="s">
        <v>42</v>
      </c>
      <c r="H84" t="s">
        <v>111</v>
      </c>
      <c r="I84" t="s">
        <v>249</v>
      </c>
      <c r="J84" t="s">
        <v>62</v>
      </c>
      <c r="K84" t="s">
        <v>104</v>
      </c>
      <c r="L84" t="s">
        <v>54</v>
      </c>
      <c r="M84" t="s">
        <v>47</v>
      </c>
      <c r="N84" t="s">
        <v>36</v>
      </c>
      <c r="O84">
        <v>60</v>
      </c>
      <c r="P84">
        <v>60</v>
      </c>
      <c r="Q84">
        <v>73.400000000000006</v>
      </c>
      <c r="R84">
        <v>1150</v>
      </c>
      <c r="S84">
        <v>1150</v>
      </c>
      <c r="T84">
        <v>0</v>
      </c>
      <c r="U84">
        <v>0</v>
      </c>
      <c r="V84">
        <v>1</v>
      </c>
      <c r="W84">
        <v>0</v>
      </c>
      <c r="X84">
        <v>0.85</v>
      </c>
    </row>
    <row r="85" spans="1:24" x14ac:dyDescent="0.3">
      <c r="A85" t="s">
        <v>250</v>
      </c>
      <c r="B85" s="1">
        <v>45908</v>
      </c>
      <c r="C85" t="s">
        <v>49</v>
      </c>
      <c r="D85" t="s">
        <v>39</v>
      </c>
      <c r="E85" t="s">
        <v>40</v>
      </c>
      <c r="F85" t="s">
        <v>58</v>
      </c>
      <c r="G85" t="s">
        <v>59</v>
      </c>
      <c r="H85" t="s">
        <v>151</v>
      </c>
      <c r="I85" t="s">
        <v>251</v>
      </c>
      <c r="J85" t="s">
        <v>137</v>
      </c>
      <c r="K85" t="s">
        <v>85</v>
      </c>
      <c r="L85" t="s">
        <v>34</v>
      </c>
      <c r="M85" t="s">
        <v>35</v>
      </c>
      <c r="N85" t="s">
        <v>95</v>
      </c>
      <c r="O85">
        <v>60</v>
      </c>
      <c r="P85">
        <v>0</v>
      </c>
      <c r="Q85">
        <v>80.099999999999994</v>
      </c>
      <c r="R85">
        <v>1500</v>
      </c>
      <c r="S85">
        <v>0</v>
      </c>
      <c r="T85">
        <v>1500</v>
      </c>
      <c r="U85">
        <v>1</v>
      </c>
      <c r="V85">
        <v>0</v>
      </c>
      <c r="W85">
        <v>0</v>
      </c>
      <c r="X85">
        <v>0.85</v>
      </c>
    </row>
    <row r="86" spans="1:24" x14ac:dyDescent="0.3">
      <c r="A86" t="s">
        <v>252</v>
      </c>
      <c r="B86" s="1">
        <v>45792</v>
      </c>
      <c r="C86" t="s">
        <v>128</v>
      </c>
      <c r="D86" t="s">
        <v>50</v>
      </c>
      <c r="E86" t="s">
        <v>40</v>
      </c>
      <c r="F86" t="s">
        <v>58</v>
      </c>
      <c r="G86" t="s">
        <v>59</v>
      </c>
      <c r="H86" t="s">
        <v>151</v>
      </c>
      <c r="I86" t="s">
        <v>253</v>
      </c>
      <c r="J86" t="s">
        <v>53</v>
      </c>
      <c r="K86" t="s">
        <v>63</v>
      </c>
      <c r="L86" t="s">
        <v>34</v>
      </c>
      <c r="M86" t="s">
        <v>65</v>
      </c>
      <c r="N86" t="s">
        <v>36</v>
      </c>
      <c r="O86">
        <v>60</v>
      </c>
      <c r="P86">
        <v>60</v>
      </c>
      <c r="Q86">
        <v>74.3</v>
      </c>
      <c r="R86">
        <v>1800</v>
      </c>
      <c r="S86">
        <v>1800</v>
      </c>
      <c r="T86">
        <v>0</v>
      </c>
      <c r="U86">
        <v>0</v>
      </c>
      <c r="V86">
        <v>1</v>
      </c>
      <c r="W86">
        <v>0</v>
      </c>
      <c r="X86">
        <v>0.85</v>
      </c>
    </row>
    <row r="87" spans="1:24" x14ac:dyDescent="0.3">
      <c r="A87" t="s">
        <v>254</v>
      </c>
      <c r="B87" s="1">
        <v>45783</v>
      </c>
      <c r="C87" t="s">
        <v>128</v>
      </c>
      <c r="D87" t="s">
        <v>26</v>
      </c>
      <c r="E87" t="s">
        <v>27</v>
      </c>
      <c r="F87" t="s">
        <v>28</v>
      </c>
      <c r="G87" t="s">
        <v>29</v>
      </c>
      <c r="H87" t="s">
        <v>210</v>
      </c>
      <c r="I87" t="s">
        <v>255</v>
      </c>
      <c r="J87" t="s">
        <v>45</v>
      </c>
      <c r="K87" t="s">
        <v>70</v>
      </c>
      <c r="L87" t="s">
        <v>64</v>
      </c>
      <c r="M87" t="s">
        <v>35</v>
      </c>
      <c r="N87" t="s">
        <v>36</v>
      </c>
      <c r="O87">
        <v>60</v>
      </c>
      <c r="P87">
        <v>60</v>
      </c>
      <c r="Q87">
        <v>71.900000000000006</v>
      </c>
      <c r="R87">
        <v>1450</v>
      </c>
      <c r="S87">
        <v>1450</v>
      </c>
      <c r="T87">
        <v>0</v>
      </c>
      <c r="U87">
        <v>0</v>
      </c>
      <c r="V87">
        <v>1</v>
      </c>
      <c r="W87">
        <v>0</v>
      </c>
      <c r="X87">
        <v>0.85</v>
      </c>
    </row>
    <row r="88" spans="1:24" x14ac:dyDescent="0.3">
      <c r="A88" t="s">
        <v>256</v>
      </c>
      <c r="B88" s="1">
        <v>45791</v>
      </c>
      <c r="C88" t="s">
        <v>128</v>
      </c>
      <c r="D88" t="s">
        <v>57</v>
      </c>
      <c r="E88" t="s">
        <v>68</v>
      </c>
      <c r="F88" t="s">
        <v>41</v>
      </c>
      <c r="G88" t="s">
        <v>42</v>
      </c>
      <c r="H88" t="s">
        <v>51</v>
      </c>
      <c r="I88" t="s">
        <v>257</v>
      </c>
      <c r="J88" t="s">
        <v>62</v>
      </c>
      <c r="K88" t="s">
        <v>46</v>
      </c>
      <c r="L88" t="s">
        <v>34</v>
      </c>
      <c r="M88" t="s">
        <v>86</v>
      </c>
      <c r="N88" t="s">
        <v>36</v>
      </c>
      <c r="O88">
        <v>60</v>
      </c>
      <c r="P88">
        <v>60</v>
      </c>
      <c r="Q88">
        <v>65.5</v>
      </c>
      <c r="R88">
        <v>1350</v>
      </c>
      <c r="S88">
        <v>1350</v>
      </c>
      <c r="T88">
        <v>0</v>
      </c>
      <c r="U88">
        <v>0</v>
      </c>
      <c r="V88">
        <v>1</v>
      </c>
      <c r="W88">
        <v>0</v>
      </c>
      <c r="X88">
        <v>0.85</v>
      </c>
    </row>
    <row r="89" spans="1:24" x14ac:dyDescent="0.3">
      <c r="A89" t="s">
        <v>258</v>
      </c>
      <c r="B89" s="1">
        <v>45799</v>
      </c>
      <c r="C89" t="s">
        <v>128</v>
      </c>
      <c r="D89" t="s">
        <v>50</v>
      </c>
      <c r="E89" t="s">
        <v>27</v>
      </c>
      <c r="F89" t="s">
        <v>41</v>
      </c>
      <c r="G89" t="s">
        <v>42</v>
      </c>
      <c r="H89" t="s">
        <v>125</v>
      </c>
      <c r="I89" t="s">
        <v>259</v>
      </c>
      <c r="J89" t="s">
        <v>99</v>
      </c>
      <c r="K89" t="s">
        <v>70</v>
      </c>
      <c r="L89" t="s">
        <v>64</v>
      </c>
      <c r="M89" t="s">
        <v>65</v>
      </c>
      <c r="N89" t="s">
        <v>36</v>
      </c>
      <c r="O89">
        <v>60</v>
      </c>
      <c r="P89">
        <v>60</v>
      </c>
      <c r="Q89">
        <v>68.7</v>
      </c>
      <c r="R89">
        <v>1350</v>
      </c>
      <c r="S89">
        <v>1350</v>
      </c>
      <c r="T89">
        <v>0</v>
      </c>
      <c r="U89">
        <v>0</v>
      </c>
      <c r="V89">
        <v>1</v>
      </c>
      <c r="W89">
        <v>0</v>
      </c>
      <c r="X89">
        <v>0.85</v>
      </c>
    </row>
    <row r="90" spans="1:24" x14ac:dyDescent="0.3">
      <c r="A90" t="s">
        <v>260</v>
      </c>
      <c r="B90" s="1">
        <v>45902</v>
      </c>
      <c r="C90" t="s">
        <v>49</v>
      </c>
      <c r="D90" t="s">
        <v>26</v>
      </c>
      <c r="E90" t="s">
        <v>27</v>
      </c>
      <c r="F90" t="s">
        <v>41</v>
      </c>
      <c r="G90" t="s">
        <v>42</v>
      </c>
      <c r="H90" t="s">
        <v>125</v>
      </c>
      <c r="I90" t="s">
        <v>261</v>
      </c>
      <c r="J90" t="s">
        <v>99</v>
      </c>
      <c r="K90" t="s">
        <v>104</v>
      </c>
      <c r="L90" t="s">
        <v>64</v>
      </c>
      <c r="M90" t="s">
        <v>71</v>
      </c>
      <c r="N90" t="s">
        <v>36</v>
      </c>
      <c r="O90">
        <v>30</v>
      </c>
      <c r="P90">
        <v>30</v>
      </c>
      <c r="Q90">
        <v>35.200000000000003</v>
      </c>
      <c r="R90">
        <v>700</v>
      </c>
      <c r="S90">
        <v>700</v>
      </c>
      <c r="T90">
        <v>0</v>
      </c>
      <c r="U90">
        <v>0</v>
      </c>
      <c r="V90">
        <v>1</v>
      </c>
      <c r="W90">
        <v>0</v>
      </c>
      <c r="X90">
        <v>0.85</v>
      </c>
    </row>
    <row r="91" spans="1:24" x14ac:dyDescent="0.3">
      <c r="A91" t="s">
        <v>262</v>
      </c>
      <c r="B91" s="1">
        <v>45692</v>
      </c>
      <c r="C91" t="s">
        <v>76</v>
      </c>
      <c r="D91" t="s">
        <v>26</v>
      </c>
      <c r="E91" t="s">
        <v>27</v>
      </c>
      <c r="F91" t="s">
        <v>28</v>
      </c>
      <c r="G91" t="s">
        <v>29</v>
      </c>
      <c r="H91" t="s">
        <v>102</v>
      </c>
      <c r="I91" t="s">
        <v>263</v>
      </c>
      <c r="J91" t="s">
        <v>137</v>
      </c>
      <c r="K91" t="s">
        <v>85</v>
      </c>
      <c r="L91" t="s">
        <v>34</v>
      </c>
      <c r="M91" t="s">
        <v>94</v>
      </c>
      <c r="N91" t="s">
        <v>36</v>
      </c>
      <c r="O91">
        <v>30</v>
      </c>
      <c r="P91">
        <v>30</v>
      </c>
      <c r="Q91">
        <v>32.9</v>
      </c>
      <c r="R91">
        <v>600</v>
      </c>
      <c r="S91">
        <v>600</v>
      </c>
      <c r="T91">
        <v>0</v>
      </c>
      <c r="U91">
        <v>0</v>
      </c>
      <c r="V91">
        <v>1</v>
      </c>
      <c r="W91">
        <v>0</v>
      </c>
      <c r="X91">
        <v>0.85</v>
      </c>
    </row>
    <row r="92" spans="1:24" x14ac:dyDescent="0.3">
      <c r="A92" t="s">
        <v>264</v>
      </c>
      <c r="B92" s="1">
        <v>46013</v>
      </c>
      <c r="C92" t="s">
        <v>25</v>
      </c>
      <c r="D92" t="s">
        <v>39</v>
      </c>
      <c r="E92" t="s">
        <v>68</v>
      </c>
      <c r="F92" t="s">
        <v>41</v>
      </c>
      <c r="G92" t="s">
        <v>42</v>
      </c>
      <c r="H92" t="s">
        <v>89</v>
      </c>
      <c r="I92" t="s">
        <v>265</v>
      </c>
      <c r="J92" t="s">
        <v>62</v>
      </c>
      <c r="K92" t="s">
        <v>70</v>
      </c>
      <c r="L92" t="s">
        <v>78</v>
      </c>
      <c r="M92" t="s">
        <v>65</v>
      </c>
      <c r="N92" t="s">
        <v>36</v>
      </c>
      <c r="O92">
        <v>75</v>
      </c>
      <c r="P92">
        <v>75</v>
      </c>
      <c r="Q92">
        <v>94.8</v>
      </c>
      <c r="R92">
        <v>1550</v>
      </c>
      <c r="S92">
        <v>1550</v>
      </c>
      <c r="T92">
        <v>0</v>
      </c>
      <c r="U92">
        <v>0</v>
      </c>
      <c r="V92">
        <v>1</v>
      </c>
      <c r="W92">
        <v>0</v>
      </c>
      <c r="X92">
        <v>0.85</v>
      </c>
    </row>
    <row r="93" spans="1:24" x14ac:dyDescent="0.3">
      <c r="A93" t="s">
        <v>266</v>
      </c>
      <c r="B93" s="1">
        <v>45929</v>
      </c>
      <c r="C93" t="s">
        <v>49</v>
      </c>
      <c r="D93" t="s">
        <v>39</v>
      </c>
      <c r="E93" t="s">
        <v>68</v>
      </c>
      <c r="F93" t="s">
        <v>41</v>
      </c>
      <c r="G93" t="s">
        <v>42</v>
      </c>
      <c r="H93" t="s">
        <v>43</v>
      </c>
      <c r="I93" t="s">
        <v>267</v>
      </c>
      <c r="J93" t="s">
        <v>62</v>
      </c>
      <c r="K93" t="s">
        <v>46</v>
      </c>
      <c r="L93" t="s">
        <v>34</v>
      </c>
      <c r="M93" t="s">
        <v>94</v>
      </c>
      <c r="N93" t="s">
        <v>153</v>
      </c>
      <c r="O93">
        <v>60</v>
      </c>
      <c r="P93">
        <v>0</v>
      </c>
      <c r="Q93">
        <v>67.2</v>
      </c>
      <c r="R93">
        <v>1350</v>
      </c>
      <c r="S93">
        <v>0</v>
      </c>
      <c r="T93">
        <v>0</v>
      </c>
      <c r="U93">
        <v>0</v>
      </c>
      <c r="V93">
        <v>0</v>
      </c>
      <c r="W93">
        <v>0</v>
      </c>
      <c r="X93">
        <v>0.85</v>
      </c>
    </row>
    <row r="94" spans="1:24" x14ac:dyDescent="0.3">
      <c r="A94" t="s">
        <v>268</v>
      </c>
      <c r="B94" s="1">
        <v>45668</v>
      </c>
      <c r="C94" t="s">
        <v>130</v>
      </c>
      <c r="D94" t="s">
        <v>88</v>
      </c>
      <c r="E94" t="s">
        <v>40</v>
      </c>
      <c r="F94" t="s">
        <v>58</v>
      </c>
      <c r="G94" t="s">
        <v>59</v>
      </c>
      <c r="H94" t="s">
        <v>117</v>
      </c>
      <c r="I94" t="s">
        <v>269</v>
      </c>
      <c r="J94" t="s">
        <v>53</v>
      </c>
      <c r="K94" t="s">
        <v>85</v>
      </c>
      <c r="L94" t="s">
        <v>34</v>
      </c>
      <c r="M94" t="s">
        <v>47</v>
      </c>
      <c r="N94" t="s">
        <v>113</v>
      </c>
      <c r="O94">
        <v>60</v>
      </c>
      <c r="P94">
        <v>0</v>
      </c>
      <c r="Q94">
        <v>65.8</v>
      </c>
      <c r="R94">
        <v>1800</v>
      </c>
      <c r="S94">
        <v>0</v>
      </c>
      <c r="T94">
        <v>1800</v>
      </c>
      <c r="U94">
        <v>0</v>
      </c>
      <c r="V94">
        <v>0</v>
      </c>
      <c r="W94">
        <v>1</v>
      </c>
      <c r="X94">
        <v>0.85</v>
      </c>
    </row>
    <row r="95" spans="1:24" x14ac:dyDescent="0.3">
      <c r="A95" t="s">
        <v>270</v>
      </c>
      <c r="B95" s="1">
        <v>45817</v>
      </c>
      <c r="C95" t="s">
        <v>67</v>
      </c>
      <c r="D95" t="s">
        <v>39</v>
      </c>
      <c r="E95" t="s">
        <v>83</v>
      </c>
      <c r="F95" t="s">
        <v>41</v>
      </c>
      <c r="G95" t="s">
        <v>42</v>
      </c>
      <c r="H95" t="s">
        <v>125</v>
      </c>
      <c r="I95" t="s">
        <v>271</v>
      </c>
      <c r="J95" t="s">
        <v>32</v>
      </c>
      <c r="K95" t="s">
        <v>63</v>
      </c>
      <c r="L95" t="s">
        <v>78</v>
      </c>
      <c r="M95" t="s">
        <v>86</v>
      </c>
      <c r="N95" t="s">
        <v>113</v>
      </c>
      <c r="O95">
        <v>75</v>
      </c>
      <c r="P95">
        <v>0</v>
      </c>
      <c r="Q95">
        <v>91.1</v>
      </c>
      <c r="R95">
        <v>1550</v>
      </c>
      <c r="S95">
        <v>0</v>
      </c>
      <c r="T95">
        <v>1550</v>
      </c>
      <c r="U95">
        <v>0</v>
      </c>
      <c r="V95">
        <v>0</v>
      </c>
      <c r="W95">
        <v>1</v>
      </c>
      <c r="X95">
        <v>0.85</v>
      </c>
    </row>
    <row r="96" spans="1:24" x14ac:dyDescent="0.3">
      <c r="A96" t="s">
        <v>272</v>
      </c>
      <c r="B96" s="1">
        <v>45916</v>
      </c>
      <c r="C96" t="s">
        <v>49</v>
      </c>
      <c r="D96" t="s">
        <v>26</v>
      </c>
      <c r="E96" t="s">
        <v>27</v>
      </c>
      <c r="F96" t="s">
        <v>58</v>
      </c>
      <c r="G96" t="s">
        <v>59</v>
      </c>
      <c r="H96" t="s">
        <v>73</v>
      </c>
      <c r="I96" t="s">
        <v>273</v>
      </c>
      <c r="J96" t="s">
        <v>53</v>
      </c>
      <c r="K96" t="s">
        <v>33</v>
      </c>
      <c r="L96" t="s">
        <v>54</v>
      </c>
      <c r="M96" t="s">
        <v>71</v>
      </c>
      <c r="N96" t="s">
        <v>113</v>
      </c>
      <c r="O96">
        <v>75</v>
      </c>
      <c r="P96">
        <v>0</v>
      </c>
      <c r="Q96">
        <v>86.6</v>
      </c>
      <c r="R96">
        <v>1900</v>
      </c>
      <c r="S96">
        <v>0</v>
      </c>
      <c r="T96">
        <v>1900</v>
      </c>
      <c r="U96">
        <v>0</v>
      </c>
      <c r="V96">
        <v>0</v>
      </c>
      <c r="W96">
        <v>1</v>
      </c>
      <c r="X96">
        <v>0.85</v>
      </c>
    </row>
    <row r="97" spans="1:24" x14ac:dyDescent="0.3">
      <c r="A97" t="s">
        <v>274</v>
      </c>
      <c r="B97" s="1">
        <v>45838</v>
      </c>
      <c r="C97" t="s">
        <v>67</v>
      </c>
      <c r="D97" t="s">
        <v>39</v>
      </c>
      <c r="E97" t="s">
        <v>27</v>
      </c>
      <c r="F97" t="s">
        <v>58</v>
      </c>
      <c r="G97" t="s">
        <v>59</v>
      </c>
      <c r="H97" t="s">
        <v>60</v>
      </c>
      <c r="I97" t="s">
        <v>275</v>
      </c>
      <c r="J97" t="s">
        <v>99</v>
      </c>
      <c r="K97" t="s">
        <v>46</v>
      </c>
      <c r="L97" t="s">
        <v>64</v>
      </c>
      <c r="M97" t="s">
        <v>71</v>
      </c>
      <c r="N97" t="s">
        <v>36</v>
      </c>
      <c r="O97">
        <v>90</v>
      </c>
      <c r="P97">
        <v>90</v>
      </c>
      <c r="Q97">
        <v>101.5</v>
      </c>
      <c r="R97">
        <v>2250</v>
      </c>
      <c r="S97">
        <v>2250</v>
      </c>
      <c r="T97">
        <v>0</v>
      </c>
      <c r="U97">
        <v>0</v>
      </c>
      <c r="V97">
        <v>1</v>
      </c>
      <c r="W97">
        <v>0</v>
      </c>
      <c r="X97">
        <v>0.85</v>
      </c>
    </row>
    <row r="98" spans="1:24" x14ac:dyDescent="0.3">
      <c r="A98" t="s">
        <v>276</v>
      </c>
      <c r="B98" s="1">
        <v>45663</v>
      </c>
      <c r="C98" t="s">
        <v>130</v>
      </c>
      <c r="D98" t="s">
        <v>39</v>
      </c>
      <c r="E98" t="s">
        <v>83</v>
      </c>
      <c r="F98" t="s">
        <v>28</v>
      </c>
      <c r="G98" t="s">
        <v>29</v>
      </c>
      <c r="H98" t="s">
        <v>120</v>
      </c>
      <c r="I98" t="s">
        <v>277</v>
      </c>
      <c r="J98" t="s">
        <v>62</v>
      </c>
      <c r="K98" t="s">
        <v>70</v>
      </c>
      <c r="L98" t="s">
        <v>64</v>
      </c>
      <c r="M98" t="s">
        <v>35</v>
      </c>
      <c r="N98" t="s">
        <v>36</v>
      </c>
      <c r="O98">
        <v>60</v>
      </c>
      <c r="P98">
        <v>60</v>
      </c>
      <c r="Q98">
        <v>77.599999999999994</v>
      </c>
      <c r="R98">
        <v>1250</v>
      </c>
      <c r="S98">
        <v>1250</v>
      </c>
      <c r="T98">
        <v>0</v>
      </c>
      <c r="U98">
        <v>0</v>
      </c>
      <c r="V98">
        <v>1</v>
      </c>
      <c r="W98">
        <v>0</v>
      </c>
      <c r="X98">
        <v>0.85</v>
      </c>
    </row>
    <row r="99" spans="1:24" x14ac:dyDescent="0.3">
      <c r="A99" t="s">
        <v>278</v>
      </c>
      <c r="B99" s="1">
        <v>45983</v>
      </c>
      <c r="C99" t="s">
        <v>38</v>
      </c>
      <c r="D99" t="s">
        <v>88</v>
      </c>
      <c r="E99" t="s">
        <v>40</v>
      </c>
      <c r="F99" t="s">
        <v>41</v>
      </c>
      <c r="G99" t="s">
        <v>42</v>
      </c>
      <c r="H99" t="s">
        <v>89</v>
      </c>
      <c r="I99" t="s">
        <v>279</v>
      </c>
      <c r="J99" t="s">
        <v>32</v>
      </c>
      <c r="K99" t="s">
        <v>104</v>
      </c>
      <c r="L99" t="s">
        <v>78</v>
      </c>
      <c r="M99" t="s">
        <v>65</v>
      </c>
      <c r="N99" t="s">
        <v>36</v>
      </c>
      <c r="O99">
        <v>60</v>
      </c>
      <c r="P99">
        <v>60</v>
      </c>
      <c r="Q99">
        <v>68.2</v>
      </c>
      <c r="R99">
        <v>1250</v>
      </c>
      <c r="S99">
        <v>1250</v>
      </c>
      <c r="T99">
        <v>0</v>
      </c>
      <c r="U99">
        <v>0</v>
      </c>
      <c r="V99">
        <v>1</v>
      </c>
      <c r="W99">
        <v>0</v>
      </c>
      <c r="X99">
        <v>0.85</v>
      </c>
    </row>
    <row r="100" spans="1:24" x14ac:dyDescent="0.3">
      <c r="A100" t="s">
        <v>280</v>
      </c>
      <c r="B100" s="1">
        <v>45762</v>
      </c>
      <c r="C100" t="s">
        <v>92</v>
      </c>
      <c r="D100" t="s">
        <v>26</v>
      </c>
      <c r="E100" t="s">
        <v>68</v>
      </c>
      <c r="F100" t="s">
        <v>41</v>
      </c>
      <c r="G100" t="s">
        <v>42</v>
      </c>
      <c r="H100" t="s">
        <v>125</v>
      </c>
      <c r="I100" t="s">
        <v>281</v>
      </c>
      <c r="J100" t="s">
        <v>99</v>
      </c>
      <c r="K100" t="s">
        <v>70</v>
      </c>
      <c r="L100" t="s">
        <v>54</v>
      </c>
      <c r="M100" t="s">
        <v>35</v>
      </c>
      <c r="N100" t="s">
        <v>36</v>
      </c>
      <c r="O100">
        <v>45</v>
      </c>
      <c r="P100">
        <v>45</v>
      </c>
      <c r="Q100">
        <v>60.5</v>
      </c>
      <c r="R100">
        <v>850</v>
      </c>
      <c r="S100">
        <v>850</v>
      </c>
      <c r="T100">
        <v>0</v>
      </c>
      <c r="U100">
        <v>0</v>
      </c>
      <c r="V100">
        <v>1</v>
      </c>
      <c r="W100">
        <v>0</v>
      </c>
      <c r="X100">
        <v>0.85</v>
      </c>
    </row>
    <row r="101" spans="1:24" x14ac:dyDescent="0.3">
      <c r="A101" t="s">
        <v>282</v>
      </c>
      <c r="B101" s="1">
        <v>45951</v>
      </c>
      <c r="C101" t="s">
        <v>97</v>
      </c>
      <c r="D101" t="s">
        <v>26</v>
      </c>
      <c r="E101" t="s">
        <v>27</v>
      </c>
      <c r="F101" t="s">
        <v>28</v>
      </c>
      <c r="G101" t="s">
        <v>29</v>
      </c>
      <c r="H101" t="s">
        <v>102</v>
      </c>
      <c r="I101" t="s">
        <v>283</v>
      </c>
      <c r="J101" t="s">
        <v>137</v>
      </c>
      <c r="K101" t="s">
        <v>33</v>
      </c>
      <c r="L101" t="s">
        <v>64</v>
      </c>
      <c r="M101" t="s">
        <v>65</v>
      </c>
      <c r="N101" t="s">
        <v>36</v>
      </c>
      <c r="O101">
        <v>90</v>
      </c>
      <c r="P101">
        <v>90</v>
      </c>
      <c r="Q101">
        <v>111.1</v>
      </c>
      <c r="R101">
        <v>1900</v>
      </c>
      <c r="S101">
        <v>1900</v>
      </c>
      <c r="T101">
        <v>0</v>
      </c>
      <c r="U101">
        <v>0</v>
      </c>
      <c r="V101">
        <v>1</v>
      </c>
      <c r="W101">
        <v>0</v>
      </c>
      <c r="X101">
        <v>0.85</v>
      </c>
    </row>
    <row r="102" spans="1:24" x14ac:dyDescent="0.3">
      <c r="A102" t="s">
        <v>284</v>
      </c>
      <c r="B102" s="1">
        <v>45919</v>
      </c>
      <c r="C102" t="s">
        <v>49</v>
      </c>
      <c r="D102" t="s">
        <v>82</v>
      </c>
      <c r="E102" t="s">
        <v>68</v>
      </c>
      <c r="F102" t="s">
        <v>58</v>
      </c>
      <c r="G102" t="s">
        <v>59</v>
      </c>
      <c r="H102" t="s">
        <v>117</v>
      </c>
      <c r="I102" t="s">
        <v>285</v>
      </c>
      <c r="J102" t="s">
        <v>45</v>
      </c>
      <c r="K102" t="s">
        <v>70</v>
      </c>
      <c r="L102" t="s">
        <v>34</v>
      </c>
      <c r="M102" t="s">
        <v>86</v>
      </c>
      <c r="N102" t="s">
        <v>36</v>
      </c>
      <c r="O102">
        <v>30</v>
      </c>
      <c r="P102">
        <v>30</v>
      </c>
      <c r="Q102">
        <v>34.9</v>
      </c>
      <c r="R102">
        <v>850</v>
      </c>
      <c r="S102">
        <v>850</v>
      </c>
      <c r="T102">
        <v>0</v>
      </c>
      <c r="U102">
        <v>0</v>
      </c>
      <c r="V102">
        <v>1</v>
      </c>
      <c r="W102">
        <v>0</v>
      </c>
      <c r="X102">
        <v>0.85</v>
      </c>
    </row>
    <row r="103" spans="1:24" x14ac:dyDescent="0.3">
      <c r="A103" t="s">
        <v>286</v>
      </c>
      <c r="B103" s="1">
        <v>45851</v>
      </c>
      <c r="C103" t="s">
        <v>101</v>
      </c>
      <c r="D103" t="s">
        <v>287</v>
      </c>
      <c r="E103" t="s">
        <v>68</v>
      </c>
      <c r="F103" t="s">
        <v>28</v>
      </c>
      <c r="G103" t="s">
        <v>29</v>
      </c>
      <c r="H103" t="s">
        <v>30</v>
      </c>
      <c r="I103" t="s">
        <v>288</v>
      </c>
      <c r="J103" t="s">
        <v>32</v>
      </c>
      <c r="K103" t="s">
        <v>46</v>
      </c>
      <c r="L103" t="s">
        <v>64</v>
      </c>
      <c r="M103" t="s">
        <v>65</v>
      </c>
      <c r="N103" t="s">
        <v>36</v>
      </c>
      <c r="O103">
        <v>60</v>
      </c>
      <c r="P103">
        <v>60</v>
      </c>
      <c r="Q103">
        <v>75.3</v>
      </c>
      <c r="R103">
        <v>1250</v>
      </c>
      <c r="S103">
        <v>1250</v>
      </c>
      <c r="T103">
        <v>0</v>
      </c>
      <c r="U103">
        <v>0</v>
      </c>
      <c r="V103">
        <v>1</v>
      </c>
      <c r="W103">
        <v>0</v>
      </c>
      <c r="X103">
        <v>0.85</v>
      </c>
    </row>
    <row r="104" spans="1:24" x14ac:dyDescent="0.3">
      <c r="A104" t="s">
        <v>289</v>
      </c>
      <c r="B104" s="1">
        <v>45752</v>
      </c>
      <c r="C104" t="s">
        <v>92</v>
      </c>
      <c r="D104" t="s">
        <v>88</v>
      </c>
      <c r="E104" t="s">
        <v>83</v>
      </c>
      <c r="F104" t="s">
        <v>41</v>
      </c>
      <c r="G104" t="s">
        <v>42</v>
      </c>
      <c r="H104" t="s">
        <v>43</v>
      </c>
      <c r="I104" t="s">
        <v>290</v>
      </c>
      <c r="J104" t="s">
        <v>62</v>
      </c>
      <c r="K104" t="s">
        <v>70</v>
      </c>
      <c r="L104" t="s">
        <v>78</v>
      </c>
      <c r="M104" t="s">
        <v>94</v>
      </c>
      <c r="N104" t="s">
        <v>113</v>
      </c>
      <c r="O104">
        <v>60</v>
      </c>
      <c r="P104">
        <v>0</v>
      </c>
      <c r="Q104">
        <v>67.5</v>
      </c>
      <c r="R104">
        <v>1250</v>
      </c>
      <c r="S104">
        <v>0</v>
      </c>
      <c r="T104">
        <v>1250</v>
      </c>
      <c r="U104">
        <v>0</v>
      </c>
      <c r="V104">
        <v>0</v>
      </c>
      <c r="W104">
        <v>1</v>
      </c>
      <c r="X104">
        <v>0.85</v>
      </c>
    </row>
    <row r="105" spans="1:24" x14ac:dyDescent="0.3">
      <c r="A105" t="s">
        <v>291</v>
      </c>
      <c r="B105" s="1">
        <v>45850</v>
      </c>
      <c r="C105" t="s">
        <v>101</v>
      </c>
      <c r="D105" t="s">
        <v>88</v>
      </c>
      <c r="E105" t="s">
        <v>27</v>
      </c>
      <c r="F105" t="s">
        <v>58</v>
      </c>
      <c r="G105" t="s">
        <v>59</v>
      </c>
      <c r="H105" t="s">
        <v>117</v>
      </c>
      <c r="I105" t="s">
        <v>292</v>
      </c>
      <c r="J105" t="s">
        <v>99</v>
      </c>
      <c r="K105" t="s">
        <v>104</v>
      </c>
      <c r="L105" t="s">
        <v>64</v>
      </c>
      <c r="M105" t="s">
        <v>47</v>
      </c>
      <c r="N105" t="s">
        <v>36</v>
      </c>
      <c r="O105">
        <v>45</v>
      </c>
      <c r="P105">
        <v>45</v>
      </c>
      <c r="Q105">
        <v>59.1</v>
      </c>
      <c r="R105">
        <v>1100</v>
      </c>
      <c r="S105">
        <v>1100</v>
      </c>
      <c r="T105">
        <v>0</v>
      </c>
      <c r="U105">
        <v>0</v>
      </c>
      <c r="V105">
        <v>1</v>
      </c>
      <c r="W105">
        <v>0</v>
      </c>
      <c r="X105">
        <v>0.85</v>
      </c>
    </row>
    <row r="106" spans="1:24" x14ac:dyDescent="0.3">
      <c r="A106" t="s">
        <v>293</v>
      </c>
      <c r="B106" s="1">
        <v>45995</v>
      </c>
      <c r="C106" t="s">
        <v>25</v>
      </c>
      <c r="D106" t="s">
        <v>50</v>
      </c>
      <c r="E106" t="s">
        <v>27</v>
      </c>
      <c r="F106" t="s">
        <v>58</v>
      </c>
      <c r="G106" t="s">
        <v>59</v>
      </c>
      <c r="H106" t="s">
        <v>60</v>
      </c>
      <c r="I106" t="s">
        <v>294</v>
      </c>
      <c r="J106" t="s">
        <v>53</v>
      </c>
      <c r="K106" t="s">
        <v>104</v>
      </c>
      <c r="L106" t="s">
        <v>34</v>
      </c>
      <c r="M106" t="s">
        <v>86</v>
      </c>
      <c r="N106" t="s">
        <v>36</v>
      </c>
      <c r="O106">
        <v>45</v>
      </c>
      <c r="P106">
        <v>45</v>
      </c>
      <c r="Q106">
        <v>57</v>
      </c>
      <c r="R106">
        <v>1350</v>
      </c>
      <c r="S106">
        <v>1350</v>
      </c>
      <c r="T106">
        <v>0</v>
      </c>
      <c r="U106">
        <v>0</v>
      </c>
      <c r="V106">
        <v>1</v>
      </c>
      <c r="W106">
        <v>0</v>
      </c>
      <c r="X106">
        <v>0.85</v>
      </c>
    </row>
    <row r="107" spans="1:24" x14ac:dyDescent="0.3">
      <c r="A107" t="s">
        <v>295</v>
      </c>
      <c r="B107" s="1">
        <v>45819</v>
      </c>
      <c r="C107" t="s">
        <v>67</v>
      </c>
      <c r="D107" t="s">
        <v>57</v>
      </c>
      <c r="E107" t="s">
        <v>40</v>
      </c>
      <c r="F107" t="s">
        <v>58</v>
      </c>
      <c r="G107" t="s">
        <v>59</v>
      </c>
      <c r="H107" t="s">
        <v>296</v>
      </c>
      <c r="I107" t="s">
        <v>259</v>
      </c>
      <c r="J107" t="s">
        <v>62</v>
      </c>
      <c r="K107" t="s">
        <v>104</v>
      </c>
      <c r="L107" t="s">
        <v>78</v>
      </c>
      <c r="M107" t="s">
        <v>86</v>
      </c>
      <c r="N107" t="s">
        <v>95</v>
      </c>
      <c r="O107">
        <v>45</v>
      </c>
      <c r="P107">
        <v>0</v>
      </c>
      <c r="Q107">
        <v>58.2</v>
      </c>
      <c r="R107">
        <v>1050</v>
      </c>
      <c r="S107">
        <v>0</v>
      </c>
      <c r="T107">
        <v>1050</v>
      </c>
      <c r="U107">
        <v>1</v>
      </c>
      <c r="V107">
        <v>0</v>
      </c>
      <c r="W107">
        <v>0</v>
      </c>
      <c r="X107">
        <v>0.85</v>
      </c>
    </row>
    <row r="108" spans="1:24" x14ac:dyDescent="0.3">
      <c r="A108" t="s">
        <v>297</v>
      </c>
      <c r="B108" s="1">
        <v>45729</v>
      </c>
      <c r="C108" t="s">
        <v>56</v>
      </c>
      <c r="D108" t="s">
        <v>50</v>
      </c>
      <c r="E108" t="s">
        <v>83</v>
      </c>
      <c r="F108" t="s">
        <v>28</v>
      </c>
      <c r="G108" t="s">
        <v>29</v>
      </c>
      <c r="H108" t="s">
        <v>102</v>
      </c>
      <c r="I108" t="s">
        <v>298</v>
      </c>
      <c r="J108" t="s">
        <v>62</v>
      </c>
      <c r="K108" t="s">
        <v>33</v>
      </c>
      <c r="L108" t="s">
        <v>64</v>
      </c>
      <c r="M108" t="s">
        <v>94</v>
      </c>
      <c r="N108" t="s">
        <v>36</v>
      </c>
      <c r="O108">
        <v>60</v>
      </c>
      <c r="P108">
        <v>60</v>
      </c>
      <c r="Q108">
        <v>69.8</v>
      </c>
      <c r="R108">
        <v>1250</v>
      </c>
      <c r="S108">
        <v>1250</v>
      </c>
      <c r="T108">
        <v>0</v>
      </c>
      <c r="U108">
        <v>0</v>
      </c>
      <c r="V108">
        <v>1</v>
      </c>
      <c r="W108">
        <v>0</v>
      </c>
      <c r="X108">
        <v>0.85</v>
      </c>
    </row>
    <row r="109" spans="1:24" x14ac:dyDescent="0.3">
      <c r="A109" t="s">
        <v>299</v>
      </c>
      <c r="B109" s="1">
        <v>45853</v>
      </c>
      <c r="C109" t="s">
        <v>101</v>
      </c>
      <c r="D109" t="s">
        <v>26</v>
      </c>
      <c r="E109" t="s">
        <v>40</v>
      </c>
      <c r="F109" t="s">
        <v>28</v>
      </c>
      <c r="G109" t="s">
        <v>29</v>
      </c>
      <c r="H109" t="s">
        <v>102</v>
      </c>
      <c r="I109" t="s">
        <v>300</v>
      </c>
      <c r="J109" t="s">
        <v>99</v>
      </c>
      <c r="K109" t="s">
        <v>104</v>
      </c>
      <c r="L109" t="s">
        <v>78</v>
      </c>
      <c r="M109" t="s">
        <v>47</v>
      </c>
      <c r="N109" t="s">
        <v>36</v>
      </c>
      <c r="O109">
        <v>45</v>
      </c>
      <c r="P109">
        <v>45</v>
      </c>
      <c r="Q109">
        <v>60.1</v>
      </c>
      <c r="R109">
        <v>850</v>
      </c>
      <c r="S109">
        <v>850</v>
      </c>
      <c r="T109">
        <v>0</v>
      </c>
      <c r="U109">
        <v>0</v>
      </c>
      <c r="V109">
        <v>1</v>
      </c>
      <c r="W109">
        <v>0</v>
      </c>
      <c r="X109">
        <v>0.85</v>
      </c>
    </row>
    <row r="110" spans="1:24" x14ac:dyDescent="0.3">
      <c r="A110" t="s">
        <v>301</v>
      </c>
      <c r="B110" s="1">
        <v>45903</v>
      </c>
      <c r="C110" t="s">
        <v>49</v>
      </c>
      <c r="D110" t="s">
        <v>57</v>
      </c>
      <c r="E110" t="s">
        <v>40</v>
      </c>
      <c r="F110" t="s">
        <v>28</v>
      </c>
      <c r="G110" t="s">
        <v>29</v>
      </c>
      <c r="H110" t="s">
        <v>30</v>
      </c>
      <c r="I110" t="s">
        <v>302</v>
      </c>
      <c r="J110" t="s">
        <v>32</v>
      </c>
      <c r="K110" t="s">
        <v>104</v>
      </c>
      <c r="L110" t="s">
        <v>34</v>
      </c>
      <c r="M110" t="s">
        <v>35</v>
      </c>
      <c r="N110" t="s">
        <v>95</v>
      </c>
      <c r="O110">
        <v>60</v>
      </c>
      <c r="P110">
        <v>0</v>
      </c>
      <c r="Q110">
        <v>74.400000000000006</v>
      </c>
      <c r="R110">
        <v>1250</v>
      </c>
      <c r="S110">
        <v>0</v>
      </c>
      <c r="T110">
        <v>1250</v>
      </c>
      <c r="U110">
        <v>1</v>
      </c>
      <c r="V110">
        <v>0</v>
      </c>
      <c r="W110">
        <v>0</v>
      </c>
      <c r="X110">
        <v>0.85</v>
      </c>
    </row>
    <row r="111" spans="1:24" x14ac:dyDescent="0.3">
      <c r="A111" t="s">
        <v>303</v>
      </c>
      <c r="B111" s="1">
        <v>45733</v>
      </c>
      <c r="C111" t="s">
        <v>56</v>
      </c>
      <c r="D111" t="s">
        <v>39</v>
      </c>
      <c r="E111" t="s">
        <v>83</v>
      </c>
      <c r="F111" t="s">
        <v>58</v>
      </c>
      <c r="G111" t="s">
        <v>59</v>
      </c>
      <c r="H111" t="s">
        <v>73</v>
      </c>
      <c r="I111" t="s">
        <v>304</v>
      </c>
      <c r="J111" t="s">
        <v>62</v>
      </c>
      <c r="K111" t="s">
        <v>63</v>
      </c>
      <c r="L111" t="s">
        <v>64</v>
      </c>
      <c r="M111" t="s">
        <v>71</v>
      </c>
      <c r="N111" t="s">
        <v>36</v>
      </c>
      <c r="O111">
        <v>60</v>
      </c>
      <c r="P111">
        <v>60</v>
      </c>
      <c r="Q111">
        <v>73.900000000000006</v>
      </c>
      <c r="R111">
        <v>1500</v>
      </c>
      <c r="S111">
        <v>1500</v>
      </c>
      <c r="T111">
        <v>0</v>
      </c>
      <c r="U111">
        <v>0</v>
      </c>
      <c r="V111">
        <v>1</v>
      </c>
      <c r="W111">
        <v>0</v>
      </c>
      <c r="X111">
        <v>0.85</v>
      </c>
    </row>
    <row r="112" spans="1:24" x14ac:dyDescent="0.3">
      <c r="A112" t="s">
        <v>305</v>
      </c>
      <c r="B112" s="1">
        <v>45662</v>
      </c>
      <c r="C112" t="s">
        <v>130</v>
      </c>
      <c r="D112" t="s">
        <v>287</v>
      </c>
      <c r="E112" t="s">
        <v>83</v>
      </c>
      <c r="F112" t="s">
        <v>41</v>
      </c>
      <c r="G112" t="s">
        <v>42</v>
      </c>
      <c r="H112" t="s">
        <v>43</v>
      </c>
      <c r="I112" t="s">
        <v>306</v>
      </c>
      <c r="J112" t="s">
        <v>137</v>
      </c>
      <c r="K112" t="s">
        <v>33</v>
      </c>
      <c r="L112" t="s">
        <v>64</v>
      </c>
      <c r="M112" t="s">
        <v>47</v>
      </c>
      <c r="N112" t="s">
        <v>36</v>
      </c>
      <c r="O112">
        <v>60</v>
      </c>
      <c r="P112">
        <v>60</v>
      </c>
      <c r="Q112">
        <v>66.3</v>
      </c>
      <c r="R112">
        <v>1350</v>
      </c>
      <c r="S112">
        <v>1350</v>
      </c>
      <c r="T112">
        <v>0</v>
      </c>
      <c r="U112">
        <v>0</v>
      </c>
      <c r="V112">
        <v>1</v>
      </c>
      <c r="W112">
        <v>0</v>
      </c>
      <c r="X112">
        <v>0.85</v>
      </c>
    </row>
    <row r="113" spans="1:24" x14ac:dyDescent="0.3">
      <c r="A113" t="s">
        <v>307</v>
      </c>
      <c r="B113" s="1">
        <v>45909</v>
      </c>
      <c r="C113" t="s">
        <v>49</v>
      </c>
      <c r="D113" t="s">
        <v>26</v>
      </c>
      <c r="E113" t="s">
        <v>27</v>
      </c>
      <c r="F113" t="s">
        <v>41</v>
      </c>
      <c r="G113" t="s">
        <v>42</v>
      </c>
      <c r="H113" t="s">
        <v>125</v>
      </c>
      <c r="I113" t="s">
        <v>308</v>
      </c>
      <c r="J113" t="s">
        <v>32</v>
      </c>
      <c r="K113" t="s">
        <v>63</v>
      </c>
      <c r="L113" t="s">
        <v>78</v>
      </c>
      <c r="M113" t="s">
        <v>35</v>
      </c>
      <c r="N113" t="s">
        <v>36</v>
      </c>
      <c r="O113">
        <v>60</v>
      </c>
      <c r="P113">
        <v>60</v>
      </c>
      <c r="Q113">
        <v>68.3</v>
      </c>
      <c r="R113">
        <v>1250</v>
      </c>
      <c r="S113">
        <v>1250</v>
      </c>
      <c r="T113">
        <v>0</v>
      </c>
      <c r="U113">
        <v>0</v>
      </c>
      <c r="V113">
        <v>1</v>
      </c>
      <c r="W113">
        <v>0</v>
      </c>
      <c r="X113">
        <v>0.85</v>
      </c>
    </row>
    <row r="114" spans="1:24" x14ac:dyDescent="0.3">
      <c r="A114" t="s">
        <v>309</v>
      </c>
      <c r="B114" s="1">
        <v>45993</v>
      </c>
      <c r="C114" t="s">
        <v>25</v>
      </c>
      <c r="D114" t="s">
        <v>26</v>
      </c>
      <c r="E114" t="s">
        <v>27</v>
      </c>
      <c r="F114" t="s">
        <v>41</v>
      </c>
      <c r="G114" t="s">
        <v>42</v>
      </c>
      <c r="H114" t="s">
        <v>125</v>
      </c>
      <c r="I114" t="s">
        <v>310</v>
      </c>
      <c r="J114" t="s">
        <v>53</v>
      </c>
      <c r="K114" t="s">
        <v>63</v>
      </c>
      <c r="L114" t="s">
        <v>64</v>
      </c>
      <c r="M114" t="s">
        <v>71</v>
      </c>
      <c r="N114" t="s">
        <v>36</v>
      </c>
      <c r="O114">
        <v>45</v>
      </c>
      <c r="P114">
        <v>45</v>
      </c>
      <c r="Q114">
        <v>53.1</v>
      </c>
      <c r="R114">
        <v>1200</v>
      </c>
      <c r="S114">
        <v>1200</v>
      </c>
      <c r="T114">
        <v>0</v>
      </c>
      <c r="U114">
        <v>0</v>
      </c>
      <c r="V114">
        <v>1</v>
      </c>
      <c r="W114">
        <v>0</v>
      </c>
      <c r="X114">
        <v>0.85</v>
      </c>
    </row>
    <row r="115" spans="1:24" x14ac:dyDescent="0.3">
      <c r="A115" t="s">
        <v>311</v>
      </c>
      <c r="B115" s="1">
        <v>45789</v>
      </c>
      <c r="C115" t="s">
        <v>128</v>
      </c>
      <c r="D115" t="s">
        <v>39</v>
      </c>
      <c r="E115" t="s">
        <v>40</v>
      </c>
      <c r="F115" t="s">
        <v>28</v>
      </c>
      <c r="G115" t="s">
        <v>29</v>
      </c>
      <c r="H115" t="s">
        <v>135</v>
      </c>
      <c r="I115" t="s">
        <v>312</v>
      </c>
      <c r="J115" t="s">
        <v>62</v>
      </c>
      <c r="K115" t="s">
        <v>85</v>
      </c>
      <c r="L115" t="s">
        <v>78</v>
      </c>
      <c r="M115" t="s">
        <v>47</v>
      </c>
      <c r="N115" t="s">
        <v>36</v>
      </c>
      <c r="O115">
        <v>45</v>
      </c>
      <c r="P115">
        <v>45</v>
      </c>
      <c r="Q115">
        <v>56.7</v>
      </c>
      <c r="R115">
        <v>850</v>
      </c>
      <c r="S115">
        <v>850</v>
      </c>
      <c r="T115">
        <v>0</v>
      </c>
      <c r="U115">
        <v>0</v>
      </c>
      <c r="V115">
        <v>1</v>
      </c>
      <c r="W115">
        <v>0</v>
      </c>
      <c r="X115">
        <v>0.85</v>
      </c>
    </row>
    <row r="116" spans="1:24" x14ac:dyDescent="0.3">
      <c r="A116" t="s">
        <v>313</v>
      </c>
      <c r="B116" s="1">
        <v>45741</v>
      </c>
      <c r="C116" t="s">
        <v>56</v>
      </c>
      <c r="D116" t="s">
        <v>26</v>
      </c>
      <c r="E116" t="s">
        <v>83</v>
      </c>
      <c r="F116" t="s">
        <v>28</v>
      </c>
      <c r="G116" t="s">
        <v>29</v>
      </c>
      <c r="H116" t="s">
        <v>210</v>
      </c>
      <c r="I116" t="s">
        <v>314</v>
      </c>
      <c r="J116" t="s">
        <v>62</v>
      </c>
      <c r="K116" t="s">
        <v>85</v>
      </c>
      <c r="L116" t="s">
        <v>78</v>
      </c>
      <c r="M116" t="s">
        <v>94</v>
      </c>
      <c r="N116" t="s">
        <v>153</v>
      </c>
      <c r="O116">
        <v>45</v>
      </c>
      <c r="P116">
        <v>0</v>
      </c>
      <c r="Q116">
        <v>50.7</v>
      </c>
      <c r="R116">
        <v>850</v>
      </c>
      <c r="S116">
        <v>0</v>
      </c>
      <c r="T116">
        <v>0</v>
      </c>
      <c r="U116">
        <v>0</v>
      </c>
      <c r="V116">
        <v>0</v>
      </c>
      <c r="W116">
        <v>0</v>
      </c>
      <c r="X116">
        <v>0.85</v>
      </c>
    </row>
    <row r="117" spans="1:24" x14ac:dyDescent="0.3">
      <c r="A117" t="s">
        <v>315</v>
      </c>
      <c r="B117" s="1">
        <v>46014</v>
      </c>
      <c r="C117" t="s">
        <v>25</v>
      </c>
      <c r="D117" t="s">
        <v>26</v>
      </c>
      <c r="E117" t="s">
        <v>68</v>
      </c>
      <c r="F117" t="s">
        <v>28</v>
      </c>
      <c r="G117" t="s">
        <v>29</v>
      </c>
      <c r="H117" t="s">
        <v>210</v>
      </c>
      <c r="I117" t="s">
        <v>316</v>
      </c>
      <c r="J117" t="s">
        <v>62</v>
      </c>
      <c r="K117" t="s">
        <v>46</v>
      </c>
      <c r="L117" t="s">
        <v>34</v>
      </c>
      <c r="M117" t="s">
        <v>47</v>
      </c>
      <c r="N117" t="s">
        <v>36</v>
      </c>
      <c r="O117">
        <v>90</v>
      </c>
      <c r="P117">
        <v>90</v>
      </c>
      <c r="Q117">
        <v>110.4</v>
      </c>
      <c r="R117">
        <v>1900</v>
      </c>
      <c r="S117">
        <v>1900</v>
      </c>
      <c r="T117">
        <v>0</v>
      </c>
      <c r="U117">
        <v>0</v>
      </c>
      <c r="V117">
        <v>1</v>
      </c>
      <c r="W117">
        <v>0</v>
      </c>
      <c r="X117">
        <v>0.85</v>
      </c>
    </row>
    <row r="118" spans="1:24" x14ac:dyDescent="0.3">
      <c r="A118" t="s">
        <v>317</v>
      </c>
      <c r="B118" s="1">
        <v>45862</v>
      </c>
      <c r="C118" t="s">
        <v>101</v>
      </c>
      <c r="D118" t="s">
        <v>50</v>
      </c>
      <c r="E118" t="s">
        <v>83</v>
      </c>
      <c r="F118" t="s">
        <v>58</v>
      </c>
      <c r="G118" t="s">
        <v>59</v>
      </c>
      <c r="H118" t="s">
        <v>117</v>
      </c>
      <c r="I118" t="s">
        <v>318</v>
      </c>
      <c r="J118" t="s">
        <v>62</v>
      </c>
      <c r="K118" t="s">
        <v>33</v>
      </c>
      <c r="L118" t="s">
        <v>34</v>
      </c>
      <c r="M118" t="s">
        <v>35</v>
      </c>
      <c r="N118" t="s">
        <v>36</v>
      </c>
      <c r="O118">
        <v>60</v>
      </c>
      <c r="P118">
        <v>60</v>
      </c>
      <c r="Q118">
        <v>71.5</v>
      </c>
      <c r="R118">
        <v>1500</v>
      </c>
      <c r="S118">
        <v>1500</v>
      </c>
      <c r="T118">
        <v>0</v>
      </c>
      <c r="U118">
        <v>0</v>
      </c>
      <c r="V118">
        <v>1</v>
      </c>
      <c r="W118">
        <v>0</v>
      </c>
      <c r="X118">
        <v>0.85</v>
      </c>
    </row>
    <row r="119" spans="1:24" x14ac:dyDescent="0.3">
      <c r="A119" t="s">
        <v>319</v>
      </c>
      <c r="B119" s="1">
        <v>45716</v>
      </c>
      <c r="C119" t="s">
        <v>76</v>
      </c>
      <c r="D119" t="s">
        <v>82</v>
      </c>
      <c r="E119" t="s">
        <v>68</v>
      </c>
      <c r="F119" t="s">
        <v>58</v>
      </c>
      <c r="G119" t="s">
        <v>59</v>
      </c>
      <c r="H119" t="s">
        <v>73</v>
      </c>
      <c r="I119" t="s">
        <v>320</v>
      </c>
      <c r="J119" t="s">
        <v>32</v>
      </c>
      <c r="K119" t="s">
        <v>33</v>
      </c>
      <c r="L119" t="s">
        <v>64</v>
      </c>
      <c r="M119" t="s">
        <v>35</v>
      </c>
      <c r="N119" t="s">
        <v>36</v>
      </c>
      <c r="O119">
        <v>45</v>
      </c>
      <c r="P119">
        <v>45</v>
      </c>
      <c r="Q119">
        <v>57.7</v>
      </c>
      <c r="R119">
        <v>1100</v>
      </c>
      <c r="S119">
        <v>1100</v>
      </c>
      <c r="T119">
        <v>0</v>
      </c>
      <c r="U119">
        <v>0</v>
      </c>
      <c r="V119">
        <v>1</v>
      </c>
      <c r="W119">
        <v>0</v>
      </c>
      <c r="X119">
        <v>0.85</v>
      </c>
    </row>
    <row r="120" spans="1:24" x14ac:dyDescent="0.3">
      <c r="A120" t="s">
        <v>321</v>
      </c>
      <c r="B120" s="1">
        <v>45982</v>
      </c>
      <c r="C120" t="s">
        <v>38</v>
      </c>
      <c r="D120" t="s">
        <v>82</v>
      </c>
      <c r="E120" t="s">
        <v>27</v>
      </c>
      <c r="F120" t="s">
        <v>41</v>
      </c>
      <c r="G120" t="s">
        <v>42</v>
      </c>
      <c r="H120" t="s">
        <v>89</v>
      </c>
      <c r="I120" t="s">
        <v>322</v>
      </c>
      <c r="J120" t="s">
        <v>62</v>
      </c>
      <c r="K120" t="s">
        <v>104</v>
      </c>
      <c r="L120" t="s">
        <v>34</v>
      </c>
      <c r="M120" t="s">
        <v>86</v>
      </c>
      <c r="N120" t="s">
        <v>36</v>
      </c>
      <c r="O120">
        <v>60</v>
      </c>
      <c r="P120">
        <v>60</v>
      </c>
      <c r="Q120">
        <v>69.8</v>
      </c>
      <c r="R120">
        <v>1350</v>
      </c>
      <c r="S120">
        <v>1350</v>
      </c>
      <c r="T120">
        <v>0</v>
      </c>
      <c r="U120">
        <v>0</v>
      </c>
      <c r="V120">
        <v>1</v>
      </c>
      <c r="W120">
        <v>0</v>
      </c>
      <c r="X120">
        <v>0.85</v>
      </c>
    </row>
    <row r="121" spans="1:24" x14ac:dyDescent="0.3">
      <c r="A121" t="s">
        <v>323</v>
      </c>
      <c r="B121" s="1">
        <v>45898</v>
      </c>
      <c r="C121" t="s">
        <v>110</v>
      </c>
      <c r="D121" t="s">
        <v>82</v>
      </c>
      <c r="E121" t="s">
        <v>40</v>
      </c>
      <c r="F121" t="s">
        <v>41</v>
      </c>
      <c r="G121" t="s">
        <v>42</v>
      </c>
      <c r="H121" t="s">
        <v>125</v>
      </c>
      <c r="I121" t="s">
        <v>324</v>
      </c>
      <c r="J121" t="s">
        <v>137</v>
      </c>
      <c r="K121" t="s">
        <v>70</v>
      </c>
      <c r="L121" t="s">
        <v>54</v>
      </c>
      <c r="M121" t="s">
        <v>47</v>
      </c>
      <c r="N121" t="s">
        <v>36</v>
      </c>
      <c r="O121">
        <v>75</v>
      </c>
      <c r="P121">
        <v>75</v>
      </c>
      <c r="Q121">
        <v>89.1</v>
      </c>
      <c r="R121">
        <v>1450</v>
      </c>
      <c r="S121">
        <v>1450</v>
      </c>
      <c r="T121">
        <v>0</v>
      </c>
      <c r="U121">
        <v>0</v>
      </c>
      <c r="V121">
        <v>1</v>
      </c>
      <c r="W121">
        <v>0</v>
      </c>
      <c r="X121">
        <v>0.85</v>
      </c>
    </row>
    <row r="122" spans="1:24" x14ac:dyDescent="0.3">
      <c r="A122" t="s">
        <v>325</v>
      </c>
      <c r="B122" s="1">
        <v>45950</v>
      </c>
      <c r="C122" t="s">
        <v>97</v>
      </c>
      <c r="D122" t="s">
        <v>39</v>
      </c>
      <c r="E122" t="s">
        <v>83</v>
      </c>
      <c r="F122" t="s">
        <v>58</v>
      </c>
      <c r="G122" t="s">
        <v>59</v>
      </c>
      <c r="H122" t="s">
        <v>73</v>
      </c>
      <c r="I122" t="s">
        <v>326</v>
      </c>
      <c r="J122" t="s">
        <v>62</v>
      </c>
      <c r="K122" t="s">
        <v>104</v>
      </c>
      <c r="L122" t="s">
        <v>34</v>
      </c>
      <c r="M122" t="s">
        <v>35</v>
      </c>
      <c r="N122" t="s">
        <v>36</v>
      </c>
      <c r="O122">
        <v>30</v>
      </c>
      <c r="P122">
        <v>30</v>
      </c>
      <c r="Q122">
        <v>35.700000000000003</v>
      </c>
      <c r="R122">
        <v>750</v>
      </c>
      <c r="S122">
        <v>750</v>
      </c>
      <c r="T122">
        <v>0</v>
      </c>
      <c r="U122">
        <v>0</v>
      </c>
      <c r="V122">
        <v>1</v>
      </c>
      <c r="W122">
        <v>0</v>
      </c>
      <c r="X122">
        <v>0.85</v>
      </c>
    </row>
    <row r="123" spans="1:24" x14ac:dyDescent="0.3">
      <c r="A123" t="s">
        <v>327</v>
      </c>
      <c r="B123" s="1">
        <v>45985</v>
      </c>
      <c r="C123" t="s">
        <v>38</v>
      </c>
      <c r="D123" t="s">
        <v>39</v>
      </c>
      <c r="E123" t="s">
        <v>27</v>
      </c>
      <c r="F123" t="s">
        <v>28</v>
      </c>
      <c r="G123" t="s">
        <v>29</v>
      </c>
      <c r="H123" t="s">
        <v>135</v>
      </c>
      <c r="I123" t="s">
        <v>328</v>
      </c>
      <c r="J123" t="s">
        <v>62</v>
      </c>
      <c r="K123" t="s">
        <v>70</v>
      </c>
      <c r="L123" t="s">
        <v>34</v>
      </c>
      <c r="M123" t="s">
        <v>94</v>
      </c>
      <c r="N123" t="s">
        <v>36</v>
      </c>
      <c r="O123">
        <v>45</v>
      </c>
      <c r="P123">
        <v>45</v>
      </c>
      <c r="Q123">
        <v>50.3</v>
      </c>
      <c r="R123">
        <v>950</v>
      </c>
      <c r="S123">
        <v>950</v>
      </c>
      <c r="T123">
        <v>0</v>
      </c>
      <c r="U123">
        <v>0</v>
      </c>
      <c r="V123">
        <v>1</v>
      </c>
      <c r="W123">
        <v>0</v>
      </c>
      <c r="X123">
        <v>0.85</v>
      </c>
    </row>
    <row r="124" spans="1:24" x14ac:dyDescent="0.3">
      <c r="A124" t="s">
        <v>329</v>
      </c>
      <c r="B124" s="1">
        <v>45702</v>
      </c>
      <c r="C124" t="s">
        <v>76</v>
      </c>
      <c r="D124" t="s">
        <v>82</v>
      </c>
      <c r="E124" t="s">
        <v>68</v>
      </c>
      <c r="F124" t="s">
        <v>28</v>
      </c>
      <c r="G124" t="s">
        <v>29</v>
      </c>
      <c r="H124" t="s">
        <v>120</v>
      </c>
      <c r="I124" t="s">
        <v>330</v>
      </c>
      <c r="J124" t="s">
        <v>32</v>
      </c>
      <c r="K124" t="s">
        <v>33</v>
      </c>
      <c r="L124" t="s">
        <v>34</v>
      </c>
      <c r="M124" t="s">
        <v>47</v>
      </c>
      <c r="N124" t="s">
        <v>153</v>
      </c>
      <c r="O124">
        <v>75</v>
      </c>
      <c r="P124">
        <v>0</v>
      </c>
      <c r="Q124">
        <v>84.1</v>
      </c>
      <c r="R124">
        <v>1550</v>
      </c>
      <c r="S124">
        <v>0</v>
      </c>
      <c r="T124">
        <v>0</v>
      </c>
      <c r="U124">
        <v>0</v>
      </c>
      <c r="V124">
        <v>0</v>
      </c>
      <c r="W124">
        <v>0</v>
      </c>
      <c r="X124">
        <v>0.85</v>
      </c>
    </row>
    <row r="125" spans="1:24" x14ac:dyDescent="0.3">
      <c r="A125" t="s">
        <v>331</v>
      </c>
      <c r="B125" s="1">
        <v>45924</v>
      </c>
      <c r="C125" t="s">
        <v>49</v>
      </c>
      <c r="D125" t="s">
        <v>57</v>
      </c>
      <c r="E125" t="s">
        <v>68</v>
      </c>
      <c r="F125" t="s">
        <v>58</v>
      </c>
      <c r="G125" t="s">
        <v>59</v>
      </c>
      <c r="H125" t="s">
        <v>60</v>
      </c>
      <c r="I125" t="s">
        <v>332</v>
      </c>
      <c r="J125" t="s">
        <v>45</v>
      </c>
      <c r="K125" t="s">
        <v>63</v>
      </c>
      <c r="L125" t="s">
        <v>54</v>
      </c>
      <c r="M125" t="s">
        <v>71</v>
      </c>
      <c r="N125" t="s">
        <v>95</v>
      </c>
      <c r="O125">
        <v>45</v>
      </c>
      <c r="P125">
        <v>0</v>
      </c>
      <c r="Q125">
        <v>49.7</v>
      </c>
      <c r="R125">
        <v>1100</v>
      </c>
      <c r="S125">
        <v>0</v>
      </c>
      <c r="T125">
        <v>1100</v>
      </c>
      <c r="U125">
        <v>1</v>
      </c>
      <c r="V125">
        <v>0</v>
      </c>
      <c r="W125">
        <v>0</v>
      </c>
      <c r="X125">
        <v>0.85</v>
      </c>
    </row>
    <row r="126" spans="1:24" x14ac:dyDescent="0.3">
      <c r="A126" t="s">
        <v>333</v>
      </c>
      <c r="B126" s="1">
        <v>45880</v>
      </c>
      <c r="C126" t="s">
        <v>110</v>
      </c>
      <c r="D126" t="s">
        <v>39</v>
      </c>
      <c r="E126" t="s">
        <v>83</v>
      </c>
      <c r="F126" t="s">
        <v>41</v>
      </c>
      <c r="G126" t="s">
        <v>42</v>
      </c>
      <c r="H126" t="s">
        <v>43</v>
      </c>
      <c r="I126" t="s">
        <v>334</v>
      </c>
      <c r="J126" t="s">
        <v>32</v>
      </c>
      <c r="K126" t="s">
        <v>33</v>
      </c>
      <c r="L126" t="s">
        <v>34</v>
      </c>
      <c r="M126" t="s">
        <v>86</v>
      </c>
      <c r="N126" t="s">
        <v>113</v>
      </c>
      <c r="O126">
        <v>45</v>
      </c>
      <c r="P126">
        <v>0</v>
      </c>
      <c r="Q126">
        <v>49.7</v>
      </c>
      <c r="R126">
        <v>1000</v>
      </c>
      <c r="S126">
        <v>0</v>
      </c>
      <c r="T126">
        <v>1000</v>
      </c>
      <c r="U126">
        <v>0</v>
      </c>
      <c r="V126">
        <v>0</v>
      </c>
      <c r="W126">
        <v>1</v>
      </c>
      <c r="X126">
        <v>0.85</v>
      </c>
    </row>
    <row r="127" spans="1:24" x14ac:dyDescent="0.3">
      <c r="A127" t="s">
        <v>335</v>
      </c>
      <c r="B127" s="1">
        <v>45811</v>
      </c>
      <c r="C127" t="s">
        <v>67</v>
      </c>
      <c r="D127" t="s">
        <v>26</v>
      </c>
      <c r="E127" t="s">
        <v>27</v>
      </c>
      <c r="F127" t="s">
        <v>58</v>
      </c>
      <c r="G127" t="s">
        <v>59</v>
      </c>
      <c r="H127" t="s">
        <v>60</v>
      </c>
      <c r="I127" t="s">
        <v>44</v>
      </c>
      <c r="J127" t="s">
        <v>99</v>
      </c>
      <c r="K127" t="s">
        <v>70</v>
      </c>
      <c r="L127" t="s">
        <v>64</v>
      </c>
      <c r="M127" t="s">
        <v>86</v>
      </c>
      <c r="N127" t="s">
        <v>36</v>
      </c>
      <c r="O127">
        <v>60</v>
      </c>
      <c r="P127">
        <v>60</v>
      </c>
      <c r="Q127">
        <v>66.2</v>
      </c>
      <c r="R127">
        <v>1500</v>
      </c>
      <c r="S127">
        <v>1500</v>
      </c>
      <c r="T127">
        <v>0</v>
      </c>
      <c r="U127">
        <v>0</v>
      </c>
      <c r="V127">
        <v>1</v>
      </c>
      <c r="W127">
        <v>0</v>
      </c>
      <c r="X127">
        <v>0.85</v>
      </c>
    </row>
    <row r="128" spans="1:24" x14ac:dyDescent="0.3">
      <c r="A128" t="s">
        <v>336</v>
      </c>
      <c r="B128" s="1">
        <v>45932</v>
      </c>
      <c r="C128" t="s">
        <v>97</v>
      </c>
      <c r="D128" t="s">
        <v>50</v>
      </c>
      <c r="E128" t="s">
        <v>68</v>
      </c>
      <c r="F128" t="s">
        <v>58</v>
      </c>
      <c r="G128" t="s">
        <v>59</v>
      </c>
      <c r="H128" t="s">
        <v>151</v>
      </c>
      <c r="I128" t="s">
        <v>337</v>
      </c>
      <c r="J128" t="s">
        <v>62</v>
      </c>
      <c r="K128" t="s">
        <v>63</v>
      </c>
      <c r="L128" t="s">
        <v>34</v>
      </c>
      <c r="M128" t="s">
        <v>71</v>
      </c>
      <c r="N128" t="s">
        <v>36</v>
      </c>
      <c r="O128">
        <v>45</v>
      </c>
      <c r="P128">
        <v>45</v>
      </c>
      <c r="Q128">
        <v>50.1</v>
      </c>
      <c r="R128">
        <v>1100</v>
      </c>
      <c r="S128">
        <v>1100</v>
      </c>
      <c r="T128">
        <v>0</v>
      </c>
      <c r="U128">
        <v>0</v>
      </c>
      <c r="V128">
        <v>1</v>
      </c>
      <c r="W128">
        <v>0</v>
      </c>
      <c r="X128">
        <v>0.85</v>
      </c>
    </row>
    <row r="129" spans="1:24" x14ac:dyDescent="0.3">
      <c r="A129" t="s">
        <v>338</v>
      </c>
      <c r="B129" s="1">
        <v>45723</v>
      </c>
      <c r="C129" t="s">
        <v>56</v>
      </c>
      <c r="D129" t="s">
        <v>82</v>
      </c>
      <c r="E129" t="s">
        <v>83</v>
      </c>
      <c r="F129" t="s">
        <v>58</v>
      </c>
      <c r="G129" t="s">
        <v>59</v>
      </c>
      <c r="H129" t="s">
        <v>151</v>
      </c>
      <c r="I129" t="s">
        <v>163</v>
      </c>
      <c r="J129" t="s">
        <v>99</v>
      </c>
      <c r="K129" t="s">
        <v>46</v>
      </c>
      <c r="L129" t="s">
        <v>78</v>
      </c>
      <c r="M129" t="s">
        <v>94</v>
      </c>
      <c r="N129" t="s">
        <v>36</v>
      </c>
      <c r="O129">
        <v>60</v>
      </c>
      <c r="P129">
        <v>60</v>
      </c>
      <c r="Q129">
        <v>65.599999999999994</v>
      </c>
      <c r="R129">
        <v>1400</v>
      </c>
      <c r="S129">
        <v>1400</v>
      </c>
      <c r="T129">
        <v>0</v>
      </c>
      <c r="U129">
        <v>0</v>
      </c>
      <c r="V129">
        <v>1</v>
      </c>
      <c r="W129">
        <v>0</v>
      </c>
      <c r="X129">
        <v>0.85</v>
      </c>
    </row>
    <row r="130" spans="1:24" x14ac:dyDescent="0.3">
      <c r="A130" t="s">
        <v>339</v>
      </c>
      <c r="B130" s="1">
        <v>45752</v>
      </c>
      <c r="C130" t="s">
        <v>92</v>
      </c>
      <c r="D130" t="s">
        <v>88</v>
      </c>
      <c r="E130" t="s">
        <v>40</v>
      </c>
      <c r="F130" t="s">
        <v>41</v>
      </c>
      <c r="G130" t="s">
        <v>42</v>
      </c>
      <c r="H130" t="s">
        <v>111</v>
      </c>
      <c r="I130" t="s">
        <v>340</v>
      </c>
      <c r="J130" t="s">
        <v>32</v>
      </c>
      <c r="K130" t="s">
        <v>104</v>
      </c>
      <c r="L130" t="s">
        <v>64</v>
      </c>
      <c r="M130" t="s">
        <v>47</v>
      </c>
      <c r="N130" t="s">
        <v>36</v>
      </c>
      <c r="O130">
        <v>75</v>
      </c>
      <c r="P130">
        <v>75</v>
      </c>
      <c r="Q130">
        <v>82.9</v>
      </c>
      <c r="R130">
        <v>1700</v>
      </c>
      <c r="S130">
        <v>1700</v>
      </c>
      <c r="T130">
        <v>0</v>
      </c>
      <c r="U130">
        <v>0</v>
      </c>
      <c r="V130">
        <v>1</v>
      </c>
      <c r="W130">
        <v>0</v>
      </c>
      <c r="X130">
        <v>0.85</v>
      </c>
    </row>
    <row r="131" spans="1:24" x14ac:dyDescent="0.3">
      <c r="A131" t="s">
        <v>341</v>
      </c>
      <c r="B131" s="1">
        <v>45698</v>
      </c>
      <c r="C131" t="s">
        <v>76</v>
      </c>
      <c r="D131" t="s">
        <v>39</v>
      </c>
      <c r="E131" t="s">
        <v>83</v>
      </c>
      <c r="F131" t="s">
        <v>41</v>
      </c>
      <c r="G131" t="s">
        <v>42</v>
      </c>
      <c r="H131" t="s">
        <v>125</v>
      </c>
      <c r="I131" t="s">
        <v>342</v>
      </c>
      <c r="J131" t="s">
        <v>45</v>
      </c>
      <c r="K131" t="s">
        <v>85</v>
      </c>
      <c r="L131" t="s">
        <v>34</v>
      </c>
      <c r="M131" t="s">
        <v>71</v>
      </c>
      <c r="N131" t="s">
        <v>95</v>
      </c>
      <c r="O131">
        <v>75</v>
      </c>
      <c r="P131">
        <v>0</v>
      </c>
      <c r="Q131">
        <v>87.2</v>
      </c>
      <c r="R131">
        <v>1950</v>
      </c>
      <c r="S131">
        <v>0</v>
      </c>
      <c r="T131">
        <v>1950</v>
      </c>
      <c r="U131">
        <v>1</v>
      </c>
      <c r="V131">
        <v>0</v>
      </c>
      <c r="W131">
        <v>0</v>
      </c>
      <c r="X131">
        <v>0.85</v>
      </c>
    </row>
    <row r="132" spans="1:24" x14ac:dyDescent="0.3">
      <c r="A132" t="s">
        <v>343</v>
      </c>
      <c r="B132" s="1">
        <v>45975</v>
      </c>
      <c r="C132" t="s">
        <v>38</v>
      </c>
      <c r="D132" t="s">
        <v>82</v>
      </c>
      <c r="E132" t="s">
        <v>27</v>
      </c>
      <c r="F132" t="s">
        <v>41</v>
      </c>
      <c r="G132" t="s">
        <v>42</v>
      </c>
      <c r="H132" t="s">
        <v>89</v>
      </c>
      <c r="I132" t="s">
        <v>344</v>
      </c>
      <c r="J132" t="s">
        <v>53</v>
      </c>
      <c r="K132" t="s">
        <v>63</v>
      </c>
      <c r="L132" t="s">
        <v>34</v>
      </c>
      <c r="M132" t="s">
        <v>65</v>
      </c>
      <c r="N132" t="s">
        <v>36</v>
      </c>
      <c r="O132">
        <v>90</v>
      </c>
      <c r="P132">
        <v>90</v>
      </c>
      <c r="Q132">
        <v>120.3</v>
      </c>
      <c r="R132">
        <v>2450</v>
      </c>
      <c r="S132">
        <v>2450</v>
      </c>
      <c r="T132">
        <v>0</v>
      </c>
      <c r="U132">
        <v>0</v>
      </c>
      <c r="V132">
        <v>1</v>
      </c>
      <c r="W132">
        <v>0</v>
      </c>
      <c r="X132">
        <v>0.85</v>
      </c>
    </row>
    <row r="133" spans="1:24" x14ac:dyDescent="0.3">
      <c r="A133" t="s">
        <v>345</v>
      </c>
      <c r="B133" s="1">
        <v>45658</v>
      </c>
      <c r="C133" t="s">
        <v>130</v>
      </c>
      <c r="D133" t="s">
        <v>57</v>
      </c>
      <c r="E133" t="s">
        <v>83</v>
      </c>
      <c r="F133" t="s">
        <v>28</v>
      </c>
      <c r="G133" t="s">
        <v>29</v>
      </c>
      <c r="H133" t="s">
        <v>135</v>
      </c>
      <c r="I133" t="s">
        <v>346</v>
      </c>
      <c r="J133" t="s">
        <v>32</v>
      </c>
      <c r="K133" t="s">
        <v>70</v>
      </c>
      <c r="L133" t="s">
        <v>34</v>
      </c>
      <c r="M133" t="s">
        <v>94</v>
      </c>
      <c r="N133" t="s">
        <v>95</v>
      </c>
      <c r="O133">
        <v>30</v>
      </c>
      <c r="P133">
        <v>0</v>
      </c>
      <c r="Q133">
        <v>39.299999999999997</v>
      </c>
      <c r="R133">
        <v>600</v>
      </c>
      <c r="S133">
        <v>0</v>
      </c>
      <c r="T133">
        <v>600</v>
      </c>
      <c r="U133">
        <v>1</v>
      </c>
      <c r="V133">
        <v>0</v>
      </c>
      <c r="W133">
        <v>0</v>
      </c>
      <c r="X133">
        <v>0.85</v>
      </c>
    </row>
    <row r="134" spans="1:24" x14ac:dyDescent="0.3">
      <c r="A134" t="s">
        <v>347</v>
      </c>
      <c r="B134" s="1">
        <v>45999</v>
      </c>
      <c r="C134" t="s">
        <v>25</v>
      </c>
      <c r="D134" t="s">
        <v>39</v>
      </c>
      <c r="E134" t="s">
        <v>83</v>
      </c>
      <c r="F134" t="s">
        <v>58</v>
      </c>
      <c r="G134" t="s">
        <v>59</v>
      </c>
      <c r="H134" t="s">
        <v>73</v>
      </c>
      <c r="I134" t="s">
        <v>348</v>
      </c>
      <c r="J134" t="s">
        <v>137</v>
      </c>
      <c r="K134" t="s">
        <v>63</v>
      </c>
      <c r="L134" t="s">
        <v>64</v>
      </c>
      <c r="M134" t="s">
        <v>86</v>
      </c>
      <c r="N134" t="s">
        <v>36</v>
      </c>
      <c r="O134">
        <v>45</v>
      </c>
      <c r="P134">
        <v>45</v>
      </c>
      <c r="Q134">
        <v>58.4</v>
      </c>
      <c r="R134">
        <v>1100</v>
      </c>
      <c r="S134">
        <v>1100</v>
      </c>
      <c r="T134">
        <v>0</v>
      </c>
      <c r="U134">
        <v>0</v>
      </c>
      <c r="V134">
        <v>1</v>
      </c>
      <c r="W134">
        <v>0</v>
      </c>
      <c r="X134">
        <v>0.85</v>
      </c>
    </row>
    <row r="135" spans="1:24" x14ac:dyDescent="0.3">
      <c r="A135" t="s">
        <v>349</v>
      </c>
      <c r="B135" s="1">
        <v>45709</v>
      </c>
      <c r="C135" t="s">
        <v>76</v>
      </c>
      <c r="D135" t="s">
        <v>82</v>
      </c>
      <c r="E135" t="s">
        <v>68</v>
      </c>
      <c r="F135" t="s">
        <v>28</v>
      </c>
      <c r="G135" t="s">
        <v>29</v>
      </c>
      <c r="H135" t="s">
        <v>210</v>
      </c>
      <c r="I135" t="s">
        <v>350</v>
      </c>
      <c r="J135" t="s">
        <v>53</v>
      </c>
      <c r="K135" t="s">
        <v>33</v>
      </c>
      <c r="L135" t="s">
        <v>64</v>
      </c>
      <c r="M135" t="s">
        <v>35</v>
      </c>
      <c r="N135" t="s">
        <v>36</v>
      </c>
      <c r="O135">
        <v>60</v>
      </c>
      <c r="P135">
        <v>60</v>
      </c>
      <c r="Q135">
        <v>65.8</v>
      </c>
      <c r="R135">
        <v>1500</v>
      </c>
      <c r="S135">
        <v>1500</v>
      </c>
      <c r="T135">
        <v>0</v>
      </c>
      <c r="U135">
        <v>0</v>
      </c>
      <c r="V135">
        <v>1</v>
      </c>
      <c r="W135">
        <v>0</v>
      </c>
      <c r="X135">
        <v>0.85</v>
      </c>
    </row>
    <row r="136" spans="1:24" x14ac:dyDescent="0.3">
      <c r="A136" t="s">
        <v>351</v>
      </c>
      <c r="B136" s="1">
        <v>45866</v>
      </c>
      <c r="C136" t="s">
        <v>101</v>
      </c>
      <c r="D136" t="s">
        <v>39</v>
      </c>
      <c r="E136" t="s">
        <v>27</v>
      </c>
      <c r="F136" t="s">
        <v>41</v>
      </c>
      <c r="G136" t="s">
        <v>42</v>
      </c>
      <c r="H136" t="s">
        <v>111</v>
      </c>
      <c r="I136" t="s">
        <v>352</v>
      </c>
      <c r="J136" t="s">
        <v>62</v>
      </c>
      <c r="K136" t="s">
        <v>104</v>
      </c>
      <c r="L136" t="s">
        <v>34</v>
      </c>
      <c r="M136" t="s">
        <v>65</v>
      </c>
      <c r="N136" t="s">
        <v>36</v>
      </c>
      <c r="O136">
        <v>75</v>
      </c>
      <c r="P136">
        <v>75</v>
      </c>
      <c r="Q136">
        <v>83.6</v>
      </c>
      <c r="R136">
        <v>1700</v>
      </c>
      <c r="S136">
        <v>1700</v>
      </c>
      <c r="T136">
        <v>0</v>
      </c>
      <c r="U136">
        <v>0</v>
      </c>
      <c r="V136">
        <v>1</v>
      </c>
      <c r="W136">
        <v>0</v>
      </c>
      <c r="X136">
        <v>0.85</v>
      </c>
    </row>
    <row r="137" spans="1:24" x14ac:dyDescent="0.3">
      <c r="A137" t="s">
        <v>353</v>
      </c>
      <c r="B137" s="1">
        <v>45936</v>
      </c>
      <c r="C137" t="s">
        <v>97</v>
      </c>
      <c r="D137" t="s">
        <v>39</v>
      </c>
      <c r="E137" t="s">
        <v>83</v>
      </c>
      <c r="F137" t="s">
        <v>58</v>
      </c>
      <c r="G137" t="s">
        <v>59</v>
      </c>
      <c r="H137" t="s">
        <v>117</v>
      </c>
      <c r="I137" t="s">
        <v>354</v>
      </c>
      <c r="J137" t="s">
        <v>32</v>
      </c>
      <c r="K137" t="s">
        <v>63</v>
      </c>
      <c r="L137" t="s">
        <v>34</v>
      </c>
      <c r="M137" t="s">
        <v>47</v>
      </c>
      <c r="N137" t="s">
        <v>95</v>
      </c>
      <c r="O137">
        <v>45</v>
      </c>
      <c r="P137">
        <v>0</v>
      </c>
      <c r="Q137">
        <v>57.3</v>
      </c>
      <c r="R137">
        <v>1100</v>
      </c>
      <c r="S137">
        <v>0</v>
      </c>
      <c r="T137">
        <v>1100</v>
      </c>
      <c r="U137">
        <v>1</v>
      </c>
      <c r="V137">
        <v>0</v>
      </c>
      <c r="W137">
        <v>0</v>
      </c>
      <c r="X137">
        <v>0.85</v>
      </c>
    </row>
    <row r="138" spans="1:24" x14ac:dyDescent="0.3">
      <c r="A138" t="s">
        <v>355</v>
      </c>
      <c r="B138" s="1">
        <v>45873</v>
      </c>
      <c r="C138" t="s">
        <v>110</v>
      </c>
      <c r="D138" t="s">
        <v>39</v>
      </c>
      <c r="E138" t="s">
        <v>40</v>
      </c>
      <c r="F138" t="s">
        <v>28</v>
      </c>
      <c r="G138" t="s">
        <v>29</v>
      </c>
      <c r="H138" t="s">
        <v>120</v>
      </c>
      <c r="I138" t="s">
        <v>356</v>
      </c>
      <c r="J138" t="s">
        <v>62</v>
      </c>
      <c r="K138" t="s">
        <v>85</v>
      </c>
      <c r="L138" t="s">
        <v>64</v>
      </c>
      <c r="M138" t="s">
        <v>94</v>
      </c>
      <c r="N138" t="s">
        <v>36</v>
      </c>
      <c r="O138">
        <v>60</v>
      </c>
      <c r="P138">
        <v>60</v>
      </c>
      <c r="Q138">
        <v>73</v>
      </c>
      <c r="R138">
        <v>1250</v>
      </c>
      <c r="S138">
        <v>1250</v>
      </c>
      <c r="T138">
        <v>0</v>
      </c>
      <c r="U138">
        <v>0</v>
      </c>
      <c r="V138">
        <v>1</v>
      </c>
      <c r="W138">
        <v>0</v>
      </c>
      <c r="X138">
        <v>0.85</v>
      </c>
    </row>
    <row r="139" spans="1:24" x14ac:dyDescent="0.3">
      <c r="A139" t="s">
        <v>357</v>
      </c>
      <c r="B139" s="1">
        <v>45904</v>
      </c>
      <c r="C139" t="s">
        <v>49</v>
      </c>
      <c r="D139" t="s">
        <v>50</v>
      </c>
      <c r="E139" t="s">
        <v>83</v>
      </c>
      <c r="F139" t="s">
        <v>58</v>
      </c>
      <c r="G139" t="s">
        <v>59</v>
      </c>
      <c r="H139" t="s">
        <v>151</v>
      </c>
      <c r="I139" t="s">
        <v>358</v>
      </c>
      <c r="J139" t="s">
        <v>53</v>
      </c>
      <c r="K139" t="s">
        <v>46</v>
      </c>
      <c r="L139" t="s">
        <v>54</v>
      </c>
      <c r="M139" t="s">
        <v>65</v>
      </c>
      <c r="N139" t="s">
        <v>36</v>
      </c>
      <c r="O139">
        <v>60</v>
      </c>
      <c r="P139">
        <v>60</v>
      </c>
      <c r="Q139">
        <v>77.5</v>
      </c>
      <c r="R139">
        <v>1550</v>
      </c>
      <c r="S139">
        <v>1550</v>
      </c>
      <c r="T139">
        <v>0</v>
      </c>
      <c r="U139">
        <v>0</v>
      </c>
      <c r="V139">
        <v>1</v>
      </c>
      <c r="W139">
        <v>0</v>
      </c>
      <c r="X139">
        <v>0.85</v>
      </c>
    </row>
    <row r="140" spans="1:24" x14ac:dyDescent="0.3">
      <c r="A140" t="s">
        <v>359</v>
      </c>
      <c r="B140" s="1">
        <v>45880</v>
      </c>
      <c r="C140" t="s">
        <v>110</v>
      </c>
      <c r="D140" t="s">
        <v>39</v>
      </c>
      <c r="E140" t="s">
        <v>27</v>
      </c>
      <c r="F140" t="s">
        <v>58</v>
      </c>
      <c r="G140" t="s">
        <v>59</v>
      </c>
      <c r="H140" t="s">
        <v>60</v>
      </c>
      <c r="I140" t="s">
        <v>360</v>
      </c>
      <c r="J140" t="s">
        <v>62</v>
      </c>
      <c r="K140" t="s">
        <v>63</v>
      </c>
      <c r="L140" t="s">
        <v>54</v>
      </c>
      <c r="M140" t="s">
        <v>94</v>
      </c>
      <c r="N140" t="s">
        <v>113</v>
      </c>
      <c r="O140">
        <v>45</v>
      </c>
      <c r="P140">
        <v>0</v>
      </c>
      <c r="Q140">
        <v>57.8</v>
      </c>
      <c r="R140">
        <v>950</v>
      </c>
      <c r="S140">
        <v>0</v>
      </c>
      <c r="T140">
        <v>950</v>
      </c>
      <c r="U140">
        <v>0</v>
      </c>
      <c r="V140">
        <v>0</v>
      </c>
      <c r="W140">
        <v>1</v>
      </c>
      <c r="X140">
        <v>0.85</v>
      </c>
    </row>
    <row r="141" spans="1:24" x14ac:dyDescent="0.3">
      <c r="A141" t="s">
        <v>361</v>
      </c>
      <c r="B141" s="1">
        <v>45819</v>
      </c>
      <c r="C141" t="s">
        <v>67</v>
      </c>
      <c r="D141" t="s">
        <v>57</v>
      </c>
      <c r="E141" t="s">
        <v>27</v>
      </c>
      <c r="F141" t="s">
        <v>41</v>
      </c>
      <c r="G141" t="s">
        <v>42</v>
      </c>
      <c r="H141" t="s">
        <v>51</v>
      </c>
      <c r="I141" t="s">
        <v>362</v>
      </c>
      <c r="J141" t="s">
        <v>53</v>
      </c>
      <c r="K141" t="s">
        <v>104</v>
      </c>
      <c r="L141" t="s">
        <v>34</v>
      </c>
      <c r="M141" t="s">
        <v>94</v>
      </c>
      <c r="N141" t="s">
        <v>36</v>
      </c>
      <c r="O141">
        <v>45</v>
      </c>
      <c r="P141">
        <v>45</v>
      </c>
      <c r="Q141">
        <v>58.3</v>
      </c>
      <c r="R141">
        <v>1200</v>
      </c>
      <c r="S141">
        <v>1200</v>
      </c>
      <c r="T141">
        <v>0</v>
      </c>
      <c r="U141">
        <v>0</v>
      </c>
      <c r="V141">
        <v>1</v>
      </c>
      <c r="W141">
        <v>0</v>
      </c>
      <c r="X141">
        <v>0.85</v>
      </c>
    </row>
    <row r="142" spans="1:24" x14ac:dyDescent="0.3">
      <c r="A142" t="s">
        <v>363</v>
      </c>
      <c r="B142" s="1">
        <v>45745</v>
      </c>
      <c r="C142" t="s">
        <v>56</v>
      </c>
      <c r="D142" t="s">
        <v>88</v>
      </c>
      <c r="E142" t="s">
        <v>68</v>
      </c>
      <c r="F142" t="s">
        <v>41</v>
      </c>
      <c r="G142" t="s">
        <v>42</v>
      </c>
      <c r="H142" t="s">
        <v>125</v>
      </c>
      <c r="I142" t="s">
        <v>364</v>
      </c>
      <c r="J142" t="s">
        <v>62</v>
      </c>
      <c r="K142" t="s">
        <v>104</v>
      </c>
      <c r="L142" t="s">
        <v>34</v>
      </c>
      <c r="M142" t="s">
        <v>71</v>
      </c>
      <c r="N142" t="s">
        <v>153</v>
      </c>
      <c r="O142">
        <v>60</v>
      </c>
      <c r="P142">
        <v>0</v>
      </c>
      <c r="Q142">
        <v>66.2</v>
      </c>
      <c r="R142">
        <v>1350</v>
      </c>
      <c r="S142">
        <v>0</v>
      </c>
      <c r="T142">
        <v>0</v>
      </c>
      <c r="U142">
        <v>0</v>
      </c>
      <c r="V142">
        <v>0</v>
      </c>
      <c r="W142">
        <v>0</v>
      </c>
      <c r="X142">
        <v>0.85</v>
      </c>
    </row>
    <row r="143" spans="1:24" x14ac:dyDescent="0.3">
      <c r="A143" t="s">
        <v>365</v>
      </c>
      <c r="B143" s="1">
        <v>45944</v>
      </c>
      <c r="C143" t="s">
        <v>97</v>
      </c>
      <c r="D143" t="s">
        <v>26</v>
      </c>
      <c r="E143" t="s">
        <v>27</v>
      </c>
      <c r="F143" t="s">
        <v>58</v>
      </c>
      <c r="G143" t="s">
        <v>59</v>
      </c>
      <c r="H143" t="s">
        <v>60</v>
      </c>
      <c r="I143" t="s">
        <v>366</v>
      </c>
      <c r="J143" t="s">
        <v>62</v>
      </c>
      <c r="K143" t="s">
        <v>85</v>
      </c>
      <c r="L143" t="s">
        <v>54</v>
      </c>
      <c r="M143" t="s">
        <v>65</v>
      </c>
      <c r="N143" t="s">
        <v>36</v>
      </c>
      <c r="O143">
        <v>45</v>
      </c>
      <c r="P143">
        <v>45</v>
      </c>
      <c r="Q143">
        <v>58.6</v>
      </c>
      <c r="R143">
        <v>950</v>
      </c>
      <c r="S143">
        <v>950</v>
      </c>
      <c r="T143">
        <v>0</v>
      </c>
      <c r="U143">
        <v>0</v>
      </c>
      <c r="V143">
        <v>1</v>
      </c>
      <c r="W143">
        <v>0</v>
      </c>
      <c r="X143">
        <v>0.85</v>
      </c>
    </row>
    <row r="144" spans="1:24" x14ac:dyDescent="0.3">
      <c r="A144" t="s">
        <v>367</v>
      </c>
      <c r="B144" s="1">
        <v>45764</v>
      </c>
      <c r="C144" t="s">
        <v>92</v>
      </c>
      <c r="D144" t="s">
        <v>50</v>
      </c>
      <c r="E144" t="s">
        <v>40</v>
      </c>
      <c r="F144" t="s">
        <v>41</v>
      </c>
      <c r="G144" t="s">
        <v>42</v>
      </c>
      <c r="H144" t="s">
        <v>111</v>
      </c>
      <c r="I144" t="s">
        <v>368</v>
      </c>
      <c r="J144" t="s">
        <v>32</v>
      </c>
      <c r="K144" t="s">
        <v>70</v>
      </c>
      <c r="L144" t="s">
        <v>34</v>
      </c>
      <c r="M144" t="s">
        <v>65</v>
      </c>
      <c r="N144" t="s">
        <v>36</v>
      </c>
      <c r="O144">
        <v>60</v>
      </c>
      <c r="P144">
        <v>60</v>
      </c>
      <c r="Q144">
        <v>71.400000000000006</v>
      </c>
      <c r="R144">
        <v>1350</v>
      </c>
      <c r="S144">
        <v>1350</v>
      </c>
      <c r="T144">
        <v>0</v>
      </c>
      <c r="U144">
        <v>0</v>
      </c>
      <c r="V144">
        <v>1</v>
      </c>
      <c r="W144">
        <v>0</v>
      </c>
      <c r="X144">
        <v>0.85</v>
      </c>
    </row>
    <row r="145" spans="1:24" x14ac:dyDescent="0.3">
      <c r="A145" t="s">
        <v>369</v>
      </c>
      <c r="B145" s="1">
        <v>45776</v>
      </c>
      <c r="C145" t="s">
        <v>92</v>
      </c>
      <c r="D145" t="s">
        <v>26</v>
      </c>
      <c r="E145" t="s">
        <v>27</v>
      </c>
      <c r="F145" t="s">
        <v>28</v>
      </c>
      <c r="G145" t="s">
        <v>29</v>
      </c>
      <c r="H145" t="s">
        <v>120</v>
      </c>
      <c r="I145" t="s">
        <v>370</v>
      </c>
      <c r="J145" t="s">
        <v>32</v>
      </c>
      <c r="K145" t="s">
        <v>85</v>
      </c>
      <c r="L145" t="s">
        <v>34</v>
      </c>
      <c r="M145" t="s">
        <v>86</v>
      </c>
      <c r="N145" t="s">
        <v>36</v>
      </c>
      <c r="O145">
        <v>45</v>
      </c>
      <c r="P145">
        <v>45</v>
      </c>
      <c r="Q145">
        <v>53</v>
      </c>
      <c r="R145">
        <v>950</v>
      </c>
      <c r="S145">
        <v>950</v>
      </c>
      <c r="T145">
        <v>0</v>
      </c>
      <c r="U145">
        <v>0</v>
      </c>
      <c r="V145">
        <v>1</v>
      </c>
      <c r="W145">
        <v>0</v>
      </c>
      <c r="X145">
        <v>0.85</v>
      </c>
    </row>
    <row r="146" spans="1:24" x14ac:dyDescent="0.3">
      <c r="A146" t="s">
        <v>371</v>
      </c>
      <c r="B146" s="1">
        <v>45695</v>
      </c>
      <c r="C146" t="s">
        <v>76</v>
      </c>
      <c r="D146" t="s">
        <v>82</v>
      </c>
      <c r="E146" t="s">
        <v>27</v>
      </c>
      <c r="F146" t="s">
        <v>28</v>
      </c>
      <c r="G146" t="s">
        <v>29</v>
      </c>
      <c r="H146" t="s">
        <v>30</v>
      </c>
      <c r="I146" t="s">
        <v>372</v>
      </c>
      <c r="J146" t="s">
        <v>62</v>
      </c>
      <c r="K146" t="s">
        <v>70</v>
      </c>
      <c r="L146" t="s">
        <v>34</v>
      </c>
      <c r="M146" t="s">
        <v>71</v>
      </c>
      <c r="N146" t="s">
        <v>36</v>
      </c>
      <c r="O146">
        <v>30</v>
      </c>
      <c r="P146">
        <v>30</v>
      </c>
      <c r="Q146">
        <v>36.4</v>
      </c>
      <c r="R146">
        <v>600</v>
      </c>
      <c r="S146">
        <v>600</v>
      </c>
      <c r="T146">
        <v>0</v>
      </c>
      <c r="U146">
        <v>0</v>
      </c>
      <c r="V146">
        <v>1</v>
      </c>
      <c r="W146">
        <v>0</v>
      </c>
      <c r="X146">
        <v>0.85</v>
      </c>
    </row>
    <row r="147" spans="1:24" x14ac:dyDescent="0.3">
      <c r="A147" t="s">
        <v>373</v>
      </c>
      <c r="B147" s="1">
        <v>45996</v>
      </c>
      <c r="C147" t="s">
        <v>25</v>
      </c>
      <c r="D147" t="s">
        <v>82</v>
      </c>
      <c r="E147" t="s">
        <v>27</v>
      </c>
      <c r="F147" t="s">
        <v>28</v>
      </c>
      <c r="G147" t="s">
        <v>29</v>
      </c>
      <c r="H147" t="s">
        <v>30</v>
      </c>
      <c r="I147" t="s">
        <v>255</v>
      </c>
      <c r="J147" t="s">
        <v>62</v>
      </c>
      <c r="K147" t="s">
        <v>104</v>
      </c>
      <c r="L147" t="s">
        <v>54</v>
      </c>
      <c r="M147" t="s">
        <v>94</v>
      </c>
      <c r="N147" t="s">
        <v>36</v>
      </c>
      <c r="O147">
        <v>30</v>
      </c>
      <c r="P147">
        <v>30</v>
      </c>
      <c r="Q147">
        <v>35</v>
      </c>
      <c r="R147">
        <v>550</v>
      </c>
      <c r="S147">
        <v>550</v>
      </c>
      <c r="T147">
        <v>0</v>
      </c>
      <c r="U147">
        <v>0</v>
      </c>
      <c r="V147">
        <v>1</v>
      </c>
      <c r="W147">
        <v>0</v>
      </c>
      <c r="X147">
        <v>0.85</v>
      </c>
    </row>
    <row r="148" spans="1:24" x14ac:dyDescent="0.3">
      <c r="A148" t="s">
        <v>374</v>
      </c>
      <c r="B148" s="1">
        <v>45968</v>
      </c>
      <c r="C148" t="s">
        <v>38</v>
      </c>
      <c r="D148" t="s">
        <v>82</v>
      </c>
      <c r="E148" t="s">
        <v>27</v>
      </c>
      <c r="F148" t="s">
        <v>58</v>
      </c>
      <c r="G148" t="s">
        <v>59</v>
      </c>
      <c r="H148" t="s">
        <v>296</v>
      </c>
      <c r="I148" t="s">
        <v>375</v>
      </c>
      <c r="J148" t="s">
        <v>62</v>
      </c>
      <c r="K148" t="s">
        <v>46</v>
      </c>
      <c r="L148" t="s">
        <v>34</v>
      </c>
      <c r="M148" t="s">
        <v>71</v>
      </c>
      <c r="N148" t="s">
        <v>36</v>
      </c>
      <c r="O148">
        <v>45</v>
      </c>
      <c r="P148">
        <v>45</v>
      </c>
      <c r="Q148">
        <v>55.4</v>
      </c>
      <c r="R148">
        <v>1100</v>
      </c>
      <c r="S148">
        <v>1100</v>
      </c>
      <c r="T148">
        <v>0</v>
      </c>
      <c r="U148">
        <v>0</v>
      </c>
      <c r="V148">
        <v>1</v>
      </c>
      <c r="W148">
        <v>0</v>
      </c>
      <c r="X148">
        <v>0.85</v>
      </c>
    </row>
    <row r="149" spans="1:24" x14ac:dyDescent="0.3">
      <c r="A149" t="s">
        <v>376</v>
      </c>
      <c r="B149" s="1">
        <v>45985</v>
      </c>
      <c r="C149" t="s">
        <v>38</v>
      </c>
      <c r="D149" t="s">
        <v>39</v>
      </c>
      <c r="E149" t="s">
        <v>27</v>
      </c>
      <c r="F149" t="s">
        <v>41</v>
      </c>
      <c r="G149" t="s">
        <v>42</v>
      </c>
      <c r="H149" t="s">
        <v>51</v>
      </c>
      <c r="I149" t="s">
        <v>377</v>
      </c>
      <c r="J149" t="s">
        <v>99</v>
      </c>
      <c r="K149" t="s">
        <v>104</v>
      </c>
      <c r="L149" t="s">
        <v>64</v>
      </c>
      <c r="M149" t="s">
        <v>35</v>
      </c>
      <c r="N149" t="s">
        <v>36</v>
      </c>
      <c r="O149">
        <v>75</v>
      </c>
      <c r="P149">
        <v>75</v>
      </c>
      <c r="Q149">
        <v>83.7</v>
      </c>
      <c r="R149">
        <v>1700</v>
      </c>
      <c r="S149">
        <v>1700</v>
      </c>
      <c r="T149">
        <v>0</v>
      </c>
      <c r="U149">
        <v>0</v>
      </c>
      <c r="V149">
        <v>1</v>
      </c>
      <c r="W149">
        <v>0</v>
      </c>
      <c r="X149">
        <v>0.85</v>
      </c>
    </row>
    <row r="150" spans="1:24" x14ac:dyDescent="0.3">
      <c r="A150" t="s">
        <v>378</v>
      </c>
      <c r="B150" s="1">
        <v>45681</v>
      </c>
      <c r="C150" t="s">
        <v>130</v>
      </c>
      <c r="D150" t="s">
        <v>82</v>
      </c>
      <c r="E150" t="s">
        <v>83</v>
      </c>
      <c r="F150" t="s">
        <v>41</v>
      </c>
      <c r="G150" t="s">
        <v>42</v>
      </c>
      <c r="H150" t="s">
        <v>125</v>
      </c>
      <c r="I150" t="s">
        <v>379</v>
      </c>
      <c r="J150" t="s">
        <v>137</v>
      </c>
      <c r="K150" t="s">
        <v>104</v>
      </c>
      <c r="L150" t="s">
        <v>34</v>
      </c>
      <c r="M150" t="s">
        <v>71</v>
      </c>
      <c r="N150" t="s">
        <v>36</v>
      </c>
      <c r="O150">
        <v>60</v>
      </c>
      <c r="P150">
        <v>60</v>
      </c>
      <c r="Q150">
        <v>75.599999999999994</v>
      </c>
      <c r="R150">
        <v>1350</v>
      </c>
      <c r="S150">
        <v>1350</v>
      </c>
      <c r="T150">
        <v>0</v>
      </c>
      <c r="U150">
        <v>0</v>
      </c>
      <c r="V150">
        <v>1</v>
      </c>
      <c r="W150">
        <v>0</v>
      </c>
      <c r="X150">
        <v>0.85</v>
      </c>
    </row>
    <row r="151" spans="1:24" x14ac:dyDescent="0.3">
      <c r="A151" t="s">
        <v>380</v>
      </c>
      <c r="B151" s="1">
        <v>45953</v>
      </c>
      <c r="C151" t="s">
        <v>97</v>
      </c>
      <c r="D151" t="s">
        <v>50</v>
      </c>
      <c r="E151" t="s">
        <v>27</v>
      </c>
      <c r="F151" t="s">
        <v>28</v>
      </c>
      <c r="G151" t="s">
        <v>29</v>
      </c>
      <c r="H151" t="s">
        <v>30</v>
      </c>
      <c r="I151" t="s">
        <v>381</v>
      </c>
      <c r="J151" t="s">
        <v>99</v>
      </c>
      <c r="K151" t="s">
        <v>63</v>
      </c>
      <c r="L151" t="s">
        <v>34</v>
      </c>
      <c r="M151" t="s">
        <v>94</v>
      </c>
      <c r="N151" t="s">
        <v>36</v>
      </c>
      <c r="O151">
        <v>30</v>
      </c>
      <c r="P151">
        <v>30</v>
      </c>
      <c r="Q151">
        <v>37.6</v>
      </c>
      <c r="R151">
        <v>600</v>
      </c>
      <c r="S151">
        <v>600</v>
      </c>
      <c r="T151">
        <v>0</v>
      </c>
      <c r="U151">
        <v>0</v>
      </c>
      <c r="V151">
        <v>1</v>
      </c>
      <c r="W151">
        <v>0</v>
      </c>
      <c r="X151">
        <v>0.85</v>
      </c>
    </row>
    <row r="152" spans="1:24" x14ac:dyDescent="0.3">
      <c r="A152" t="s">
        <v>382</v>
      </c>
      <c r="B152" s="1">
        <v>45898</v>
      </c>
      <c r="C152" t="s">
        <v>110</v>
      </c>
      <c r="D152" t="s">
        <v>82</v>
      </c>
      <c r="E152" t="s">
        <v>40</v>
      </c>
      <c r="F152" t="s">
        <v>28</v>
      </c>
      <c r="G152" t="s">
        <v>29</v>
      </c>
      <c r="H152" t="s">
        <v>135</v>
      </c>
      <c r="I152" t="s">
        <v>334</v>
      </c>
      <c r="J152" t="s">
        <v>32</v>
      </c>
      <c r="K152" t="s">
        <v>104</v>
      </c>
      <c r="L152" t="s">
        <v>34</v>
      </c>
      <c r="M152" t="s">
        <v>35</v>
      </c>
      <c r="N152" t="s">
        <v>36</v>
      </c>
      <c r="O152">
        <v>60</v>
      </c>
      <c r="P152">
        <v>60</v>
      </c>
      <c r="Q152">
        <v>77.5</v>
      </c>
      <c r="R152">
        <v>1250</v>
      </c>
      <c r="S152">
        <v>1250</v>
      </c>
      <c r="T152">
        <v>0</v>
      </c>
      <c r="U152">
        <v>0</v>
      </c>
      <c r="V152">
        <v>1</v>
      </c>
      <c r="W152">
        <v>0</v>
      </c>
      <c r="X152">
        <v>0.85</v>
      </c>
    </row>
    <row r="153" spans="1:24" x14ac:dyDescent="0.3">
      <c r="A153" t="s">
        <v>383</v>
      </c>
      <c r="B153" s="1">
        <v>45825</v>
      </c>
      <c r="C153" t="s">
        <v>67</v>
      </c>
      <c r="D153" t="s">
        <v>26</v>
      </c>
      <c r="E153" t="s">
        <v>83</v>
      </c>
      <c r="F153" t="s">
        <v>58</v>
      </c>
      <c r="G153" t="s">
        <v>59</v>
      </c>
      <c r="H153" t="s">
        <v>296</v>
      </c>
      <c r="I153" t="s">
        <v>384</v>
      </c>
      <c r="J153" t="s">
        <v>62</v>
      </c>
      <c r="K153" t="s">
        <v>104</v>
      </c>
      <c r="L153" t="s">
        <v>54</v>
      </c>
      <c r="M153" t="s">
        <v>65</v>
      </c>
      <c r="N153" t="s">
        <v>36</v>
      </c>
      <c r="O153">
        <v>60</v>
      </c>
      <c r="P153">
        <v>60</v>
      </c>
      <c r="Q153">
        <v>79.599999999999994</v>
      </c>
      <c r="R153">
        <v>1300</v>
      </c>
      <c r="S153">
        <v>1300</v>
      </c>
      <c r="T153">
        <v>0</v>
      </c>
      <c r="U153">
        <v>0</v>
      </c>
      <c r="V153">
        <v>1</v>
      </c>
      <c r="W153">
        <v>0</v>
      </c>
      <c r="X153">
        <v>0.85</v>
      </c>
    </row>
    <row r="154" spans="1:24" x14ac:dyDescent="0.3">
      <c r="A154" t="s">
        <v>385</v>
      </c>
      <c r="B154" s="1">
        <v>45848</v>
      </c>
      <c r="C154" t="s">
        <v>101</v>
      </c>
      <c r="D154" t="s">
        <v>50</v>
      </c>
      <c r="E154" t="s">
        <v>68</v>
      </c>
      <c r="F154" t="s">
        <v>58</v>
      </c>
      <c r="G154" t="s">
        <v>59</v>
      </c>
      <c r="H154" t="s">
        <v>73</v>
      </c>
      <c r="I154" t="s">
        <v>354</v>
      </c>
      <c r="J154" t="s">
        <v>99</v>
      </c>
      <c r="K154" t="s">
        <v>63</v>
      </c>
      <c r="L154" t="s">
        <v>54</v>
      </c>
      <c r="M154" t="s">
        <v>94</v>
      </c>
      <c r="N154" t="s">
        <v>95</v>
      </c>
      <c r="O154">
        <v>45</v>
      </c>
      <c r="P154">
        <v>0</v>
      </c>
      <c r="Q154">
        <v>56.6</v>
      </c>
      <c r="R154">
        <v>950</v>
      </c>
      <c r="S154">
        <v>0</v>
      </c>
      <c r="T154">
        <v>950</v>
      </c>
      <c r="U154">
        <v>1</v>
      </c>
      <c r="V154">
        <v>0</v>
      </c>
      <c r="W154">
        <v>0</v>
      </c>
      <c r="X154">
        <v>0.85</v>
      </c>
    </row>
    <row r="155" spans="1:24" x14ac:dyDescent="0.3">
      <c r="A155" t="s">
        <v>386</v>
      </c>
      <c r="B155" s="1">
        <v>45972</v>
      </c>
      <c r="C155" t="s">
        <v>38</v>
      </c>
      <c r="D155" t="s">
        <v>26</v>
      </c>
      <c r="E155" t="s">
        <v>40</v>
      </c>
      <c r="F155" t="s">
        <v>28</v>
      </c>
      <c r="G155" t="s">
        <v>29</v>
      </c>
      <c r="H155" t="s">
        <v>30</v>
      </c>
      <c r="I155" t="s">
        <v>387</v>
      </c>
      <c r="J155" t="s">
        <v>53</v>
      </c>
      <c r="K155" t="s">
        <v>46</v>
      </c>
      <c r="L155" t="s">
        <v>34</v>
      </c>
      <c r="M155" t="s">
        <v>47</v>
      </c>
      <c r="N155" t="s">
        <v>95</v>
      </c>
      <c r="O155">
        <v>75</v>
      </c>
      <c r="P155">
        <v>0</v>
      </c>
      <c r="Q155">
        <v>98.5</v>
      </c>
      <c r="R155">
        <v>1900</v>
      </c>
      <c r="S155">
        <v>0</v>
      </c>
      <c r="T155">
        <v>1900</v>
      </c>
      <c r="U155">
        <v>1</v>
      </c>
      <c r="V155">
        <v>0</v>
      </c>
      <c r="W155">
        <v>0</v>
      </c>
      <c r="X155">
        <v>0.85</v>
      </c>
    </row>
    <row r="156" spans="1:24" x14ac:dyDescent="0.3">
      <c r="A156" t="s">
        <v>388</v>
      </c>
      <c r="B156" s="1">
        <v>46011</v>
      </c>
      <c r="C156" t="s">
        <v>25</v>
      </c>
      <c r="D156" t="s">
        <v>88</v>
      </c>
      <c r="E156" t="s">
        <v>68</v>
      </c>
      <c r="F156" t="s">
        <v>58</v>
      </c>
      <c r="G156" t="s">
        <v>59</v>
      </c>
      <c r="H156" t="s">
        <v>73</v>
      </c>
      <c r="I156" t="s">
        <v>389</v>
      </c>
      <c r="J156" t="s">
        <v>45</v>
      </c>
      <c r="K156" t="s">
        <v>46</v>
      </c>
      <c r="L156" t="s">
        <v>34</v>
      </c>
      <c r="M156" t="s">
        <v>71</v>
      </c>
      <c r="N156" t="s">
        <v>36</v>
      </c>
      <c r="O156">
        <v>90</v>
      </c>
      <c r="P156">
        <v>90</v>
      </c>
      <c r="Q156">
        <v>108.9</v>
      </c>
      <c r="R156">
        <v>2600</v>
      </c>
      <c r="S156">
        <v>2600</v>
      </c>
      <c r="T156">
        <v>0</v>
      </c>
      <c r="U156">
        <v>0</v>
      </c>
      <c r="V156">
        <v>1</v>
      </c>
      <c r="W156">
        <v>0</v>
      </c>
      <c r="X156">
        <v>0.85</v>
      </c>
    </row>
    <row r="157" spans="1:24" x14ac:dyDescent="0.3">
      <c r="A157" t="s">
        <v>390</v>
      </c>
      <c r="B157" s="1">
        <v>45788</v>
      </c>
      <c r="C157" t="s">
        <v>128</v>
      </c>
      <c r="D157" t="s">
        <v>287</v>
      </c>
      <c r="E157" t="s">
        <v>40</v>
      </c>
      <c r="F157" t="s">
        <v>58</v>
      </c>
      <c r="G157" t="s">
        <v>59</v>
      </c>
      <c r="H157" t="s">
        <v>151</v>
      </c>
      <c r="I157" t="s">
        <v>391</v>
      </c>
      <c r="J157" t="s">
        <v>45</v>
      </c>
      <c r="K157" t="s">
        <v>104</v>
      </c>
      <c r="L157" t="s">
        <v>34</v>
      </c>
      <c r="M157" t="s">
        <v>47</v>
      </c>
      <c r="N157" t="s">
        <v>36</v>
      </c>
      <c r="O157">
        <v>60</v>
      </c>
      <c r="P157">
        <v>60</v>
      </c>
      <c r="Q157">
        <v>74.599999999999994</v>
      </c>
      <c r="R157">
        <v>1700</v>
      </c>
      <c r="S157">
        <v>1700</v>
      </c>
      <c r="T157">
        <v>0</v>
      </c>
      <c r="U157">
        <v>0</v>
      </c>
      <c r="V157">
        <v>1</v>
      </c>
      <c r="W157">
        <v>0</v>
      </c>
      <c r="X157">
        <v>0.85</v>
      </c>
    </row>
    <row r="158" spans="1:24" x14ac:dyDescent="0.3">
      <c r="A158" t="s">
        <v>392</v>
      </c>
      <c r="B158" s="1">
        <v>45685</v>
      </c>
      <c r="C158" t="s">
        <v>130</v>
      </c>
      <c r="D158" t="s">
        <v>26</v>
      </c>
      <c r="E158" t="s">
        <v>83</v>
      </c>
      <c r="F158" t="s">
        <v>41</v>
      </c>
      <c r="G158" t="s">
        <v>42</v>
      </c>
      <c r="H158" t="s">
        <v>51</v>
      </c>
      <c r="I158" t="s">
        <v>393</v>
      </c>
      <c r="J158" t="s">
        <v>62</v>
      </c>
      <c r="K158" t="s">
        <v>70</v>
      </c>
      <c r="L158" t="s">
        <v>64</v>
      </c>
      <c r="M158" t="s">
        <v>86</v>
      </c>
      <c r="N158" t="s">
        <v>36</v>
      </c>
      <c r="O158">
        <v>60</v>
      </c>
      <c r="P158">
        <v>60</v>
      </c>
      <c r="Q158">
        <v>71.5</v>
      </c>
      <c r="R158">
        <v>1350</v>
      </c>
      <c r="S158">
        <v>1350</v>
      </c>
      <c r="T158">
        <v>0</v>
      </c>
      <c r="U158">
        <v>0</v>
      </c>
      <c r="V158">
        <v>1</v>
      </c>
      <c r="W158">
        <v>0</v>
      </c>
      <c r="X158">
        <v>0.85</v>
      </c>
    </row>
    <row r="159" spans="1:24" x14ac:dyDescent="0.3">
      <c r="A159" t="s">
        <v>394</v>
      </c>
      <c r="B159" s="1">
        <v>45904</v>
      </c>
      <c r="C159" t="s">
        <v>49</v>
      </c>
      <c r="D159" t="s">
        <v>50</v>
      </c>
      <c r="E159" t="s">
        <v>68</v>
      </c>
      <c r="F159" t="s">
        <v>28</v>
      </c>
      <c r="G159" t="s">
        <v>29</v>
      </c>
      <c r="H159" t="s">
        <v>210</v>
      </c>
      <c r="I159" t="s">
        <v>395</v>
      </c>
      <c r="J159" t="s">
        <v>62</v>
      </c>
      <c r="K159" t="s">
        <v>33</v>
      </c>
      <c r="L159" t="s">
        <v>34</v>
      </c>
      <c r="M159" t="s">
        <v>35</v>
      </c>
      <c r="N159" t="s">
        <v>113</v>
      </c>
      <c r="O159">
        <v>75</v>
      </c>
      <c r="P159">
        <v>0</v>
      </c>
      <c r="Q159">
        <v>91.8</v>
      </c>
      <c r="R159">
        <v>1550</v>
      </c>
      <c r="S159">
        <v>0</v>
      </c>
      <c r="T159">
        <v>1550</v>
      </c>
      <c r="U159">
        <v>0</v>
      </c>
      <c r="V159">
        <v>0</v>
      </c>
      <c r="W159">
        <v>1</v>
      </c>
      <c r="X159">
        <v>0.85</v>
      </c>
    </row>
    <row r="160" spans="1:24" x14ac:dyDescent="0.3">
      <c r="A160" t="s">
        <v>396</v>
      </c>
      <c r="B160" s="1">
        <v>45815</v>
      </c>
      <c r="C160" t="s">
        <v>67</v>
      </c>
      <c r="D160" t="s">
        <v>88</v>
      </c>
      <c r="E160" t="s">
        <v>40</v>
      </c>
      <c r="F160" t="s">
        <v>41</v>
      </c>
      <c r="G160" t="s">
        <v>42</v>
      </c>
      <c r="H160" t="s">
        <v>125</v>
      </c>
      <c r="I160" t="s">
        <v>397</v>
      </c>
      <c r="J160" t="s">
        <v>62</v>
      </c>
      <c r="K160" t="s">
        <v>33</v>
      </c>
      <c r="L160" t="s">
        <v>64</v>
      </c>
      <c r="M160" t="s">
        <v>86</v>
      </c>
      <c r="N160" t="s">
        <v>36</v>
      </c>
      <c r="O160">
        <v>60</v>
      </c>
      <c r="P160">
        <v>60</v>
      </c>
      <c r="Q160">
        <v>66.599999999999994</v>
      </c>
      <c r="R160">
        <v>1350</v>
      </c>
      <c r="S160">
        <v>1350</v>
      </c>
      <c r="T160">
        <v>0</v>
      </c>
      <c r="U160">
        <v>0</v>
      </c>
      <c r="V160">
        <v>1</v>
      </c>
      <c r="W160">
        <v>0</v>
      </c>
      <c r="X160">
        <v>0.85</v>
      </c>
    </row>
    <row r="161" spans="1:24" x14ac:dyDescent="0.3">
      <c r="A161" t="s">
        <v>398</v>
      </c>
      <c r="B161" s="1">
        <v>45789</v>
      </c>
      <c r="C161" t="s">
        <v>128</v>
      </c>
      <c r="D161" t="s">
        <v>39</v>
      </c>
      <c r="E161" t="s">
        <v>68</v>
      </c>
      <c r="F161" t="s">
        <v>28</v>
      </c>
      <c r="G161" t="s">
        <v>29</v>
      </c>
      <c r="H161" t="s">
        <v>210</v>
      </c>
      <c r="I161" t="s">
        <v>399</v>
      </c>
      <c r="J161" t="s">
        <v>62</v>
      </c>
      <c r="K161" t="s">
        <v>70</v>
      </c>
      <c r="L161" t="s">
        <v>34</v>
      </c>
      <c r="M161" t="s">
        <v>35</v>
      </c>
      <c r="N161" t="s">
        <v>36</v>
      </c>
      <c r="O161">
        <v>45</v>
      </c>
      <c r="P161">
        <v>45</v>
      </c>
      <c r="Q161">
        <v>49</v>
      </c>
      <c r="R161">
        <v>950</v>
      </c>
      <c r="S161">
        <v>950</v>
      </c>
      <c r="T161">
        <v>0</v>
      </c>
      <c r="U161">
        <v>0</v>
      </c>
      <c r="V161">
        <v>1</v>
      </c>
      <c r="W161">
        <v>0</v>
      </c>
      <c r="X161">
        <v>0.85</v>
      </c>
    </row>
    <row r="162" spans="1:24" x14ac:dyDescent="0.3">
      <c r="A162" t="s">
        <v>400</v>
      </c>
      <c r="B162" s="1">
        <v>45673</v>
      </c>
      <c r="C162" t="s">
        <v>130</v>
      </c>
      <c r="D162" t="s">
        <v>50</v>
      </c>
      <c r="E162" t="s">
        <v>27</v>
      </c>
      <c r="F162" t="s">
        <v>58</v>
      </c>
      <c r="G162" t="s">
        <v>59</v>
      </c>
      <c r="H162" t="s">
        <v>151</v>
      </c>
      <c r="I162" t="s">
        <v>401</v>
      </c>
      <c r="J162" t="s">
        <v>62</v>
      </c>
      <c r="K162" t="s">
        <v>70</v>
      </c>
      <c r="L162" t="s">
        <v>64</v>
      </c>
      <c r="M162" t="s">
        <v>71</v>
      </c>
      <c r="N162" t="s">
        <v>36</v>
      </c>
      <c r="O162">
        <v>60</v>
      </c>
      <c r="P162">
        <v>60</v>
      </c>
      <c r="Q162">
        <v>69.2</v>
      </c>
      <c r="R162">
        <v>1500</v>
      </c>
      <c r="S162">
        <v>1500</v>
      </c>
      <c r="T162">
        <v>0</v>
      </c>
      <c r="U162">
        <v>0</v>
      </c>
      <c r="V162">
        <v>1</v>
      </c>
      <c r="W162">
        <v>0</v>
      </c>
      <c r="X162">
        <v>0.85</v>
      </c>
    </row>
    <row r="163" spans="1:24" x14ac:dyDescent="0.3">
      <c r="A163" t="s">
        <v>402</v>
      </c>
      <c r="B163" s="1">
        <v>45808</v>
      </c>
      <c r="C163" t="s">
        <v>128</v>
      </c>
      <c r="D163" t="s">
        <v>88</v>
      </c>
      <c r="E163" t="s">
        <v>40</v>
      </c>
      <c r="F163" t="s">
        <v>41</v>
      </c>
      <c r="G163" t="s">
        <v>42</v>
      </c>
      <c r="H163" t="s">
        <v>111</v>
      </c>
      <c r="I163" t="s">
        <v>403</v>
      </c>
      <c r="J163" t="s">
        <v>32</v>
      </c>
      <c r="K163" t="s">
        <v>70</v>
      </c>
      <c r="L163" t="s">
        <v>78</v>
      </c>
      <c r="M163" t="s">
        <v>35</v>
      </c>
      <c r="N163" t="s">
        <v>36</v>
      </c>
      <c r="O163">
        <v>45</v>
      </c>
      <c r="P163">
        <v>45</v>
      </c>
      <c r="Q163">
        <v>58.4</v>
      </c>
      <c r="R163">
        <v>950</v>
      </c>
      <c r="S163">
        <v>950</v>
      </c>
      <c r="T163">
        <v>0</v>
      </c>
      <c r="U163">
        <v>0</v>
      </c>
      <c r="V163">
        <v>1</v>
      </c>
      <c r="W163">
        <v>0</v>
      </c>
      <c r="X163">
        <v>0.85</v>
      </c>
    </row>
    <row r="164" spans="1:24" x14ac:dyDescent="0.3">
      <c r="A164" t="s">
        <v>404</v>
      </c>
      <c r="B164" s="1">
        <v>45889</v>
      </c>
      <c r="C164" t="s">
        <v>110</v>
      </c>
      <c r="D164" t="s">
        <v>57</v>
      </c>
      <c r="E164" t="s">
        <v>68</v>
      </c>
      <c r="F164" t="s">
        <v>28</v>
      </c>
      <c r="G164" t="s">
        <v>29</v>
      </c>
      <c r="H164" t="s">
        <v>102</v>
      </c>
      <c r="I164" t="s">
        <v>348</v>
      </c>
      <c r="J164" t="s">
        <v>32</v>
      </c>
      <c r="K164" t="s">
        <v>70</v>
      </c>
      <c r="L164" t="s">
        <v>34</v>
      </c>
      <c r="M164" t="s">
        <v>94</v>
      </c>
      <c r="N164" t="s">
        <v>95</v>
      </c>
      <c r="O164">
        <v>30</v>
      </c>
      <c r="P164">
        <v>0</v>
      </c>
      <c r="Q164">
        <v>33.9</v>
      </c>
      <c r="R164">
        <v>600</v>
      </c>
      <c r="S164">
        <v>0</v>
      </c>
      <c r="T164">
        <v>600</v>
      </c>
      <c r="U164">
        <v>1</v>
      </c>
      <c r="V164">
        <v>0</v>
      </c>
      <c r="W164">
        <v>0</v>
      </c>
      <c r="X164">
        <v>0.85</v>
      </c>
    </row>
    <row r="165" spans="1:24" x14ac:dyDescent="0.3">
      <c r="A165" t="s">
        <v>405</v>
      </c>
      <c r="B165" s="1">
        <v>45713</v>
      </c>
      <c r="C165" t="s">
        <v>76</v>
      </c>
      <c r="D165" t="s">
        <v>26</v>
      </c>
      <c r="E165" t="s">
        <v>40</v>
      </c>
      <c r="F165" t="s">
        <v>41</v>
      </c>
      <c r="G165" t="s">
        <v>42</v>
      </c>
      <c r="H165" t="s">
        <v>43</v>
      </c>
      <c r="I165" t="s">
        <v>324</v>
      </c>
      <c r="J165" t="s">
        <v>45</v>
      </c>
      <c r="K165" t="s">
        <v>104</v>
      </c>
      <c r="L165" t="s">
        <v>64</v>
      </c>
      <c r="M165" t="s">
        <v>94</v>
      </c>
      <c r="N165" t="s">
        <v>36</v>
      </c>
      <c r="O165">
        <v>45</v>
      </c>
      <c r="P165">
        <v>45</v>
      </c>
      <c r="Q165">
        <v>56.5</v>
      </c>
      <c r="R165">
        <v>1150</v>
      </c>
      <c r="S165">
        <v>1150</v>
      </c>
      <c r="T165">
        <v>0</v>
      </c>
      <c r="U165">
        <v>0</v>
      </c>
      <c r="V165">
        <v>1</v>
      </c>
      <c r="W165">
        <v>0</v>
      </c>
      <c r="X165">
        <v>0.85</v>
      </c>
    </row>
    <row r="166" spans="1:24" x14ac:dyDescent="0.3">
      <c r="A166" t="s">
        <v>406</v>
      </c>
      <c r="B166" s="1">
        <v>45819</v>
      </c>
      <c r="C166" t="s">
        <v>67</v>
      </c>
      <c r="D166" t="s">
        <v>57</v>
      </c>
      <c r="E166" t="s">
        <v>83</v>
      </c>
      <c r="F166" t="s">
        <v>41</v>
      </c>
      <c r="G166" t="s">
        <v>42</v>
      </c>
      <c r="H166" t="s">
        <v>51</v>
      </c>
      <c r="I166" t="s">
        <v>407</v>
      </c>
      <c r="J166" t="s">
        <v>62</v>
      </c>
      <c r="K166" t="s">
        <v>104</v>
      </c>
      <c r="L166" t="s">
        <v>54</v>
      </c>
      <c r="M166" t="s">
        <v>65</v>
      </c>
      <c r="N166" t="s">
        <v>36</v>
      </c>
      <c r="O166">
        <v>45</v>
      </c>
      <c r="P166">
        <v>45</v>
      </c>
      <c r="Q166">
        <v>58.9</v>
      </c>
      <c r="R166">
        <v>850</v>
      </c>
      <c r="S166">
        <v>850</v>
      </c>
      <c r="T166">
        <v>0</v>
      </c>
      <c r="U166">
        <v>0</v>
      </c>
      <c r="V166">
        <v>1</v>
      </c>
      <c r="W166">
        <v>0</v>
      </c>
      <c r="X166">
        <v>0.85</v>
      </c>
    </row>
    <row r="167" spans="1:24" x14ac:dyDescent="0.3">
      <c r="A167" t="s">
        <v>408</v>
      </c>
      <c r="B167" s="1">
        <v>45838</v>
      </c>
      <c r="C167" t="s">
        <v>67</v>
      </c>
      <c r="D167" t="s">
        <v>39</v>
      </c>
      <c r="E167" t="s">
        <v>27</v>
      </c>
      <c r="F167" t="s">
        <v>58</v>
      </c>
      <c r="G167" t="s">
        <v>59</v>
      </c>
      <c r="H167" t="s">
        <v>296</v>
      </c>
      <c r="I167" t="s">
        <v>409</v>
      </c>
      <c r="J167" t="s">
        <v>53</v>
      </c>
      <c r="K167" t="s">
        <v>46</v>
      </c>
      <c r="L167" t="s">
        <v>34</v>
      </c>
      <c r="M167" t="s">
        <v>71</v>
      </c>
      <c r="N167" t="s">
        <v>36</v>
      </c>
      <c r="O167">
        <v>45</v>
      </c>
      <c r="P167">
        <v>45</v>
      </c>
      <c r="Q167">
        <v>60.6</v>
      </c>
      <c r="R167">
        <v>1350</v>
      </c>
      <c r="S167">
        <v>1350</v>
      </c>
      <c r="T167">
        <v>0</v>
      </c>
      <c r="U167">
        <v>0</v>
      </c>
      <c r="V167">
        <v>1</v>
      </c>
      <c r="W167">
        <v>0</v>
      </c>
      <c r="X167">
        <v>0.85</v>
      </c>
    </row>
    <row r="168" spans="1:24" x14ac:dyDescent="0.3">
      <c r="A168" t="s">
        <v>410</v>
      </c>
      <c r="B168" s="1">
        <v>45793</v>
      </c>
      <c r="C168" t="s">
        <v>128</v>
      </c>
      <c r="D168" t="s">
        <v>82</v>
      </c>
      <c r="E168" t="s">
        <v>83</v>
      </c>
      <c r="F168" t="s">
        <v>58</v>
      </c>
      <c r="G168" t="s">
        <v>59</v>
      </c>
      <c r="H168" t="s">
        <v>151</v>
      </c>
      <c r="I168" t="s">
        <v>332</v>
      </c>
      <c r="J168" t="s">
        <v>62</v>
      </c>
      <c r="K168" t="s">
        <v>85</v>
      </c>
      <c r="L168" t="s">
        <v>78</v>
      </c>
      <c r="M168" t="s">
        <v>35</v>
      </c>
      <c r="N168" t="s">
        <v>36</v>
      </c>
      <c r="O168">
        <v>45</v>
      </c>
      <c r="P168">
        <v>45</v>
      </c>
      <c r="Q168">
        <v>59.7</v>
      </c>
      <c r="R168">
        <v>1050</v>
      </c>
      <c r="S168">
        <v>1050</v>
      </c>
      <c r="T168">
        <v>0</v>
      </c>
      <c r="U168">
        <v>0</v>
      </c>
      <c r="V168">
        <v>1</v>
      </c>
      <c r="W168">
        <v>0</v>
      </c>
      <c r="X168">
        <v>0.85</v>
      </c>
    </row>
    <row r="169" spans="1:24" x14ac:dyDescent="0.3">
      <c r="A169" t="s">
        <v>411</v>
      </c>
      <c r="B169" s="1">
        <v>45699</v>
      </c>
      <c r="C169" t="s">
        <v>76</v>
      </c>
      <c r="D169" t="s">
        <v>26</v>
      </c>
      <c r="E169" t="s">
        <v>83</v>
      </c>
      <c r="F169" t="s">
        <v>58</v>
      </c>
      <c r="G169" t="s">
        <v>59</v>
      </c>
      <c r="H169" t="s">
        <v>73</v>
      </c>
      <c r="I169" t="s">
        <v>412</v>
      </c>
      <c r="J169" t="s">
        <v>99</v>
      </c>
      <c r="K169" t="s">
        <v>33</v>
      </c>
      <c r="L169" t="s">
        <v>54</v>
      </c>
      <c r="M169" t="s">
        <v>71</v>
      </c>
      <c r="N169" t="s">
        <v>95</v>
      </c>
      <c r="O169">
        <v>30</v>
      </c>
      <c r="P169">
        <v>0</v>
      </c>
      <c r="Q169">
        <v>39.5</v>
      </c>
      <c r="R169">
        <v>650</v>
      </c>
      <c r="S169">
        <v>0</v>
      </c>
      <c r="T169">
        <v>650</v>
      </c>
      <c r="U169">
        <v>1</v>
      </c>
      <c r="V169">
        <v>0</v>
      </c>
      <c r="W169">
        <v>0</v>
      </c>
      <c r="X169">
        <v>0.85</v>
      </c>
    </row>
    <row r="170" spans="1:24" x14ac:dyDescent="0.3">
      <c r="A170" t="s">
        <v>413</v>
      </c>
      <c r="B170" s="1">
        <v>45853</v>
      </c>
      <c r="C170" t="s">
        <v>101</v>
      </c>
      <c r="D170" t="s">
        <v>26</v>
      </c>
      <c r="E170" t="s">
        <v>83</v>
      </c>
      <c r="F170" t="s">
        <v>41</v>
      </c>
      <c r="G170" t="s">
        <v>42</v>
      </c>
      <c r="H170" t="s">
        <v>51</v>
      </c>
      <c r="I170" t="s">
        <v>340</v>
      </c>
      <c r="J170" t="s">
        <v>45</v>
      </c>
      <c r="K170" t="s">
        <v>46</v>
      </c>
      <c r="L170" t="s">
        <v>64</v>
      </c>
      <c r="M170" t="s">
        <v>47</v>
      </c>
      <c r="N170" t="s">
        <v>36</v>
      </c>
      <c r="O170">
        <v>30</v>
      </c>
      <c r="P170">
        <v>30</v>
      </c>
      <c r="Q170">
        <v>40.1</v>
      </c>
      <c r="R170">
        <v>800</v>
      </c>
      <c r="S170">
        <v>800</v>
      </c>
      <c r="T170">
        <v>0</v>
      </c>
      <c r="U170">
        <v>0</v>
      </c>
      <c r="V170">
        <v>1</v>
      </c>
      <c r="W170">
        <v>0</v>
      </c>
      <c r="X170">
        <v>0.85</v>
      </c>
    </row>
    <row r="171" spans="1:24" x14ac:dyDescent="0.3">
      <c r="A171" t="s">
        <v>414</v>
      </c>
      <c r="B171" s="1">
        <v>45805</v>
      </c>
      <c r="C171" t="s">
        <v>128</v>
      </c>
      <c r="D171" t="s">
        <v>57</v>
      </c>
      <c r="E171" t="s">
        <v>40</v>
      </c>
      <c r="F171" t="s">
        <v>58</v>
      </c>
      <c r="G171" t="s">
        <v>59</v>
      </c>
      <c r="H171" t="s">
        <v>296</v>
      </c>
      <c r="I171" t="s">
        <v>136</v>
      </c>
      <c r="J171" t="s">
        <v>62</v>
      </c>
      <c r="K171" t="s">
        <v>70</v>
      </c>
      <c r="L171" t="s">
        <v>34</v>
      </c>
      <c r="M171" t="s">
        <v>35</v>
      </c>
      <c r="N171" t="s">
        <v>36</v>
      </c>
      <c r="O171">
        <v>75</v>
      </c>
      <c r="P171">
        <v>75</v>
      </c>
      <c r="Q171">
        <v>92.8</v>
      </c>
      <c r="R171">
        <v>1900</v>
      </c>
      <c r="S171">
        <v>1900</v>
      </c>
      <c r="T171">
        <v>0</v>
      </c>
      <c r="U171">
        <v>0</v>
      </c>
      <c r="V171">
        <v>1</v>
      </c>
      <c r="W171">
        <v>0</v>
      </c>
      <c r="X171">
        <v>0.85</v>
      </c>
    </row>
    <row r="172" spans="1:24" x14ac:dyDescent="0.3">
      <c r="A172" t="s">
        <v>415</v>
      </c>
      <c r="B172" s="1">
        <v>45743</v>
      </c>
      <c r="C172" t="s">
        <v>56</v>
      </c>
      <c r="D172" t="s">
        <v>50</v>
      </c>
      <c r="E172" t="s">
        <v>68</v>
      </c>
      <c r="F172" t="s">
        <v>41</v>
      </c>
      <c r="G172" t="s">
        <v>42</v>
      </c>
      <c r="H172" t="s">
        <v>89</v>
      </c>
      <c r="I172" t="s">
        <v>416</v>
      </c>
      <c r="J172" t="s">
        <v>62</v>
      </c>
      <c r="K172" t="s">
        <v>104</v>
      </c>
      <c r="L172" t="s">
        <v>34</v>
      </c>
      <c r="M172" t="s">
        <v>65</v>
      </c>
      <c r="N172" t="s">
        <v>36</v>
      </c>
      <c r="O172">
        <v>75</v>
      </c>
      <c r="P172">
        <v>75</v>
      </c>
      <c r="Q172">
        <v>93.2</v>
      </c>
      <c r="R172">
        <v>1700</v>
      </c>
      <c r="S172">
        <v>1700</v>
      </c>
      <c r="T172">
        <v>0</v>
      </c>
      <c r="U172">
        <v>0</v>
      </c>
      <c r="V172">
        <v>1</v>
      </c>
      <c r="W172">
        <v>0</v>
      </c>
      <c r="X172">
        <v>0.85</v>
      </c>
    </row>
    <row r="173" spans="1:24" x14ac:dyDescent="0.3">
      <c r="A173" t="s">
        <v>417</v>
      </c>
      <c r="B173" s="1">
        <v>45659</v>
      </c>
      <c r="C173" t="s">
        <v>130</v>
      </c>
      <c r="D173" t="s">
        <v>50</v>
      </c>
      <c r="E173" t="s">
        <v>27</v>
      </c>
      <c r="F173" t="s">
        <v>28</v>
      </c>
      <c r="G173" t="s">
        <v>29</v>
      </c>
      <c r="H173" t="s">
        <v>30</v>
      </c>
      <c r="I173" t="s">
        <v>418</v>
      </c>
      <c r="J173" t="s">
        <v>53</v>
      </c>
      <c r="K173" t="s">
        <v>46</v>
      </c>
      <c r="L173" t="s">
        <v>34</v>
      </c>
      <c r="M173" t="s">
        <v>65</v>
      </c>
      <c r="N173" t="s">
        <v>36</v>
      </c>
      <c r="O173">
        <v>45</v>
      </c>
      <c r="P173">
        <v>45</v>
      </c>
      <c r="Q173">
        <v>56.9</v>
      </c>
      <c r="R173">
        <v>1100</v>
      </c>
      <c r="S173">
        <v>1100</v>
      </c>
      <c r="T173">
        <v>0</v>
      </c>
      <c r="U173">
        <v>0</v>
      </c>
      <c r="V173">
        <v>1</v>
      </c>
      <c r="W173">
        <v>0</v>
      </c>
      <c r="X173">
        <v>0.85</v>
      </c>
    </row>
    <row r="174" spans="1:24" x14ac:dyDescent="0.3">
      <c r="A174" t="s">
        <v>419</v>
      </c>
      <c r="B174" s="1">
        <v>45968</v>
      </c>
      <c r="C174" t="s">
        <v>38</v>
      </c>
      <c r="D174" t="s">
        <v>82</v>
      </c>
      <c r="E174" t="s">
        <v>83</v>
      </c>
      <c r="F174" t="s">
        <v>28</v>
      </c>
      <c r="G174" t="s">
        <v>29</v>
      </c>
      <c r="H174" t="s">
        <v>120</v>
      </c>
      <c r="I174" t="s">
        <v>420</v>
      </c>
      <c r="J174" t="s">
        <v>62</v>
      </c>
      <c r="K174" t="s">
        <v>33</v>
      </c>
      <c r="L174" t="s">
        <v>78</v>
      </c>
      <c r="M174" t="s">
        <v>86</v>
      </c>
      <c r="N174" t="s">
        <v>36</v>
      </c>
      <c r="O174">
        <v>45</v>
      </c>
      <c r="P174">
        <v>45</v>
      </c>
      <c r="Q174">
        <v>48.9</v>
      </c>
      <c r="R174">
        <v>850</v>
      </c>
      <c r="S174">
        <v>850</v>
      </c>
      <c r="T174">
        <v>0</v>
      </c>
      <c r="U174">
        <v>0</v>
      </c>
      <c r="V174">
        <v>1</v>
      </c>
      <c r="W174">
        <v>0</v>
      </c>
      <c r="X174">
        <v>0.85</v>
      </c>
    </row>
    <row r="175" spans="1:24" x14ac:dyDescent="0.3">
      <c r="A175" t="s">
        <v>421</v>
      </c>
      <c r="B175" s="1">
        <v>45840</v>
      </c>
      <c r="C175" t="s">
        <v>101</v>
      </c>
      <c r="D175" t="s">
        <v>57</v>
      </c>
      <c r="E175" t="s">
        <v>40</v>
      </c>
      <c r="F175" t="s">
        <v>28</v>
      </c>
      <c r="G175" t="s">
        <v>29</v>
      </c>
      <c r="H175" t="s">
        <v>135</v>
      </c>
      <c r="I175" t="s">
        <v>422</v>
      </c>
      <c r="J175" t="s">
        <v>45</v>
      </c>
      <c r="K175" t="s">
        <v>85</v>
      </c>
      <c r="L175" t="s">
        <v>34</v>
      </c>
      <c r="M175" t="s">
        <v>47</v>
      </c>
      <c r="N175" t="s">
        <v>113</v>
      </c>
      <c r="O175">
        <v>45</v>
      </c>
      <c r="P175">
        <v>0</v>
      </c>
      <c r="Q175">
        <v>52.4</v>
      </c>
      <c r="R175">
        <v>1100</v>
      </c>
      <c r="S175">
        <v>0</v>
      </c>
      <c r="T175">
        <v>1100</v>
      </c>
      <c r="U175">
        <v>0</v>
      </c>
      <c r="V175">
        <v>0</v>
      </c>
      <c r="W175">
        <v>1</v>
      </c>
      <c r="X175">
        <v>0.85</v>
      </c>
    </row>
    <row r="176" spans="1:24" x14ac:dyDescent="0.3">
      <c r="A176" t="s">
        <v>423</v>
      </c>
      <c r="B176" s="1">
        <v>45763</v>
      </c>
      <c r="C176" t="s">
        <v>92</v>
      </c>
      <c r="D176" t="s">
        <v>57</v>
      </c>
      <c r="E176" t="s">
        <v>83</v>
      </c>
      <c r="F176" t="s">
        <v>58</v>
      </c>
      <c r="G176" t="s">
        <v>59</v>
      </c>
      <c r="H176" t="s">
        <v>296</v>
      </c>
      <c r="I176" t="s">
        <v>424</v>
      </c>
      <c r="J176" t="s">
        <v>62</v>
      </c>
      <c r="K176" t="s">
        <v>70</v>
      </c>
      <c r="L176" t="s">
        <v>54</v>
      </c>
      <c r="M176" t="s">
        <v>35</v>
      </c>
      <c r="N176" t="s">
        <v>95</v>
      </c>
      <c r="O176">
        <v>60</v>
      </c>
      <c r="P176">
        <v>0</v>
      </c>
      <c r="Q176">
        <v>73.5</v>
      </c>
      <c r="R176">
        <v>1300</v>
      </c>
      <c r="S176">
        <v>0</v>
      </c>
      <c r="T176">
        <v>1300</v>
      </c>
      <c r="U176">
        <v>1</v>
      </c>
      <c r="V176">
        <v>0</v>
      </c>
      <c r="W176">
        <v>0</v>
      </c>
      <c r="X176">
        <v>0.85</v>
      </c>
    </row>
    <row r="177" spans="1:24" x14ac:dyDescent="0.3">
      <c r="A177" t="s">
        <v>425</v>
      </c>
      <c r="B177" s="1">
        <v>45901</v>
      </c>
      <c r="C177" t="s">
        <v>49</v>
      </c>
      <c r="D177" t="s">
        <v>39</v>
      </c>
      <c r="E177" t="s">
        <v>83</v>
      </c>
      <c r="F177" t="s">
        <v>41</v>
      </c>
      <c r="G177" t="s">
        <v>42</v>
      </c>
      <c r="H177" t="s">
        <v>111</v>
      </c>
      <c r="I177" t="s">
        <v>426</v>
      </c>
      <c r="J177" t="s">
        <v>62</v>
      </c>
      <c r="K177" t="s">
        <v>85</v>
      </c>
      <c r="L177" t="s">
        <v>78</v>
      </c>
      <c r="M177" t="s">
        <v>35</v>
      </c>
      <c r="N177" t="s">
        <v>36</v>
      </c>
      <c r="O177">
        <v>75</v>
      </c>
      <c r="P177">
        <v>75</v>
      </c>
      <c r="Q177">
        <v>91.2</v>
      </c>
      <c r="R177">
        <v>1550</v>
      </c>
      <c r="S177">
        <v>1550</v>
      </c>
      <c r="T177">
        <v>0</v>
      </c>
      <c r="U177">
        <v>0</v>
      </c>
      <c r="V177">
        <v>1</v>
      </c>
      <c r="W177">
        <v>0</v>
      </c>
      <c r="X177">
        <v>0.85</v>
      </c>
    </row>
    <row r="178" spans="1:24" x14ac:dyDescent="0.3">
      <c r="A178" t="s">
        <v>427</v>
      </c>
      <c r="B178" s="1">
        <v>45684</v>
      </c>
      <c r="C178" t="s">
        <v>130</v>
      </c>
      <c r="D178" t="s">
        <v>39</v>
      </c>
      <c r="E178" t="s">
        <v>83</v>
      </c>
      <c r="F178" t="s">
        <v>28</v>
      </c>
      <c r="G178" t="s">
        <v>29</v>
      </c>
      <c r="H178" t="s">
        <v>210</v>
      </c>
      <c r="I178" t="s">
        <v>407</v>
      </c>
      <c r="J178" t="s">
        <v>137</v>
      </c>
      <c r="K178" t="s">
        <v>63</v>
      </c>
      <c r="L178" t="s">
        <v>64</v>
      </c>
      <c r="M178" t="s">
        <v>94</v>
      </c>
      <c r="N178" t="s">
        <v>95</v>
      </c>
      <c r="O178">
        <v>90</v>
      </c>
      <c r="P178">
        <v>0</v>
      </c>
      <c r="Q178">
        <v>104.3</v>
      </c>
      <c r="R178">
        <v>1900</v>
      </c>
      <c r="S178">
        <v>0</v>
      </c>
      <c r="T178">
        <v>1900</v>
      </c>
      <c r="U178">
        <v>1</v>
      </c>
      <c r="V178">
        <v>0</v>
      </c>
      <c r="W178">
        <v>0</v>
      </c>
      <c r="X178">
        <v>0.85</v>
      </c>
    </row>
    <row r="179" spans="1:24" x14ac:dyDescent="0.3">
      <c r="A179" t="s">
        <v>428</v>
      </c>
      <c r="B179" s="1">
        <v>45969</v>
      </c>
      <c r="C179" t="s">
        <v>38</v>
      </c>
      <c r="D179" t="s">
        <v>88</v>
      </c>
      <c r="E179" t="s">
        <v>27</v>
      </c>
      <c r="F179" t="s">
        <v>58</v>
      </c>
      <c r="G179" t="s">
        <v>59</v>
      </c>
      <c r="H179" t="s">
        <v>60</v>
      </c>
      <c r="I179" t="s">
        <v>429</v>
      </c>
      <c r="J179" t="s">
        <v>53</v>
      </c>
      <c r="K179" t="s">
        <v>70</v>
      </c>
      <c r="L179" t="s">
        <v>64</v>
      </c>
      <c r="M179" t="s">
        <v>71</v>
      </c>
      <c r="N179" t="s">
        <v>153</v>
      </c>
      <c r="O179">
        <v>45</v>
      </c>
      <c r="P179">
        <v>0</v>
      </c>
      <c r="Q179">
        <v>53.7</v>
      </c>
      <c r="R179">
        <v>1350</v>
      </c>
      <c r="S179">
        <v>0</v>
      </c>
      <c r="T179">
        <v>0</v>
      </c>
      <c r="U179">
        <v>0</v>
      </c>
      <c r="V179">
        <v>0</v>
      </c>
      <c r="W179">
        <v>0</v>
      </c>
      <c r="X179">
        <v>0.85</v>
      </c>
    </row>
    <row r="180" spans="1:24" x14ac:dyDescent="0.3">
      <c r="A180" t="s">
        <v>430</v>
      </c>
      <c r="B180" s="1">
        <v>45755</v>
      </c>
      <c r="C180" t="s">
        <v>92</v>
      </c>
      <c r="D180" t="s">
        <v>26</v>
      </c>
      <c r="E180" t="s">
        <v>68</v>
      </c>
      <c r="F180" t="s">
        <v>41</v>
      </c>
      <c r="G180" t="s">
        <v>42</v>
      </c>
      <c r="H180" t="s">
        <v>51</v>
      </c>
      <c r="I180" t="s">
        <v>431</v>
      </c>
      <c r="J180" t="s">
        <v>99</v>
      </c>
      <c r="K180" t="s">
        <v>46</v>
      </c>
      <c r="L180" t="s">
        <v>34</v>
      </c>
      <c r="M180" t="s">
        <v>86</v>
      </c>
      <c r="N180" t="s">
        <v>36</v>
      </c>
      <c r="O180">
        <v>60</v>
      </c>
      <c r="P180">
        <v>60</v>
      </c>
      <c r="Q180">
        <v>66.900000000000006</v>
      </c>
      <c r="R180">
        <v>1350</v>
      </c>
      <c r="S180">
        <v>1350</v>
      </c>
      <c r="T180">
        <v>0</v>
      </c>
      <c r="U180">
        <v>0</v>
      </c>
      <c r="V180">
        <v>1</v>
      </c>
      <c r="W180">
        <v>0</v>
      </c>
      <c r="X180">
        <v>0.85</v>
      </c>
    </row>
    <row r="181" spans="1:24" x14ac:dyDescent="0.3">
      <c r="A181" t="s">
        <v>432</v>
      </c>
      <c r="B181" s="1">
        <v>45955</v>
      </c>
      <c r="C181" t="s">
        <v>97</v>
      </c>
      <c r="D181" t="s">
        <v>88</v>
      </c>
      <c r="E181" t="s">
        <v>40</v>
      </c>
      <c r="F181" t="s">
        <v>58</v>
      </c>
      <c r="G181" t="s">
        <v>59</v>
      </c>
      <c r="H181" t="s">
        <v>117</v>
      </c>
      <c r="I181" t="s">
        <v>433</v>
      </c>
      <c r="J181" t="s">
        <v>45</v>
      </c>
      <c r="K181" t="s">
        <v>63</v>
      </c>
      <c r="L181" t="s">
        <v>34</v>
      </c>
      <c r="M181" t="s">
        <v>86</v>
      </c>
      <c r="N181" t="s">
        <v>36</v>
      </c>
      <c r="O181">
        <v>75</v>
      </c>
      <c r="P181">
        <v>75</v>
      </c>
      <c r="Q181">
        <v>86.2</v>
      </c>
      <c r="R181">
        <v>2150</v>
      </c>
      <c r="S181">
        <v>2150</v>
      </c>
      <c r="T181">
        <v>0</v>
      </c>
      <c r="U181">
        <v>0</v>
      </c>
      <c r="V181">
        <v>1</v>
      </c>
      <c r="W181">
        <v>0</v>
      </c>
      <c r="X181">
        <v>0.85</v>
      </c>
    </row>
    <row r="182" spans="1:24" x14ac:dyDescent="0.3">
      <c r="A182" t="s">
        <v>434</v>
      </c>
      <c r="B182" s="1">
        <v>46011</v>
      </c>
      <c r="C182" t="s">
        <v>25</v>
      </c>
      <c r="D182" t="s">
        <v>88</v>
      </c>
      <c r="E182" t="s">
        <v>83</v>
      </c>
      <c r="F182" t="s">
        <v>28</v>
      </c>
      <c r="G182" t="s">
        <v>29</v>
      </c>
      <c r="H182" t="s">
        <v>210</v>
      </c>
      <c r="I182" t="s">
        <v>435</v>
      </c>
      <c r="J182" t="s">
        <v>53</v>
      </c>
      <c r="K182" t="s">
        <v>85</v>
      </c>
      <c r="L182" t="s">
        <v>78</v>
      </c>
      <c r="M182" t="s">
        <v>86</v>
      </c>
      <c r="N182" t="s">
        <v>36</v>
      </c>
      <c r="O182">
        <v>90</v>
      </c>
      <c r="P182">
        <v>90</v>
      </c>
      <c r="Q182">
        <v>103.2</v>
      </c>
      <c r="R182">
        <v>2050</v>
      </c>
      <c r="S182">
        <v>2050</v>
      </c>
      <c r="T182">
        <v>0</v>
      </c>
      <c r="U182">
        <v>0</v>
      </c>
      <c r="V182">
        <v>1</v>
      </c>
      <c r="W182">
        <v>0</v>
      </c>
      <c r="X182">
        <v>0.85</v>
      </c>
    </row>
    <row r="183" spans="1:24" x14ac:dyDescent="0.3">
      <c r="A183" t="s">
        <v>436</v>
      </c>
      <c r="B183" s="1">
        <v>45845</v>
      </c>
      <c r="C183" t="s">
        <v>101</v>
      </c>
      <c r="D183" t="s">
        <v>39</v>
      </c>
      <c r="E183" t="s">
        <v>68</v>
      </c>
      <c r="F183" t="s">
        <v>41</v>
      </c>
      <c r="G183" t="s">
        <v>42</v>
      </c>
      <c r="H183" t="s">
        <v>125</v>
      </c>
      <c r="I183" t="s">
        <v>437</v>
      </c>
      <c r="J183" t="s">
        <v>62</v>
      </c>
      <c r="K183" t="s">
        <v>104</v>
      </c>
      <c r="L183" t="s">
        <v>78</v>
      </c>
      <c r="M183" t="s">
        <v>71</v>
      </c>
      <c r="N183" t="s">
        <v>36</v>
      </c>
      <c r="O183">
        <v>60</v>
      </c>
      <c r="P183">
        <v>60</v>
      </c>
      <c r="Q183">
        <v>79.099999999999994</v>
      </c>
      <c r="R183">
        <v>1250</v>
      </c>
      <c r="S183">
        <v>1250</v>
      </c>
      <c r="T183">
        <v>0</v>
      </c>
      <c r="U183">
        <v>0</v>
      </c>
      <c r="V183">
        <v>1</v>
      </c>
      <c r="W183">
        <v>0</v>
      </c>
      <c r="X183">
        <v>0.85</v>
      </c>
    </row>
    <row r="184" spans="1:24" x14ac:dyDescent="0.3">
      <c r="A184" t="s">
        <v>438</v>
      </c>
      <c r="B184" s="1">
        <v>45755</v>
      </c>
      <c r="C184" t="s">
        <v>92</v>
      </c>
      <c r="D184" t="s">
        <v>26</v>
      </c>
      <c r="E184" t="s">
        <v>40</v>
      </c>
      <c r="F184" t="s">
        <v>28</v>
      </c>
      <c r="G184" t="s">
        <v>29</v>
      </c>
      <c r="H184" t="s">
        <v>135</v>
      </c>
      <c r="I184" t="s">
        <v>108</v>
      </c>
      <c r="J184" t="s">
        <v>45</v>
      </c>
      <c r="K184" t="s">
        <v>46</v>
      </c>
      <c r="L184" t="s">
        <v>64</v>
      </c>
      <c r="M184" t="s">
        <v>86</v>
      </c>
      <c r="N184" t="s">
        <v>36</v>
      </c>
      <c r="O184">
        <v>60</v>
      </c>
      <c r="P184">
        <v>60</v>
      </c>
      <c r="Q184">
        <v>66.2</v>
      </c>
      <c r="R184">
        <v>1450</v>
      </c>
      <c r="S184">
        <v>1450</v>
      </c>
      <c r="T184">
        <v>0</v>
      </c>
      <c r="U184">
        <v>0</v>
      </c>
      <c r="V184">
        <v>1</v>
      </c>
      <c r="W184">
        <v>0</v>
      </c>
      <c r="X184">
        <v>0.85</v>
      </c>
    </row>
    <row r="185" spans="1:24" x14ac:dyDescent="0.3">
      <c r="A185" t="s">
        <v>439</v>
      </c>
      <c r="B185" s="1">
        <v>45815</v>
      </c>
      <c r="C185" t="s">
        <v>67</v>
      </c>
      <c r="D185" t="s">
        <v>88</v>
      </c>
      <c r="E185" t="s">
        <v>27</v>
      </c>
      <c r="F185" t="s">
        <v>58</v>
      </c>
      <c r="G185" t="s">
        <v>59</v>
      </c>
      <c r="H185" t="s">
        <v>117</v>
      </c>
      <c r="I185" t="s">
        <v>440</v>
      </c>
      <c r="J185" t="s">
        <v>62</v>
      </c>
      <c r="K185" t="s">
        <v>70</v>
      </c>
      <c r="L185" t="s">
        <v>34</v>
      </c>
      <c r="M185" t="s">
        <v>65</v>
      </c>
      <c r="N185" t="s">
        <v>36</v>
      </c>
      <c r="O185">
        <v>60</v>
      </c>
      <c r="P185">
        <v>60</v>
      </c>
      <c r="Q185">
        <v>65.5</v>
      </c>
      <c r="R185">
        <v>1500</v>
      </c>
      <c r="S185">
        <v>1500</v>
      </c>
      <c r="T185">
        <v>0</v>
      </c>
      <c r="U185">
        <v>0</v>
      </c>
      <c r="V185">
        <v>1</v>
      </c>
      <c r="W185">
        <v>0</v>
      </c>
      <c r="X185">
        <v>0.85</v>
      </c>
    </row>
    <row r="186" spans="1:24" x14ac:dyDescent="0.3">
      <c r="A186" t="s">
        <v>441</v>
      </c>
      <c r="B186" s="1">
        <v>45803</v>
      </c>
      <c r="C186" t="s">
        <v>128</v>
      </c>
      <c r="D186" t="s">
        <v>39</v>
      </c>
      <c r="E186" t="s">
        <v>83</v>
      </c>
      <c r="F186" t="s">
        <v>41</v>
      </c>
      <c r="G186" t="s">
        <v>42</v>
      </c>
      <c r="H186" t="s">
        <v>111</v>
      </c>
      <c r="I186" t="s">
        <v>442</v>
      </c>
      <c r="J186" t="s">
        <v>62</v>
      </c>
      <c r="K186" t="s">
        <v>104</v>
      </c>
      <c r="L186" t="s">
        <v>64</v>
      </c>
      <c r="M186" t="s">
        <v>35</v>
      </c>
      <c r="N186" t="s">
        <v>36</v>
      </c>
      <c r="O186">
        <v>60</v>
      </c>
      <c r="P186">
        <v>60</v>
      </c>
      <c r="Q186">
        <v>72.099999999999994</v>
      </c>
      <c r="R186">
        <v>1350</v>
      </c>
      <c r="S186">
        <v>1350</v>
      </c>
      <c r="T186">
        <v>0</v>
      </c>
      <c r="U186">
        <v>0</v>
      </c>
      <c r="V186">
        <v>1</v>
      </c>
      <c r="W186">
        <v>0</v>
      </c>
      <c r="X186">
        <v>0.85</v>
      </c>
    </row>
    <row r="187" spans="1:24" x14ac:dyDescent="0.3">
      <c r="A187" t="s">
        <v>443</v>
      </c>
      <c r="B187" s="1">
        <v>45826</v>
      </c>
      <c r="C187" t="s">
        <v>67</v>
      </c>
      <c r="D187" t="s">
        <v>57</v>
      </c>
      <c r="E187" t="s">
        <v>27</v>
      </c>
      <c r="F187" t="s">
        <v>58</v>
      </c>
      <c r="G187" t="s">
        <v>59</v>
      </c>
      <c r="H187" t="s">
        <v>117</v>
      </c>
      <c r="I187" t="s">
        <v>444</v>
      </c>
      <c r="J187" t="s">
        <v>137</v>
      </c>
      <c r="K187" t="s">
        <v>85</v>
      </c>
      <c r="L187" t="s">
        <v>78</v>
      </c>
      <c r="M187" t="s">
        <v>94</v>
      </c>
      <c r="N187" t="s">
        <v>36</v>
      </c>
      <c r="O187">
        <v>45</v>
      </c>
      <c r="P187">
        <v>45</v>
      </c>
      <c r="Q187">
        <v>57.7</v>
      </c>
      <c r="R187">
        <v>1050</v>
      </c>
      <c r="S187">
        <v>1050</v>
      </c>
      <c r="T187">
        <v>0</v>
      </c>
      <c r="U187">
        <v>0</v>
      </c>
      <c r="V187">
        <v>1</v>
      </c>
      <c r="W187">
        <v>0</v>
      </c>
      <c r="X187">
        <v>0.85</v>
      </c>
    </row>
    <row r="188" spans="1:24" x14ac:dyDescent="0.3">
      <c r="A188" t="s">
        <v>445</v>
      </c>
      <c r="B188" s="1">
        <v>45905</v>
      </c>
      <c r="C188" t="s">
        <v>49</v>
      </c>
      <c r="D188" t="s">
        <v>82</v>
      </c>
      <c r="E188" t="s">
        <v>83</v>
      </c>
      <c r="F188" t="s">
        <v>28</v>
      </c>
      <c r="G188" t="s">
        <v>29</v>
      </c>
      <c r="H188" t="s">
        <v>30</v>
      </c>
      <c r="I188" t="s">
        <v>172</v>
      </c>
      <c r="J188" t="s">
        <v>45</v>
      </c>
      <c r="K188" t="s">
        <v>85</v>
      </c>
      <c r="L188" t="s">
        <v>34</v>
      </c>
      <c r="M188" t="s">
        <v>71</v>
      </c>
      <c r="N188" t="s">
        <v>36</v>
      </c>
      <c r="O188">
        <v>30</v>
      </c>
      <c r="P188">
        <v>30</v>
      </c>
      <c r="Q188">
        <v>36.799999999999997</v>
      </c>
      <c r="R188">
        <v>700</v>
      </c>
      <c r="S188">
        <v>700</v>
      </c>
      <c r="T188">
        <v>0</v>
      </c>
      <c r="U188">
        <v>0</v>
      </c>
      <c r="V188">
        <v>1</v>
      </c>
      <c r="W188">
        <v>0</v>
      </c>
      <c r="X188">
        <v>0.85</v>
      </c>
    </row>
    <row r="189" spans="1:24" x14ac:dyDescent="0.3">
      <c r="A189" t="s">
        <v>446</v>
      </c>
      <c r="B189" s="1">
        <v>45686</v>
      </c>
      <c r="C189" t="s">
        <v>130</v>
      </c>
      <c r="D189" t="s">
        <v>57</v>
      </c>
      <c r="E189" t="s">
        <v>27</v>
      </c>
      <c r="F189" t="s">
        <v>58</v>
      </c>
      <c r="G189" t="s">
        <v>59</v>
      </c>
      <c r="H189" t="s">
        <v>73</v>
      </c>
      <c r="I189" t="s">
        <v>447</v>
      </c>
      <c r="J189" t="s">
        <v>53</v>
      </c>
      <c r="K189" t="s">
        <v>85</v>
      </c>
      <c r="L189" t="s">
        <v>34</v>
      </c>
      <c r="M189" t="s">
        <v>35</v>
      </c>
      <c r="N189" t="s">
        <v>36</v>
      </c>
      <c r="O189">
        <v>60</v>
      </c>
      <c r="P189">
        <v>60</v>
      </c>
      <c r="Q189">
        <v>77.900000000000006</v>
      </c>
      <c r="R189">
        <v>1800</v>
      </c>
      <c r="S189">
        <v>1800</v>
      </c>
      <c r="T189">
        <v>0</v>
      </c>
      <c r="U189">
        <v>0</v>
      </c>
      <c r="V189">
        <v>1</v>
      </c>
      <c r="W189">
        <v>0</v>
      </c>
      <c r="X189">
        <v>0.85</v>
      </c>
    </row>
    <row r="190" spans="1:24" x14ac:dyDescent="0.3">
      <c r="A190" t="s">
        <v>448</v>
      </c>
      <c r="B190" s="1">
        <v>45997</v>
      </c>
      <c r="C190" t="s">
        <v>25</v>
      </c>
      <c r="D190" t="s">
        <v>88</v>
      </c>
      <c r="E190" t="s">
        <v>68</v>
      </c>
      <c r="F190" t="s">
        <v>58</v>
      </c>
      <c r="G190" t="s">
        <v>59</v>
      </c>
      <c r="H190" t="s">
        <v>296</v>
      </c>
      <c r="I190" t="s">
        <v>449</v>
      </c>
      <c r="J190" t="s">
        <v>32</v>
      </c>
      <c r="K190" t="s">
        <v>33</v>
      </c>
      <c r="L190" t="s">
        <v>54</v>
      </c>
      <c r="M190" t="s">
        <v>35</v>
      </c>
      <c r="N190" t="s">
        <v>36</v>
      </c>
      <c r="O190">
        <v>60</v>
      </c>
      <c r="P190">
        <v>60</v>
      </c>
      <c r="Q190">
        <v>74.400000000000006</v>
      </c>
      <c r="R190">
        <v>1300</v>
      </c>
      <c r="S190">
        <v>1300</v>
      </c>
      <c r="T190">
        <v>0</v>
      </c>
      <c r="U190">
        <v>0</v>
      </c>
      <c r="V190">
        <v>1</v>
      </c>
      <c r="W190">
        <v>0</v>
      </c>
      <c r="X190">
        <v>0.85</v>
      </c>
    </row>
    <row r="191" spans="1:24" x14ac:dyDescent="0.3">
      <c r="A191" t="s">
        <v>450</v>
      </c>
      <c r="B191" s="1">
        <v>45785</v>
      </c>
      <c r="C191" t="s">
        <v>128</v>
      </c>
      <c r="D191" t="s">
        <v>50</v>
      </c>
      <c r="E191" t="s">
        <v>68</v>
      </c>
      <c r="F191" t="s">
        <v>41</v>
      </c>
      <c r="G191" t="s">
        <v>42</v>
      </c>
      <c r="H191" t="s">
        <v>89</v>
      </c>
      <c r="I191" t="s">
        <v>451</v>
      </c>
      <c r="J191" t="s">
        <v>62</v>
      </c>
      <c r="K191" t="s">
        <v>70</v>
      </c>
      <c r="L191" t="s">
        <v>64</v>
      </c>
      <c r="M191" t="s">
        <v>71</v>
      </c>
      <c r="N191" t="s">
        <v>36</v>
      </c>
      <c r="O191">
        <v>45</v>
      </c>
      <c r="P191">
        <v>45</v>
      </c>
      <c r="Q191">
        <v>52.1</v>
      </c>
      <c r="R191">
        <v>1000</v>
      </c>
      <c r="S191">
        <v>1000</v>
      </c>
      <c r="T191">
        <v>0</v>
      </c>
      <c r="U191">
        <v>0</v>
      </c>
      <c r="V191">
        <v>1</v>
      </c>
      <c r="W191">
        <v>0</v>
      </c>
      <c r="X191">
        <v>0.85</v>
      </c>
    </row>
    <row r="192" spans="1:24" x14ac:dyDescent="0.3">
      <c r="A192" t="s">
        <v>452</v>
      </c>
      <c r="B192" s="1">
        <v>45862</v>
      </c>
      <c r="C192" t="s">
        <v>101</v>
      </c>
      <c r="D192" t="s">
        <v>50</v>
      </c>
      <c r="E192" t="s">
        <v>83</v>
      </c>
      <c r="F192" t="s">
        <v>41</v>
      </c>
      <c r="G192" t="s">
        <v>42</v>
      </c>
      <c r="H192" t="s">
        <v>111</v>
      </c>
      <c r="I192" t="s">
        <v>453</v>
      </c>
      <c r="J192" t="s">
        <v>99</v>
      </c>
      <c r="K192" t="s">
        <v>70</v>
      </c>
      <c r="L192" t="s">
        <v>34</v>
      </c>
      <c r="M192" t="s">
        <v>35</v>
      </c>
      <c r="N192" t="s">
        <v>95</v>
      </c>
      <c r="O192">
        <v>60</v>
      </c>
      <c r="P192">
        <v>0</v>
      </c>
      <c r="Q192">
        <v>75.900000000000006</v>
      </c>
      <c r="R192">
        <v>1350</v>
      </c>
      <c r="S192">
        <v>0</v>
      </c>
      <c r="T192">
        <v>1350</v>
      </c>
      <c r="U192">
        <v>1</v>
      </c>
      <c r="V192">
        <v>0</v>
      </c>
      <c r="W192">
        <v>0</v>
      </c>
      <c r="X192">
        <v>0.85</v>
      </c>
    </row>
    <row r="193" spans="1:24" x14ac:dyDescent="0.3">
      <c r="A193" t="s">
        <v>454</v>
      </c>
      <c r="B193" s="1">
        <v>45670</v>
      </c>
      <c r="C193" t="s">
        <v>130</v>
      </c>
      <c r="D193" t="s">
        <v>39</v>
      </c>
      <c r="E193" t="s">
        <v>27</v>
      </c>
      <c r="F193" t="s">
        <v>28</v>
      </c>
      <c r="G193" t="s">
        <v>29</v>
      </c>
      <c r="H193" t="s">
        <v>102</v>
      </c>
      <c r="I193" t="s">
        <v>292</v>
      </c>
      <c r="J193" t="s">
        <v>62</v>
      </c>
      <c r="K193" t="s">
        <v>46</v>
      </c>
      <c r="L193" t="s">
        <v>64</v>
      </c>
      <c r="M193" t="s">
        <v>65</v>
      </c>
      <c r="N193" t="s">
        <v>36</v>
      </c>
      <c r="O193">
        <v>60</v>
      </c>
      <c r="P193">
        <v>60</v>
      </c>
      <c r="Q193">
        <v>72.099999999999994</v>
      </c>
      <c r="R193">
        <v>1250</v>
      </c>
      <c r="S193">
        <v>1250</v>
      </c>
      <c r="T193">
        <v>0</v>
      </c>
      <c r="U193">
        <v>0</v>
      </c>
      <c r="V193">
        <v>1</v>
      </c>
      <c r="W193">
        <v>0</v>
      </c>
      <c r="X193">
        <v>0.85</v>
      </c>
    </row>
    <row r="194" spans="1:24" x14ac:dyDescent="0.3">
      <c r="A194" t="s">
        <v>455</v>
      </c>
      <c r="B194" s="1">
        <v>45971</v>
      </c>
      <c r="C194" t="s">
        <v>38</v>
      </c>
      <c r="D194" t="s">
        <v>39</v>
      </c>
      <c r="E194" t="s">
        <v>27</v>
      </c>
      <c r="F194" t="s">
        <v>58</v>
      </c>
      <c r="G194" t="s">
        <v>59</v>
      </c>
      <c r="H194" t="s">
        <v>117</v>
      </c>
      <c r="I194" t="s">
        <v>456</v>
      </c>
      <c r="J194" t="s">
        <v>62</v>
      </c>
      <c r="K194" t="s">
        <v>85</v>
      </c>
      <c r="L194" t="s">
        <v>34</v>
      </c>
      <c r="M194" t="s">
        <v>71</v>
      </c>
      <c r="N194" t="s">
        <v>36</v>
      </c>
      <c r="O194">
        <v>30</v>
      </c>
      <c r="P194">
        <v>30</v>
      </c>
      <c r="Q194">
        <v>36.9</v>
      </c>
      <c r="R194">
        <v>750</v>
      </c>
      <c r="S194">
        <v>750</v>
      </c>
      <c r="T194">
        <v>0</v>
      </c>
      <c r="U194">
        <v>0</v>
      </c>
      <c r="V194">
        <v>1</v>
      </c>
      <c r="W194">
        <v>0</v>
      </c>
      <c r="X194">
        <v>0.85</v>
      </c>
    </row>
    <row r="195" spans="1:24" x14ac:dyDescent="0.3">
      <c r="A195" t="s">
        <v>457</v>
      </c>
      <c r="B195" s="1">
        <v>45842</v>
      </c>
      <c r="C195" t="s">
        <v>101</v>
      </c>
      <c r="D195" t="s">
        <v>82</v>
      </c>
      <c r="E195" t="s">
        <v>27</v>
      </c>
      <c r="F195" t="s">
        <v>58</v>
      </c>
      <c r="G195" t="s">
        <v>59</v>
      </c>
      <c r="H195" t="s">
        <v>73</v>
      </c>
      <c r="I195" t="s">
        <v>458</v>
      </c>
      <c r="J195" t="s">
        <v>62</v>
      </c>
      <c r="K195" t="s">
        <v>70</v>
      </c>
      <c r="L195" t="s">
        <v>64</v>
      </c>
      <c r="M195" t="s">
        <v>47</v>
      </c>
      <c r="N195" t="s">
        <v>36</v>
      </c>
      <c r="O195">
        <v>30</v>
      </c>
      <c r="P195">
        <v>30</v>
      </c>
      <c r="Q195">
        <v>36.1</v>
      </c>
      <c r="R195">
        <v>750</v>
      </c>
      <c r="S195">
        <v>750</v>
      </c>
      <c r="T195">
        <v>0</v>
      </c>
      <c r="U195">
        <v>0</v>
      </c>
      <c r="V195">
        <v>1</v>
      </c>
      <c r="W195">
        <v>0</v>
      </c>
      <c r="X195">
        <v>0.85</v>
      </c>
    </row>
    <row r="196" spans="1:24" x14ac:dyDescent="0.3">
      <c r="A196" t="s">
        <v>459</v>
      </c>
      <c r="B196" s="1">
        <v>45852</v>
      </c>
      <c r="C196" t="s">
        <v>101</v>
      </c>
      <c r="D196" t="s">
        <v>39</v>
      </c>
      <c r="E196" t="s">
        <v>83</v>
      </c>
      <c r="F196" t="s">
        <v>28</v>
      </c>
      <c r="G196" t="s">
        <v>29</v>
      </c>
      <c r="H196" t="s">
        <v>30</v>
      </c>
      <c r="I196" t="s">
        <v>460</v>
      </c>
      <c r="J196" t="s">
        <v>62</v>
      </c>
      <c r="K196" t="s">
        <v>104</v>
      </c>
      <c r="L196" t="s">
        <v>64</v>
      </c>
      <c r="M196" t="s">
        <v>35</v>
      </c>
      <c r="N196" t="s">
        <v>95</v>
      </c>
      <c r="O196">
        <v>45</v>
      </c>
      <c r="P196">
        <v>0</v>
      </c>
      <c r="Q196">
        <v>49.8</v>
      </c>
      <c r="R196">
        <v>950</v>
      </c>
      <c r="S196">
        <v>0</v>
      </c>
      <c r="T196">
        <v>950</v>
      </c>
      <c r="U196">
        <v>1</v>
      </c>
      <c r="V196">
        <v>0</v>
      </c>
      <c r="W196">
        <v>0</v>
      </c>
      <c r="X196">
        <v>0.85</v>
      </c>
    </row>
    <row r="197" spans="1:24" x14ac:dyDescent="0.3">
      <c r="A197" t="s">
        <v>461</v>
      </c>
      <c r="B197" s="1">
        <v>45868</v>
      </c>
      <c r="C197" t="s">
        <v>101</v>
      </c>
      <c r="D197" t="s">
        <v>57</v>
      </c>
      <c r="E197" t="s">
        <v>68</v>
      </c>
      <c r="F197" t="s">
        <v>41</v>
      </c>
      <c r="G197" t="s">
        <v>42</v>
      </c>
      <c r="H197" t="s">
        <v>111</v>
      </c>
      <c r="I197" t="s">
        <v>462</v>
      </c>
      <c r="J197" t="s">
        <v>32</v>
      </c>
      <c r="K197" t="s">
        <v>104</v>
      </c>
      <c r="L197" t="s">
        <v>34</v>
      </c>
      <c r="M197" t="s">
        <v>35</v>
      </c>
      <c r="N197" t="s">
        <v>95</v>
      </c>
      <c r="O197">
        <v>90</v>
      </c>
      <c r="P197">
        <v>0</v>
      </c>
      <c r="Q197">
        <v>110.2</v>
      </c>
      <c r="R197">
        <v>2000</v>
      </c>
      <c r="S197">
        <v>0</v>
      </c>
      <c r="T197">
        <v>2000</v>
      </c>
      <c r="U197">
        <v>1</v>
      </c>
      <c r="V197">
        <v>0</v>
      </c>
      <c r="W197">
        <v>0</v>
      </c>
      <c r="X197">
        <v>0.85</v>
      </c>
    </row>
    <row r="198" spans="1:24" x14ac:dyDescent="0.3">
      <c r="A198" t="s">
        <v>463</v>
      </c>
      <c r="B198" s="1">
        <v>45832</v>
      </c>
      <c r="C198" t="s">
        <v>67</v>
      </c>
      <c r="D198" t="s">
        <v>26</v>
      </c>
      <c r="E198" t="s">
        <v>68</v>
      </c>
      <c r="F198" t="s">
        <v>28</v>
      </c>
      <c r="G198" t="s">
        <v>29</v>
      </c>
      <c r="H198" t="s">
        <v>120</v>
      </c>
      <c r="I198" t="s">
        <v>464</v>
      </c>
      <c r="J198" t="s">
        <v>62</v>
      </c>
      <c r="K198" t="s">
        <v>85</v>
      </c>
      <c r="L198" t="s">
        <v>34</v>
      </c>
      <c r="M198" t="s">
        <v>86</v>
      </c>
      <c r="N198" t="s">
        <v>36</v>
      </c>
      <c r="O198">
        <v>30</v>
      </c>
      <c r="P198">
        <v>30</v>
      </c>
      <c r="Q198">
        <v>36.1</v>
      </c>
      <c r="R198">
        <v>600</v>
      </c>
      <c r="S198">
        <v>600</v>
      </c>
      <c r="T198">
        <v>0</v>
      </c>
      <c r="U198">
        <v>0</v>
      </c>
      <c r="V198">
        <v>1</v>
      </c>
      <c r="W198">
        <v>0</v>
      </c>
      <c r="X198">
        <v>0.85</v>
      </c>
    </row>
    <row r="199" spans="1:24" x14ac:dyDescent="0.3">
      <c r="A199" t="s">
        <v>465</v>
      </c>
      <c r="B199" s="1">
        <v>45794</v>
      </c>
      <c r="C199" t="s">
        <v>128</v>
      </c>
      <c r="D199" t="s">
        <v>88</v>
      </c>
      <c r="E199" t="s">
        <v>83</v>
      </c>
      <c r="F199" t="s">
        <v>58</v>
      </c>
      <c r="G199" t="s">
        <v>59</v>
      </c>
      <c r="H199" t="s">
        <v>60</v>
      </c>
      <c r="I199" t="s">
        <v>466</v>
      </c>
      <c r="J199" t="s">
        <v>62</v>
      </c>
      <c r="K199" t="s">
        <v>104</v>
      </c>
      <c r="L199" t="s">
        <v>78</v>
      </c>
      <c r="M199" t="s">
        <v>47</v>
      </c>
      <c r="N199" t="s">
        <v>36</v>
      </c>
      <c r="O199">
        <v>75</v>
      </c>
      <c r="P199">
        <v>75</v>
      </c>
      <c r="Q199">
        <v>99.7</v>
      </c>
      <c r="R199">
        <v>1700</v>
      </c>
      <c r="S199">
        <v>1700</v>
      </c>
      <c r="T199">
        <v>0</v>
      </c>
      <c r="U199">
        <v>0</v>
      </c>
      <c r="V199">
        <v>1</v>
      </c>
      <c r="W199">
        <v>0</v>
      </c>
      <c r="X199">
        <v>0.85</v>
      </c>
    </row>
    <row r="200" spans="1:24" x14ac:dyDescent="0.3">
      <c r="A200" t="s">
        <v>467</v>
      </c>
      <c r="B200" s="1">
        <v>45789</v>
      </c>
      <c r="C200" t="s">
        <v>128</v>
      </c>
      <c r="D200" t="s">
        <v>39</v>
      </c>
      <c r="E200" t="s">
        <v>68</v>
      </c>
      <c r="F200" t="s">
        <v>58</v>
      </c>
      <c r="G200" t="s">
        <v>59</v>
      </c>
      <c r="H200" t="s">
        <v>151</v>
      </c>
      <c r="I200" t="s">
        <v>468</v>
      </c>
      <c r="J200" t="s">
        <v>62</v>
      </c>
      <c r="K200" t="s">
        <v>33</v>
      </c>
      <c r="L200" t="s">
        <v>34</v>
      </c>
      <c r="M200" t="s">
        <v>35</v>
      </c>
      <c r="N200" t="s">
        <v>36</v>
      </c>
      <c r="O200">
        <v>60</v>
      </c>
      <c r="P200">
        <v>60</v>
      </c>
      <c r="Q200">
        <v>68.8</v>
      </c>
      <c r="R200">
        <v>1500</v>
      </c>
      <c r="S200">
        <v>1500</v>
      </c>
      <c r="T200">
        <v>0</v>
      </c>
      <c r="U200">
        <v>0</v>
      </c>
      <c r="V200">
        <v>1</v>
      </c>
      <c r="W200">
        <v>0</v>
      </c>
      <c r="X200">
        <v>0.85</v>
      </c>
    </row>
    <row r="201" spans="1:24" x14ac:dyDescent="0.3">
      <c r="A201" t="s">
        <v>469</v>
      </c>
      <c r="B201" s="1">
        <v>45670</v>
      </c>
      <c r="C201" t="s">
        <v>130</v>
      </c>
      <c r="D201" t="s">
        <v>39</v>
      </c>
      <c r="E201" t="s">
        <v>40</v>
      </c>
      <c r="F201" t="s">
        <v>28</v>
      </c>
      <c r="G201" t="s">
        <v>29</v>
      </c>
      <c r="H201" t="s">
        <v>135</v>
      </c>
      <c r="I201" t="s">
        <v>202</v>
      </c>
      <c r="J201" t="s">
        <v>53</v>
      </c>
      <c r="K201" t="s">
        <v>70</v>
      </c>
      <c r="L201" t="s">
        <v>64</v>
      </c>
      <c r="M201" t="s">
        <v>71</v>
      </c>
      <c r="N201" t="s">
        <v>95</v>
      </c>
      <c r="O201">
        <v>60</v>
      </c>
      <c r="P201">
        <v>0</v>
      </c>
      <c r="Q201">
        <v>76.900000000000006</v>
      </c>
      <c r="R201">
        <v>1500</v>
      </c>
      <c r="S201">
        <v>0</v>
      </c>
      <c r="T201">
        <v>1500</v>
      </c>
      <c r="U201">
        <v>1</v>
      </c>
      <c r="V201">
        <v>0</v>
      </c>
      <c r="W201">
        <v>0</v>
      </c>
      <c r="X201">
        <v>0.85</v>
      </c>
    </row>
    <row r="202" spans="1:24" x14ac:dyDescent="0.3">
      <c r="A202" t="s">
        <v>470</v>
      </c>
      <c r="B202" s="1">
        <v>45775</v>
      </c>
      <c r="C202" t="s">
        <v>92</v>
      </c>
      <c r="D202" t="s">
        <v>39</v>
      </c>
      <c r="E202" t="s">
        <v>68</v>
      </c>
      <c r="F202" t="s">
        <v>28</v>
      </c>
      <c r="G202" t="s">
        <v>29</v>
      </c>
      <c r="H202" t="s">
        <v>30</v>
      </c>
      <c r="I202" t="s">
        <v>471</v>
      </c>
      <c r="J202" t="s">
        <v>53</v>
      </c>
      <c r="K202" t="s">
        <v>46</v>
      </c>
      <c r="L202" t="s">
        <v>34</v>
      </c>
      <c r="M202" t="s">
        <v>35</v>
      </c>
      <c r="N202" t="s">
        <v>36</v>
      </c>
      <c r="O202">
        <v>60</v>
      </c>
      <c r="P202">
        <v>60</v>
      </c>
      <c r="Q202">
        <v>68.3</v>
      </c>
      <c r="R202">
        <v>1500</v>
      </c>
      <c r="S202">
        <v>1500</v>
      </c>
      <c r="T202">
        <v>0</v>
      </c>
      <c r="U202">
        <v>0</v>
      </c>
      <c r="V202">
        <v>1</v>
      </c>
      <c r="W202">
        <v>0</v>
      </c>
      <c r="X202">
        <v>0.85</v>
      </c>
    </row>
    <row r="203" spans="1:24" x14ac:dyDescent="0.3">
      <c r="A203" t="s">
        <v>472</v>
      </c>
      <c r="B203" s="1">
        <v>45787</v>
      </c>
      <c r="C203" t="s">
        <v>128</v>
      </c>
      <c r="D203" t="s">
        <v>88</v>
      </c>
      <c r="E203" t="s">
        <v>27</v>
      </c>
      <c r="F203" t="s">
        <v>58</v>
      </c>
      <c r="G203" t="s">
        <v>59</v>
      </c>
      <c r="H203" t="s">
        <v>296</v>
      </c>
      <c r="I203" t="s">
        <v>473</v>
      </c>
      <c r="J203" t="s">
        <v>62</v>
      </c>
      <c r="K203" t="s">
        <v>70</v>
      </c>
      <c r="L203" t="s">
        <v>34</v>
      </c>
      <c r="M203" t="s">
        <v>35</v>
      </c>
      <c r="N203" t="s">
        <v>36</v>
      </c>
      <c r="O203">
        <v>75</v>
      </c>
      <c r="P203">
        <v>75</v>
      </c>
      <c r="Q203">
        <v>88.8</v>
      </c>
      <c r="R203">
        <v>1900</v>
      </c>
      <c r="S203">
        <v>1900</v>
      </c>
      <c r="T203">
        <v>0</v>
      </c>
      <c r="U203">
        <v>0</v>
      </c>
      <c r="V203">
        <v>1</v>
      </c>
      <c r="W203">
        <v>0</v>
      </c>
      <c r="X203">
        <v>0.85</v>
      </c>
    </row>
    <row r="204" spans="1:24" x14ac:dyDescent="0.3">
      <c r="A204" t="s">
        <v>474</v>
      </c>
      <c r="B204" s="1">
        <v>45688</v>
      </c>
      <c r="C204" t="s">
        <v>130</v>
      </c>
      <c r="D204" t="s">
        <v>82</v>
      </c>
      <c r="E204" t="s">
        <v>40</v>
      </c>
      <c r="F204" t="s">
        <v>28</v>
      </c>
      <c r="G204" t="s">
        <v>29</v>
      </c>
      <c r="H204" t="s">
        <v>135</v>
      </c>
      <c r="I204" t="s">
        <v>475</v>
      </c>
      <c r="J204" t="s">
        <v>45</v>
      </c>
      <c r="K204" t="s">
        <v>63</v>
      </c>
      <c r="L204" t="s">
        <v>34</v>
      </c>
      <c r="M204" t="s">
        <v>94</v>
      </c>
      <c r="N204" t="s">
        <v>153</v>
      </c>
      <c r="O204">
        <v>60</v>
      </c>
      <c r="P204">
        <v>0</v>
      </c>
      <c r="Q204">
        <v>75.900000000000006</v>
      </c>
      <c r="R204">
        <v>1450</v>
      </c>
      <c r="S204">
        <v>0</v>
      </c>
      <c r="T204">
        <v>0</v>
      </c>
      <c r="U204">
        <v>0</v>
      </c>
      <c r="V204">
        <v>0</v>
      </c>
      <c r="W204">
        <v>0</v>
      </c>
      <c r="X204">
        <v>0.85</v>
      </c>
    </row>
    <row r="205" spans="1:24" x14ac:dyDescent="0.3">
      <c r="A205" t="s">
        <v>476</v>
      </c>
      <c r="B205" s="1">
        <v>46020</v>
      </c>
      <c r="C205" t="s">
        <v>25</v>
      </c>
      <c r="D205" t="s">
        <v>39</v>
      </c>
      <c r="E205" t="s">
        <v>83</v>
      </c>
      <c r="F205" t="s">
        <v>28</v>
      </c>
      <c r="G205" t="s">
        <v>29</v>
      </c>
      <c r="H205" t="s">
        <v>102</v>
      </c>
      <c r="I205" t="s">
        <v>477</v>
      </c>
      <c r="J205" t="s">
        <v>45</v>
      </c>
      <c r="K205" t="s">
        <v>104</v>
      </c>
      <c r="L205" t="s">
        <v>64</v>
      </c>
      <c r="M205" t="s">
        <v>65</v>
      </c>
      <c r="N205" t="s">
        <v>36</v>
      </c>
      <c r="O205">
        <v>60</v>
      </c>
      <c r="P205">
        <v>60</v>
      </c>
      <c r="Q205">
        <v>80.099999999999994</v>
      </c>
      <c r="R205">
        <v>1450</v>
      </c>
      <c r="S205">
        <v>1450</v>
      </c>
      <c r="T205">
        <v>0</v>
      </c>
      <c r="U205">
        <v>0</v>
      </c>
      <c r="V205">
        <v>1</v>
      </c>
      <c r="W205">
        <v>0</v>
      </c>
      <c r="X205">
        <v>0.85</v>
      </c>
    </row>
    <row r="206" spans="1:24" x14ac:dyDescent="0.3">
      <c r="A206" t="s">
        <v>478</v>
      </c>
      <c r="B206" s="1">
        <v>45801</v>
      </c>
      <c r="C206" t="s">
        <v>128</v>
      </c>
      <c r="D206" t="s">
        <v>88</v>
      </c>
      <c r="E206" t="s">
        <v>83</v>
      </c>
      <c r="F206" t="s">
        <v>28</v>
      </c>
      <c r="G206" t="s">
        <v>29</v>
      </c>
      <c r="H206" t="s">
        <v>120</v>
      </c>
      <c r="I206" t="s">
        <v>479</v>
      </c>
      <c r="J206" t="s">
        <v>53</v>
      </c>
      <c r="K206" t="s">
        <v>85</v>
      </c>
      <c r="L206" t="s">
        <v>34</v>
      </c>
      <c r="M206" t="s">
        <v>86</v>
      </c>
      <c r="N206" t="s">
        <v>36</v>
      </c>
      <c r="O206">
        <v>75</v>
      </c>
      <c r="P206">
        <v>75</v>
      </c>
      <c r="Q206">
        <v>96</v>
      </c>
      <c r="R206">
        <v>1900</v>
      </c>
      <c r="S206">
        <v>1900</v>
      </c>
      <c r="T206">
        <v>0</v>
      </c>
      <c r="U206">
        <v>0</v>
      </c>
      <c r="V206">
        <v>1</v>
      </c>
      <c r="W206">
        <v>0</v>
      </c>
      <c r="X206">
        <v>0.85</v>
      </c>
    </row>
    <row r="207" spans="1:24" x14ac:dyDescent="0.3">
      <c r="A207" t="s">
        <v>480</v>
      </c>
      <c r="B207" s="1">
        <v>46011</v>
      </c>
      <c r="C207" t="s">
        <v>25</v>
      </c>
      <c r="D207" t="s">
        <v>88</v>
      </c>
      <c r="E207" t="s">
        <v>83</v>
      </c>
      <c r="F207" t="s">
        <v>28</v>
      </c>
      <c r="G207" t="s">
        <v>29</v>
      </c>
      <c r="H207" t="s">
        <v>210</v>
      </c>
      <c r="I207" t="s">
        <v>420</v>
      </c>
      <c r="J207" t="s">
        <v>62</v>
      </c>
      <c r="K207" t="s">
        <v>70</v>
      </c>
      <c r="L207" t="s">
        <v>34</v>
      </c>
      <c r="M207" t="s">
        <v>94</v>
      </c>
      <c r="N207" t="s">
        <v>36</v>
      </c>
      <c r="O207">
        <v>45</v>
      </c>
      <c r="P207">
        <v>45</v>
      </c>
      <c r="Q207">
        <v>59.6</v>
      </c>
      <c r="R207">
        <v>950</v>
      </c>
      <c r="S207">
        <v>950</v>
      </c>
      <c r="T207">
        <v>0</v>
      </c>
      <c r="U207">
        <v>0</v>
      </c>
      <c r="V207">
        <v>1</v>
      </c>
      <c r="W207">
        <v>0</v>
      </c>
      <c r="X207">
        <v>0.85</v>
      </c>
    </row>
    <row r="208" spans="1:24" x14ac:dyDescent="0.3">
      <c r="A208" t="s">
        <v>481</v>
      </c>
      <c r="B208" s="1">
        <v>45701</v>
      </c>
      <c r="C208" t="s">
        <v>76</v>
      </c>
      <c r="D208" t="s">
        <v>50</v>
      </c>
      <c r="E208" t="s">
        <v>68</v>
      </c>
      <c r="F208" t="s">
        <v>58</v>
      </c>
      <c r="G208" t="s">
        <v>59</v>
      </c>
      <c r="H208" t="s">
        <v>73</v>
      </c>
      <c r="I208" t="s">
        <v>482</v>
      </c>
      <c r="J208" t="s">
        <v>62</v>
      </c>
      <c r="K208" t="s">
        <v>33</v>
      </c>
      <c r="L208" t="s">
        <v>64</v>
      </c>
      <c r="M208" t="s">
        <v>35</v>
      </c>
      <c r="N208" t="s">
        <v>36</v>
      </c>
      <c r="O208">
        <v>60</v>
      </c>
      <c r="P208">
        <v>60</v>
      </c>
      <c r="Q208">
        <v>70</v>
      </c>
      <c r="R208">
        <v>1500</v>
      </c>
      <c r="S208">
        <v>1500</v>
      </c>
      <c r="T208">
        <v>0</v>
      </c>
      <c r="U208">
        <v>0</v>
      </c>
      <c r="V208">
        <v>1</v>
      </c>
      <c r="W208">
        <v>0</v>
      </c>
      <c r="X208">
        <v>0.85</v>
      </c>
    </row>
    <row r="209" spans="1:24" x14ac:dyDescent="0.3">
      <c r="A209" t="s">
        <v>483</v>
      </c>
      <c r="B209" s="1">
        <v>45812</v>
      </c>
      <c r="C209" t="s">
        <v>67</v>
      </c>
      <c r="D209" t="s">
        <v>57</v>
      </c>
      <c r="E209" t="s">
        <v>27</v>
      </c>
      <c r="F209" t="s">
        <v>41</v>
      </c>
      <c r="G209" t="s">
        <v>42</v>
      </c>
      <c r="H209" t="s">
        <v>51</v>
      </c>
      <c r="I209" t="s">
        <v>484</v>
      </c>
      <c r="J209" t="s">
        <v>32</v>
      </c>
      <c r="K209" t="s">
        <v>85</v>
      </c>
      <c r="L209" t="s">
        <v>34</v>
      </c>
      <c r="M209" t="s">
        <v>86</v>
      </c>
      <c r="N209" t="s">
        <v>95</v>
      </c>
      <c r="O209">
        <v>30</v>
      </c>
      <c r="P209">
        <v>0</v>
      </c>
      <c r="Q209">
        <v>35.799999999999997</v>
      </c>
      <c r="R209">
        <v>700</v>
      </c>
      <c r="S209">
        <v>0</v>
      </c>
      <c r="T209">
        <v>700</v>
      </c>
      <c r="U209">
        <v>1</v>
      </c>
      <c r="V209">
        <v>0</v>
      </c>
      <c r="W209">
        <v>0</v>
      </c>
      <c r="X209">
        <v>0.85</v>
      </c>
    </row>
    <row r="210" spans="1:24" x14ac:dyDescent="0.3">
      <c r="A210" t="s">
        <v>485</v>
      </c>
      <c r="B210" s="1">
        <v>45775</v>
      </c>
      <c r="C210" t="s">
        <v>92</v>
      </c>
      <c r="D210" t="s">
        <v>39</v>
      </c>
      <c r="E210" t="s">
        <v>83</v>
      </c>
      <c r="F210" t="s">
        <v>58</v>
      </c>
      <c r="G210" t="s">
        <v>59</v>
      </c>
      <c r="H210" t="s">
        <v>73</v>
      </c>
      <c r="I210" t="s">
        <v>486</v>
      </c>
      <c r="J210" t="s">
        <v>32</v>
      </c>
      <c r="K210" t="s">
        <v>33</v>
      </c>
      <c r="L210" t="s">
        <v>34</v>
      </c>
      <c r="M210" t="s">
        <v>47</v>
      </c>
      <c r="N210" t="s">
        <v>36</v>
      </c>
      <c r="O210">
        <v>45</v>
      </c>
      <c r="P210">
        <v>45</v>
      </c>
      <c r="Q210">
        <v>57.8</v>
      </c>
      <c r="R210">
        <v>1100</v>
      </c>
      <c r="S210">
        <v>1100</v>
      </c>
      <c r="T210">
        <v>0</v>
      </c>
      <c r="U210">
        <v>0</v>
      </c>
      <c r="V210">
        <v>1</v>
      </c>
      <c r="W210">
        <v>0</v>
      </c>
      <c r="X210">
        <v>0.85</v>
      </c>
    </row>
    <row r="211" spans="1:24" x14ac:dyDescent="0.3">
      <c r="A211" t="s">
        <v>487</v>
      </c>
      <c r="B211" s="1">
        <v>45877</v>
      </c>
      <c r="C211" t="s">
        <v>110</v>
      </c>
      <c r="D211" t="s">
        <v>82</v>
      </c>
      <c r="E211" t="s">
        <v>68</v>
      </c>
      <c r="F211" t="s">
        <v>28</v>
      </c>
      <c r="G211" t="s">
        <v>29</v>
      </c>
      <c r="H211" t="s">
        <v>102</v>
      </c>
      <c r="I211" t="s">
        <v>354</v>
      </c>
      <c r="J211" t="s">
        <v>45</v>
      </c>
      <c r="K211" t="s">
        <v>33</v>
      </c>
      <c r="L211" t="s">
        <v>64</v>
      </c>
      <c r="M211" t="s">
        <v>47</v>
      </c>
      <c r="N211" t="s">
        <v>95</v>
      </c>
      <c r="O211">
        <v>60</v>
      </c>
      <c r="P211">
        <v>0</v>
      </c>
      <c r="Q211">
        <v>77</v>
      </c>
      <c r="R211">
        <v>1450</v>
      </c>
      <c r="S211">
        <v>0</v>
      </c>
      <c r="T211">
        <v>1450</v>
      </c>
      <c r="U211">
        <v>1</v>
      </c>
      <c r="V211">
        <v>0</v>
      </c>
      <c r="W211">
        <v>0</v>
      </c>
      <c r="X211">
        <v>0.85</v>
      </c>
    </row>
    <row r="212" spans="1:24" x14ac:dyDescent="0.3">
      <c r="A212" t="s">
        <v>488</v>
      </c>
      <c r="B212" s="1">
        <v>45891</v>
      </c>
      <c r="C212" t="s">
        <v>110</v>
      </c>
      <c r="D212" t="s">
        <v>82</v>
      </c>
      <c r="E212" t="s">
        <v>68</v>
      </c>
      <c r="F212" t="s">
        <v>58</v>
      </c>
      <c r="G212" t="s">
        <v>59</v>
      </c>
      <c r="H212" t="s">
        <v>73</v>
      </c>
      <c r="I212" t="s">
        <v>489</v>
      </c>
      <c r="J212" t="s">
        <v>53</v>
      </c>
      <c r="K212" t="s">
        <v>104</v>
      </c>
      <c r="L212" t="s">
        <v>54</v>
      </c>
      <c r="M212" t="s">
        <v>47</v>
      </c>
      <c r="N212" t="s">
        <v>36</v>
      </c>
      <c r="O212">
        <v>60</v>
      </c>
      <c r="P212">
        <v>60</v>
      </c>
      <c r="Q212">
        <v>74.900000000000006</v>
      </c>
      <c r="R212">
        <v>1550</v>
      </c>
      <c r="S212">
        <v>1550</v>
      </c>
      <c r="T212">
        <v>0</v>
      </c>
      <c r="U212">
        <v>0</v>
      </c>
      <c r="V212">
        <v>1</v>
      </c>
      <c r="W212">
        <v>0</v>
      </c>
      <c r="X212">
        <v>0.85</v>
      </c>
    </row>
    <row r="213" spans="1:24" x14ac:dyDescent="0.3">
      <c r="A213" t="s">
        <v>490</v>
      </c>
      <c r="B213" s="1">
        <v>45803</v>
      </c>
      <c r="C213" t="s">
        <v>128</v>
      </c>
      <c r="D213" t="s">
        <v>39</v>
      </c>
      <c r="E213" t="s">
        <v>83</v>
      </c>
      <c r="F213" t="s">
        <v>41</v>
      </c>
      <c r="G213" t="s">
        <v>42</v>
      </c>
      <c r="H213" t="s">
        <v>51</v>
      </c>
      <c r="I213" t="s">
        <v>491</v>
      </c>
      <c r="J213" t="s">
        <v>137</v>
      </c>
      <c r="K213" t="s">
        <v>104</v>
      </c>
      <c r="L213" t="s">
        <v>78</v>
      </c>
      <c r="M213" t="s">
        <v>35</v>
      </c>
      <c r="N213" t="s">
        <v>36</v>
      </c>
      <c r="O213">
        <v>30</v>
      </c>
      <c r="P213">
        <v>30</v>
      </c>
      <c r="Q213">
        <v>33.1</v>
      </c>
      <c r="R213">
        <v>600</v>
      </c>
      <c r="S213">
        <v>600</v>
      </c>
      <c r="T213">
        <v>0</v>
      </c>
      <c r="U213">
        <v>0</v>
      </c>
      <c r="V213">
        <v>1</v>
      </c>
      <c r="W213">
        <v>0</v>
      </c>
      <c r="X213">
        <v>0.85</v>
      </c>
    </row>
    <row r="214" spans="1:24" x14ac:dyDescent="0.3">
      <c r="A214" t="s">
        <v>492</v>
      </c>
      <c r="B214" s="1">
        <v>45674</v>
      </c>
      <c r="C214" t="s">
        <v>130</v>
      </c>
      <c r="D214" t="s">
        <v>82</v>
      </c>
      <c r="E214" t="s">
        <v>27</v>
      </c>
      <c r="F214" t="s">
        <v>58</v>
      </c>
      <c r="G214" t="s">
        <v>59</v>
      </c>
      <c r="H214" t="s">
        <v>60</v>
      </c>
      <c r="I214" t="s">
        <v>493</v>
      </c>
      <c r="J214" t="s">
        <v>62</v>
      </c>
      <c r="K214" t="s">
        <v>33</v>
      </c>
      <c r="L214" t="s">
        <v>64</v>
      </c>
      <c r="M214" t="s">
        <v>94</v>
      </c>
      <c r="N214" t="s">
        <v>36</v>
      </c>
      <c r="O214">
        <v>30</v>
      </c>
      <c r="P214">
        <v>30</v>
      </c>
      <c r="Q214">
        <v>36.6</v>
      </c>
      <c r="R214">
        <v>750</v>
      </c>
      <c r="S214">
        <v>750</v>
      </c>
      <c r="T214">
        <v>0</v>
      </c>
      <c r="U214">
        <v>0</v>
      </c>
      <c r="V214">
        <v>1</v>
      </c>
      <c r="W214">
        <v>0</v>
      </c>
      <c r="X214">
        <v>0.85</v>
      </c>
    </row>
    <row r="215" spans="1:24" x14ac:dyDescent="0.3">
      <c r="A215" t="s">
        <v>494</v>
      </c>
      <c r="B215" s="1">
        <v>45959</v>
      </c>
      <c r="C215" t="s">
        <v>97</v>
      </c>
      <c r="D215" t="s">
        <v>57</v>
      </c>
      <c r="E215" t="s">
        <v>40</v>
      </c>
      <c r="F215" t="s">
        <v>28</v>
      </c>
      <c r="G215" t="s">
        <v>29</v>
      </c>
      <c r="H215" t="s">
        <v>102</v>
      </c>
      <c r="I215" t="s">
        <v>495</v>
      </c>
      <c r="J215" t="s">
        <v>62</v>
      </c>
      <c r="K215" t="s">
        <v>63</v>
      </c>
      <c r="L215" t="s">
        <v>34</v>
      </c>
      <c r="M215" t="s">
        <v>94</v>
      </c>
      <c r="N215" t="s">
        <v>36</v>
      </c>
      <c r="O215">
        <v>60</v>
      </c>
      <c r="P215">
        <v>60</v>
      </c>
      <c r="Q215">
        <v>74.900000000000006</v>
      </c>
      <c r="R215">
        <v>1250</v>
      </c>
      <c r="S215">
        <v>1250</v>
      </c>
      <c r="T215">
        <v>0</v>
      </c>
      <c r="U215">
        <v>0</v>
      </c>
      <c r="V215">
        <v>1</v>
      </c>
      <c r="W215">
        <v>0</v>
      </c>
      <c r="X215">
        <v>0.85</v>
      </c>
    </row>
    <row r="216" spans="1:24" x14ac:dyDescent="0.3">
      <c r="A216" t="s">
        <v>496</v>
      </c>
      <c r="B216" s="1">
        <v>45821</v>
      </c>
      <c r="C216" t="s">
        <v>67</v>
      </c>
      <c r="D216" t="s">
        <v>82</v>
      </c>
      <c r="E216" t="s">
        <v>83</v>
      </c>
      <c r="F216" t="s">
        <v>41</v>
      </c>
      <c r="G216" t="s">
        <v>42</v>
      </c>
      <c r="H216" t="s">
        <v>51</v>
      </c>
      <c r="I216" t="s">
        <v>166</v>
      </c>
      <c r="J216" t="s">
        <v>62</v>
      </c>
      <c r="K216" t="s">
        <v>70</v>
      </c>
      <c r="L216" t="s">
        <v>78</v>
      </c>
      <c r="M216" t="s">
        <v>94</v>
      </c>
      <c r="N216" t="s">
        <v>36</v>
      </c>
      <c r="O216">
        <v>60</v>
      </c>
      <c r="P216">
        <v>60</v>
      </c>
      <c r="Q216">
        <v>68.2</v>
      </c>
      <c r="R216">
        <v>1250</v>
      </c>
      <c r="S216">
        <v>1250</v>
      </c>
      <c r="T216">
        <v>0</v>
      </c>
      <c r="U216">
        <v>0</v>
      </c>
      <c r="V216">
        <v>1</v>
      </c>
      <c r="W216">
        <v>0</v>
      </c>
      <c r="X216">
        <v>0.85</v>
      </c>
    </row>
    <row r="217" spans="1:24" x14ac:dyDescent="0.3">
      <c r="A217" t="s">
        <v>497</v>
      </c>
      <c r="B217" s="1">
        <v>45877</v>
      </c>
      <c r="C217" t="s">
        <v>110</v>
      </c>
      <c r="D217" t="s">
        <v>82</v>
      </c>
      <c r="E217" t="s">
        <v>40</v>
      </c>
      <c r="F217" t="s">
        <v>41</v>
      </c>
      <c r="G217" t="s">
        <v>42</v>
      </c>
      <c r="H217" t="s">
        <v>51</v>
      </c>
      <c r="I217" t="s">
        <v>155</v>
      </c>
      <c r="J217" t="s">
        <v>62</v>
      </c>
      <c r="K217" t="s">
        <v>46</v>
      </c>
      <c r="L217" t="s">
        <v>64</v>
      </c>
      <c r="M217" t="s">
        <v>71</v>
      </c>
      <c r="N217" t="s">
        <v>36</v>
      </c>
      <c r="O217">
        <v>45</v>
      </c>
      <c r="P217">
        <v>45</v>
      </c>
      <c r="Q217">
        <v>54.4</v>
      </c>
      <c r="R217">
        <v>1000</v>
      </c>
      <c r="S217">
        <v>1000</v>
      </c>
      <c r="T217">
        <v>0</v>
      </c>
      <c r="U217">
        <v>0</v>
      </c>
      <c r="V217">
        <v>1</v>
      </c>
      <c r="W217">
        <v>0</v>
      </c>
      <c r="X217">
        <v>0.85</v>
      </c>
    </row>
    <row r="218" spans="1:24" x14ac:dyDescent="0.3">
      <c r="A218" t="s">
        <v>498</v>
      </c>
      <c r="B218" s="1">
        <v>45712</v>
      </c>
      <c r="C218" t="s">
        <v>76</v>
      </c>
      <c r="D218" t="s">
        <v>39</v>
      </c>
      <c r="E218" t="s">
        <v>40</v>
      </c>
      <c r="F218" t="s">
        <v>58</v>
      </c>
      <c r="G218" t="s">
        <v>59</v>
      </c>
      <c r="H218" t="s">
        <v>60</v>
      </c>
      <c r="I218" t="s">
        <v>356</v>
      </c>
      <c r="J218" t="s">
        <v>53</v>
      </c>
      <c r="K218" t="s">
        <v>46</v>
      </c>
      <c r="L218" t="s">
        <v>64</v>
      </c>
      <c r="M218" t="s">
        <v>65</v>
      </c>
      <c r="N218" t="s">
        <v>36</v>
      </c>
      <c r="O218">
        <v>45</v>
      </c>
      <c r="P218">
        <v>45</v>
      </c>
      <c r="Q218">
        <v>59.3</v>
      </c>
      <c r="R218">
        <v>1350</v>
      </c>
      <c r="S218">
        <v>1350</v>
      </c>
      <c r="T218">
        <v>0</v>
      </c>
      <c r="U218">
        <v>0</v>
      </c>
      <c r="V218">
        <v>1</v>
      </c>
      <c r="W218">
        <v>0</v>
      </c>
      <c r="X218">
        <v>0.85</v>
      </c>
    </row>
    <row r="219" spans="1:24" x14ac:dyDescent="0.3">
      <c r="A219" t="s">
        <v>499</v>
      </c>
      <c r="B219" s="1">
        <v>45842</v>
      </c>
      <c r="C219" t="s">
        <v>101</v>
      </c>
      <c r="D219" t="s">
        <v>82</v>
      </c>
      <c r="E219" t="s">
        <v>40</v>
      </c>
      <c r="F219" t="s">
        <v>28</v>
      </c>
      <c r="G219" t="s">
        <v>29</v>
      </c>
      <c r="H219" t="s">
        <v>30</v>
      </c>
      <c r="I219" t="s">
        <v>188</v>
      </c>
      <c r="J219" t="s">
        <v>62</v>
      </c>
      <c r="K219" t="s">
        <v>85</v>
      </c>
      <c r="L219" t="s">
        <v>34</v>
      </c>
      <c r="M219" t="s">
        <v>35</v>
      </c>
      <c r="N219" t="s">
        <v>113</v>
      </c>
      <c r="O219">
        <v>60</v>
      </c>
      <c r="P219">
        <v>0</v>
      </c>
      <c r="Q219">
        <v>68.900000000000006</v>
      </c>
      <c r="R219">
        <v>1250</v>
      </c>
      <c r="S219">
        <v>0</v>
      </c>
      <c r="T219">
        <v>1250</v>
      </c>
      <c r="U219">
        <v>0</v>
      </c>
      <c r="V219">
        <v>0</v>
      </c>
      <c r="W219">
        <v>1</v>
      </c>
      <c r="X219">
        <v>0.85</v>
      </c>
    </row>
    <row r="220" spans="1:24" x14ac:dyDescent="0.3">
      <c r="A220" t="s">
        <v>500</v>
      </c>
      <c r="B220" s="1">
        <v>46015</v>
      </c>
      <c r="C220" t="s">
        <v>25</v>
      </c>
      <c r="D220" t="s">
        <v>57</v>
      </c>
      <c r="E220" t="s">
        <v>68</v>
      </c>
      <c r="F220" t="s">
        <v>41</v>
      </c>
      <c r="G220" t="s">
        <v>42</v>
      </c>
      <c r="H220" t="s">
        <v>125</v>
      </c>
      <c r="I220" t="s">
        <v>501</v>
      </c>
      <c r="J220" t="s">
        <v>62</v>
      </c>
      <c r="K220" t="s">
        <v>70</v>
      </c>
      <c r="L220" t="s">
        <v>34</v>
      </c>
      <c r="M220" t="s">
        <v>35</v>
      </c>
      <c r="N220" t="s">
        <v>36</v>
      </c>
      <c r="O220">
        <v>60</v>
      </c>
      <c r="P220">
        <v>60</v>
      </c>
      <c r="Q220">
        <v>69.3</v>
      </c>
      <c r="R220">
        <v>1350</v>
      </c>
      <c r="S220">
        <v>1350</v>
      </c>
      <c r="T220">
        <v>0</v>
      </c>
      <c r="U220">
        <v>0</v>
      </c>
      <c r="V220">
        <v>1</v>
      </c>
      <c r="W220">
        <v>0</v>
      </c>
      <c r="X220">
        <v>0.85</v>
      </c>
    </row>
    <row r="221" spans="1:24" x14ac:dyDescent="0.3">
      <c r="A221" t="s">
        <v>502</v>
      </c>
      <c r="B221" s="1">
        <v>45923</v>
      </c>
      <c r="C221" t="s">
        <v>49</v>
      </c>
      <c r="D221" t="s">
        <v>26</v>
      </c>
      <c r="E221" t="s">
        <v>27</v>
      </c>
      <c r="F221" t="s">
        <v>41</v>
      </c>
      <c r="G221" t="s">
        <v>42</v>
      </c>
      <c r="H221" t="s">
        <v>89</v>
      </c>
      <c r="I221" t="s">
        <v>503</v>
      </c>
      <c r="J221" t="s">
        <v>32</v>
      </c>
      <c r="K221" t="s">
        <v>63</v>
      </c>
      <c r="L221" t="s">
        <v>34</v>
      </c>
      <c r="M221" t="s">
        <v>65</v>
      </c>
      <c r="N221" t="s">
        <v>36</v>
      </c>
      <c r="O221">
        <v>45</v>
      </c>
      <c r="P221">
        <v>45</v>
      </c>
      <c r="Q221">
        <v>60.7</v>
      </c>
      <c r="R221">
        <v>1000</v>
      </c>
      <c r="S221">
        <v>1000</v>
      </c>
      <c r="T221">
        <v>0</v>
      </c>
      <c r="U221">
        <v>0</v>
      </c>
      <c r="V221">
        <v>1</v>
      </c>
      <c r="W221">
        <v>0</v>
      </c>
      <c r="X221">
        <v>0.85</v>
      </c>
    </row>
    <row r="222" spans="1:24" x14ac:dyDescent="0.3">
      <c r="A222" t="s">
        <v>504</v>
      </c>
      <c r="B222" s="1">
        <v>45994</v>
      </c>
      <c r="C222" t="s">
        <v>25</v>
      </c>
      <c r="D222" t="s">
        <v>57</v>
      </c>
      <c r="E222" t="s">
        <v>83</v>
      </c>
      <c r="F222" t="s">
        <v>41</v>
      </c>
      <c r="G222" t="s">
        <v>42</v>
      </c>
      <c r="H222" t="s">
        <v>51</v>
      </c>
      <c r="I222" t="s">
        <v>505</v>
      </c>
      <c r="J222" t="s">
        <v>53</v>
      </c>
      <c r="K222" t="s">
        <v>70</v>
      </c>
      <c r="L222" t="s">
        <v>54</v>
      </c>
      <c r="M222" t="s">
        <v>71</v>
      </c>
      <c r="N222" t="s">
        <v>95</v>
      </c>
      <c r="O222">
        <v>60</v>
      </c>
      <c r="P222">
        <v>0</v>
      </c>
      <c r="Q222">
        <v>67.2</v>
      </c>
      <c r="R222">
        <v>1400</v>
      </c>
      <c r="S222">
        <v>0</v>
      </c>
      <c r="T222">
        <v>1400</v>
      </c>
      <c r="U222">
        <v>1</v>
      </c>
      <c r="V222">
        <v>0</v>
      </c>
      <c r="W222">
        <v>0</v>
      </c>
      <c r="X222">
        <v>0.85</v>
      </c>
    </row>
    <row r="223" spans="1:24" x14ac:dyDescent="0.3">
      <c r="A223" t="s">
        <v>506</v>
      </c>
      <c r="B223" s="1">
        <v>45860</v>
      </c>
      <c r="C223" t="s">
        <v>101</v>
      </c>
      <c r="D223" t="s">
        <v>26</v>
      </c>
      <c r="E223" t="s">
        <v>83</v>
      </c>
      <c r="F223" t="s">
        <v>58</v>
      </c>
      <c r="G223" t="s">
        <v>59</v>
      </c>
      <c r="H223" t="s">
        <v>73</v>
      </c>
      <c r="I223" t="s">
        <v>507</v>
      </c>
      <c r="J223" t="s">
        <v>137</v>
      </c>
      <c r="K223" t="s">
        <v>33</v>
      </c>
      <c r="L223" t="s">
        <v>34</v>
      </c>
      <c r="M223" t="s">
        <v>94</v>
      </c>
      <c r="N223" t="s">
        <v>95</v>
      </c>
      <c r="O223">
        <v>45</v>
      </c>
      <c r="P223">
        <v>0</v>
      </c>
      <c r="Q223">
        <v>50</v>
      </c>
      <c r="R223">
        <v>1100</v>
      </c>
      <c r="S223">
        <v>0</v>
      </c>
      <c r="T223">
        <v>1100</v>
      </c>
      <c r="U223">
        <v>1</v>
      </c>
      <c r="V223">
        <v>0</v>
      </c>
      <c r="W223">
        <v>0</v>
      </c>
      <c r="X223">
        <v>0.85</v>
      </c>
    </row>
    <row r="224" spans="1:24" x14ac:dyDescent="0.3">
      <c r="A224" t="s">
        <v>508</v>
      </c>
      <c r="B224" s="1">
        <v>45786</v>
      </c>
      <c r="C224" t="s">
        <v>128</v>
      </c>
      <c r="D224" t="s">
        <v>82</v>
      </c>
      <c r="E224" t="s">
        <v>83</v>
      </c>
      <c r="F224" t="s">
        <v>58</v>
      </c>
      <c r="G224" t="s">
        <v>59</v>
      </c>
      <c r="H224" t="s">
        <v>117</v>
      </c>
      <c r="I224" t="s">
        <v>509</v>
      </c>
      <c r="J224" t="s">
        <v>53</v>
      </c>
      <c r="K224" t="s">
        <v>85</v>
      </c>
      <c r="L224" t="s">
        <v>34</v>
      </c>
      <c r="M224" t="s">
        <v>65</v>
      </c>
      <c r="N224" t="s">
        <v>36</v>
      </c>
      <c r="O224">
        <v>75</v>
      </c>
      <c r="P224">
        <v>75</v>
      </c>
      <c r="Q224">
        <v>90</v>
      </c>
      <c r="R224">
        <v>2250</v>
      </c>
      <c r="S224">
        <v>2250</v>
      </c>
      <c r="T224">
        <v>0</v>
      </c>
      <c r="U224">
        <v>0</v>
      </c>
      <c r="V224">
        <v>1</v>
      </c>
      <c r="W224">
        <v>0</v>
      </c>
      <c r="X224">
        <v>0.85</v>
      </c>
    </row>
    <row r="225" spans="1:24" x14ac:dyDescent="0.3">
      <c r="A225" t="s">
        <v>510</v>
      </c>
      <c r="B225" s="1">
        <v>45873</v>
      </c>
      <c r="C225" t="s">
        <v>110</v>
      </c>
      <c r="D225" t="s">
        <v>39</v>
      </c>
      <c r="E225" t="s">
        <v>27</v>
      </c>
      <c r="F225" t="s">
        <v>41</v>
      </c>
      <c r="G225" t="s">
        <v>42</v>
      </c>
      <c r="H225" t="s">
        <v>51</v>
      </c>
      <c r="I225" t="s">
        <v>511</v>
      </c>
      <c r="J225" t="s">
        <v>32</v>
      </c>
      <c r="K225" t="s">
        <v>63</v>
      </c>
      <c r="L225" t="s">
        <v>54</v>
      </c>
      <c r="M225" t="s">
        <v>65</v>
      </c>
      <c r="N225" t="s">
        <v>95</v>
      </c>
      <c r="O225">
        <v>45</v>
      </c>
      <c r="P225">
        <v>0</v>
      </c>
      <c r="Q225">
        <v>59.9</v>
      </c>
      <c r="R225">
        <v>850</v>
      </c>
      <c r="S225">
        <v>0</v>
      </c>
      <c r="T225">
        <v>850</v>
      </c>
      <c r="U225">
        <v>1</v>
      </c>
      <c r="V225">
        <v>0</v>
      </c>
      <c r="W225">
        <v>0</v>
      </c>
      <c r="X225">
        <v>0.85</v>
      </c>
    </row>
    <row r="226" spans="1:24" x14ac:dyDescent="0.3">
      <c r="A226" t="s">
        <v>512</v>
      </c>
      <c r="B226" s="1">
        <v>45832</v>
      </c>
      <c r="C226" t="s">
        <v>67</v>
      </c>
      <c r="D226" t="s">
        <v>26</v>
      </c>
      <c r="E226" t="s">
        <v>27</v>
      </c>
      <c r="F226" t="s">
        <v>58</v>
      </c>
      <c r="G226" t="s">
        <v>59</v>
      </c>
      <c r="H226" t="s">
        <v>117</v>
      </c>
      <c r="I226" t="s">
        <v>513</v>
      </c>
      <c r="J226" t="s">
        <v>62</v>
      </c>
      <c r="K226" t="s">
        <v>63</v>
      </c>
      <c r="L226" t="s">
        <v>64</v>
      </c>
      <c r="M226" t="s">
        <v>65</v>
      </c>
      <c r="N226" t="s">
        <v>113</v>
      </c>
      <c r="O226">
        <v>60</v>
      </c>
      <c r="P226">
        <v>0</v>
      </c>
      <c r="Q226">
        <v>79.5</v>
      </c>
      <c r="R226">
        <v>1500</v>
      </c>
      <c r="S226">
        <v>0</v>
      </c>
      <c r="T226">
        <v>1500</v>
      </c>
      <c r="U226">
        <v>0</v>
      </c>
      <c r="V226">
        <v>0</v>
      </c>
      <c r="W226">
        <v>1</v>
      </c>
      <c r="X226">
        <v>0.85</v>
      </c>
    </row>
    <row r="227" spans="1:24" x14ac:dyDescent="0.3">
      <c r="A227" t="s">
        <v>514</v>
      </c>
      <c r="B227" s="1">
        <v>45997</v>
      </c>
      <c r="C227" t="s">
        <v>25</v>
      </c>
      <c r="D227" t="s">
        <v>88</v>
      </c>
      <c r="E227" t="s">
        <v>83</v>
      </c>
      <c r="F227" t="s">
        <v>58</v>
      </c>
      <c r="G227" t="s">
        <v>59</v>
      </c>
      <c r="H227" t="s">
        <v>117</v>
      </c>
      <c r="I227" t="s">
        <v>501</v>
      </c>
      <c r="J227" t="s">
        <v>45</v>
      </c>
      <c r="K227" t="s">
        <v>70</v>
      </c>
      <c r="L227" t="s">
        <v>78</v>
      </c>
      <c r="M227" t="s">
        <v>86</v>
      </c>
      <c r="N227" t="s">
        <v>36</v>
      </c>
      <c r="O227">
        <v>45</v>
      </c>
      <c r="P227">
        <v>45</v>
      </c>
      <c r="Q227">
        <v>53.3</v>
      </c>
      <c r="R227">
        <v>1200</v>
      </c>
      <c r="S227">
        <v>1200</v>
      </c>
      <c r="T227">
        <v>0</v>
      </c>
      <c r="U227">
        <v>0</v>
      </c>
      <c r="V227">
        <v>1</v>
      </c>
      <c r="W227">
        <v>0</v>
      </c>
      <c r="X227">
        <v>0.85</v>
      </c>
    </row>
    <row r="228" spans="1:24" x14ac:dyDescent="0.3">
      <c r="A228" t="s">
        <v>515</v>
      </c>
      <c r="B228" s="1">
        <v>45677</v>
      </c>
      <c r="C228" t="s">
        <v>130</v>
      </c>
      <c r="D228" t="s">
        <v>39</v>
      </c>
      <c r="E228" t="s">
        <v>68</v>
      </c>
      <c r="F228" t="s">
        <v>41</v>
      </c>
      <c r="G228" t="s">
        <v>42</v>
      </c>
      <c r="H228" t="s">
        <v>43</v>
      </c>
      <c r="I228" t="s">
        <v>505</v>
      </c>
      <c r="J228" t="s">
        <v>62</v>
      </c>
      <c r="K228" t="s">
        <v>33</v>
      </c>
      <c r="L228" t="s">
        <v>64</v>
      </c>
      <c r="M228" t="s">
        <v>94</v>
      </c>
      <c r="N228" t="s">
        <v>113</v>
      </c>
      <c r="O228">
        <v>30</v>
      </c>
      <c r="P228">
        <v>0</v>
      </c>
      <c r="Q228">
        <v>40.1</v>
      </c>
      <c r="R228">
        <v>700</v>
      </c>
      <c r="S228">
        <v>0</v>
      </c>
      <c r="T228">
        <v>700</v>
      </c>
      <c r="U228">
        <v>0</v>
      </c>
      <c r="V228">
        <v>0</v>
      </c>
      <c r="W228">
        <v>1</v>
      </c>
      <c r="X228">
        <v>0.85</v>
      </c>
    </row>
    <row r="229" spans="1:24" x14ac:dyDescent="0.3">
      <c r="A229" t="s">
        <v>516</v>
      </c>
      <c r="B229" s="1">
        <v>45898</v>
      </c>
      <c r="C229" t="s">
        <v>110</v>
      </c>
      <c r="D229" t="s">
        <v>82</v>
      </c>
      <c r="E229" t="s">
        <v>68</v>
      </c>
      <c r="F229" t="s">
        <v>58</v>
      </c>
      <c r="G229" t="s">
        <v>59</v>
      </c>
      <c r="H229" t="s">
        <v>151</v>
      </c>
      <c r="I229" t="s">
        <v>517</v>
      </c>
      <c r="J229" t="s">
        <v>137</v>
      </c>
      <c r="K229" t="s">
        <v>63</v>
      </c>
      <c r="L229" t="s">
        <v>78</v>
      </c>
      <c r="M229" t="s">
        <v>94</v>
      </c>
      <c r="N229" t="s">
        <v>153</v>
      </c>
      <c r="O229">
        <v>60</v>
      </c>
      <c r="P229">
        <v>0</v>
      </c>
      <c r="Q229">
        <v>66.2</v>
      </c>
      <c r="R229">
        <v>1400</v>
      </c>
      <c r="S229">
        <v>0</v>
      </c>
      <c r="T229">
        <v>0</v>
      </c>
      <c r="U229">
        <v>0</v>
      </c>
      <c r="V229">
        <v>0</v>
      </c>
      <c r="W229">
        <v>0</v>
      </c>
      <c r="X229">
        <v>0.85</v>
      </c>
    </row>
    <row r="230" spans="1:24" x14ac:dyDescent="0.3">
      <c r="A230" t="s">
        <v>518</v>
      </c>
      <c r="B230" s="1">
        <v>45929</v>
      </c>
      <c r="C230" t="s">
        <v>49</v>
      </c>
      <c r="D230" t="s">
        <v>39</v>
      </c>
      <c r="E230" t="s">
        <v>83</v>
      </c>
      <c r="F230" t="s">
        <v>58</v>
      </c>
      <c r="G230" t="s">
        <v>59</v>
      </c>
      <c r="H230" t="s">
        <v>296</v>
      </c>
      <c r="I230" t="s">
        <v>519</v>
      </c>
      <c r="J230" t="s">
        <v>32</v>
      </c>
      <c r="K230" t="s">
        <v>70</v>
      </c>
      <c r="L230" t="s">
        <v>64</v>
      </c>
      <c r="M230" t="s">
        <v>94</v>
      </c>
      <c r="N230" t="s">
        <v>36</v>
      </c>
      <c r="O230">
        <v>60</v>
      </c>
      <c r="P230">
        <v>60</v>
      </c>
      <c r="Q230">
        <v>76.400000000000006</v>
      </c>
      <c r="R230">
        <v>1500</v>
      </c>
      <c r="S230">
        <v>1500</v>
      </c>
      <c r="T230">
        <v>0</v>
      </c>
      <c r="U230">
        <v>0</v>
      </c>
      <c r="V230">
        <v>1</v>
      </c>
      <c r="W230">
        <v>0</v>
      </c>
      <c r="X230">
        <v>0.85</v>
      </c>
    </row>
    <row r="231" spans="1:24" x14ac:dyDescent="0.3">
      <c r="A231" t="s">
        <v>520</v>
      </c>
      <c r="B231" s="1">
        <v>45840</v>
      </c>
      <c r="C231" t="s">
        <v>101</v>
      </c>
      <c r="D231" t="s">
        <v>57</v>
      </c>
      <c r="E231" t="s">
        <v>27</v>
      </c>
      <c r="F231" t="s">
        <v>28</v>
      </c>
      <c r="G231" t="s">
        <v>29</v>
      </c>
      <c r="H231" t="s">
        <v>102</v>
      </c>
      <c r="I231" t="s">
        <v>521</v>
      </c>
      <c r="J231" t="s">
        <v>32</v>
      </c>
      <c r="K231" t="s">
        <v>70</v>
      </c>
      <c r="L231" t="s">
        <v>34</v>
      </c>
      <c r="M231" t="s">
        <v>65</v>
      </c>
      <c r="N231" t="s">
        <v>36</v>
      </c>
      <c r="O231">
        <v>60</v>
      </c>
      <c r="P231">
        <v>60</v>
      </c>
      <c r="Q231">
        <v>70.5</v>
      </c>
      <c r="R231">
        <v>1250</v>
      </c>
      <c r="S231">
        <v>1250</v>
      </c>
      <c r="T231">
        <v>0</v>
      </c>
      <c r="U231">
        <v>0</v>
      </c>
      <c r="V231">
        <v>1</v>
      </c>
      <c r="W231">
        <v>0</v>
      </c>
      <c r="X231">
        <v>0.85</v>
      </c>
    </row>
    <row r="232" spans="1:24" x14ac:dyDescent="0.3">
      <c r="A232" t="s">
        <v>522</v>
      </c>
      <c r="B232" s="1">
        <v>45978</v>
      </c>
      <c r="C232" t="s">
        <v>38</v>
      </c>
      <c r="D232" t="s">
        <v>39</v>
      </c>
      <c r="E232" t="s">
        <v>27</v>
      </c>
      <c r="F232" t="s">
        <v>28</v>
      </c>
      <c r="G232" t="s">
        <v>29</v>
      </c>
      <c r="H232" t="s">
        <v>30</v>
      </c>
      <c r="I232" t="s">
        <v>523</v>
      </c>
      <c r="J232" t="s">
        <v>62</v>
      </c>
      <c r="K232" t="s">
        <v>33</v>
      </c>
      <c r="L232" t="s">
        <v>64</v>
      </c>
      <c r="M232" t="s">
        <v>35</v>
      </c>
      <c r="N232" t="s">
        <v>36</v>
      </c>
      <c r="O232">
        <v>30</v>
      </c>
      <c r="P232">
        <v>30</v>
      </c>
      <c r="Q232">
        <v>38.5</v>
      </c>
      <c r="R232">
        <v>600</v>
      </c>
      <c r="S232">
        <v>600</v>
      </c>
      <c r="T232">
        <v>0</v>
      </c>
      <c r="U232">
        <v>0</v>
      </c>
      <c r="V232">
        <v>1</v>
      </c>
      <c r="W232">
        <v>0</v>
      </c>
      <c r="X232">
        <v>0.85</v>
      </c>
    </row>
    <row r="233" spans="1:24" x14ac:dyDescent="0.3">
      <c r="A233" t="s">
        <v>524</v>
      </c>
      <c r="B233" s="1">
        <v>45903</v>
      </c>
      <c r="C233" t="s">
        <v>49</v>
      </c>
      <c r="D233" t="s">
        <v>57</v>
      </c>
      <c r="E233" t="s">
        <v>40</v>
      </c>
      <c r="F233" t="s">
        <v>28</v>
      </c>
      <c r="G233" t="s">
        <v>29</v>
      </c>
      <c r="H233" t="s">
        <v>210</v>
      </c>
      <c r="I233" t="s">
        <v>464</v>
      </c>
      <c r="J233" t="s">
        <v>62</v>
      </c>
      <c r="K233" t="s">
        <v>63</v>
      </c>
      <c r="L233" t="s">
        <v>64</v>
      </c>
      <c r="M233" t="s">
        <v>86</v>
      </c>
      <c r="N233" t="s">
        <v>36</v>
      </c>
      <c r="O233">
        <v>45</v>
      </c>
      <c r="P233">
        <v>45</v>
      </c>
      <c r="Q233">
        <v>54.6</v>
      </c>
      <c r="R233">
        <v>950</v>
      </c>
      <c r="S233">
        <v>950</v>
      </c>
      <c r="T233">
        <v>0</v>
      </c>
      <c r="U233">
        <v>0</v>
      </c>
      <c r="V233">
        <v>1</v>
      </c>
      <c r="W233">
        <v>0</v>
      </c>
      <c r="X233">
        <v>0.85</v>
      </c>
    </row>
    <row r="234" spans="1:24" x14ac:dyDescent="0.3">
      <c r="A234" t="s">
        <v>525</v>
      </c>
      <c r="B234" s="1">
        <v>45876</v>
      </c>
      <c r="C234" t="s">
        <v>110</v>
      </c>
      <c r="D234" t="s">
        <v>50</v>
      </c>
      <c r="E234" t="s">
        <v>83</v>
      </c>
      <c r="F234" t="s">
        <v>28</v>
      </c>
      <c r="G234" t="s">
        <v>29</v>
      </c>
      <c r="H234" t="s">
        <v>102</v>
      </c>
      <c r="I234" t="s">
        <v>526</v>
      </c>
      <c r="J234" t="s">
        <v>137</v>
      </c>
      <c r="K234" t="s">
        <v>85</v>
      </c>
      <c r="L234" t="s">
        <v>34</v>
      </c>
      <c r="M234" t="s">
        <v>86</v>
      </c>
      <c r="N234" t="s">
        <v>36</v>
      </c>
      <c r="O234">
        <v>60</v>
      </c>
      <c r="P234">
        <v>60</v>
      </c>
      <c r="Q234">
        <v>76.099999999999994</v>
      </c>
      <c r="R234">
        <v>1250</v>
      </c>
      <c r="S234">
        <v>1250</v>
      </c>
      <c r="T234">
        <v>0</v>
      </c>
      <c r="U234">
        <v>0</v>
      </c>
      <c r="V234">
        <v>1</v>
      </c>
      <c r="W234">
        <v>0</v>
      </c>
      <c r="X234">
        <v>0.85</v>
      </c>
    </row>
    <row r="235" spans="1:24" x14ac:dyDescent="0.3">
      <c r="A235" t="s">
        <v>527</v>
      </c>
      <c r="B235" s="1">
        <v>45937</v>
      </c>
      <c r="C235" t="s">
        <v>97</v>
      </c>
      <c r="D235" t="s">
        <v>26</v>
      </c>
      <c r="E235" t="s">
        <v>83</v>
      </c>
      <c r="F235" t="s">
        <v>58</v>
      </c>
      <c r="G235" t="s">
        <v>59</v>
      </c>
      <c r="H235" t="s">
        <v>296</v>
      </c>
      <c r="I235" t="s">
        <v>528</v>
      </c>
      <c r="J235" t="s">
        <v>62</v>
      </c>
      <c r="K235" t="s">
        <v>63</v>
      </c>
      <c r="L235" t="s">
        <v>34</v>
      </c>
      <c r="M235" t="s">
        <v>65</v>
      </c>
      <c r="N235" t="s">
        <v>36</v>
      </c>
      <c r="O235">
        <v>45</v>
      </c>
      <c r="P235">
        <v>45</v>
      </c>
      <c r="Q235">
        <v>59.6</v>
      </c>
      <c r="R235">
        <v>1100</v>
      </c>
      <c r="S235">
        <v>1100</v>
      </c>
      <c r="T235">
        <v>0</v>
      </c>
      <c r="U235">
        <v>0</v>
      </c>
      <c r="V235">
        <v>1</v>
      </c>
      <c r="W235">
        <v>0</v>
      </c>
      <c r="X235">
        <v>0.85</v>
      </c>
    </row>
    <row r="236" spans="1:24" x14ac:dyDescent="0.3">
      <c r="A236" t="s">
        <v>529</v>
      </c>
      <c r="B236" s="1">
        <v>45762</v>
      </c>
      <c r="C236" t="s">
        <v>92</v>
      </c>
      <c r="D236" t="s">
        <v>26</v>
      </c>
      <c r="E236" t="s">
        <v>40</v>
      </c>
      <c r="F236" t="s">
        <v>58</v>
      </c>
      <c r="G236" t="s">
        <v>59</v>
      </c>
      <c r="H236" t="s">
        <v>151</v>
      </c>
      <c r="I236" t="s">
        <v>530</v>
      </c>
      <c r="J236" t="s">
        <v>32</v>
      </c>
      <c r="K236" t="s">
        <v>70</v>
      </c>
      <c r="L236" t="s">
        <v>64</v>
      </c>
      <c r="M236" t="s">
        <v>71</v>
      </c>
      <c r="N236" t="s">
        <v>36</v>
      </c>
      <c r="O236">
        <v>75</v>
      </c>
      <c r="P236">
        <v>75</v>
      </c>
      <c r="Q236">
        <v>98</v>
      </c>
      <c r="R236">
        <v>1900</v>
      </c>
      <c r="S236">
        <v>1900</v>
      </c>
      <c r="T236">
        <v>0</v>
      </c>
      <c r="U236">
        <v>0</v>
      </c>
      <c r="V236">
        <v>1</v>
      </c>
      <c r="W236">
        <v>0</v>
      </c>
      <c r="X236">
        <v>0.85</v>
      </c>
    </row>
    <row r="237" spans="1:24" x14ac:dyDescent="0.3">
      <c r="A237" t="s">
        <v>531</v>
      </c>
      <c r="B237" s="1">
        <v>45796</v>
      </c>
      <c r="C237" t="s">
        <v>128</v>
      </c>
      <c r="D237" t="s">
        <v>39</v>
      </c>
      <c r="E237" t="s">
        <v>40</v>
      </c>
      <c r="F237" t="s">
        <v>28</v>
      </c>
      <c r="G237" t="s">
        <v>29</v>
      </c>
      <c r="H237" t="s">
        <v>135</v>
      </c>
      <c r="I237" t="s">
        <v>532</v>
      </c>
      <c r="J237" t="s">
        <v>53</v>
      </c>
      <c r="K237" t="s">
        <v>85</v>
      </c>
      <c r="L237" t="s">
        <v>78</v>
      </c>
      <c r="M237" t="s">
        <v>71</v>
      </c>
      <c r="N237" t="s">
        <v>36</v>
      </c>
      <c r="O237">
        <v>60</v>
      </c>
      <c r="P237">
        <v>60</v>
      </c>
      <c r="Q237">
        <v>68.2</v>
      </c>
      <c r="R237">
        <v>1400</v>
      </c>
      <c r="S237">
        <v>1400</v>
      </c>
      <c r="T237">
        <v>0</v>
      </c>
      <c r="U237">
        <v>0</v>
      </c>
      <c r="V237">
        <v>1</v>
      </c>
      <c r="W237">
        <v>0</v>
      </c>
      <c r="X237">
        <v>0.85</v>
      </c>
    </row>
    <row r="238" spans="1:24" x14ac:dyDescent="0.3">
      <c r="A238" t="s">
        <v>533</v>
      </c>
      <c r="B238" s="1">
        <v>45820</v>
      </c>
      <c r="C238" t="s">
        <v>67</v>
      </c>
      <c r="D238" t="s">
        <v>50</v>
      </c>
      <c r="E238" t="s">
        <v>68</v>
      </c>
      <c r="F238" t="s">
        <v>58</v>
      </c>
      <c r="G238" t="s">
        <v>59</v>
      </c>
      <c r="H238" t="s">
        <v>60</v>
      </c>
      <c r="I238" t="s">
        <v>308</v>
      </c>
      <c r="J238" t="s">
        <v>53</v>
      </c>
      <c r="K238" t="s">
        <v>63</v>
      </c>
      <c r="L238" t="s">
        <v>34</v>
      </c>
      <c r="M238" t="s">
        <v>71</v>
      </c>
      <c r="N238" t="s">
        <v>36</v>
      </c>
      <c r="O238">
        <v>60</v>
      </c>
      <c r="P238">
        <v>60</v>
      </c>
      <c r="Q238">
        <v>67.2</v>
      </c>
      <c r="R238">
        <v>1800</v>
      </c>
      <c r="S238">
        <v>1800</v>
      </c>
      <c r="T238">
        <v>0</v>
      </c>
      <c r="U238">
        <v>0</v>
      </c>
      <c r="V238">
        <v>1</v>
      </c>
      <c r="W238">
        <v>0</v>
      </c>
      <c r="X238">
        <v>0.85</v>
      </c>
    </row>
    <row r="239" spans="1:24" x14ac:dyDescent="0.3">
      <c r="A239" t="s">
        <v>534</v>
      </c>
      <c r="B239" s="1">
        <v>45748</v>
      </c>
      <c r="C239" t="s">
        <v>92</v>
      </c>
      <c r="D239" t="s">
        <v>26</v>
      </c>
      <c r="E239" t="s">
        <v>40</v>
      </c>
      <c r="F239" t="s">
        <v>28</v>
      </c>
      <c r="G239" t="s">
        <v>29</v>
      </c>
      <c r="H239" t="s">
        <v>120</v>
      </c>
      <c r="I239" t="s">
        <v>535</v>
      </c>
      <c r="J239" t="s">
        <v>62</v>
      </c>
      <c r="K239" t="s">
        <v>104</v>
      </c>
      <c r="L239" t="s">
        <v>34</v>
      </c>
      <c r="M239" t="s">
        <v>71</v>
      </c>
      <c r="N239" t="s">
        <v>36</v>
      </c>
      <c r="O239">
        <v>60</v>
      </c>
      <c r="P239">
        <v>60</v>
      </c>
      <c r="Q239">
        <v>73</v>
      </c>
      <c r="R239">
        <v>1250</v>
      </c>
      <c r="S239">
        <v>1250</v>
      </c>
      <c r="T239">
        <v>0</v>
      </c>
      <c r="U239">
        <v>0</v>
      </c>
      <c r="V239">
        <v>1</v>
      </c>
      <c r="W239">
        <v>0</v>
      </c>
      <c r="X239">
        <v>0.85</v>
      </c>
    </row>
    <row r="240" spans="1:24" x14ac:dyDescent="0.3">
      <c r="A240" t="s">
        <v>536</v>
      </c>
      <c r="B240" s="1">
        <v>45957</v>
      </c>
      <c r="C240" t="s">
        <v>97</v>
      </c>
      <c r="D240" t="s">
        <v>39</v>
      </c>
      <c r="E240" t="s">
        <v>27</v>
      </c>
      <c r="F240" t="s">
        <v>41</v>
      </c>
      <c r="G240" t="s">
        <v>42</v>
      </c>
      <c r="H240" t="s">
        <v>89</v>
      </c>
      <c r="I240" t="s">
        <v>537</v>
      </c>
      <c r="J240" t="s">
        <v>45</v>
      </c>
      <c r="K240" t="s">
        <v>63</v>
      </c>
      <c r="L240" t="s">
        <v>54</v>
      </c>
      <c r="M240" t="s">
        <v>71</v>
      </c>
      <c r="N240" t="s">
        <v>36</v>
      </c>
      <c r="O240">
        <v>75</v>
      </c>
      <c r="P240">
        <v>75</v>
      </c>
      <c r="Q240">
        <v>91.6</v>
      </c>
      <c r="R240">
        <v>1650</v>
      </c>
      <c r="S240">
        <v>1650</v>
      </c>
      <c r="T240">
        <v>0</v>
      </c>
      <c r="U240">
        <v>0</v>
      </c>
      <c r="V240">
        <v>1</v>
      </c>
      <c r="W240">
        <v>0</v>
      </c>
      <c r="X240">
        <v>0.85</v>
      </c>
    </row>
    <row r="241" spans="1:24" x14ac:dyDescent="0.3">
      <c r="A241" t="s">
        <v>538</v>
      </c>
      <c r="B241" s="1">
        <v>45727</v>
      </c>
      <c r="C241" t="s">
        <v>56</v>
      </c>
      <c r="D241" t="s">
        <v>26</v>
      </c>
      <c r="E241" t="s">
        <v>68</v>
      </c>
      <c r="F241" t="s">
        <v>58</v>
      </c>
      <c r="G241" t="s">
        <v>59</v>
      </c>
      <c r="H241" t="s">
        <v>151</v>
      </c>
      <c r="I241" t="s">
        <v>539</v>
      </c>
      <c r="J241" t="s">
        <v>62</v>
      </c>
      <c r="K241" t="s">
        <v>46</v>
      </c>
      <c r="L241" t="s">
        <v>64</v>
      </c>
      <c r="M241" t="s">
        <v>65</v>
      </c>
      <c r="N241" t="s">
        <v>95</v>
      </c>
      <c r="O241">
        <v>45</v>
      </c>
      <c r="P241">
        <v>0</v>
      </c>
      <c r="Q241">
        <v>56.5</v>
      </c>
      <c r="R241">
        <v>1100</v>
      </c>
      <c r="S241">
        <v>0</v>
      </c>
      <c r="T241">
        <v>1100</v>
      </c>
      <c r="U241">
        <v>1</v>
      </c>
      <c r="V241">
        <v>0</v>
      </c>
      <c r="W241">
        <v>0</v>
      </c>
      <c r="X241">
        <v>0.85</v>
      </c>
    </row>
    <row r="242" spans="1:24" x14ac:dyDescent="0.3">
      <c r="A242" t="s">
        <v>540</v>
      </c>
      <c r="B242" s="1">
        <v>45850</v>
      </c>
      <c r="C242" t="s">
        <v>101</v>
      </c>
      <c r="D242" t="s">
        <v>88</v>
      </c>
      <c r="E242" t="s">
        <v>68</v>
      </c>
      <c r="F242" t="s">
        <v>58</v>
      </c>
      <c r="G242" t="s">
        <v>59</v>
      </c>
      <c r="H242" t="s">
        <v>73</v>
      </c>
      <c r="I242" t="s">
        <v>372</v>
      </c>
      <c r="J242" t="s">
        <v>45</v>
      </c>
      <c r="K242" t="s">
        <v>63</v>
      </c>
      <c r="L242" t="s">
        <v>64</v>
      </c>
      <c r="M242" t="s">
        <v>94</v>
      </c>
      <c r="N242" t="s">
        <v>36</v>
      </c>
      <c r="O242">
        <v>75</v>
      </c>
      <c r="P242">
        <v>75</v>
      </c>
      <c r="Q242">
        <v>93.6</v>
      </c>
      <c r="R242">
        <v>2150</v>
      </c>
      <c r="S242">
        <v>2150</v>
      </c>
      <c r="T242">
        <v>0</v>
      </c>
      <c r="U242">
        <v>0</v>
      </c>
      <c r="V242">
        <v>1</v>
      </c>
      <c r="W242">
        <v>0</v>
      </c>
      <c r="X242">
        <v>0.85</v>
      </c>
    </row>
    <row r="243" spans="1:24" x14ac:dyDescent="0.3">
      <c r="A243" t="s">
        <v>541</v>
      </c>
      <c r="B243" s="1">
        <v>45794</v>
      </c>
      <c r="C243" t="s">
        <v>128</v>
      </c>
      <c r="D243" t="s">
        <v>88</v>
      </c>
      <c r="E243" t="s">
        <v>27</v>
      </c>
      <c r="F243" t="s">
        <v>41</v>
      </c>
      <c r="G243" t="s">
        <v>42</v>
      </c>
      <c r="H243" t="s">
        <v>89</v>
      </c>
      <c r="I243" t="s">
        <v>542</v>
      </c>
      <c r="J243" t="s">
        <v>53</v>
      </c>
      <c r="K243" t="s">
        <v>104</v>
      </c>
      <c r="L243" t="s">
        <v>64</v>
      </c>
      <c r="M243" t="s">
        <v>47</v>
      </c>
      <c r="N243" t="s">
        <v>36</v>
      </c>
      <c r="O243">
        <v>45</v>
      </c>
      <c r="P243">
        <v>45</v>
      </c>
      <c r="Q243">
        <v>53</v>
      </c>
      <c r="R243">
        <v>1200</v>
      </c>
      <c r="S243">
        <v>1200</v>
      </c>
      <c r="T243">
        <v>0</v>
      </c>
      <c r="U243">
        <v>0</v>
      </c>
      <c r="V243">
        <v>1</v>
      </c>
      <c r="W243">
        <v>0</v>
      </c>
      <c r="X243">
        <v>0.85</v>
      </c>
    </row>
    <row r="244" spans="1:24" x14ac:dyDescent="0.3">
      <c r="A244" t="s">
        <v>543</v>
      </c>
      <c r="B244" s="1">
        <v>45754</v>
      </c>
      <c r="C244" t="s">
        <v>92</v>
      </c>
      <c r="D244" t="s">
        <v>39</v>
      </c>
      <c r="E244" t="s">
        <v>27</v>
      </c>
      <c r="F244" t="s">
        <v>58</v>
      </c>
      <c r="G244" t="s">
        <v>59</v>
      </c>
      <c r="H244" t="s">
        <v>151</v>
      </c>
      <c r="I244" t="s">
        <v>544</v>
      </c>
      <c r="J244" t="s">
        <v>53</v>
      </c>
      <c r="K244" t="s">
        <v>46</v>
      </c>
      <c r="L244" t="s">
        <v>64</v>
      </c>
      <c r="M244" t="s">
        <v>86</v>
      </c>
      <c r="N244" t="s">
        <v>36</v>
      </c>
      <c r="O244">
        <v>45</v>
      </c>
      <c r="P244">
        <v>45</v>
      </c>
      <c r="Q244">
        <v>58.8</v>
      </c>
      <c r="R244">
        <v>1350</v>
      </c>
      <c r="S244">
        <v>1350</v>
      </c>
      <c r="T244">
        <v>0</v>
      </c>
      <c r="U244">
        <v>0</v>
      </c>
      <c r="V244">
        <v>1</v>
      </c>
      <c r="W244">
        <v>0</v>
      </c>
      <c r="X244">
        <v>0.85</v>
      </c>
    </row>
    <row r="245" spans="1:24" x14ac:dyDescent="0.3">
      <c r="A245" t="s">
        <v>545</v>
      </c>
      <c r="B245" s="1">
        <v>45784</v>
      </c>
      <c r="C245" t="s">
        <v>128</v>
      </c>
      <c r="D245" t="s">
        <v>57</v>
      </c>
      <c r="E245" t="s">
        <v>83</v>
      </c>
      <c r="F245" t="s">
        <v>41</v>
      </c>
      <c r="G245" t="s">
        <v>42</v>
      </c>
      <c r="H245" t="s">
        <v>111</v>
      </c>
      <c r="I245" t="s">
        <v>546</v>
      </c>
      <c r="J245" t="s">
        <v>62</v>
      </c>
      <c r="K245" t="s">
        <v>70</v>
      </c>
      <c r="L245" t="s">
        <v>64</v>
      </c>
      <c r="M245" t="s">
        <v>47</v>
      </c>
      <c r="N245" t="s">
        <v>36</v>
      </c>
      <c r="O245">
        <v>90</v>
      </c>
      <c r="P245">
        <v>90</v>
      </c>
      <c r="Q245">
        <v>116.2</v>
      </c>
      <c r="R245">
        <v>2000</v>
      </c>
      <c r="S245">
        <v>2000</v>
      </c>
      <c r="T245">
        <v>0</v>
      </c>
      <c r="U245">
        <v>0</v>
      </c>
      <c r="V245">
        <v>1</v>
      </c>
      <c r="W245">
        <v>0</v>
      </c>
      <c r="X245">
        <v>0.85</v>
      </c>
    </row>
    <row r="246" spans="1:24" x14ac:dyDescent="0.3">
      <c r="A246" t="s">
        <v>547</v>
      </c>
      <c r="B246" s="1">
        <v>45842</v>
      </c>
      <c r="C246" t="s">
        <v>101</v>
      </c>
      <c r="D246" t="s">
        <v>82</v>
      </c>
      <c r="E246" t="s">
        <v>27</v>
      </c>
      <c r="F246" t="s">
        <v>28</v>
      </c>
      <c r="G246" t="s">
        <v>29</v>
      </c>
      <c r="H246" t="s">
        <v>120</v>
      </c>
      <c r="I246" t="s">
        <v>334</v>
      </c>
      <c r="J246" t="s">
        <v>99</v>
      </c>
      <c r="K246" t="s">
        <v>70</v>
      </c>
      <c r="L246" t="s">
        <v>64</v>
      </c>
      <c r="M246" t="s">
        <v>65</v>
      </c>
      <c r="N246" t="s">
        <v>36</v>
      </c>
      <c r="O246">
        <v>60</v>
      </c>
      <c r="P246">
        <v>60</v>
      </c>
      <c r="Q246">
        <v>66.900000000000006</v>
      </c>
      <c r="R246">
        <v>1250</v>
      </c>
      <c r="S246">
        <v>1250</v>
      </c>
      <c r="T246">
        <v>0</v>
      </c>
      <c r="U246">
        <v>0</v>
      </c>
      <c r="V246">
        <v>1</v>
      </c>
      <c r="W246">
        <v>0</v>
      </c>
      <c r="X246">
        <v>0.85</v>
      </c>
    </row>
    <row r="247" spans="1:24" x14ac:dyDescent="0.3">
      <c r="A247" t="s">
        <v>548</v>
      </c>
      <c r="B247" s="1">
        <v>45943</v>
      </c>
      <c r="C247" t="s">
        <v>97</v>
      </c>
      <c r="D247" t="s">
        <v>39</v>
      </c>
      <c r="E247" t="s">
        <v>40</v>
      </c>
      <c r="F247" t="s">
        <v>58</v>
      </c>
      <c r="G247" t="s">
        <v>59</v>
      </c>
      <c r="H247" t="s">
        <v>73</v>
      </c>
      <c r="I247" t="s">
        <v>350</v>
      </c>
      <c r="J247" t="s">
        <v>45</v>
      </c>
      <c r="K247" t="s">
        <v>70</v>
      </c>
      <c r="L247" t="s">
        <v>54</v>
      </c>
      <c r="M247" t="s">
        <v>47</v>
      </c>
      <c r="N247" t="s">
        <v>36</v>
      </c>
      <c r="O247">
        <v>75</v>
      </c>
      <c r="P247">
        <v>75</v>
      </c>
      <c r="Q247">
        <v>89.8</v>
      </c>
      <c r="R247">
        <v>1850</v>
      </c>
      <c r="S247">
        <v>1850</v>
      </c>
      <c r="T247">
        <v>0</v>
      </c>
      <c r="U247">
        <v>0</v>
      </c>
      <c r="V247">
        <v>1</v>
      </c>
      <c r="W247">
        <v>0</v>
      </c>
      <c r="X247">
        <v>0.85</v>
      </c>
    </row>
    <row r="248" spans="1:24" x14ac:dyDescent="0.3">
      <c r="A248" t="s">
        <v>549</v>
      </c>
      <c r="B248" s="1">
        <v>45840</v>
      </c>
      <c r="C248" t="s">
        <v>101</v>
      </c>
      <c r="D248" t="s">
        <v>57</v>
      </c>
      <c r="E248" t="s">
        <v>27</v>
      </c>
      <c r="F248" t="s">
        <v>28</v>
      </c>
      <c r="G248" t="s">
        <v>29</v>
      </c>
      <c r="H248" t="s">
        <v>135</v>
      </c>
      <c r="I248" t="s">
        <v>462</v>
      </c>
      <c r="J248" t="s">
        <v>62</v>
      </c>
      <c r="K248" t="s">
        <v>70</v>
      </c>
      <c r="L248" t="s">
        <v>34</v>
      </c>
      <c r="M248" t="s">
        <v>65</v>
      </c>
      <c r="N248" t="s">
        <v>36</v>
      </c>
      <c r="O248">
        <v>60</v>
      </c>
      <c r="P248">
        <v>60</v>
      </c>
      <c r="Q248">
        <v>66.3</v>
      </c>
      <c r="R248">
        <v>1250</v>
      </c>
      <c r="S248">
        <v>1250</v>
      </c>
      <c r="T248">
        <v>0</v>
      </c>
      <c r="U248">
        <v>0</v>
      </c>
      <c r="V248">
        <v>1</v>
      </c>
      <c r="W248">
        <v>0</v>
      </c>
      <c r="X248">
        <v>0.85</v>
      </c>
    </row>
    <row r="249" spans="1:24" x14ac:dyDescent="0.3">
      <c r="A249" t="s">
        <v>550</v>
      </c>
      <c r="B249" s="1">
        <v>45896</v>
      </c>
      <c r="C249" t="s">
        <v>110</v>
      </c>
      <c r="D249" t="s">
        <v>57</v>
      </c>
      <c r="E249" t="s">
        <v>27</v>
      </c>
      <c r="F249" t="s">
        <v>28</v>
      </c>
      <c r="G249" t="s">
        <v>29</v>
      </c>
      <c r="H249" t="s">
        <v>135</v>
      </c>
      <c r="I249" t="s">
        <v>551</v>
      </c>
      <c r="J249" t="s">
        <v>53</v>
      </c>
      <c r="K249" t="s">
        <v>63</v>
      </c>
      <c r="L249" t="s">
        <v>34</v>
      </c>
      <c r="M249" t="s">
        <v>71</v>
      </c>
      <c r="N249" t="s">
        <v>36</v>
      </c>
      <c r="O249">
        <v>60</v>
      </c>
      <c r="P249">
        <v>60</v>
      </c>
      <c r="Q249">
        <v>68.3</v>
      </c>
      <c r="R249">
        <v>1500</v>
      </c>
      <c r="S249">
        <v>1500</v>
      </c>
      <c r="T249">
        <v>0</v>
      </c>
      <c r="U249">
        <v>0</v>
      </c>
      <c r="V249">
        <v>1</v>
      </c>
      <c r="W249">
        <v>0</v>
      </c>
      <c r="X249">
        <v>0.85</v>
      </c>
    </row>
    <row r="250" spans="1:24" x14ac:dyDescent="0.3">
      <c r="A250" t="s">
        <v>552</v>
      </c>
      <c r="B250" s="1">
        <v>45749</v>
      </c>
      <c r="C250" t="s">
        <v>92</v>
      </c>
      <c r="D250" t="s">
        <v>57</v>
      </c>
      <c r="E250" t="s">
        <v>27</v>
      </c>
      <c r="F250" t="s">
        <v>58</v>
      </c>
      <c r="G250" t="s">
        <v>59</v>
      </c>
      <c r="H250" t="s">
        <v>117</v>
      </c>
      <c r="I250" t="s">
        <v>381</v>
      </c>
      <c r="J250" t="s">
        <v>53</v>
      </c>
      <c r="K250" t="s">
        <v>63</v>
      </c>
      <c r="L250" t="s">
        <v>34</v>
      </c>
      <c r="M250" t="s">
        <v>94</v>
      </c>
      <c r="N250" t="s">
        <v>36</v>
      </c>
      <c r="O250">
        <v>30</v>
      </c>
      <c r="P250">
        <v>30</v>
      </c>
      <c r="Q250">
        <v>40.4</v>
      </c>
      <c r="R250">
        <v>900</v>
      </c>
      <c r="S250">
        <v>900</v>
      </c>
      <c r="T250">
        <v>0</v>
      </c>
      <c r="U250">
        <v>0</v>
      </c>
      <c r="V250">
        <v>1</v>
      </c>
      <c r="W250">
        <v>0</v>
      </c>
      <c r="X250">
        <v>0.85</v>
      </c>
    </row>
    <row r="251" spans="1:24" x14ac:dyDescent="0.3">
      <c r="A251" t="s">
        <v>553</v>
      </c>
      <c r="B251" s="1">
        <v>45659</v>
      </c>
      <c r="C251" t="s">
        <v>130</v>
      </c>
      <c r="D251" t="s">
        <v>50</v>
      </c>
      <c r="E251" t="s">
        <v>27</v>
      </c>
      <c r="F251" t="s">
        <v>58</v>
      </c>
      <c r="G251" t="s">
        <v>59</v>
      </c>
      <c r="H251" t="s">
        <v>117</v>
      </c>
      <c r="I251" t="s">
        <v>108</v>
      </c>
      <c r="J251" t="s">
        <v>62</v>
      </c>
      <c r="K251" t="s">
        <v>70</v>
      </c>
      <c r="L251" t="s">
        <v>34</v>
      </c>
      <c r="M251" t="s">
        <v>86</v>
      </c>
      <c r="N251" t="s">
        <v>36</v>
      </c>
      <c r="O251">
        <v>90</v>
      </c>
      <c r="P251">
        <v>90</v>
      </c>
      <c r="Q251">
        <v>113.3</v>
      </c>
      <c r="R251">
        <v>2250</v>
      </c>
      <c r="S251">
        <v>2250</v>
      </c>
      <c r="T251">
        <v>0</v>
      </c>
      <c r="U251">
        <v>0</v>
      </c>
      <c r="V251">
        <v>1</v>
      </c>
      <c r="W251">
        <v>0</v>
      </c>
      <c r="X251">
        <v>0.85</v>
      </c>
    </row>
    <row r="252" spans="1:24" x14ac:dyDescent="0.3">
      <c r="A252" t="s">
        <v>554</v>
      </c>
      <c r="B252" s="1">
        <v>45789</v>
      </c>
      <c r="C252" t="s">
        <v>128</v>
      </c>
      <c r="D252" t="s">
        <v>39</v>
      </c>
      <c r="E252" t="s">
        <v>83</v>
      </c>
      <c r="F252" t="s">
        <v>41</v>
      </c>
      <c r="G252" t="s">
        <v>42</v>
      </c>
      <c r="H252" t="s">
        <v>51</v>
      </c>
      <c r="I252" t="s">
        <v>555</v>
      </c>
      <c r="J252" t="s">
        <v>32</v>
      </c>
      <c r="K252" t="s">
        <v>70</v>
      </c>
      <c r="L252" t="s">
        <v>34</v>
      </c>
      <c r="M252" t="s">
        <v>65</v>
      </c>
      <c r="N252" t="s">
        <v>36</v>
      </c>
      <c r="O252">
        <v>45</v>
      </c>
      <c r="P252">
        <v>45</v>
      </c>
      <c r="Q252">
        <v>57.8</v>
      </c>
      <c r="R252">
        <v>1000</v>
      </c>
      <c r="S252">
        <v>1000</v>
      </c>
      <c r="T252">
        <v>0</v>
      </c>
      <c r="U252">
        <v>0</v>
      </c>
      <c r="V252">
        <v>1</v>
      </c>
      <c r="W252">
        <v>0</v>
      </c>
      <c r="X252">
        <v>0.85</v>
      </c>
    </row>
    <row r="253" spans="1:24" x14ac:dyDescent="0.3">
      <c r="A253" t="s">
        <v>556</v>
      </c>
      <c r="B253" s="1">
        <v>45700</v>
      </c>
      <c r="C253" t="s">
        <v>76</v>
      </c>
      <c r="D253" t="s">
        <v>57</v>
      </c>
      <c r="E253" t="s">
        <v>83</v>
      </c>
      <c r="F253" t="s">
        <v>58</v>
      </c>
      <c r="G253" t="s">
        <v>59</v>
      </c>
      <c r="H253" t="s">
        <v>117</v>
      </c>
      <c r="I253" t="s">
        <v>440</v>
      </c>
      <c r="J253" t="s">
        <v>32</v>
      </c>
      <c r="K253" t="s">
        <v>46</v>
      </c>
      <c r="L253" t="s">
        <v>34</v>
      </c>
      <c r="M253" t="s">
        <v>65</v>
      </c>
      <c r="N253" t="s">
        <v>36</v>
      </c>
      <c r="O253">
        <v>90</v>
      </c>
      <c r="P253">
        <v>90</v>
      </c>
      <c r="Q253">
        <v>99.6</v>
      </c>
      <c r="R253">
        <v>2250</v>
      </c>
      <c r="S253">
        <v>2250</v>
      </c>
      <c r="T253">
        <v>0</v>
      </c>
      <c r="U253">
        <v>0</v>
      </c>
      <c r="V253">
        <v>1</v>
      </c>
      <c r="W253">
        <v>0</v>
      </c>
      <c r="X253">
        <v>0.85</v>
      </c>
    </row>
    <row r="254" spans="1:24" x14ac:dyDescent="0.3">
      <c r="A254" t="s">
        <v>557</v>
      </c>
      <c r="B254" s="1">
        <v>45698</v>
      </c>
      <c r="C254" t="s">
        <v>76</v>
      </c>
      <c r="D254" t="s">
        <v>39</v>
      </c>
      <c r="E254" t="s">
        <v>83</v>
      </c>
      <c r="F254" t="s">
        <v>28</v>
      </c>
      <c r="G254" t="s">
        <v>29</v>
      </c>
      <c r="H254" t="s">
        <v>210</v>
      </c>
      <c r="I254" t="s">
        <v>558</v>
      </c>
      <c r="J254" t="s">
        <v>137</v>
      </c>
      <c r="K254" t="s">
        <v>33</v>
      </c>
      <c r="L254" t="s">
        <v>64</v>
      </c>
      <c r="M254" t="s">
        <v>35</v>
      </c>
      <c r="N254" t="s">
        <v>95</v>
      </c>
      <c r="O254">
        <v>30</v>
      </c>
      <c r="P254">
        <v>0</v>
      </c>
      <c r="Q254">
        <v>33.799999999999997</v>
      </c>
      <c r="R254">
        <v>600</v>
      </c>
      <c r="S254">
        <v>0</v>
      </c>
      <c r="T254">
        <v>600</v>
      </c>
      <c r="U254">
        <v>1</v>
      </c>
      <c r="V254">
        <v>0</v>
      </c>
      <c r="W254">
        <v>0</v>
      </c>
      <c r="X254">
        <v>0.85</v>
      </c>
    </row>
    <row r="255" spans="1:24" x14ac:dyDescent="0.3">
      <c r="A255" t="s">
        <v>559</v>
      </c>
      <c r="B255" s="1">
        <v>45670</v>
      </c>
      <c r="C255" t="s">
        <v>130</v>
      </c>
      <c r="D255" t="s">
        <v>39</v>
      </c>
      <c r="E255" t="s">
        <v>68</v>
      </c>
      <c r="F255" t="s">
        <v>58</v>
      </c>
      <c r="G255" t="s">
        <v>59</v>
      </c>
      <c r="H255" t="s">
        <v>296</v>
      </c>
      <c r="I255" t="s">
        <v>560</v>
      </c>
      <c r="J255" t="s">
        <v>99</v>
      </c>
      <c r="K255" t="s">
        <v>33</v>
      </c>
      <c r="L255" t="s">
        <v>34</v>
      </c>
      <c r="M255" t="s">
        <v>71</v>
      </c>
      <c r="N255" t="s">
        <v>36</v>
      </c>
      <c r="O255">
        <v>60</v>
      </c>
      <c r="P255">
        <v>60</v>
      </c>
      <c r="Q255">
        <v>70.599999999999994</v>
      </c>
      <c r="R255">
        <v>1500</v>
      </c>
      <c r="S255">
        <v>1500</v>
      </c>
      <c r="T255">
        <v>0</v>
      </c>
      <c r="U255">
        <v>0</v>
      </c>
      <c r="V255">
        <v>1</v>
      </c>
      <c r="W255">
        <v>0</v>
      </c>
      <c r="X255">
        <v>0.85</v>
      </c>
    </row>
    <row r="256" spans="1:24" x14ac:dyDescent="0.3">
      <c r="A256" t="s">
        <v>561</v>
      </c>
      <c r="B256" s="1">
        <v>46014</v>
      </c>
      <c r="C256" t="s">
        <v>25</v>
      </c>
      <c r="D256" t="s">
        <v>26</v>
      </c>
      <c r="E256" t="s">
        <v>83</v>
      </c>
      <c r="F256" t="s">
        <v>28</v>
      </c>
      <c r="G256" t="s">
        <v>29</v>
      </c>
      <c r="H256" t="s">
        <v>210</v>
      </c>
      <c r="I256" t="s">
        <v>562</v>
      </c>
      <c r="J256" t="s">
        <v>32</v>
      </c>
      <c r="K256" t="s">
        <v>104</v>
      </c>
      <c r="L256" t="s">
        <v>78</v>
      </c>
      <c r="M256" t="s">
        <v>47</v>
      </c>
      <c r="N256" t="s">
        <v>36</v>
      </c>
      <c r="O256">
        <v>90</v>
      </c>
      <c r="P256">
        <v>90</v>
      </c>
      <c r="Q256">
        <v>113.2</v>
      </c>
      <c r="R256">
        <v>1700</v>
      </c>
      <c r="S256">
        <v>1700</v>
      </c>
      <c r="T256">
        <v>0</v>
      </c>
      <c r="U256">
        <v>0</v>
      </c>
      <c r="V256">
        <v>1</v>
      </c>
      <c r="W256">
        <v>0</v>
      </c>
      <c r="X256">
        <v>0.85</v>
      </c>
    </row>
    <row r="257" spans="1:24" x14ac:dyDescent="0.3">
      <c r="A257" t="s">
        <v>563</v>
      </c>
      <c r="B257" s="1">
        <v>45735</v>
      </c>
      <c r="C257" t="s">
        <v>56</v>
      </c>
      <c r="D257" t="s">
        <v>57</v>
      </c>
      <c r="E257" t="s">
        <v>83</v>
      </c>
      <c r="F257" t="s">
        <v>28</v>
      </c>
      <c r="G257" t="s">
        <v>29</v>
      </c>
      <c r="H257" t="s">
        <v>210</v>
      </c>
      <c r="I257" t="s">
        <v>564</v>
      </c>
      <c r="J257" t="s">
        <v>62</v>
      </c>
      <c r="K257" t="s">
        <v>70</v>
      </c>
      <c r="L257" t="s">
        <v>54</v>
      </c>
      <c r="M257" t="s">
        <v>47</v>
      </c>
      <c r="N257" t="s">
        <v>36</v>
      </c>
      <c r="O257">
        <v>45</v>
      </c>
      <c r="P257">
        <v>45</v>
      </c>
      <c r="Q257">
        <v>56.8</v>
      </c>
      <c r="R257">
        <v>800</v>
      </c>
      <c r="S257">
        <v>800</v>
      </c>
      <c r="T257">
        <v>0</v>
      </c>
      <c r="U257">
        <v>0</v>
      </c>
      <c r="V257">
        <v>1</v>
      </c>
      <c r="W257">
        <v>0</v>
      </c>
      <c r="X257">
        <v>0.85</v>
      </c>
    </row>
    <row r="258" spans="1:24" x14ac:dyDescent="0.3">
      <c r="A258" t="s">
        <v>565</v>
      </c>
      <c r="B258" s="1">
        <v>45724</v>
      </c>
      <c r="C258" t="s">
        <v>56</v>
      </c>
      <c r="D258" t="s">
        <v>88</v>
      </c>
      <c r="E258" t="s">
        <v>68</v>
      </c>
      <c r="F258" t="s">
        <v>58</v>
      </c>
      <c r="G258" t="s">
        <v>59</v>
      </c>
      <c r="H258" t="s">
        <v>151</v>
      </c>
      <c r="I258" t="s">
        <v>566</v>
      </c>
      <c r="J258" t="s">
        <v>62</v>
      </c>
      <c r="K258" t="s">
        <v>63</v>
      </c>
      <c r="L258" t="s">
        <v>78</v>
      </c>
      <c r="M258" t="s">
        <v>86</v>
      </c>
      <c r="N258" t="s">
        <v>36</v>
      </c>
      <c r="O258">
        <v>60</v>
      </c>
      <c r="P258">
        <v>60</v>
      </c>
      <c r="Q258">
        <v>74.5</v>
      </c>
      <c r="R258">
        <v>1400</v>
      </c>
      <c r="S258">
        <v>1400</v>
      </c>
      <c r="T258">
        <v>0</v>
      </c>
      <c r="U258">
        <v>0</v>
      </c>
      <c r="V258">
        <v>1</v>
      </c>
      <c r="W258">
        <v>0</v>
      </c>
      <c r="X258">
        <v>0.85</v>
      </c>
    </row>
    <row r="259" spans="1:24" x14ac:dyDescent="0.3">
      <c r="A259" t="s">
        <v>567</v>
      </c>
      <c r="B259" s="1">
        <v>45763</v>
      </c>
      <c r="C259" t="s">
        <v>92</v>
      </c>
      <c r="D259" t="s">
        <v>57</v>
      </c>
      <c r="E259" t="s">
        <v>68</v>
      </c>
      <c r="F259" t="s">
        <v>28</v>
      </c>
      <c r="G259" t="s">
        <v>29</v>
      </c>
      <c r="H259" t="s">
        <v>135</v>
      </c>
      <c r="I259" t="s">
        <v>568</v>
      </c>
      <c r="J259" t="s">
        <v>99</v>
      </c>
      <c r="K259" t="s">
        <v>70</v>
      </c>
      <c r="L259" t="s">
        <v>34</v>
      </c>
      <c r="M259" t="s">
        <v>86</v>
      </c>
      <c r="N259" t="s">
        <v>36</v>
      </c>
      <c r="O259">
        <v>60</v>
      </c>
      <c r="P259">
        <v>60</v>
      </c>
      <c r="Q259">
        <v>70.900000000000006</v>
      </c>
      <c r="R259">
        <v>1250</v>
      </c>
      <c r="S259">
        <v>1250</v>
      </c>
      <c r="T259">
        <v>0</v>
      </c>
      <c r="U259">
        <v>0</v>
      </c>
      <c r="V259">
        <v>1</v>
      </c>
      <c r="W259">
        <v>0</v>
      </c>
      <c r="X259">
        <v>0.85</v>
      </c>
    </row>
    <row r="260" spans="1:24" x14ac:dyDescent="0.3">
      <c r="A260" t="s">
        <v>569</v>
      </c>
      <c r="B260" s="1">
        <v>45821</v>
      </c>
      <c r="C260" t="s">
        <v>67</v>
      </c>
      <c r="D260" t="s">
        <v>82</v>
      </c>
      <c r="E260" t="s">
        <v>27</v>
      </c>
      <c r="F260" t="s">
        <v>28</v>
      </c>
      <c r="G260" t="s">
        <v>29</v>
      </c>
      <c r="H260" t="s">
        <v>102</v>
      </c>
      <c r="I260" t="s">
        <v>147</v>
      </c>
      <c r="J260" t="s">
        <v>53</v>
      </c>
      <c r="K260" t="s">
        <v>70</v>
      </c>
      <c r="L260" t="s">
        <v>34</v>
      </c>
      <c r="M260" t="s">
        <v>47</v>
      </c>
      <c r="N260" t="s">
        <v>36</v>
      </c>
      <c r="O260">
        <v>30</v>
      </c>
      <c r="P260">
        <v>30</v>
      </c>
      <c r="Q260">
        <v>36.4</v>
      </c>
      <c r="R260">
        <v>750</v>
      </c>
      <c r="S260">
        <v>750</v>
      </c>
      <c r="T260">
        <v>0</v>
      </c>
      <c r="U260">
        <v>0</v>
      </c>
      <c r="V260">
        <v>1</v>
      </c>
      <c r="W260">
        <v>0</v>
      </c>
      <c r="X260">
        <v>0.85</v>
      </c>
    </row>
    <row r="261" spans="1:24" x14ac:dyDescent="0.3">
      <c r="A261" t="s">
        <v>570</v>
      </c>
      <c r="B261" s="1">
        <v>45850</v>
      </c>
      <c r="C261" t="s">
        <v>101</v>
      </c>
      <c r="D261" t="s">
        <v>88</v>
      </c>
      <c r="E261" t="s">
        <v>68</v>
      </c>
      <c r="F261" t="s">
        <v>28</v>
      </c>
      <c r="G261" t="s">
        <v>29</v>
      </c>
      <c r="H261" t="s">
        <v>120</v>
      </c>
      <c r="I261" t="s">
        <v>571</v>
      </c>
      <c r="J261" t="s">
        <v>45</v>
      </c>
      <c r="K261" t="s">
        <v>85</v>
      </c>
      <c r="L261" t="s">
        <v>34</v>
      </c>
      <c r="M261" t="s">
        <v>71</v>
      </c>
      <c r="N261" t="s">
        <v>113</v>
      </c>
      <c r="O261">
        <v>60</v>
      </c>
      <c r="P261">
        <v>0</v>
      </c>
      <c r="Q261">
        <v>74.400000000000006</v>
      </c>
      <c r="R261">
        <v>1450</v>
      </c>
      <c r="S261">
        <v>0</v>
      </c>
      <c r="T261">
        <v>1450</v>
      </c>
      <c r="U261">
        <v>0</v>
      </c>
      <c r="V261">
        <v>0</v>
      </c>
      <c r="W261">
        <v>1</v>
      </c>
      <c r="X261">
        <v>0.85</v>
      </c>
    </row>
    <row r="262" spans="1:24" x14ac:dyDescent="0.3">
      <c r="A262" t="s">
        <v>572</v>
      </c>
      <c r="B262" s="1">
        <v>45681</v>
      </c>
      <c r="C262" t="s">
        <v>130</v>
      </c>
      <c r="D262" t="s">
        <v>82</v>
      </c>
      <c r="E262" t="s">
        <v>68</v>
      </c>
      <c r="F262" t="s">
        <v>58</v>
      </c>
      <c r="G262" t="s">
        <v>59</v>
      </c>
      <c r="H262" t="s">
        <v>60</v>
      </c>
      <c r="I262" t="s">
        <v>80</v>
      </c>
      <c r="J262" t="s">
        <v>62</v>
      </c>
      <c r="K262" t="s">
        <v>104</v>
      </c>
      <c r="L262" t="s">
        <v>34</v>
      </c>
      <c r="M262" t="s">
        <v>47</v>
      </c>
      <c r="N262" t="s">
        <v>36</v>
      </c>
      <c r="O262">
        <v>60</v>
      </c>
      <c r="P262">
        <v>60</v>
      </c>
      <c r="Q262">
        <v>66.599999999999994</v>
      </c>
      <c r="R262">
        <v>1500</v>
      </c>
      <c r="S262">
        <v>1500</v>
      </c>
      <c r="T262">
        <v>0</v>
      </c>
      <c r="U262">
        <v>0</v>
      </c>
      <c r="V262">
        <v>1</v>
      </c>
      <c r="W262">
        <v>0</v>
      </c>
      <c r="X262">
        <v>0.85</v>
      </c>
    </row>
    <row r="263" spans="1:24" x14ac:dyDescent="0.3">
      <c r="A263" t="s">
        <v>573</v>
      </c>
      <c r="B263" s="1">
        <v>45797</v>
      </c>
      <c r="C263" t="s">
        <v>128</v>
      </c>
      <c r="D263" t="s">
        <v>26</v>
      </c>
      <c r="E263" t="s">
        <v>40</v>
      </c>
      <c r="F263" t="s">
        <v>41</v>
      </c>
      <c r="G263" t="s">
        <v>42</v>
      </c>
      <c r="H263" t="s">
        <v>51</v>
      </c>
      <c r="I263" t="s">
        <v>574</v>
      </c>
      <c r="J263" t="s">
        <v>62</v>
      </c>
      <c r="K263" t="s">
        <v>63</v>
      </c>
      <c r="L263" t="s">
        <v>64</v>
      </c>
      <c r="M263" t="s">
        <v>65</v>
      </c>
      <c r="N263" t="s">
        <v>36</v>
      </c>
      <c r="O263">
        <v>60</v>
      </c>
      <c r="P263">
        <v>60</v>
      </c>
      <c r="Q263">
        <v>75.599999999999994</v>
      </c>
      <c r="R263">
        <v>1350</v>
      </c>
      <c r="S263">
        <v>1350</v>
      </c>
      <c r="T263">
        <v>0</v>
      </c>
      <c r="U263">
        <v>0</v>
      </c>
      <c r="V263">
        <v>1</v>
      </c>
      <c r="W263">
        <v>0</v>
      </c>
      <c r="X263">
        <v>0.85</v>
      </c>
    </row>
    <row r="264" spans="1:24" x14ac:dyDescent="0.3">
      <c r="A264" t="s">
        <v>575</v>
      </c>
      <c r="B264" s="1">
        <v>45808</v>
      </c>
      <c r="C264" t="s">
        <v>128</v>
      </c>
      <c r="D264" t="s">
        <v>88</v>
      </c>
      <c r="E264" t="s">
        <v>83</v>
      </c>
      <c r="F264" t="s">
        <v>41</v>
      </c>
      <c r="G264" t="s">
        <v>42</v>
      </c>
      <c r="H264" t="s">
        <v>43</v>
      </c>
      <c r="I264" t="s">
        <v>576</v>
      </c>
      <c r="J264" t="s">
        <v>45</v>
      </c>
      <c r="K264" t="s">
        <v>85</v>
      </c>
      <c r="L264" t="s">
        <v>64</v>
      </c>
      <c r="M264" t="s">
        <v>65</v>
      </c>
      <c r="N264" t="s">
        <v>36</v>
      </c>
      <c r="O264">
        <v>60</v>
      </c>
      <c r="P264">
        <v>60</v>
      </c>
      <c r="Q264">
        <v>72.400000000000006</v>
      </c>
      <c r="R264">
        <v>1550</v>
      </c>
      <c r="S264">
        <v>1550</v>
      </c>
      <c r="T264">
        <v>0</v>
      </c>
      <c r="U264">
        <v>0</v>
      </c>
      <c r="V264">
        <v>1</v>
      </c>
      <c r="W264">
        <v>0</v>
      </c>
      <c r="X264">
        <v>0.85</v>
      </c>
    </row>
    <row r="265" spans="1:24" x14ac:dyDescent="0.3">
      <c r="A265" t="s">
        <v>577</v>
      </c>
      <c r="B265" s="1">
        <v>45940</v>
      </c>
      <c r="C265" t="s">
        <v>97</v>
      </c>
      <c r="D265" t="s">
        <v>82</v>
      </c>
      <c r="E265" t="s">
        <v>27</v>
      </c>
      <c r="F265" t="s">
        <v>58</v>
      </c>
      <c r="G265" t="s">
        <v>59</v>
      </c>
      <c r="H265" t="s">
        <v>151</v>
      </c>
      <c r="I265" t="s">
        <v>352</v>
      </c>
      <c r="J265" t="s">
        <v>99</v>
      </c>
      <c r="K265" t="s">
        <v>46</v>
      </c>
      <c r="L265" t="s">
        <v>64</v>
      </c>
      <c r="M265" t="s">
        <v>65</v>
      </c>
      <c r="N265" t="s">
        <v>36</v>
      </c>
      <c r="O265">
        <v>60</v>
      </c>
      <c r="P265">
        <v>60</v>
      </c>
      <c r="Q265">
        <v>70.599999999999994</v>
      </c>
      <c r="R265">
        <v>1500</v>
      </c>
      <c r="S265">
        <v>1500</v>
      </c>
      <c r="T265">
        <v>0</v>
      </c>
      <c r="U265">
        <v>0</v>
      </c>
      <c r="V265">
        <v>1</v>
      </c>
      <c r="W265">
        <v>0</v>
      </c>
      <c r="X265">
        <v>0.85</v>
      </c>
    </row>
    <row r="266" spans="1:24" x14ac:dyDescent="0.3">
      <c r="A266" t="s">
        <v>578</v>
      </c>
      <c r="B266" s="1">
        <v>45758</v>
      </c>
      <c r="C266" t="s">
        <v>92</v>
      </c>
      <c r="D266" t="s">
        <v>82</v>
      </c>
      <c r="E266" t="s">
        <v>40</v>
      </c>
      <c r="F266" t="s">
        <v>28</v>
      </c>
      <c r="G266" t="s">
        <v>29</v>
      </c>
      <c r="H266" t="s">
        <v>30</v>
      </c>
      <c r="I266" t="s">
        <v>491</v>
      </c>
      <c r="J266" t="s">
        <v>99</v>
      </c>
      <c r="K266" t="s">
        <v>46</v>
      </c>
      <c r="L266" t="s">
        <v>34</v>
      </c>
      <c r="M266" t="s">
        <v>65</v>
      </c>
      <c r="N266" t="s">
        <v>36</v>
      </c>
      <c r="O266">
        <v>60</v>
      </c>
      <c r="P266">
        <v>60</v>
      </c>
      <c r="Q266">
        <v>73.099999999999994</v>
      </c>
      <c r="R266">
        <v>1250</v>
      </c>
      <c r="S266">
        <v>1250</v>
      </c>
      <c r="T266">
        <v>0</v>
      </c>
      <c r="U266">
        <v>0</v>
      </c>
      <c r="V266">
        <v>1</v>
      </c>
      <c r="W266">
        <v>0</v>
      </c>
      <c r="X266">
        <v>0.85</v>
      </c>
    </row>
    <row r="267" spans="1:24" x14ac:dyDescent="0.3">
      <c r="A267" t="s">
        <v>579</v>
      </c>
      <c r="B267" s="1">
        <v>45876</v>
      </c>
      <c r="C267" t="s">
        <v>110</v>
      </c>
      <c r="D267" t="s">
        <v>50</v>
      </c>
      <c r="E267" t="s">
        <v>68</v>
      </c>
      <c r="F267" t="s">
        <v>58</v>
      </c>
      <c r="G267" t="s">
        <v>59</v>
      </c>
      <c r="H267" t="s">
        <v>60</v>
      </c>
      <c r="I267" t="s">
        <v>580</v>
      </c>
      <c r="J267" t="s">
        <v>45</v>
      </c>
      <c r="K267" t="s">
        <v>63</v>
      </c>
      <c r="L267" t="s">
        <v>34</v>
      </c>
      <c r="M267" t="s">
        <v>65</v>
      </c>
      <c r="N267" t="s">
        <v>36</v>
      </c>
      <c r="O267">
        <v>60</v>
      </c>
      <c r="P267">
        <v>60</v>
      </c>
      <c r="Q267">
        <v>77.3</v>
      </c>
      <c r="R267">
        <v>1700</v>
      </c>
      <c r="S267">
        <v>1700</v>
      </c>
      <c r="T267">
        <v>0</v>
      </c>
      <c r="U267">
        <v>0</v>
      </c>
      <c r="V267">
        <v>1</v>
      </c>
      <c r="W267">
        <v>0</v>
      </c>
      <c r="X267">
        <v>0.85</v>
      </c>
    </row>
    <row r="268" spans="1:24" x14ac:dyDescent="0.3">
      <c r="A268" t="s">
        <v>581</v>
      </c>
      <c r="B268" s="1">
        <v>45832</v>
      </c>
      <c r="C268" t="s">
        <v>67</v>
      </c>
      <c r="D268" t="s">
        <v>26</v>
      </c>
      <c r="E268" t="s">
        <v>40</v>
      </c>
      <c r="F268" t="s">
        <v>58</v>
      </c>
      <c r="G268" t="s">
        <v>59</v>
      </c>
      <c r="H268" t="s">
        <v>151</v>
      </c>
      <c r="I268" t="s">
        <v>582</v>
      </c>
      <c r="J268" t="s">
        <v>99</v>
      </c>
      <c r="K268" t="s">
        <v>46</v>
      </c>
      <c r="L268" t="s">
        <v>64</v>
      </c>
      <c r="M268" t="s">
        <v>86</v>
      </c>
      <c r="N268" t="s">
        <v>36</v>
      </c>
      <c r="O268">
        <v>45</v>
      </c>
      <c r="P268">
        <v>45</v>
      </c>
      <c r="Q268">
        <v>56.5</v>
      </c>
      <c r="R268">
        <v>1100</v>
      </c>
      <c r="S268">
        <v>1100</v>
      </c>
      <c r="T268">
        <v>0</v>
      </c>
      <c r="U268">
        <v>0</v>
      </c>
      <c r="V268">
        <v>1</v>
      </c>
      <c r="W268">
        <v>0</v>
      </c>
      <c r="X268">
        <v>0.85</v>
      </c>
    </row>
    <row r="269" spans="1:24" x14ac:dyDescent="0.3">
      <c r="A269" t="s">
        <v>583</v>
      </c>
      <c r="B269" s="1">
        <v>45960</v>
      </c>
      <c r="C269" t="s">
        <v>97</v>
      </c>
      <c r="D269" t="s">
        <v>50</v>
      </c>
      <c r="E269" t="s">
        <v>40</v>
      </c>
      <c r="F269" t="s">
        <v>58</v>
      </c>
      <c r="G269" t="s">
        <v>59</v>
      </c>
      <c r="H269" t="s">
        <v>117</v>
      </c>
      <c r="I269" t="s">
        <v>337</v>
      </c>
      <c r="J269" t="s">
        <v>53</v>
      </c>
      <c r="K269" t="s">
        <v>70</v>
      </c>
      <c r="L269" t="s">
        <v>64</v>
      </c>
      <c r="M269" t="s">
        <v>86</v>
      </c>
      <c r="N269" t="s">
        <v>36</v>
      </c>
      <c r="O269">
        <v>30</v>
      </c>
      <c r="P269">
        <v>30</v>
      </c>
      <c r="Q269">
        <v>34.5</v>
      </c>
      <c r="R269">
        <v>900</v>
      </c>
      <c r="S269">
        <v>900</v>
      </c>
      <c r="T269">
        <v>0</v>
      </c>
      <c r="U269">
        <v>0</v>
      </c>
      <c r="V269">
        <v>1</v>
      </c>
      <c r="W269">
        <v>0</v>
      </c>
      <c r="X269">
        <v>0.85</v>
      </c>
    </row>
    <row r="270" spans="1:24" x14ac:dyDescent="0.3">
      <c r="A270" t="s">
        <v>584</v>
      </c>
      <c r="B270" s="1">
        <v>45999</v>
      </c>
      <c r="C270" t="s">
        <v>25</v>
      </c>
      <c r="D270" t="s">
        <v>39</v>
      </c>
      <c r="E270" t="s">
        <v>83</v>
      </c>
      <c r="F270" t="s">
        <v>58</v>
      </c>
      <c r="G270" t="s">
        <v>59</v>
      </c>
      <c r="H270" t="s">
        <v>296</v>
      </c>
      <c r="I270" t="s">
        <v>585</v>
      </c>
      <c r="J270" t="s">
        <v>53</v>
      </c>
      <c r="K270" t="s">
        <v>63</v>
      </c>
      <c r="L270" t="s">
        <v>34</v>
      </c>
      <c r="M270" t="s">
        <v>35</v>
      </c>
      <c r="N270" t="s">
        <v>36</v>
      </c>
      <c r="O270">
        <v>45</v>
      </c>
      <c r="P270">
        <v>45</v>
      </c>
      <c r="Q270">
        <v>52.6</v>
      </c>
      <c r="R270">
        <v>1350</v>
      </c>
      <c r="S270">
        <v>1350</v>
      </c>
      <c r="T270">
        <v>0</v>
      </c>
      <c r="U270">
        <v>0</v>
      </c>
      <c r="V270">
        <v>1</v>
      </c>
      <c r="W270">
        <v>0</v>
      </c>
      <c r="X270">
        <v>0.85</v>
      </c>
    </row>
    <row r="271" spans="1:24" x14ac:dyDescent="0.3">
      <c r="A271" t="s">
        <v>586</v>
      </c>
      <c r="B271" s="1">
        <v>45845</v>
      </c>
      <c r="C271" t="s">
        <v>101</v>
      </c>
      <c r="D271" t="s">
        <v>39</v>
      </c>
      <c r="E271" t="s">
        <v>40</v>
      </c>
      <c r="F271" t="s">
        <v>28</v>
      </c>
      <c r="G271" t="s">
        <v>29</v>
      </c>
      <c r="H271" t="s">
        <v>120</v>
      </c>
      <c r="I271" t="s">
        <v>267</v>
      </c>
      <c r="J271" t="s">
        <v>45</v>
      </c>
      <c r="K271" t="s">
        <v>104</v>
      </c>
      <c r="L271" t="s">
        <v>64</v>
      </c>
      <c r="M271" t="s">
        <v>86</v>
      </c>
      <c r="N271" t="s">
        <v>36</v>
      </c>
      <c r="O271">
        <v>45</v>
      </c>
      <c r="P271">
        <v>45</v>
      </c>
      <c r="Q271">
        <v>52.6</v>
      </c>
      <c r="R271">
        <v>1100</v>
      </c>
      <c r="S271">
        <v>1100</v>
      </c>
      <c r="T271">
        <v>0</v>
      </c>
      <c r="U271">
        <v>0</v>
      </c>
      <c r="V271">
        <v>1</v>
      </c>
      <c r="W271">
        <v>0</v>
      </c>
      <c r="X271">
        <v>0.85</v>
      </c>
    </row>
    <row r="272" spans="1:24" x14ac:dyDescent="0.3">
      <c r="A272" t="s">
        <v>587</v>
      </c>
      <c r="B272" s="1">
        <v>46002</v>
      </c>
      <c r="C272" t="s">
        <v>25</v>
      </c>
      <c r="D272" t="s">
        <v>50</v>
      </c>
      <c r="E272" t="s">
        <v>68</v>
      </c>
      <c r="F272" t="s">
        <v>58</v>
      </c>
      <c r="G272" t="s">
        <v>59</v>
      </c>
      <c r="H272" t="s">
        <v>296</v>
      </c>
      <c r="I272" t="s">
        <v>489</v>
      </c>
      <c r="J272" t="s">
        <v>137</v>
      </c>
      <c r="K272" t="s">
        <v>85</v>
      </c>
      <c r="L272" t="s">
        <v>78</v>
      </c>
      <c r="M272" t="s">
        <v>86</v>
      </c>
      <c r="N272" t="s">
        <v>113</v>
      </c>
      <c r="O272">
        <v>45</v>
      </c>
      <c r="P272">
        <v>0</v>
      </c>
      <c r="Q272">
        <v>60.7</v>
      </c>
      <c r="R272">
        <v>1050</v>
      </c>
      <c r="S272">
        <v>0</v>
      </c>
      <c r="T272">
        <v>1050</v>
      </c>
      <c r="U272">
        <v>0</v>
      </c>
      <c r="V272">
        <v>0</v>
      </c>
      <c r="W272">
        <v>1</v>
      </c>
      <c r="X272">
        <v>0.85</v>
      </c>
    </row>
    <row r="273" spans="1:24" x14ac:dyDescent="0.3">
      <c r="A273" t="s">
        <v>588</v>
      </c>
      <c r="B273" s="1">
        <v>45737</v>
      </c>
      <c r="C273" t="s">
        <v>56</v>
      </c>
      <c r="D273" t="s">
        <v>82</v>
      </c>
      <c r="E273" t="s">
        <v>27</v>
      </c>
      <c r="F273" t="s">
        <v>58</v>
      </c>
      <c r="G273" t="s">
        <v>59</v>
      </c>
      <c r="H273" t="s">
        <v>296</v>
      </c>
      <c r="I273" t="s">
        <v>589</v>
      </c>
      <c r="J273" t="s">
        <v>62</v>
      </c>
      <c r="K273" t="s">
        <v>46</v>
      </c>
      <c r="L273" t="s">
        <v>34</v>
      </c>
      <c r="M273" t="s">
        <v>65</v>
      </c>
      <c r="N273" t="s">
        <v>36</v>
      </c>
      <c r="O273">
        <v>45</v>
      </c>
      <c r="P273">
        <v>45</v>
      </c>
      <c r="Q273">
        <v>54</v>
      </c>
      <c r="R273">
        <v>1100</v>
      </c>
      <c r="S273">
        <v>1100</v>
      </c>
      <c r="T273">
        <v>0</v>
      </c>
      <c r="U273">
        <v>0</v>
      </c>
      <c r="V273">
        <v>1</v>
      </c>
      <c r="W273">
        <v>0</v>
      </c>
      <c r="X273">
        <v>0.85</v>
      </c>
    </row>
    <row r="274" spans="1:24" x14ac:dyDescent="0.3">
      <c r="A274" t="s">
        <v>590</v>
      </c>
      <c r="B274" s="1">
        <v>45926</v>
      </c>
      <c r="C274" t="s">
        <v>49</v>
      </c>
      <c r="D274" t="s">
        <v>82</v>
      </c>
      <c r="E274" t="s">
        <v>83</v>
      </c>
      <c r="F274" t="s">
        <v>28</v>
      </c>
      <c r="G274" t="s">
        <v>29</v>
      </c>
      <c r="H274" t="s">
        <v>135</v>
      </c>
      <c r="I274" t="s">
        <v>576</v>
      </c>
      <c r="J274" t="s">
        <v>62</v>
      </c>
      <c r="K274" t="s">
        <v>70</v>
      </c>
      <c r="L274" t="s">
        <v>78</v>
      </c>
      <c r="M274" t="s">
        <v>47</v>
      </c>
      <c r="N274" t="s">
        <v>36</v>
      </c>
      <c r="O274">
        <v>60</v>
      </c>
      <c r="P274">
        <v>60</v>
      </c>
      <c r="Q274">
        <v>68.5</v>
      </c>
      <c r="R274">
        <v>1150</v>
      </c>
      <c r="S274">
        <v>1150</v>
      </c>
      <c r="T274">
        <v>0</v>
      </c>
      <c r="U274">
        <v>0</v>
      </c>
      <c r="V274">
        <v>1</v>
      </c>
      <c r="W274">
        <v>0</v>
      </c>
      <c r="X274">
        <v>0.85</v>
      </c>
    </row>
    <row r="275" spans="1:24" x14ac:dyDescent="0.3">
      <c r="A275" t="s">
        <v>591</v>
      </c>
      <c r="B275" s="1">
        <v>45713</v>
      </c>
      <c r="C275" t="s">
        <v>76</v>
      </c>
      <c r="D275" t="s">
        <v>26</v>
      </c>
      <c r="E275" t="s">
        <v>68</v>
      </c>
      <c r="F275" t="s">
        <v>41</v>
      </c>
      <c r="G275" t="s">
        <v>42</v>
      </c>
      <c r="H275" t="s">
        <v>51</v>
      </c>
      <c r="I275" t="s">
        <v>566</v>
      </c>
      <c r="J275" t="s">
        <v>45</v>
      </c>
      <c r="K275" t="s">
        <v>63</v>
      </c>
      <c r="L275" t="s">
        <v>54</v>
      </c>
      <c r="M275" t="s">
        <v>94</v>
      </c>
      <c r="N275" t="s">
        <v>36</v>
      </c>
      <c r="O275">
        <v>45</v>
      </c>
      <c r="P275">
        <v>45</v>
      </c>
      <c r="Q275">
        <v>55</v>
      </c>
      <c r="R275">
        <v>1000</v>
      </c>
      <c r="S275">
        <v>1000</v>
      </c>
      <c r="T275">
        <v>0</v>
      </c>
      <c r="U275">
        <v>0</v>
      </c>
      <c r="V275">
        <v>1</v>
      </c>
      <c r="W275">
        <v>0</v>
      </c>
      <c r="X275">
        <v>0.85</v>
      </c>
    </row>
    <row r="276" spans="1:24" x14ac:dyDescent="0.3">
      <c r="A276" t="s">
        <v>592</v>
      </c>
      <c r="B276" s="1">
        <v>45929</v>
      </c>
      <c r="C276" t="s">
        <v>49</v>
      </c>
      <c r="D276" t="s">
        <v>39</v>
      </c>
      <c r="E276" t="s">
        <v>40</v>
      </c>
      <c r="F276" t="s">
        <v>58</v>
      </c>
      <c r="G276" t="s">
        <v>59</v>
      </c>
      <c r="H276" t="s">
        <v>60</v>
      </c>
      <c r="I276" t="s">
        <v>593</v>
      </c>
      <c r="J276" t="s">
        <v>62</v>
      </c>
      <c r="K276" t="s">
        <v>33</v>
      </c>
      <c r="L276" t="s">
        <v>34</v>
      </c>
      <c r="M276" t="s">
        <v>71</v>
      </c>
      <c r="N276" t="s">
        <v>36</v>
      </c>
      <c r="O276">
        <v>75</v>
      </c>
      <c r="P276">
        <v>75</v>
      </c>
      <c r="Q276">
        <v>86.2</v>
      </c>
      <c r="R276">
        <v>1900</v>
      </c>
      <c r="S276">
        <v>1900</v>
      </c>
      <c r="T276">
        <v>0</v>
      </c>
      <c r="U276">
        <v>0</v>
      </c>
      <c r="V276">
        <v>1</v>
      </c>
      <c r="W276">
        <v>0</v>
      </c>
      <c r="X276">
        <v>0.85</v>
      </c>
    </row>
    <row r="277" spans="1:24" x14ac:dyDescent="0.3">
      <c r="A277" t="s">
        <v>594</v>
      </c>
      <c r="B277" s="1">
        <v>45859</v>
      </c>
      <c r="C277" t="s">
        <v>101</v>
      </c>
      <c r="D277" t="s">
        <v>39</v>
      </c>
      <c r="E277" t="s">
        <v>68</v>
      </c>
      <c r="F277" t="s">
        <v>41</v>
      </c>
      <c r="G277" t="s">
        <v>42</v>
      </c>
      <c r="H277" t="s">
        <v>125</v>
      </c>
      <c r="I277" t="s">
        <v>449</v>
      </c>
      <c r="J277" t="s">
        <v>53</v>
      </c>
      <c r="K277" t="s">
        <v>104</v>
      </c>
      <c r="L277" t="s">
        <v>34</v>
      </c>
      <c r="M277" t="s">
        <v>35</v>
      </c>
      <c r="N277" t="s">
        <v>36</v>
      </c>
      <c r="O277">
        <v>45</v>
      </c>
      <c r="P277">
        <v>45</v>
      </c>
      <c r="Q277">
        <v>57.9</v>
      </c>
      <c r="R277">
        <v>1200</v>
      </c>
      <c r="S277">
        <v>1200</v>
      </c>
      <c r="T277">
        <v>0</v>
      </c>
      <c r="U277">
        <v>0</v>
      </c>
      <c r="V277">
        <v>1</v>
      </c>
      <c r="W277">
        <v>0</v>
      </c>
      <c r="X277">
        <v>0.85</v>
      </c>
    </row>
    <row r="278" spans="1:24" x14ac:dyDescent="0.3">
      <c r="A278" t="s">
        <v>595</v>
      </c>
      <c r="B278" s="1">
        <v>45775</v>
      </c>
      <c r="C278" t="s">
        <v>92</v>
      </c>
      <c r="D278" t="s">
        <v>39</v>
      </c>
      <c r="E278" t="s">
        <v>68</v>
      </c>
      <c r="F278" t="s">
        <v>41</v>
      </c>
      <c r="G278" t="s">
        <v>42</v>
      </c>
      <c r="H278" t="s">
        <v>51</v>
      </c>
      <c r="I278" t="s">
        <v>596</v>
      </c>
      <c r="J278" t="s">
        <v>99</v>
      </c>
      <c r="K278" t="s">
        <v>63</v>
      </c>
      <c r="L278" t="s">
        <v>64</v>
      </c>
      <c r="M278" t="s">
        <v>71</v>
      </c>
      <c r="N278" t="s">
        <v>36</v>
      </c>
      <c r="O278">
        <v>60</v>
      </c>
      <c r="P278">
        <v>60</v>
      </c>
      <c r="Q278">
        <v>79.599999999999994</v>
      </c>
      <c r="R278">
        <v>1350</v>
      </c>
      <c r="S278">
        <v>1350</v>
      </c>
      <c r="T278">
        <v>0</v>
      </c>
      <c r="U278">
        <v>0</v>
      </c>
      <c r="V278">
        <v>1</v>
      </c>
      <c r="W278">
        <v>0</v>
      </c>
      <c r="X278">
        <v>0.85</v>
      </c>
    </row>
    <row r="279" spans="1:24" x14ac:dyDescent="0.3">
      <c r="A279" t="s">
        <v>597</v>
      </c>
      <c r="B279" s="1">
        <v>45975</v>
      </c>
      <c r="C279" t="s">
        <v>38</v>
      </c>
      <c r="D279" t="s">
        <v>82</v>
      </c>
      <c r="E279" t="s">
        <v>83</v>
      </c>
      <c r="F279" t="s">
        <v>58</v>
      </c>
      <c r="G279" t="s">
        <v>59</v>
      </c>
      <c r="H279" t="s">
        <v>296</v>
      </c>
      <c r="I279" t="s">
        <v>598</v>
      </c>
      <c r="J279" t="s">
        <v>62</v>
      </c>
      <c r="K279" t="s">
        <v>63</v>
      </c>
      <c r="L279" t="s">
        <v>64</v>
      </c>
      <c r="M279" t="s">
        <v>47</v>
      </c>
      <c r="N279" t="s">
        <v>36</v>
      </c>
      <c r="O279">
        <v>30</v>
      </c>
      <c r="P279">
        <v>30</v>
      </c>
      <c r="Q279">
        <v>35.5</v>
      </c>
      <c r="R279">
        <v>750</v>
      </c>
      <c r="S279">
        <v>750</v>
      </c>
      <c r="T279">
        <v>0</v>
      </c>
      <c r="U279">
        <v>0</v>
      </c>
      <c r="V279">
        <v>1</v>
      </c>
      <c r="W279">
        <v>0</v>
      </c>
      <c r="X279">
        <v>0.85</v>
      </c>
    </row>
    <row r="280" spans="1:24" x14ac:dyDescent="0.3">
      <c r="A280" t="s">
        <v>599</v>
      </c>
      <c r="B280" s="1">
        <v>45931</v>
      </c>
      <c r="C280" t="s">
        <v>97</v>
      </c>
      <c r="D280" t="s">
        <v>57</v>
      </c>
      <c r="E280" t="s">
        <v>40</v>
      </c>
      <c r="F280" t="s">
        <v>28</v>
      </c>
      <c r="G280" t="s">
        <v>29</v>
      </c>
      <c r="H280" t="s">
        <v>210</v>
      </c>
      <c r="I280" t="s">
        <v>600</v>
      </c>
      <c r="J280" t="s">
        <v>62</v>
      </c>
      <c r="K280" t="s">
        <v>104</v>
      </c>
      <c r="L280" t="s">
        <v>78</v>
      </c>
      <c r="M280" t="s">
        <v>71</v>
      </c>
      <c r="N280" t="s">
        <v>36</v>
      </c>
      <c r="O280">
        <v>30</v>
      </c>
      <c r="P280">
        <v>30</v>
      </c>
      <c r="Q280">
        <v>32.799999999999997</v>
      </c>
      <c r="R280">
        <v>600</v>
      </c>
      <c r="S280">
        <v>600</v>
      </c>
      <c r="T280">
        <v>0</v>
      </c>
      <c r="U280">
        <v>0</v>
      </c>
      <c r="V280">
        <v>1</v>
      </c>
      <c r="W280">
        <v>0</v>
      </c>
      <c r="X280">
        <v>0.85</v>
      </c>
    </row>
    <row r="281" spans="1:24" x14ac:dyDescent="0.3">
      <c r="A281" t="s">
        <v>601</v>
      </c>
      <c r="B281" s="1">
        <v>45707</v>
      </c>
      <c r="C281" t="s">
        <v>76</v>
      </c>
      <c r="D281" t="s">
        <v>57</v>
      </c>
      <c r="E281" t="s">
        <v>40</v>
      </c>
      <c r="F281" t="s">
        <v>41</v>
      </c>
      <c r="G281" t="s">
        <v>42</v>
      </c>
      <c r="H281" t="s">
        <v>89</v>
      </c>
      <c r="I281" t="s">
        <v>602</v>
      </c>
      <c r="J281" t="s">
        <v>53</v>
      </c>
      <c r="K281" t="s">
        <v>70</v>
      </c>
      <c r="L281" t="s">
        <v>64</v>
      </c>
      <c r="M281" t="s">
        <v>35</v>
      </c>
      <c r="N281" t="s">
        <v>36</v>
      </c>
      <c r="O281">
        <v>45</v>
      </c>
      <c r="P281">
        <v>45</v>
      </c>
      <c r="Q281">
        <v>55.2</v>
      </c>
      <c r="R281">
        <v>1200</v>
      </c>
      <c r="S281">
        <v>1200</v>
      </c>
      <c r="T281">
        <v>0</v>
      </c>
      <c r="U281">
        <v>0</v>
      </c>
      <c r="V281">
        <v>1</v>
      </c>
      <c r="W281">
        <v>0</v>
      </c>
      <c r="X281">
        <v>0.85</v>
      </c>
    </row>
    <row r="282" spans="1:24" x14ac:dyDescent="0.3">
      <c r="A282" t="s">
        <v>603</v>
      </c>
      <c r="B282" s="1">
        <v>45782</v>
      </c>
      <c r="C282" t="s">
        <v>128</v>
      </c>
      <c r="D282" t="s">
        <v>39</v>
      </c>
      <c r="E282" t="s">
        <v>40</v>
      </c>
      <c r="F282" t="s">
        <v>58</v>
      </c>
      <c r="G282" t="s">
        <v>59</v>
      </c>
      <c r="H282" t="s">
        <v>73</v>
      </c>
      <c r="I282" t="s">
        <v>604</v>
      </c>
      <c r="J282" t="s">
        <v>62</v>
      </c>
      <c r="K282" t="s">
        <v>63</v>
      </c>
      <c r="L282" t="s">
        <v>54</v>
      </c>
      <c r="M282" t="s">
        <v>65</v>
      </c>
      <c r="N282" t="s">
        <v>36</v>
      </c>
      <c r="O282">
        <v>60</v>
      </c>
      <c r="P282">
        <v>60</v>
      </c>
      <c r="Q282">
        <v>72.3</v>
      </c>
      <c r="R282">
        <v>1300</v>
      </c>
      <c r="S282">
        <v>1300</v>
      </c>
      <c r="T282">
        <v>0</v>
      </c>
      <c r="U282">
        <v>0</v>
      </c>
      <c r="V282">
        <v>1</v>
      </c>
      <c r="W282">
        <v>0</v>
      </c>
      <c r="X282">
        <v>0.85</v>
      </c>
    </row>
    <row r="283" spans="1:24" x14ac:dyDescent="0.3">
      <c r="A283" t="s">
        <v>605</v>
      </c>
      <c r="B283" s="1">
        <v>45852</v>
      </c>
      <c r="C283" t="s">
        <v>101</v>
      </c>
      <c r="D283" t="s">
        <v>39</v>
      </c>
      <c r="E283" t="s">
        <v>83</v>
      </c>
      <c r="F283" t="s">
        <v>58</v>
      </c>
      <c r="G283" t="s">
        <v>59</v>
      </c>
      <c r="H283" t="s">
        <v>296</v>
      </c>
      <c r="I283" t="s">
        <v>606</v>
      </c>
      <c r="J283" t="s">
        <v>99</v>
      </c>
      <c r="K283" t="s">
        <v>46</v>
      </c>
      <c r="L283" t="s">
        <v>64</v>
      </c>
      <c r="M283" t="s">
        <v>35</v>
      </c>
      <c r="N283" t="s">
        <v>36</v>
      </c>
      <c r="O283">
        <v>30</v>
      </c>
      <c r="P283">
        <v>30</v>
      </c>
      <c r="Q283">
        <v>33.1</v>
      </c>
      <c r="R283">
        <v>750</v>
      </c>
      <c r="S283">
        <v>750</v>
      </c>
      <c r="T283">
        <v>0</v>
      </c>
      <c r="U283">
        <v>0</v>
      </c>
      <c r="V283">
        <v>1</v>
      </c>
      <c r="W283">
        <v>0</v>
      </c>
      <c r="X283">
        <v>0.85</v>
      </c>
    </row>
    <row r="284" spans="1:24" x14ac:dyDescent="0.3">
      <c r="A284" t="s">
        <v>607</v>
      </c>
      <c r="B284" s="1">
        <v>45733</v>
      </c>
      <c r="C284" t="s">
        <v>56</v>
      </c>
      <c r="D284" t="s">
        <v>39</v>
      </c>
      <c r="E284" t="s">
        <v>27</v>
      </c>
      <c r="F284" t="s">
        <v>58</v>
      </c>
      <c r="G284" t="s">
        <v>59</v>
      </c>
      <c r="H284" t="s">
        <v>73</v>
      </c>
      <c r="I284" t="s">
        <v>513</v>
      </c>
      <c r="J284" t="s">
        <v>32</v>
      </c>
      <c r="K284" t="s">
        <v>33</v>
      </c>
      <c r="L284" t="s">
        <v>34</v>
      </c>
      <c r="M284" t="s">
        <v>86</v>
      </c>
      <c r="N284" t="s">
        <v>36</v>
      </c>
      <c r="O284">
        <v>75</v>
      </c>
      <c r="P284">
        <v>75</v>
      </c>
      <c r="Q284">
        <v>100.5</v>
      </c>
      <c r="R284">
        <v>1900</v>
      </c>
      <c r="S284">
        <v>1900</v>
      </c>
      <c r="T284">
        <v>0</v>
      </c>
      <c r="U284">
        <v>0</v>
      </c>
      <c r="V284">
        <v>1</v>
      </c>
      <c r="W284">
        <v>0</v>
      </c>
      <c r="X284">
        <v>0.85</v>
      </c>
    </row>
    <row r="285" spans="1:24" x14ac:dyDescent="0.3">
      <c r="A285" t="s">
        <v>608</v>
      </c>
      <c r="B285" s="1">
        <v>45679</v>
      </c>
      <c r="C285" t="s">
        <v>130</v>
      </c>
      <c r="D285" t="s">
        <v>57</v>
      </c>
      <c r="E285" t="s">
        <v>68</v>
      </c>
      <c r="F285" t="s">
        <v>58</v>
      </c>
      <c r="G285" t="s">
        <v>59</v>
      </c>
      <c r="H285" t="s">
        <v>117</v>
      </c>
      <c r="I285" t="s">
        <v>229</v>
      </c>
      <c r="J285" t="s">
        <v>62</v>
      </c>
      <c r="K285" t="s">
        <v>63</v>
      </c>
      <c r="L285" t="s">
        <v>64</v>
      </c>
      <c r="M285" t="s">
        <v>71</v>
      </c>
      <c r="N285" t="s">
        <v>36</v>
      </c>
      <c r="O285">
        <v>60</v>
      </c>
      <c r="P285">
        <v>60</v>
      </c>
      <c r="Q285">
        <v>76.3</v>
      </c>
      <c r="R285">
        <v>1500</v>
      </c>
      <c r="S285">
        <v>1500</v>
      </c>
      <c r="T285">
        <v>0</v>
      </c>
      <c r="U285">
        <v>0</v>
      </c>
      <c r="V285">
        <v>1</v>
      </c>
      <c r="W285">
        <v>0</v>
      </c>
      <c r="X285">
        <v>0.85</v>
      </c>
    </row>
    <row r="286" spans="1:24" x14ac:dyDescent="0.3">
      <c r="A286" t="s">
        <v>609</v>
      </c>
      <c r="B286" s="1">
        <v>45755</v>
      </c>
      <c r="C286" t="s">
        <v>92</v>
      </c>
      <c r="D286" t="s">
        <v>26</v>
      </c>
      <c r="E286" t="s">
        <v>27</v>
      </c>
      <c r="F286" t="s">
        <v>28</v>
      </c>
      <c r="G286" t="s">
        <v>29</v>
      </c>
      <c r="H286" t="s">
        <v>210</v>
      </c>
      <c r="I286" t="s">
        <v>551</v>
      </c>
      <c r="J286" t="s">
        <v>99</v>
      </c>
      <c r="K286" t="s">
        <v>85</v>
      </c>
      <c r="L286" t="s">
        <v>34</v>
      </c>
      <c r="M286" t="s">
        <v>35</v>
      </c>
      <c r="N286" t="s">
        <v>36</v>
      </c>
      <c r="O286">
        <v>75</v>
      </c>
      <c r="P286">
        <v>75</v>
      </c>
      <c r="Q286">
        <v>99.4</v>
      </c>
      <c r="R286">
        <v>1550</v>
      </c>
      <c r="S286">
        <v>1550</v>
      </c>
      <c r="T286">
        <v>0</v>
      </c>
      <c r="U286">
        <v>0</v>
      </c>
      <c r="V286">
        <v>1</v>
      </c>
      <c r="W286">
        <v>0</v>
      </c>
      <c r="X286">
        <v>0.85</v>
      </c>
    </row>
    <row r="287" spans="1:24" x14ac:dyDescent="0.3">
      <c r="A287" t="s">
        <v>610</v>
      </c>
      <c r="B287" s="1">
        <v>45979</v>
      </c>
      <c r="C287" t="s">
        <v>38</v>
      </c>
      <c r="D287" t="s">
        <v>26</v>
      </c>
      <c r="E287" t="s">
        <v>83</v>
      </c>
      <c r="F287" t="s">
        <v>58</v>
      </c>
      <c r="G287" t="s">
        <v>59</v>
      </c>
      <c r="H287" t="s">
        <v>60</v>
      </c>
      <c r="I287" t="s">
        <v>433</v>
      </c>
      <c r="J287" t="s">
        <v>62</v>
      </c>
      <c r="K287" t="s">
        <v>63</v>
      </c>
      <c r="L287" t="s">
        <v>78</v>
      </c>
      <c r="M287" t="s">
        <v>86</v>
      </c>
      <c r="N287" t="s">
        <v>36</v>
      </c>
      <c r="O287">
        <v>30</v>
      </c>
      <c r="P287">
        <v>30</v>
      </c>
      <c r="Q287">
        <v>34.1</v>
      </c>
      <c r="R287">
        <v>700</v>
      </c>
      <c r="S287">
        <v>700</v>
      </c>
      <c r="T287">
        <v>0</v>
      </c>
      <c r="U287">
        <v>0</v>
      </c>
      <c r="V287">
        <v>1</v>
      </c>
      <c r="W287">
        <v>0</v>
      </c>
      <c r="X287">
        <v>0.85</v>
      </c>
    </row>
    <row r="288" spans="1:24" x14ac:dyDescent="0.3">
      <c r="A288" t="s">
        <v>611</v>
      </c>
      <c r="B288" s="1">
        <v>45695</v>
      </c>
      <c r="C288" t="s">
        <v>76</v>
      </c>
      <c r="D288" t="s">
        <v>82</v>
      </c>
      <c r="E288" t="s">
        <v>40</v>
      </c>
      <c r="F288" t="s">
        <v>41</v>
      </c>
      <c r="G288" t="s">
        <v>42</v>
      </c>
      <c r="H288" t="s">
        <v>125</v>
      </c>
      <c r="I288" t="s">
        <v>283</v>
      </c>
      <c r="J288" t="s">
        <v>62</v>
      </c>
      <c r="K288" t="s">
        <v>104</v>
      </c>
      <c r="L288" t="s">
        <v>64</v>
      </c>
      <c r="M288" t="s">
        <v>35</v>
      </c>
      <c r="N288" t="s">
        <v>95</v>
      </c>
      <c r="O288">
        <v>60</v>
      </c>
      <c r="P288">
        <v>0</v>
      </c>
      <c r="Q288">
        <v>65.900000000000006</v>
      </c>
      <c r="R288">
        <v>1350</v>
      </c>
      <c r="S288">
        <v>0</v>
      </c>
      <c r="T288">
        <v>1350</v>
      </c>
      <c r="U288">
        <v>1</v>
      </c>
      <c r="V288">
        <v>0</v>
      </c>
      <c r="W288">
        <v>0</v>
      </c>
      <c r="X288">
        <v>0.85</v>
      </c>
    </row>
    <row r="289" spans="1:24" x14ac:dyDescent="0.3">
      <c r="A289" t="s">
        <v>612</v>
      </c>
      <c r="B289" s="1">
        <v>45968</v>
      </c>
      <c r="C289" t="s">
        <v>38</v>
      </c>
      <c r="D289" t="s">
        <v>82</v>
      </c>
      <c r="E289" t="s">
        <v>27</v>
      </c>
      <c r="F289" t="s">
        <v>41</v>
      </c>
      <c r="G289" t="s">
        <v>42</v>
      </c>
      <c r="H289" t="s">
        <v>111</v>
      </c>
      <c r="I289" t="s">
        <v>613</v>
      </c>
      <c r="J289" t="s">
        <v>45</v>
      </c>
      <c r="K289" t="s">
        <v>70</v>
      </c>
      <c r="L289" t="s">
        <v>78</v>
      </c>
      <c r="M289" t="s">
        <v>65</v>
      </c>
      <c r="N289" t="s">
        <v>36</v>
      </c>
      <c r="O289">
        <v>30</v>
      </c>
      <c r="P289">
        <v>30</v>
      </c>
      <c r="Q289">
        <v>37.5</v>
      </c>
      <c r="R289">
        <v>700</v>
      </c>
      <c r="S289">
        <v>700</v>
      </c>
      <c r="T289">
        <v>0</v>
      </c>
      <c r="U289">
        <v>0</v>
      </c>
      <c r="V289">
        <v>1</v>
      </c>
      <c r="W289">
        <v>0</v>
      </c>
      <c r="X289">
        <v>0.85</v>
      </c>
    </row>
    <row r="290" spans="1:24" x14ac:dyDescent="0.3">
      <c r="A290" t="s">
        <v>614</v>
      </c>
      <c r="B290" s="1">
        <v>45776</v>
      </c>
      <c r="C290" t="s">
        <v>92</v>
      </c>
      <c r="D290" t="s">
        <v>26</v>
      </c>
      <c r="E290" t="s">
        <v>83</v>
      </c>
      <c r="F290" t="s">
        <v>28</v>
      </c>
      <c r="G290" t="s">
        <v>29</v>
      </c>
      <c r="H290" t="s">
        <v>30</v>
      </c>
      <c r="I290" t="s">
        <v>362</v>
      </c>
      <c r="J290" t="s">
        <v>62</v>
      </c>
      <c r="K290" t="s">
        <v>70</v>
      </c>
      <c r="L290" t="s">
        <v>64</v>
      </c>
      <c r="M290" t="s">
        <v>94</v>
      </c>
      <c r="N290" t="s">
        <v>95</v>
      </c>
      <c r="O290">
        <v>45</v>
      </c>
      <c r="P290">
        <v>0</v>
      </c>
      <c r="Q290">
        <v>51.5</v>
      </c>
      <c r="R290">
        <v>950</v>
      </c>
      <c r="S290">
        <v>0</v>
      </c>
      <c r="T290">
        <v>950</v>
      </c>
      <c r="U290">
        <v>1</v>
      </c>
      <c r="V290">
        <v>0</v>
      </c>
      <c r="W290">
        <v>0</v>
      </c>
      <c r="X290">
        <v>0.85</v>
      </c>
    </row>
    <row r="291" spans="1:24" x14ac:dyDescent="0.3">
      <c r="A291" t="s">
        <v>615</v>
      </c>
      <c r="B291" s="1">
        <v>45866</v>
      </c>
      <c r="C291" t="s">
        <v>101</v>
      </c>
      <c r="D291" t="s">
        <v>39</v>
      </c>
      <c r="E291" t="s">
        <v>27</v>
      </c>
      <c r="F291" t="s">
        <v>58</v>
      </c>
      <c r="G291" t="s">
        <v>59</v>
      </c>
      <c r="H291" t="s">
        <v>60</v>
      </c>
      <c r="I291" t="s">
        <v>616</v>
      </c>
      <c r="J291" t="s">
        <v>62</v>
      </c>
      <c r="K291" t="s">
        <v>46</v>
      </c>
      <c r="L291" t="s">
        <v>64</v>
      </c>
      <c r="M291" t="s">
        <v>47</v>
      </c>
      <c r="N291" t="s">
        <v>95</v>
      </c>
      <c r="O291">
        <v>60</v>
      </c>
      <c r="P291">
        <v>0</v>
      </c>
      <c r="Q291">
        <v>69.900000000000006</v>
      </c>
      <c r="R291">
        <v>1500</v>
      </c>
      <c r="S291">
        <v>0</v>
      </c>
      <c r="T291">
        <v>1500</v>
      </c>
      <c r="U291">
        <v>1</v>
      </c>
      <c r="V291">
        <v>0</v>
      </c>
      <c r="W291">
        <v>0</v>
      </c>
      <c r="X291">
        <v>0.85</v>
      </c>
    </row>
    <row r="292" spans="1:24" x14ac:dyDescent="0.3">
      <c r="A292" t="s">
        <v>617</v>
      </c>
      <c r="B292" s="1">
        <v>45740</v>
      </c>
      <c r="C292" t="s">
        <v>56</v>
      </c>
      <c r="D292" t="s">
        <v>39</v>
      </c>
      <c r="E292" t="s">
        <v>68</v>
      </c>
      <c r="F292" t="s">
        <v>28</v>
      </c>
      <c r="G292" t="s">
        <v>29</v>
      </c>
      <c r="H292" t="s">
        <v>210</v>
      </c>
      <c r="I292" t="s">
        <v>292</v>
      </c>
      <c r="J292" t="s">
        <v>32</v>
      </c>
      <c r="K292" t="s">
        <v>33</v>
      </c>
      <c r="L292" t="s">
        <v>34</v>
      </c>
      <c r="M292" t="s">
        <v>71</v>
      </c>
      <c r="N292" t="s">
        <v>36</v>
      </c>
      <c r="O292">
        <v>90</v>
      </c>
      <c r="P292">
        <v>90</v>
      </c>
      <c r="Q292">
        <v>99.6</v>
      </c>
      <c r="R292">
        <v>1900</v>
      </c>
      <c r="S292">
        <v>1900</v>
      </c>
      <c r="T292">
        <v>0</v>
      </c>
      <c r="U292">
        <v>0</v>
      </c>
      <c r="V292">
        <v>1</v>
      </c>
      <c r="W292">
        <v>0</v>
      </c>
      <c r="X292">
        <v>0.85</v>
      </c>
    </row>
    <row r="293" spans="1:24" x14ac:dyDescent="0.3">
      <c r="A293" t="s">
        <v>618</v>
      </c>
      <c r="B293" s="1">
        <v>45666</v>
      </c>
      <c r="C293" t="s">
        <v>130</v>
      </c>
      <c r="D293" t="s">
        <v>50</v>
      </c>
      <c r="E293" t="s">
        <v>27</v>
      </c>
      <c r="F293" t="s">
        <v>58</v>
      </c>
      <c r="G293" t="s">
        <v>59</v>
      </c>
      <c r="H293" t="s">
        <v>117</v>
      </c>
      <c r="I293" t="s">
        <v>619</v>
      </c>
      <c r="J293" t="s">
        <v>45</v>
      </c>
      <c r="K293" t="s">
        <v>63</v>
      </c>
      <c r="L293" t="s">
        <v>34</v>
      </c>
      <c r="M293" t="s">
        <v>86</v>
      </c>
      <c r="N293" t="s">
        <v>113</v>
      </c>
      <c r="O293">
        <v>45</v>
      </c>
      <c r="P293">
        <v>0</v>
      </c>
      <c r="Q293">
        <v>60.6</v>
      </c>
      <c r="R293">
        <v>1300</v>
      </c>
      <c r="S293">
        <v>0</v>
      </c>
      <c r="T293">
        <v>1300</v>
      </c>
      <c r="U293">
        <v>0</v>
      </c>
      <c r="V293">
        <v>0</v>
      </c>
      <c r="W293">
        <v>1</v>
      </c>
      <c r="X293">
        <v>0.85</v>
      </c>
    </row>
    <row r="294" spans="1:24" x14ac:dyDescent="0.3">
      <c r="A294" t="s">
        <v>620</v>
      </c>
      <c r="B294" s="1">
        <v>46001</v>
      </c>
      <c r="C294" t="s">
        <v>25</v>
      </c>
      <c r="D294" t="s">
        <v>57</v>
      </c>
      <c r="E294" t="s">
        <v>27</v>
      </c>
      <c r="F294" t="s">
        <v>28</v>
      </c>
      <c r="G294" t="s">
        <v>29</v>
      </c>
      <c r="H294" t="s">
        <v>30</v>
      </c>
      <c r="I294" t="s">
        <v>391</v>
      </c>
      <c r="J294" t="s">
        <v>99</v>
      </c>
      <c r="K294" t="s">
        <v>63</v>
      </c>
      <c r="L294" t="s">
        <v>34</v>
      </c>
      <c r="M294" t="s">
        <v>71</v>
      </c>
      <c r="N294" t="s">
        <v>95</v>
      </c>
      <c r="O294">
        <v>45</v>
      </c>
      <c r="P294">
        <v>0</v>
      </c>
      <c r="Q294">
        <v>58.2</v>
      </c>
      <c r="R294">
        <v>950</v>
      </c>
      <c r="S294">
        <v>0</v>
      </c>
      <c r="T294">
        <v>950</v>
      </c>
      <c r="U294">
        <v>1</v>
      </c>
      <c r="V294">
        <v>0</v>
      </c>
      <c r="W294">
        <v>0</v>
      </c>
      <c r="X294">
        <v>0.85</v>
      </c>
    </row>
    <row r="295" spans="1:24" x14ac:dyDescent="0.3">
      <c r="A295" t="s">
        <v>621</v>
      </c>
      <c r="B295" s="1">
        <v>45782</v>
      </c>
      <c r="C295" t="s">
        <v>128</v>
      </c>
      <c r="D295" t="s">
        <v>39</v>
      </c>
      <c r="E295" t="s">
        <v>40</v>
      </c>
      <c r="F295" t="s">
        <v>41</v>
      </c>
      <c r="G295" t="s">
        <v>42</v>
      </c>
      <c r="H295" t="s">
        <v>111</v>
      </c>
      <c r="I295" t="s">
        <v>622</v>
      </c>
      <c r="J295" t="s">
        <v>53</v>
      </c>
      <c r="K295" t="s">
        <v>63</v>
      </c>
      <c r="L295" t="s">
        <v>64</v>
      </c>
      <c r="M295" t="s">
        <v>47</v>
      </c>
      <c r="N295" t="s">
        <v>36</v>
      </c>
      <c r="O295">
        <v>45</v>
      </c>
      <c r="P295">
        <v>45</v>
      </c>
      <c r="Q295">
        <v>52.9</v>
      </c>
      <c r="R295">
        <v>1200</v>
      </c>
      <c r="S295">
        <v>1200</v>
      </c>
      <c r="T295">
        <v>0</v>
      </c>
      <c r="U295">
        <v>0</v>
      </c>
      <c r="V295">
        <v>1</v>
      </c>
      <c r="W295">
        <v>0</v>
      </c>
      <c r="X295">
        <v>0.85</v>
      </c>
    </row>
    <row r="296" spans="1:24" x14ac:dyDescent="0.3">
      <c r="A296" t="s">
        <v>623</v>
      </c>
      <c r="B296" s="1">
        <v>45715</v>
      </c>
      <c r="C296" t="s">
        <v>76</v>
      </c>
      <c r="D296" t="s">
        <v>50</v>
      </c>
      <c r="E296" t="s">
        <v>40</v>
      </c>
      <c r="F296" t="s">
        <v>28</v>
      </c>
      <c r="G296" t="s">
        <v>29</v>
      </c>
      <c r="H296" t="s">
        <v>102</v>
      </c>
      <c r="I296" t="s">
        <v>624</v>
      </c>
      <c r="J296" t="s">
        <v>32</v>
      </c>
      <c r="K296" t="s">
        <v>33</v>
      </c>
      <c r="L296" t="s">
        <v>54</v>
      </c>
      <c r="M296" t="s">
        <v>47</v>
      </c>
      <c r="N296" t="s">
        <v>36</v>
      </c>
      <c r="O296">
        <v>60</v>
      </c>
      <c r="P296">
        <v>60</v>
      </c>
      <c r="Q296">
        <v>74.2</v>
      </c>
      <c r="R296">
        <v>1050</v>
      </c>
      <c r="S296">
        <v>1050</v>
      </c>
      <c r="T296">
        <v>0</v>
      </c>
      <c r="U296">
        <v>0</v>
      </c>
      <c r="V296">
        <v>1</v>
      </c>
      <c r="W296">
        <v>0</v>
      </c>
      <c r="X296">
        <v>0.85</v>
      </c>
    </row>
    <row r="297" spans="1:24" x14ac:dyDescent="0.3">
      <c r="A297" t="s">
        <v>625</v>
      </c>
      <c r="B297" s="1">
        <v>45734</v>
      </c>
      <c r="C297" t="s">
        <v>56</v>
      </c>
      <c r="D297" t="s">
        <v>26</v>
      </c>
      <c r="E297" t="s">
        <v>68</v>
      </c>
      <c r="F297" t="s">
        <v>41</v>
      </c>
      <c r="G297" t="s">
        <v>42</v>
      </c>
      <c r="H297" t="s">
        <v>111</v>
      </c>
      <c r="I297" t="s">
        <v>626</v>
      </c>
      <c r="J297" t="s">
        <v>32</v>
      </c>
      <c r="K297" t="s">
        <v>33</v>
      </c>
      <c r="L297" t="s">
        <v>54</v>
      </c>
      <c r="M297" t="s">
        <v>65</v>
      </c>
      <c r="N297" t="s">
        <v>113</v>
      </c>
      <c r="O297">
        <v>60</v>
      </c>
      <c r="P297">
        <v>0</v>
      </c>
      <c r="Q297">
        <v>76.3</v>
      </c>
      <c r="R297">
        <v>1150</v>
      </c>
      <c r="S297">
        <v>0</v>
      </c>
      <c r="T297">
        <v>1150</v>
      </c>
      <c r="U297">
        <v>0</v>
      </c>
      <c r="V297">
        <v>0</v>
      </c>
      <c r="W297">
        <v>1</v>
      </c>
      <c r="X297">
        <v>0.85</v>
      </c>
    </row>
    <row r="298" spans="1:24" x14ac:dyDescent="0.3">
      <c r="A298" t="s">
        <v>627</v>
      </c>
      <c r="B298" s="1">
        <v>45694</v>
      </c>
      <c r="C298" t="s">
        <v>76</v>
      </c>
      <c r="D298" t="s">
        <v>50</v>
      </c>
      <c r="E298" t="s">
        <v>27</v>
      </c>
      <c r="F298" t="s">
        <v>28</v>
      </c>
      <c r="G298" t="s">
        <v>29</v>
      </c>
      <c r="H298" t="s">
        <v>102</v>
      </c>
      <c r="I298" t="s">
        <v>196</v>
      </c>
      <c r="J298" t="s">
        <v>45</v>
      </c>
      <c r="K298" t="s">
        <v>104</v>
      </c>
      <c r="L298" t="s">
        <v>64</v>
      </c>
      <c r="M298" t="s">
        <v>71</v>
      </c>
      <c r="N298" t="s">
        <v>36</v>
      </c>
      <c r="O298">
        <v>75</v>
      </c>
      <c r="P298">
        <v>75</v>
      </c>
      <c r="Q298">
        <v>98.2</v>
      </c>
      <c r="R298">
        <v>1800</v>
      </c>
      <c r="S298">
        <v>1800</v>
      </c>
      <c r="T298">
        <v>0</v>
      </c>
      <c r="U298">
        <v>0</v>
      </c>
      <c r="V298">
        <v>1</v>
      </c>
      <c r="W298">
        <v>0</v>
      </c>
      <c r="X298">
        <v>0.85</v>
      </c>
    </row>
    <row r="299" spans="1:24" x14ac:dyDescent="0.3">
      <c r="A299" t="s">
        <v>628</v>
      </c>
      <c r="B299" s="1">
        <v>45845</v>
      </c>
      <c r="C299" t="s">
        <v>101</v>
      </c>
      <c r="D299" t="s">
        <v>39</v>
      </c>
      <c r="E299" t="s">
        <v>40</v>
      </c>
      <c r="F299" t="s">
        <v>41</v>
      </c>
      <c r="G299" t="s">
        <v>42</v>
      </c>
      <c r="H299" t="s">
        <v>111</v>
      </c>
      <c r="I299" t="s">
        <v>292</v>
      </c>
      <c r="J299" t="s">
        <v>99</v>
      </c>
      <c r="K299" t="s">
        <v>70</v>
      </c>
      <c r="L299" t="s">
        <v>64</v>
      </c>
      <c r="M299" t="s">
        <v>47</v>
      </c>
      <c r="N299" t="s">
        <v>36</v>
      </c>
      <c r="O299">
        <v>90</v>
      </c>
      <c r="P299">
        <v>90</v>
      </c>
      <c r="Q299">
        <v>103.2</v>
      </c>
      <c r="R299">
        <v>2000</v>
      </c>
      <c r="S299">
        <v>2000</v>
      </c>
      <c r="T299">
        <v>0</v>
      </c>
      <c r="U299">
        <v>0</v>
      </c>
      <c r="V299">
        <v>1</v>
      </c>
      <c r="W299">
        <v>0</v>
      </c>
      <c r="X299">
        <v>0.85</v>
      </c>
    </row>
    <row r="300" spans="1:24" x14ac:dyDescent="0.3">
      <c r="A300" t="s">
        <v>629</v>
      </c>
      <c r="B300" s="1">
        <v>45723</v>
      </c>
      <c r="C300" t="s">
        <v>56</v>
      </c>
      <c r="D300" t="s">
        <v>82</v>
      </c>
      <c r="E300" t="s">
        <v>83</v>
      </c>
      <c r="F300" t="s">
        <v>41</v>
      </c>
      <c r="G300" t="s">
        <v>42</v>
      </c>
      <c r="H300" t="s">
        <v>125</v>
      </c>
      <c r="I300" t="s">
        <v>222</v>
      </c>
      <c r="J300" t="s">
        <v>137</v>
      </c>
      <c r="K300" t="s">
        <v>85</v>
      </c>
      <c r="L300" t="s">
        <v>54</v>
      </c>
      <c r="M300" t="s">
        <v>71</v>
      </c>
      <c r="N300" t="s">
        <v>36</v>
      </c>
      <c r="O300">
        <v>90</v>
      </c>
      <c r="P300">
        <v>90</v>
      </c>
      <c r="Q300">
        <v>103</v>
      </c>
      <c r="R300">
        <v>1700</v>
      </c>
      <c r="S300">
        <v>1700</v>
      </c>
      <c r="T300">
        <v>0</v>
      </c>
      <c r="U300">
        <v>0</v>
      </c>
      <c r="V300">
        <v>1</v>
      </c>
      <c r="W300">
        <v>0</v>
      </c>
      <c r="X300">
        <v>0.85</v>
      </c>
    </row>
    <row r="301" spans="1:24" x14ac:dyDescent="0.3">
      <c r="A301" t="s">
        <v>630</v>
      </c>
      <c r="B301" s="1">
        <v>45982</v>
      </c>
      <c r="C301" t="s">
        <v>38</v>
      </c>
      <c r="D301" t="s">
        <v>82</v>
      </c>
      <c r="E301" t="s">
        <v>68</v>
      </c>
      <c r="F301" t="s">
        <v>58</v>
      </c>
      <c r="G301" t="s">
        <v>59</v>
      </c>
      <c r="H301" t="s">
        <v>117</v>
      </c>
      <c r="I301" t="s">
        <v>631</v>
      </c>
      <c r="J301" t="s">
        <v>137</v>
      </c>
      <c r="K301" t="s">
        <v>104</v>
      </c>
      <c r="L301" t="s">
        <v>78</v>
      </c>
      <c r="M301" t="s">
        <v>86</v>
      </c>
      <c r="N301" t="s">
        <v>36</v>
      </c>
      <c r="O301">
        <v>75</v>
      </c>
      <c r="P301">
        <v>75</v>
      </c>
      <c r="Q301">
        <v>93.7</v>
      </c>
      <c r="R301">
        <v>1700</v>
      </c>
      <c r="S301">
        <v>1700</v>
      </c>
      <c r="T301">
        <v>0</v>
      </c>
      <c r="U301">
        <v>0</v>
      </c>
      <c r="V301">
        <v>1</v>
      </c>
      <c r="W301">
        <v>0</v>
      </c>
      <c r="X301">
        <v>0.85</v>
      </c>
    </row>
    <row r="302" spans="1:24" x14ac:dyDescent="0.3">
      <c r="A302" t="s">
        <v>632</v>
      </c>
      <c r="B302" s="1">
        <v>45744</v>
      </c>
      <c r="C302" t="s">
        <v>56</v>
      </c>
      <c r="D302" t="s">
        <v>82</v>
      </c>
      <c r="E302" t="s">
        <v>83</v>
      </c>
      <c r="F302" t="s">
        <v>58</v>
      </c>
      <c r="G302" t="s">
        <v>59</v>
      </c>
      <c r="H302" t="s">
        <v>296</v>
      </c>
      <c r="I302" t="s">
        <v>633</v>
      </c>
      <c r="J302" t="s">
        <v>32</v>
      </c>
      <c r="K302" t="s">
        <v>33</v>
      </c>
      <c r="L302" t="s">
        <v>64</v>
      </c>
      <c r="M302" t="s">
        <v>71</v>
      </c>
      <c r="N302" t="s">
        <v>36</v>
      </c>
      <c r="O302">
        <v>45</v>
      </c>
      <c r="P302">
        <v>45</v>
      </c>
      <c r="Q302">
        <v>50.5</v>
      </c>
      <c r="R302">
        <v>1100</v>
      </c>
      <c r="S302">
        <v>1100</v>
      </c>
      <c r="T302">
        <v>0</v>
      </c>
      <c r="U302">
        <v>0</v>
      </c>
      <c r="V302">
        <v>1</v>
      </c>
      <c r="W302">
        <v>0</v>
      </c>
      <c r="X302">
        <v>0.85</v>
      </c>
    </row>
    <row r="303" spans="1:24" x14ac:dyDescent="0.3">
      <c r="A303" t="s">
        <v>634</v>
      </c>
      <c r="B303" s="1">
        <v>45999</v>
      </c>
      <c r="C303" t="s">
        <v>25</v>
      </c>
      <c r="D303" t="s">
        <v>39</v>
      </c>
      <c r="E303" t="s">
        <v>40</v>
      </c>
      <c r="F303" t="s">
        <v>28</v>
      </c>
      <c r="G303" t="s">
        <v>29</v>
      </c>
      <c r="H303" t="s">
        <v>102</v>
      </c>
      <c r="I303" t="s">
        <v>261</v>
      </c>
      <c r="J303" t="s">
        <v>45</v>
      </c>
      <c r="K303" t="s">
        <v>46</v>
      </c>
      <c r="L303" t="s">
        <v>54</v>
      </c>
      <c r="M303" t="s">
        <v>35</v>
      </c>
      <c r="N303" t="s">
        <v>36</v>
      </c>
      <c r="O303">
        <v>60</v>
      </c>
      <c r="P303">
        <v>60</v>
      </c>
      <c r="Q303">
        <v>65.900000000000006</v>
      </c>
      <c r="R303">
        <v>1200</v>
      </c>
      <c r="S303">
        <v>1200</v>
      </c>
      <c r="T303">
        <v>0</v>
      </c>
      <c r="U303">
        <v>0</v>
      </c>
      <c r="V303">
        <v>1</v>
      </c>
      <c r="W303">
        <v>0</v>
      </c>
      <c r="X303">
        <v>0.85</v>
      </c>
    </row>
    <row r="304" spans="1:24" x14ac:dyDescent="0.3">
      <c r="A304" t="s">
        <v>635</v>
      </c>
      <c r="B304" s="1">
        <v>45719</v>
      </c>
      <c r="C304" t="s">
        <v>56</v>
      </c>
      <c r="D304" t="s">
        <v>39</v>
      </c>
      <c r="E304" t="s">
        <v>83</v>
      </c>
      <c r="F304" t="s">
        <v>28</v>
      </c>
      <c r="G304" t="s">
        <v>29</v>
      </c>
      <c r="H304" t="s">
        <v>120</v>
      </c>
      <c r="I304" t="s">
        <v>636</v>
      </c>
      <c r="J304" t="s">
        <v>53</v>
      </c>
      <c r="K304" t="s">
        <v>85</v>
      </c>
      <c r="L304" t="s">
        <v>64</v>
      </c>
      <c r="M304" t="s">
        <v>94</v>
      </c>
      <c r="N304" t="s">
        <v>36</v>
      </c>
      <c r="O304">
        <v>45</v>
      </c>
      <c r="P304">
        <v>45</v>
      </c>
      <c r="Q304">
        <v>58.4</v>
      </c>
      <c r="R304">
        <v>1100</v>
      </c>
      <c r="S304">
        <v>1100</v>
      </c>
      <c r="T304">
        <v>0</v>
      </c>
      <c r="U304">
        <v>0</v>
      </c>
      <c r="V304">
        <v>1</v>
      </c>
      <c r="W304">
        <v>0</v>
      </c>
      <c r="X304">
        <v>0.85</v>
      </c>
    </row>
    <row r="305" spans="1:24" x14ac:dyDescent="0.3">
      <c r="A305" t="s">
        <v>637</v>
      </c>
      <c r="B305" s="1">
        <v>45794</v>
      </c>
      <c r="C305" t="s">
        <v>128</v>
      </c>
      <c r="D305" t="s">
        <v>88</v>
      </c>
      <c r="E305" t="s">
        <v>27</v>
      </c>
      <c r="F305" t="s">
        <v>58</v>
      </c>
      <c r="G305" t="s">
        <v>59</v>
      </c>
      <c r="H305" t="s">
        <v>73</v>
      </c>
      <c r="I305" t="s">
        <v>395</v>
      </c>
      <c r="J305" t="s">
        <v>99</v>
      </c>
      <c r="K305" t="s">
        <v>85</v>
      </c>
      <c r="L305" t="s">
        <v>64</v>
      </c>
      <c r="M305" t="s">
        <v>71</v>
      </c>
      <c r="N305" t="s">
        <v>36</v>
      </c>
      <c r="O305">
        <v>90</v>
      </c>
      <c r="P305">
        <v>90</v>
      </c>
      <c r="Q305">
        <v>114.4</v>
      </c>
      <c r="R305">
        <v>2250</v>
      </c>
      <c r="S305">
        <v>2250</v>
      </c>
      <c r="T305">
        <v>0</v>
      </c>
      <c r="U305">
        <v>0</v>
      </c>
      <c r="V305">
        <v>1</v>
      </c>
      <c r="W305">
        <v>0</v>
      </c>
      <c r="X305">
        <v>0.85</v>
      </c>
    </row>
    <row r="306" spans="1:24" x14ac:dyDescent="0.3">
      <c r="A306" t="s">
        <v>638</v>
      </c>
      <c r="B306" s="1">
        <v>45702</v>
      </c>
      <c r="C306" t="s">
        <v>76</v>
      </c>
      <c r="D306" t="s">
        <v>82</v>
      </c>
      <c r="E306" t="s">
        <v>27</v>
      </c>
      <c r="F306" t="s">
        <v>41</v>
      </c>
      <c r="G306" t="s">
        <v>42</v>
      </c>
      <c r="H306" t="s">
        <v>89</v>
      </c>
      <c r="I306" t="s">
        <v>639</v>
      </c>
      <c r="J306" t="s">
        <v>62</v>
      </c>
      <c r="K306" t="s">
        <v>85</v>
      </c>
      <c r="L306" t="s">
        <v>78</v>
      </c>
      <c r="M306" t="s">
        <v>86</v>
      </c>
      <c r="N306" t="s">
        <v>36</v>
      </c>
      <c r="O306">
        <v>45</v>
      </c>
      <c r="P306">
        <v>45</v>
      </c>
      <c r="Q306">
        <v>57.2</v>
      </c>
      <c r="R306">
        <v>950</v>
      </c>
      <c r="S306">
        <v>950</v>
      </c>
      <c r="T306">
        <v>0</v>
      </c>
      <c r="U306">
        <v>0</v>
      </c>
      <c r="V306">
        <v>1</v>
      </c>
      <c r="W306">
        <v>0</v>
      </c>
      <c r="X306">
        <v>0.85</v>
      </c>
    </row>
    <row r="307" spans="1:24" x14ac:dyDescent="0.3">
      <c r="A307" t="s">
        <v>640</v>
      </c>
      <c r="B307" s="1">
        <v>45867</v>
      </c>
      <c r="C307" t="s">
        <v>101</v>
      </c>
      <c r="D307" t="s">
        <v>26</v>
      </c>
      <c r="E307" t="s">
        <v>27</v>
      </c>
      <c r="F307" t="s">
        <v>58</v>
      </c>
      <c r="G307" t="s">
        <v>59</v>
      </c>
      <c r="H307" t="s">
        <v>117</v>
      </c>
      <c r="I307" t="s">
        <v>409</v>
      </c>
      <c r="J307" t="s">
        <v>62</v>
      </c>
      <c r="K307" t="s">
        <v>104</v>
      </c>
      <c r="L307" t="s">
        <v>54</v>
      </c>
      <c r="M307" t="s">
        <v>35</v>
      </c>
      <c r="N307" t="s">
        <v>36</v>
      </c>
      <c r="O307">
        <v>90</v>
      </c>
      <c r="P307">
        <v>90</v>
      </c>
      <c r="Q307">
        <v>105.2</v>
      </c>
      <c r="R307">
        <v>1900</v>
      </c>
      <c r="S307">
        <v>1900</v>
      </c>
      <c r="T307">
        <v>0</v>
      </c>
      <c r="U307">
        <v>0</v>
      </c>
      <c r="V307">
        <v>1</v>
      </c>
      <c r="W307">
        <v>0</v>
      </c>
      <c r="X307">
        <v>0.85</v>
      </c>
    </row>
    <row r="308" spans="1:24" x14ac:dyDescent="0.3">
      <c r="A308" t="s">
        <v>641</v>
      </c>
      <c r="B308" s="1">
        <v>45859</v>
      </c>
      <c r="C308" t="s">
        <v>101</v>
      </c>
      <c r="D308" t="s">
        <v>39</v>
      </c>
      <c r="E308" t="s">
        <v>83</v>
      </c>
      <c r="F308" t="s">
        <v>41</v>
      </c>
      <c r="G308" t="s">
        <v>42</v>
      </c>
      <c r="H308" t="s">
        <v>111</v>
      </c>
      <c r="I308" t="s">
        <v>580</v>
      </c>
      <c r="J308" t="s">
        <v>62</v>
      </c>
      <c r="K308" t="s">
        <v>33</v>
      </c>
      <c r="L308" t="s">
        <v>34</v>
      </c>
      <c r="M308" t="s">
        <v>35</v>
      </c>
      <c r="N308" t="s">
        <v>36</v>
      </c>
      <c r="O308">
        <v>45</v>
      </c>
      <c r="P308">
        <v>45</v>
      </c>
      <c r="Q308">
        <v>56.3</v>
      </c>
      <c r="R308">
        <v>1000</v>
      </c>
      <c r="S308">
        <v>1000</v>
      </c>
      <c r="T308">
        <v>0</v>
      </c>
      <c r="U308">
        <v>0</v>
      </c>
      <c r="V308">
        <v>1</v>
      </c>
      <c r="W308">
        <v>0</v>
      </c>
      <c r="X308">
        <v>0.85</v>
      </c>
    </row>
    <row r="309" spans="1:24" x14ac:dyDescent="0.3">
      <c r="A309" t="s">
        <v>642</v>
      </c>
      <c r="B309" s="1">
        <v>45691</v>
      </c>
      <c r="C309" t="s">
        <v>76</v>
      </c>
      <c r="D309" t="s">
        <v>39</v>
      </c>
      <c r="E309" t="s">
        <v>27</v>
      </c>
      <c r="F309" t="s">
        <v>28</v>
      </c>
      <c r="G309" t="s">
        <v>29</v>
      </c>
      <c r="H309" t="s">
        <v>135</v>
      </c>
      <c r="I309" t="s">
        <v>643</v>
      </c>
      <c r="J309" t="s">
        <v>62</v>
      </c>
      <c r="K309" t="s">
        <v>104</v>
      </c>
      <c r="L309" t="s">
        <v>78</v>
      </c>
      <c r="M309" t="s">
        <v>71</v>
      </c>
      <c r="N309" t="s">
        <v>95</v>
      </c>
      <c r="O309">
        <v>45</v>
      </c>
      <c r="P309">
        <v>0</v>
      </c>
      <c r="Q309">
        <v>55.7</v>
      </c>
      <c r="R309">
        <v>850</v>
      </c>
      <c r="S309">
        <v>0</v>
      </c>
      <c r="T309">
        <v>850</v>
      </c>
      <c r="U309">
        <v>1</v>
      </c>
      <c r="V309">
        <v>0</v>
      </c>
      <c r="W309">
        <v>0</v>
      </c>
      <c r="X309">
        <v>0.85</v>
      </c>
    </row>
    <row r="310" spans="1:24" x14ac:dyDescent="0.3">
      <c r="A310" t="s">
        <v>644</v>
      </c>
      <c r="B310" s="1">
        <v>46001</v>
      </c>
      <c r="C310" t="s">
        <v>25</v>
      </c>
      <c r="D310" t="s">
        <v>57</v>
      </c>
      <c r="E310" t="s">
        <v>68</v>
      </c>
      <c r="F310" t="s">
        <v>58</v>
      </c>
      <c r="G310" t="s">
        <v>59</v>
      </c>
      <c r="H310" t="s">
        <v>73</v>
      </c>
      <c r="I310" t="s">
        <v>645</v>
      </c>
      <c r="J310" t="s">
        <v>62</v>
      </c>
      <c r="K310" t="s">
        <v>104</v>
      </c>
      <c r="L310" t="s">
        <v>34</v>
      </c>
      <c r="M310" t="s">
        <v>86</v>
      </c>
      <c r="N310" t="s">
        <v>36</v>
      </c>
      <c r="O310">
        <v>60</v>
      </c>
      <c r="P310">
        <v>60</v>
      </c>
      <c r="Q310">
        <v>78.5</v>
      </c>
      <c r="R310">
        <v>1500</v>
      </c>
      <c r="S310">
        <v>1500</v>
      </c>
      <c r="T310">
        <v>0</v>
      </c>
      <c r="U310">
        <v>0</v>
      </c>
      <c r="V310">
        <v>1</v>
      </c>
      <c r="W310">
        <v>0</v>
      </c>
      <c r="X310">
        <v>0.85</v>
      </c>
    </row>
    <row r="311" spans="1:24" x14ac:dyDescent="0.3">
      <c r="A311" t="s">
        <v>646</v>
      </c>
      <c r="B311" s="1">
        <v>45898</v>
      </c>
      <c r="C311" t="s">
        <v>110</v>
      </c>
      <c r="D311" t="s">
        <v>82</v>
      </c>
      <c r="E311" t="s">
        <v>83</v>
      </c>
      <c r="F311" t="s">
        <v>58</v>
      </c>
      <c r="G311" t="s">
        <v>59</v>
      </c>
      <c r="H311" t="s">
        <v>296</v>
      </c>
      <c r="I311" t="s">
        <v>174</v>
      </c>
      <c r="J311" t="s">
        <v>45</v>
      </c>
      <c r="K311" t="s">
        <v>33</v>
      </c>
      <c r="L311" t="s">
        <v>64</v>
      </c>
      <c r="M311" t="s">
        <v>71</v>
      </c>
      <c r="N311" t="s">
        <v>95</v>
      </c>
      <c r="O311">
        <v>90</v>
      </c>
      <c r="P311">
        <v>0</v>
      </c>
      <c r="Q311">
        <v>111.7</v>
      </c>
      <c r="R311">
        <v>2600</v>
      </c>
      <c r="S311">
        <v>0</v>
      </c>
      <c r="T311">
        <v>2600</v>
      </c>
      <c r="U311">
        <v>1</v>
      </c>
      <c r="V311">
        <v>0</v>
      </c>
      <c r="W311">
        <v>0</v>
      </c>
      <c r="X311">
        <v>0.85</v>
      </c>
    </row>
    <row r="312" spans="1:24" x14ac:dyDescent="0.3">
      <c r="A312" t="s">
        <v>647</v>
      </c>
      <c r="B312" s="1">
        <v>45768</v>
      </c>
      <c r="C312" t="s">
        <v>92</v>
      </c>
      <c r="D312" t="s">
        <v>39</v>
      </c>
      <c r="E312" t="s">
        <v>40</v>
      </c>
      <c r="F312" t="s">
        <v>28</v>
      </c>
      <c r="G312" t="s">
        <v>29</v>
      </c>
      <c r="H312" t="s">
        <v>30</v>
      </c>
      <c r="I312" t="s">
        <v>648</v>
      </c>
      <c r="J312" t="s">
        <v>62</v>
      </c>
      <c r="K312" t="s">
        <v>85</v>
      </c>
      <c r="L312" t="s">
        <v>34</v>
      </c>
      <c r="M312" t="s">
        <v>71</v>
      </c>
      <c r="N312" t="s">
        <v>36</v>
      </c>
      <c r="O312">
        <v>90</v>
      </c>
      <c r="P312">
        <v>90</v>
      </c>
      <c r="Q312">
        <v>113.3</v>
      </c>
      <c r="R312">
        <v>1900</v>
      </c>
      <c r="S312">
        <v>1900</v>
      </c>
      <c r="T312">
        <v>0</v>
      </c>
      <c r="U312">
        <v>0</v>
      </c>
      <c r="V312">
        <v>1</v>
      </c>
      <c r="W312">
        <v>0</v>
      </c>
      <c r="X312">
        <v>0.85</v>
      </c>
    </row>
    <row r="313" spans="1:24" x14ac:dyDescent="0.3">
      <c r="A313" t="s">
        <v>649</v>
      </c>
      <c r="B313" s="1">
        <v>45786</v>
      </c>
      <c r="C313" t="s">
        <v>128</v>
      </c>
      <c r="D313" t="s">
        <v>82</v>
      </c>
      <c r="E313" t="s">
        <v>68</v>
      </c>
      <c r="F313" t="s">
        <v>28</v>
      </c>
      <c r="G313" t="s">
        <v>29</v>
      </c>
      <c r="H313" t="s">
        <v>210</v>
      </c>
      <c r="I313" t="s">
        <v>650</v>
      </c>
      <c r="J313" t="s">
        <v>99</v>
      </c>
      <c r="K313" t="s">
        <v>85</v>
      </c>
      <c r="L313" t="s">
        <v>54</v>
      </c>
      <c r="M313" t="s">
        <v>86</v>
      </c>
      <c r="N313" t="s">
        <v>36</v>
      </c>
      <c r="O313">
        <v>45</v>
      </c>
      <c r="P313">
        <v>45</v>
      </c>
      <c r="Q313">
        <v>52.8</v>
      </c>
      <c r="R313">
        <v>800</v>
      </c>
      <c r="S313">
        <v>800</v>
      </c>
      <c r="T313">
        <v>0</v>
      </c>
      <c r="U313">
        <v>0</v>
      </c>
      <c r="V313">
        <v>1</v>
      </c>
      <c r="W313">
        <v>0</v>
      </c>
      <c r="X313">
        <v>0.85</v>
      </c>
    </row>
    <row r="314" spans="1:24" x14ac:dyDescent="0.3">
      <c r="A314" t="s">
        <v>651</v>
      </c>
      <c r="B314" s="1">
        <v>45938</v>
      </c>
      <c r="C314" t="s">
        <v>97</v>
      </c>
      <c r="D314" t="s">
        <v>57</v>
      </c>
      <c r="E314" t="s">
        <v>27</v>
      </c>
      <c r="F314" t="s">
        <v>28</v>
      </c>
      <c r="G314" t="s">
        <v>29</v>
      </c>
      <c r="H314" t="s">
        <v>30</v>
      </c>
      <c r="I314" t="s">
        <v>652</v>
      </c>
      <c r="J314" t="s">
        <v>137</v>
      </c>
      <c r="K314" t="s">
        <v>104</v>
      </c>
      <c r="L314" t="s">
        <v>34</v>
      </c>
      <c r="M314" t="s">
        <v>47</v>
      </c>
      <c r="N314" t="s">
        <v>36</v>
      </c>
      <c r="O314">
        <v>75</v>
      </c>
      <c r="P314">
        <v>75</v>
      </c>
      <c r="Q314">
        <v>100.6</v>
      </c>
      <c r="R314">
        <v>1550</v>
      </c>
      <c r="S314">
        <v>1550</v>
      </c>
      <c r="T314">
        <v>0</v>
      </c>
      <c r="U314">
        <v>0</v>
      </c>
      <c r="V314">
        <v>1</v>
      </c>
      <c r="W314">
        <v>0</v>
      </c>
      <c r="X314">
        <v>0.85</v>
      </c>
    </row>
    <row r="315" spans="1:24" x14ac:dyDescent="0.3">
      <c r="A315" t="s">
        <v>653</v>
      </c>
      <c r="B315" s="1">
        <v>46006</v>
      </c>
      <c r="C315" t="s">
        <v>25</v>
      </c>
      <c r="D315" t="s">
        <v>39</v>
      </c>
      <c r="E315" t="s">
        <v>83</v>
      </c>
      <c r="F315" t="s">
        <v>28</v>
      </c>
      <c r="G315" t="s">
        <v>29</v>
      </c>
      <c r="H315" t="s">
        <v>210</v>
      </c>
      <c r="I315" t="s">
        <v>466</v>
      </c>
      <c r="J315" t="s">
        <v>45</v>
      </c>
      <c r="K315" t="s">
        <v>33</v>
      </c>
      <c r="L315" t="s">
        <v>64</v>
      </c>
      <c r="M315" t="s">
        <v>94</v>
      </c>
      <c r="N315" t="s">
        <v>36</v>
      </c>
      <c r="O315">
        <v>60</v>
      </c>
      <c r="P315">
        <v>60</v>
      </c>
      <c r="Q315">
        <v>71.099999999999994</v>
      </c>
      <c r="R315">
        <v>1450</v>
      </c>
      <c r="S315">
        <v>1450</v>
      </c>
      <c r="T315">
        <v>0</v>
      </c>
      <c r="U315">
        <v>0</v>
      </c>
      <c r="V315">
        <v>1</v>
      </c>
      <c r="W315">
        <v>0</v>
      </c>
      <c r="X315">
        <v>0.85</v>
      </c>
    </row>
    <row r="316" spans="1:24" x14ac:dyDescent="0.3">
      <c r="A316" t="s">
        <v>654</v>
      </c>
      <c r="B316" s="1">
        <v>45738</v>
      </c>
      <c r="C316" t="s">
        <v>56</v>
      </c>
      <c r="D316" t="s">
        <v>88</v>
      </c>
      <c r="E316" t="s">
        <v>68</v>
      </c>
      <c r="F316" t="s">
        <v>28</v>
      </c>
      <c r="G316" t="s">
        <v>29</v>
      </c>
      <c r="H316" t="s">
        <v>210</v>
      </c>
      <c r="I316" t="s">
        <v>352</v>
      </c>
      <c r="J316" t="s">
        <v>53</v>
      </c>
      <c r="K316" t="s">
        <v>63</v>
      </c>
      <c r="L316" t="s">
        <v>64</v>
      </c>
      <c r="M316" t="s">
        <v>65</v>
      </c>
      <c r="N316" t="s">
        <v>95</v>
      </c>
      <c r="O316">
        <v>60</v>
      </c>
      <c r="P316">
        <v>0</v>
      </c>
      <c r="Q316">
        <v>65.5</v>
      </c>
      <c r="R316">
        <v>1500</v>
      </c>
      <c r="S316">
        <v>0</v>
      </c>
      <c r="T316">
        <v>1500</v>
      </c>
      <c r="U316">
        <v>1</v>
      </c>
      <c r="V316">
        <v>0</v>
      </c>
      <c r="W316">
        <v>0</v>
      </c>
      <c r="X316">
        <v>0.85</v>
      </c>
    </row>
    <row r="317" spans="1:24" x14ac:dyDescent="0.3">
      <c r="A317" t="s">
        <v>655</v>
      </c>
      <c r="B317" s="1">
        <v>45849</v>
      </c>
      <c r="C317" t="s">
        <v>101</v>
      </c>
      <c r="D317" t="s">
        <v>82</v>
      </c>
      <c r="E317" t="s">
        <v>40</v>
      </c>
      <c r="F317" t="s">
        <v>58</v>
      </c>
      <c r="G317" t="s">
        <v>59</v>
      </c>
      <c r="H317" t="s">
        <v>60</v>
      </c>
      <c r="I317" t="s">
        <v>310</v>
      </c>
      <c r="J317" t="s">
        <v>32</v>
      </c>
      <c r="K317" t="s">
        <v>33</v>
      </c>
      <c r="L317" t="s">
        <v>34</v>
      </c>
      <c r="M317" t="s">
        <v>71</v>
      </c>
      <c r="N317" t="s">
        <v>36</v>
      </c>
      <c r="O317">
        <v>90</v>
      </c>
      <c r="P317">
        <v>90</v>
      </c>
      <c r="Q317">
        <v>106.3</v>
      </c>
      <c r="R317">
        <v>2250</v>
      </c>
      <c r="S317">
        <v>2250</v>
      </c>
      <c r="T317">
        <v>0</v>
      </c>
      <c r="U317">
        <v>0</v>
      </c>
      <c r="V317">
        <v>1</v>
      </c>
      <c r="W317">
        <v>0</v>
      </c>
      <c r="X317">
        <v>0.85</v>
      </c>
    </row>
    <row r="318" spans="1:24" x14ac:dyDescent="0.3">
      <c r="A318" t="s">
        <v>656</v>
      </c>
      <c r="B318" s="1">
        <v>45873</v>
      </c>
      <c r="C318" t="s">
        <v>110</v>
      </c>
      <c r="D318" t="s">
        <v>39</v>
      </c>
      <c r="E318" t="s">
        <v>68</v>
      </c>
      <c r="F318" t="s">
        <v>28</v>
      </c>
      <c r="G318" t="s">
        <v>29</v>
      </c>
      <c r="H318" t="s">
        <v>30</v>
      </c>
      <c r="I318" t="s">
        <v>657</v>
      </c>
      <c r="J318" t="s">
        <v>45</v>
      </c>
      <c r="K318" t="s">
        <v>70</v>
      </c>
      <c r="L318" t="s">
        <v>64</v>
      </c>
      <c r="M318" t="s">
        <v>47</v>
      </c>
      <c r="N318" t="s">
        <v>36</v>
      </c>
      <c r="O318">
        <v>60</v>
      </c>
      <c r="P318">
        <v>60</v>
      </c>
      <c r="Q318">
        <v>65.599999999999994</v>
      </c>
      <c r="R318">
        <v>1450</v>
      </c>
      <c r="S318">
        <v>1450</v>
      </c>
      <c r="T318">
        <v>0</v>
      </c>
      <c r="U318">
        <v>0</v>
      </c>
      <c r="V318">
        <v>1</v>
      </c>
      <c r="W318">
        <v>0</v>
      </c>
      <c r="X318">
        <v>0.85</v>
      </c>
    </row>
    <row r="319" spans="1:24" x14ac:dyDescent="0.3">
      <c r="A319" t="s">
        <v>658</v>
      </c>
      <c r="B319" s="1">
        <v>46020</v>
      </c>
      <c r="C319" t="s">
        <v>25</v>
      </c>
      <c r="D319" t="s">
        <v>39</v>
      </c>
      <c r="E319" t="s">
        <v>40</v>
      </c>
      <c r="F319" t="s">
        <v>58</v>
      </c>
      <c r="G319" t="s">
        <v>59</v>
      </c>
      <c r="H319" t="s">
        <v>296</v>
      </c>
      <c r="I319" t="s">
        <v>241</v>
      </c>
      <c r="J319" t="s">
        <v>53</v>
      </c>
      <c r="K319" t="s">
        <v>63</v>
      </c>
      <c r="L319" t="s">
        <v>34</v>
      </c>
      <c r="M319" t="s">
        <v>35</v>
      </c>
      <c r="N319" t="s">
        <v>36</v>
      </c>
      <c r="O319">
        <v>45</v>
      </c>
      <c r="P319">
        <v>45</v>
      </c>
      <c r="Q319">
        <v>50.4</v>
      </c>
      <c r="R319">
        <v>1350</v>
      </c>
      <c r="S319">
        <v>1350</v>
      </c>
      <c r="T319">
        <v>0</v>
      </c>
      <c r="U319">
        <v>0</v>
      </c>
      <c r="V319">
        <v>1</v>
      </c>
      <c r="W319">
        <v>0</v>
      </c>
      <c r="X319">
        <v>0.85</v>
      </c>
    </row>
    <row r="320" spans="1:24" x14ac:dyDescent="0.3">
      <c r="A320" t="s">
        <v>659</v>
      </c>
      <c r="B320" s="1">
        <v>45863</v>
      </c>
      <c r="C320" t="s">
        <v>101</v>
      </c>
      <c r="D320" t="s">
        <v>82</v>
      </c>
      <c r="E320" t="s">
        <v>83</v>
      </c>
      <c r="F320" t="s">
        <v>41</v>
      </c>
      <c r="G320" t="s">
        <v>42</v>
      </c>
      <c r="H320" t="s">
        <v>89</v>
      </c>
      <c r="I320" t="s">
        <v>453</v>
      </c>
      <c r="J320" t="s">
        <v>137</v>
      </c>
      <c r="K320" t="s">
        <v>63</v>
      </c>
      <c r="L320" t="s">
        <v>64</v>
      </c>
      <c r="M320" t="s">
        <v>94</v>
      </c>
      <c r="N320" t="s">
        <v>36</v>
      </c>
      <c r="O320">
        <v>60</v>
      </c>
      <c r="P320">
        <v>60</v>
      </c>
      <c r="Q320">
        <v>71.7</v>
      </c>
      <c r="R320">
        <v>1350</v>
      </c>
      <c r="S320">
        <v>1350</v>
      </c>
      <c r="T320">
        <v>0</v>
      </c>
      <c r="U320">
        <v>0</v>
      </c>
      <c r="V320">
        <v>1</v>
      </c>
      <c r="W320">
        <v>0</v>
      </c>
      <c r="X320">
        <v>0.85</v>
      </c>
    </row>
    <row r="321" spans="1:24" x14ac:dyDescent="0.3">
      <c r="A321" t="s">
        <v>660</v>
      </c>
      <c r="B321" s="1">
        <v>45743</v>
      </c>
      <c r="C321" t="s">
        <v>56</v>
      </c>
      <c r="D321" t="s">
        <v>50</v>
      </c>
      <c r="E321" t="s">
        <v>68</v>
      </c>
      <c r="F321" t="s">
        <v>41</v>
      </c>
      <c r="G321" t="s">
        <v>42</v>
      </c>
      <c r="H321" t="s">
        <v>111</v>
      </c>
      <c r="I321" t="s">
        <v>661</v>
      </c>
      <c r="J321" t="s">
        <v>53</v>
      </c>
      <c r="K321" t="s">
        <v>104</v>
      </c>
      <c r="L321" t="s">
        <v>64</v>
      </c>
      <c r="M321" t="s">
        <v>86</v>
      </c>
      <c r="N321" t="s">
        <v>36</v>
      </c>
      <c r="O321">
        <v>30</v>
      </c>
      <c r="P321">
        <v>30</v>
      </c>
      <c r="Q321">
        <v>37.299999999999997</v>
      </c>
      <c r="R321">
        <v>800</v>
      </c>
      <c r="S321">
        <v>800</v>
      </c>
      <c r="T321">
        <v>0</v>
      </c>
      <c r="U321">
        <v>0</v>
      </c>
      <c r="V321">
        <v>1</v>
      </c>
      <c r="W321">
        <v>0</v>
      </c>
      <c r="X321">
        <v>0.85</v>
      </c>
    </row>
    <row r="322" spans="1:24" x14ac:dyDescent="0.3">
      <c r="A322" t="s">
        <v>662</v>
      </c>
      <c r="B322" s="1">
        <v>45804</v>
      </c>
      <c r="C322" t="s">
        <v>128</v>
      </c>
      <c r="D322" t="s">
        <v>26</v>
      </c>
      <c r="E322" t="s">
        <v>27</v>
      </c>
      <c r="F322" t="s">
        <v>28</v>
      </c>
      <c r="G322" t="s">
        <v>29</v>
      </c>
      <c r="H322" t="s">
        <v>120</v>
      </c>
      <c r="I322" t="s">
        <v>663</v>
      </c>
      <c r="J322" t="s">
        <v>99</v>
      </c>
      <c r="K322" t="s">
        <v>85</v>
      </c>
      <c r="L322" t="s">
        <v>64</v>
      </c>
      <c r="M322" t="s">
        <v>35</v>
      </c>
      <c r="N322" t="s">
        <v>36</v>
      </c>
      <c r="O322">
        <v>45</v>
      </c>
      <c r="P322">
        <v>45</v>
      </c>
      <c r="Q322">
        <v>56.2</v>
      </c>
      <c r="R322">
        <v>950</v>
      </c>
      <c r="S322">
        <v>950</v>
      </c>
      <c r="T322">
        <v>0</v>
      </c>
      <c r="U322">
        <v>0</v>
      </c>
      <c r="V322">
        <v>1</v>
      </c>
      <c r="W322">
        <v>0</v>
      </c>
      <c r="X322">
        <v>0.85</v>
      </c>
    </row>
    <row r="323" spans="1:24" x14ac:dyDescent="0.3">
      <c r="A323" t="s">
        <v>664</v>
      </c>
      <c r="B323" s="1">
        <v>45983</v>
      </c>
      <c r="C323" t="s">
        <v>38</v>
      </c>
      <c r="D323" t="s">
        <v>88</v>
      </c>
      <c r="E323" t="s">
        <v>40</v>
      </c>
      <c r="F323" t="s">
        <v>41</v>
      </c>
      <c r="G323" t="s">
        <v>42</v>
      </c>
      <c r="H323" t="s">
        <v>111</v>
      </c>
      <c r="I323" t="s">
        <v>585</v>
      </c>
      <c r="J323" t="s">
        <v>62</v>
      </c>
      <c r="K323" t="s">
        <v>85</v>
      </c>
      <c r="L323" t="s">
        <v>34</v>
      </c>
      <c r="M323" t="s">
        <v>86</v>
      </c>
      <c r="N323" t="s">
        <v>36</v>
      </c>
      <c r="O323">
        <v>60</v>
      </c>
      <c r="P323">
        <v>60</v>
      </c>
      <c r="Q323">
        <v>78</v>
      </c>
      <c r="R323">
        <v>1350</v>
      </c>
      <c r="S323">
        <v>1350</v>
      </c>
      <c r="T323">
        <v>0</v>
      </c>
      <c r="U323">
        <v>0</v>
      </c>
      <c r="V323">
        <v>1</v>
      </c>
      <c r="W323">
        <v>0</v>
      </c>
      <c r="X323">
        <v>0.85</v>
      </c>
    </row>
    <row r="324" spans="1:24" x14ac:dyDescent="0.3">
      <c r="A324" t="s">
        <v>665</v>
      </c>
      <c r="B324" s="1">
        <v>45911</v>
      </c>
      <c r="C324" t="s">
        <v>49</v>
      </c>
      <c r="D324" t="s">
        <v>50</v>
      </c>
      <c r="E324" t="s">
        <v>27</v>
      </c>
      <c r="F324" t="s">
        <v>28</v>
      </c>
      <c r="G324" t="s">
        <v>29</v>
      </c>
      <c r="H324" t="s">
        <v>30</v>
      </c>
      <c r="I324" t="s">
        <v>666</v>
      </c>
      <c r="J324" t="s">
        <v>62</v>
      </c>
      <c r="K324" t="s">
        <v>85</v>
      </c>
      <c r="L324" t="s">
        <v>34</v>
      </c>
      <c r="M324" t="s">
        <v>65</v>
      </c>
      <c r="N324" t="s">
        <v>36</v>
      </c>
      <c r="O324">
        <v>45</v>
      </c>
      <c r="P324">
        <v>45</v>
      </c>
      <c r="Q324">
        <v>54.9</v>
      </c>
      <c r="R324">
        <v>950</v>
      </c>
      <c r="S324">
        <v>950</v>
      </c>
      <c r="T324">
        <v>0</v>
      </c>
      <c r="U324">
        <v>0</v>
      </c>
      <c r="V324">
        <v>1</v>
      </c>
      <c r="W324">
        <v>0</v>
      </c>
      <c r="X324">
        <v>0.85</v>
      </c>
    </row>
    <row r="325" spans="1:24" x14ac:dyDescent="0.3">
      <c r="A325" t="s">
        <v>667</v>
      </c>
      <c r="B325" s="1">
        <v>45747</v>
      </c>
      <c r="C325" t="s">
        <v>56</v>
      </c>
      <c r="D325" t="s">
        <v>39</v>
      </c>
      <c r="E325" t="s">
        <v>68</v>
      </c>
      <c r="F325" t="s">
        <v>28</v>
      </c>
      <c r="G325" t="s">
        <v>29</v>
      </c>
      <c r="H325" t="s">
        <v>30</v>
      </c>
      <c r="I325" t="s">
        <v>395</v>
      </c>
      <c r="J325" t="s">
        <v>99</v>
      </c>
      <c r="K325" t="s">
        <v>63</v>
      </c>
      <c r="L325" t="s">
        <v>64</v>
      </c>
      <c r="M325" t="s">
        <v>86</v>
      </c>
      <c r="N325" t="s">
        <v>36</v>
      </c>
      <c r="O325">
        <v>60</v>
      </c>
      <c r="P325">
        <v>60</v>
      </c>
      <c r="Q325">
        <v>65.599999999999994</v>
      </c>
      <c r="R325">
        <v>1250</v>
      </c>
      <c r="S325">
        <v>1250</v>
      </c>
      <c r="T325">
        <v>0</v>
      </c>
      <c r="U325">
        <v>0</v>
      </c>
      <c r="V325">
        <v>1</v>
      </c>
      <c r="W325">
        <v>0</v>
      </c>
      <c r="X325">
        <v>0.85</v>
      </c>
    </row>
    <row r="326" spans="1:24" x14ac:dyDescent="0.3">
      <c r="A326" t="s">
        <v>668</v>
      </c>
      <c r="B326" s="1">
        <v>45674</v>
      </c>
      <c r="C326" t="s">
        <v>130</v>
      </c>
      <c r="D326" t="s">
        <v>82</v>
      </c>
      <c r="E326" t="s">
        <v>27</v>
      </c>
      <c r="F326" t="s">
        <v>58</v>
      </c>
      <c r="G326" t="s">
        <v>59</v>
      </c>
      <c r="H326" t="s">
        <v>296</v>
      </c>
      <c r="I326" t="s">
        <v>669</v>
      </c>
      <c r="J326" t="s">
        <v>62</v>
      </c>
      <c r="K326" t="s">
        <v>33</v>
      </c>
      <c r="L326" t="s">
        <v>64</v>
      </c>
      <c r="M326" t="s">
        <v>94</v>
      </c>
      <c r="N326" t="s">
        <v>95</v>
      </c>
      <c r="O326">
        <v>60</v>
      </c>
      <c r="P326">
        <v>0</v>
      </c>
      <c r="Q326">
        <v>74.599999999999994</v>
      </c>
      <c r="R326">
        <v>1500</v>
      </c>
      <c r="S326">
        <v>0</v>
      </c>
      <c r="T326">
        <v>1500</v>
      </c>
      <c r="U326">
        <v>1</v>
      </c>
      <c r="V326">
        <v>0</v>
      </c>
      <c r="W326">
        <v>0</v>
      </c>
      <c r="X326">
        <v>0.85</v>
      </c>
    </row>
    <row r="327" spans="1:24" x14ac:dyDescent="0.3">
      <c r="A327" t="s">
        <v>670</v>
      </c>
      <c r="B327" s="1">
        <v>45740</v>
      </c>
      <c r="C327" t="s">
        <v>56</v>
      </c>
      <c r="D327" t="s">
        <v>39</v>
      </c>
      <c r="E327" t="s">
        <v>27</v>
      </c>
      <c r="F327" t="s">
        <v>58</v>
      </c>
      <c r="G327" t="s">
        <v>59</v>
      </c>
      <c r="H327" t="s">
        <v>60</v>
      </c>
      <c r="I327" t="s">
        <v>671</v>
      </c>
      <c r="J327" t="s">
        <v>32</v>
      </c>
      <c r="K327" t="s">
        <v>33</v>
      </c>
      <c r="L327" t="s">
        <v>34</v>
      </c>
      <c r="M327" t="s">
        <v>65</v>
      </c>
      <c r="N327" t="s">
        <v>36</v>
      </c>
      <c r="O327">
        <v>60</v>
      </c>
      <c r="P327">
        <v>60</v>
      </c>
      <c r="Q327">
        <v>80.400000000000006</v>
      </c>
      <c r="R327">
        <v>1500</v>
      </c>
      <c r="S327">
        <v>1500</v>
      </c>
      <c r="T327">
        <v>0</v>
      </c>
      <c r="U327">
        <v>0</v>
      </c>
      <c r="V327">
        <v>1</v>
      </c>
      <c r="W327">
        <v>0</v>
      </c>
      <c r="X327">
        <v>0.85</v>
      </c>
    </row>
    <row r="328" spans="1:24" x14ac:dyDescent="0.3">
      <c r="A328" t="s">
        <v>672</v>
      </c>
      <c r="B328" s="1">
        <v>46003</v>
      </c>
      <c r="C328" t="s">
        <v>25</v>
      </c>
      <c r="D328" t="s">
        <v>82</v>
      </c>
      <c r="E328" t="s">
        <v>83</v>
      </c>
      <c r="F328" t="s">
        <v>41</v>
      </c>
      <c r="G328" t="s">
        <v>42</v>
      </c>
      <c r="H328" t="s">
        <v>43</v>
      </c>
      <c r="I328" t="s">
        <v>673</v>
      </c>
      <c r="J328" t="s">
        <v>53</v>
      </c>
      <c r="K328" t="s">
        <v>104</v>
      </c>
      <c r="L328" t="s">
        <v>78</v>
      </c>
      <c r="M328" t="s">
        <v>47</v>
      </c>
      <c r="N328" t="s">
        <v>36</v>
      </c>
      <c r="O328">
        <v>45</v>
      </c>
      <c r="P328">
        <v>45</v>
      </c>
      <c r="Q328">
        <v>54.8</v>
      </c>
      <c r="R328">
        <v>1100</v>
      </c>
      <c r="S328">
        <v>1100</v>
      </c>
      <c r="T328">
        <v>0</v>
      </c>
      <c r="U328">
        <v>0</v>
      </c>
      <c r="V328">
        <v>1</v>
      </c>
      <c r="W328">
        <v>0</v>
      </c>
      <c r="X328">
        <v>0.85</v>
      </c>
    </row>
    <row r="329" spans="1:24" x14ac:dyDescent="0.3">
      <c r="A329" t="s">
        <v>674</v>
      </c>
      <c r="B329" s="1">
        <v>45824</v>
      </c>
      <c r="C329" t="s">
        <v>67</v>
      </c>
      <c r="D329" t="s">
        <v>39</v>
      </c>
      <c r="E329" t="s">
        <v>83</v>
      </c>
      <c r="F329" t="s">
        <v>28</v>
      </c>
      <c r="G329" t="s">
        <v>29</v>
      </c>
      <c r="H329" t="s">
        <v>102</v>
      </c>
      <c r="I329" t="s">
        <v>675</v>
      </c>
      <c r="J329" t="s">
        <v>137</v>
      </c>
      <c r="K329" t="s">
        <v>85</v>
      </c>
      <c r="L329" t="s">
        <v>78</v>
      </c>
      <c r="M329" t="s">
        <v>71</v>
      </c>
      <c r="N329" t="s">
        <v>36</v>
      </c>
      <c r="O329">
        <v>45</v>
      </c>
      <c r="P329">
        <v>45</v>
      </c>
      <c r="Q329">
        <v>56.5</v>
      </c>
      <c r="R329">
        <v>850</v>
      </c>
      <c r="S329">
        <v>850</v>
      </c>
      <c r="T329">
        <v>0</v>
      </c>
      <c r="U329">
        <v>0</v>
      </c>
      <c r="V329">
        <v>1</v>
      </c>
      <c r="W329">
        <v>0</v>
      </c>
      <c r="X329">
        <v>0.85</v>
      </c>
    </row>
    <row r="330" spans="1:24" x14ac:dyDescent="0.3">
      <c r="A330" t="s">
        <v>676</v>
      </c>
      <c r="B330" s="1">
        <v>45885</v>
      </c>
      <c r="C330" t="s">
        <v>110</v>
      </c>
      <c r="D330" t="s">
        <v>88</v>
      </c>
      <c r="E330" t="s">
        <v>40</v>
      </c>
      <c r="F330" t="s">
        <v>58</v>
      </c>
      <c r="G330" t="s">
        <v>59</v>
      </c>
      <c r="H330" t="s">
        <v>60</v>
      </c>
      <c r="I330" t="s">
        <v>677</v>
      </c>
      <c r="J330" t="s">
        <v>137</v>
      </c>
      <c r="K330" t="s">
        <v>85</v>
      </c>
      <c r="L330" t="s">
        <v>54</v>
      </c>
      <c r="M330" t="s">
        <v>71</v>
      </c>
      <c r="N330" t="s">
        <v>95</v>
      </c>
      <c r="O330">
        <v>60</v>
      </c>
      <c r="P330">
        <v>0</v>
      </c>
      <c r="Q330">
        <v>66.400000000000006</v>
      </c>
      <c r="R330">
        <v>1300</v>
      </c>
      <c r="S330">
        <v>0</v>
      </c>
      <c r="T330">
        <v>1300</v>
      </c>
      <c r="U330">
        <v>1</v>
      </c>
      <c r="V330">
        <v>0</v>
      </c>
      <c r="W330">
        <v>0</v>
      </c>
      <c r="X330">
        <v>0.85</v>
      </c>
    </row>
    <row r="331" spans="1:24" x14ac:dyDescent="0.3">
      <c r="A331" t="s">
        <v>678</v>
      </c>
      <c r="B331" s="1">
        <v>45965</v>
      </c>
      <c r="C331" t="s">
        <v>38</v>
      </c>
      <c r="D331" t="s">
        <v>26</v>
      </c>
      <c r="E331" t="s">
        <v>68</v>
      </c>
      <c r="F331" t="s">
        <v>28</v>
      </c>
      <c r="G331" t="s">
        <v>29</v>
      </c>
      <c r="H331" t="s">
        <v>102</v>
      </c>
      <c r="I331" t="s">
        <v>679</v>
      </c>
      <c r="J331" t="s">
        <v>62</v>
      </c>
      <c r="K331" t="s">
        <v>85</v>
      </c>
      <c r="L331" t="s">
        <v>34</v>
      </c>
      <c r="M331" t="s">
        <v>65</v>
      </c>
      <c r="N331" t="s">
        <v>95</v>
      </c>
      <c r="O331">
        <v>60</v>
      </c>
      <c r="P331">
        <v>0</v>
      </c>
      <c r="Q331">
        <v>65.7</v>
      </c>
      <c r="R331">
        <v>1250</v>
      </c>
      <c r="S331">
        <v>0</v>
      </c>
      <c r="T331">
        <v>1250</v>
      </c>
      <c r="U331">
        <v>1</v>
      </c>
      <c r="V331">
        <v>0</v>
      </c>
      <c r="W331">
        <v>0</v>
      </c>
      <c r="X331">
        <v>0.85</v>
      </c>
    </row>
    <row r="332" spans="1:24" x14ac:dyDescent="0.3">
      <c r="A332" t="s">
        <v>680</v>
      </c>
      <c r="B332" s="1">
        <v>45783</v>
      </c>
      <c r="C332" t="s">
        <v>128</v>
      </c>
      <c r="D332" t="s">
        <v>26</v>
      </c>
      <c r="E332" t="s">
        <v>27</v>
      </c>
      <c r="F332" t="s">
        <v>58</v>
      </c>
      <c r="G332" t="s">
        <v>59</v>
      </c>
      <c r="H332" t="s">
        <v>73</v>
      </c>
      <c r="I332" t="s">
        <v>681</v>
      </c>
      <c r="J332" t="s">
        <v>62</v>
      </c>
      <c r="K332" t="s">
        <v>33</v>
      </c>
      <c r="L332" t="s">
        <v>34</v>
      </c>
      <c r="M332" t="s">
        <v>35</v>
      </c>
      <c r="N332" t="s">
        <v>36</v>
      </c>
      <c r="O332">
        <v>30</v>
      </c>
      <c r="P332">
        <v>30</v>
      </c>
      <c r="Q332">
        <v>37</v>
      </c>
      <c r="R332">
        <v>750</v>
      </c>
      <c r="S332">
        <v>750</v>
      </c>
      <c r="T332">
        <v>0</v>
      </c>
      <c r="U332">
        <v>0</v>
      </c>
      <c r="V332">
        <v>1</v>
      </c>
      <c r="W332">
        <v>0</v>
      </c>
      <c r="X332">
        <v>0.85</v>
      </c>
    </row>
    <row r="333" spans="1:24" x14ac:dyDescent="0.3">
      <c r="A333" t="s">
        <v>682</v>
      </c>
      <c r="B333" s="1">
        <v>45861</v>
      </c>
      <c r="C333" t="s">
        <v>101</v>
      </c>
      <c r="D333" t="s">
        <v>57</v>
      </c>
      <c r="E333" t="s">
        <v>83</v>
      </c>
      <c r="F333" t="s">
        <v>41</v>
      </c>
      <c r="G333" t="s">
        <v>42</v>
      </c>
      <c r="H333" t="s">
        <v>43</v>
      </c>
      <c r="I333" t="s">
        <v>464</v>
      </c>
      <c r="J333" t="s">
        <v>53</v>
      </c>
      <c r="K333" t="s">
        <v>70</v>
      </c>
      <c r="L333" t="s">
        <v>34</v>
      </c>
      <c r="M333" t="s">
        <v>71</v>
      </c>
      <c r="N333" t="s">
        <v>36</v>
      </c>
      <c r="O333">
        <v>75</v>
      </c>
      <c r="P333">
        <v>75</v>
      </c>
      <c r="Q333">
        <v>88</v>
      </c>
      <c r="R333">
        <v>2000</v>
      </c>
      <c r="S333">
        <v>2000</v>
      </c>
      <c r="T333">
        <v>0</v>
      </c>
      <c r="U333">
        <v>0</v>
      </c>
      <c r="V333">
        <v>1</v>
      </c>
      <c r="W333">
        <v>0</v>
      </c>
      <c r="X333">
        <v>0.85</v>
      </c>
    </row>
    <row r="334" spans="1:24" x14ac:dyDescent="0.3">
      <c r="A334" t="s">
        <v>683</v>
      </c>
      <c r="B334" s="1">
        <v>45967</v>
      </c>
      <c r="C334" t="s">
        <v>38</v>
      </c>
      <c r="D334" t="s">
        <v>50</v>
      </c>
      <c r="E334" t="s">
        <v>27</v>
      </c>
      <c r="F334" t="s">
        <v>41</v>
      </c>
      <c r="G334" t="s">
        <v>42</v>
      </c>
      <c r="H334" t="s">
        <v>51</v>
      </c>
      <c r="I334" t="s">
        <v>684</v>
      </c>
      <c r="J334" t="s">
        <v>62</v>
      </c>
      <c r="K334" t="s">
        <v>70</v>
      </c>
      <c r="L334" t="s">
        <v>34</v>
      </c>
      <c r="M334" t="s">
        <v>47</v>
      </c>
      <c r="N334" t="s">
        <v>36</v>
      </c>
      <c r="O334">
        <v>75</v>
      </c>
      <c r="P334">
        <v>75</v>
      </c>
      <c r="Q334">
        <v>92.3</v>
      </c>
      <c r="R334">
        <v>1700</v>
      </c>
      <c r="S334">
        <v>1700</v>
      </c>
      <c r="T334">
        <v>0</v>
      </c>
      <c r="U334">
        <v>0</v>
      </c>
      <c r="V334">
        <v>1</v>
      </c>
      <c r="W334">
        <v>0</v>
      </c>
      <c r="X334">
        <v>0.85</v>
      </c>
    </row>
    <row r="335" spans="1:24" x14ac:dyDescent="0.3">
      <c r="A335" t="s">
        <v>685</v>
      </c>
      <c r="B335" s="1">
        <v>45673</v>
      </c>
      <c r="C335" t="s">
        <v>130</v>
      </c>
      <c r="D335" t="s">
        <v>50</v>
      </c>
      <c r="E335" t="s">
        <v>40</v>
      </c>
      <c r="F335" t="s">
        <v>58</v>
      </c>
      <c r="G335" t="s">
        <v>59</v>
      </c>
      <c r="H335" t="s">
        <v>60</v>
      </c>
      <c r="I335" t="s">
        <v>648</v>
      </c>
      <c r="J335" t="s">
        <v>62</v>
      </c>
      <c r="K335" t="s">
        <v>70</v>
      </c>
      <c r="L335" t="s">
        <v>64</v>
      </c>
      <c r="M335" t="s">
        <v>65</v>
      </c>
      <c r="N335" t="s">
        <v>36</v>
      </c>
      <c r="O335">
        <v>60</v>
      </c>
      <c r="P335">
        <v>60</v>
      </c>
      <c r="Q335">
        <v>74.7</v>
      </c>
      <c r="R335">
        <v>1500</v>
      </c>
      <c r="S335">
        <v>1500</v>
      </c>
      <c r="T335">
        <v>0</v>
      </c>
      <c r="U335">
        <v>0</v>
      </c>
      <c r="V335">
        <v>1</v>
      </c>
      <c r="W335">
        <v>0</v>
      </c>
      <c r="X335">
        <v>0.85</v>
      </c>
    </row>
    <row r="336" spans="1:24" x14ac:dyDescent="0.3">
      <c r="A336" t="s">
        <v>686</v>
      </c>
      <c r="B336" s="1">
        <v>45932</v>
      </c>
      <c r="C336" t="s">
        <v>97</v>
      </c>
      <c r="D336" t="s">
        <v>50</v>
      </c>
      <c r="E336" t="s">
        <v>40</v>
      </c>
      <c r="F336" t="s">
        <v>41</v>
      </c>
      <c r="G336" t="s">
        <v>42</v>
      </c>
      <c r="H336" t="s">
        <v>89</v>
      </c>
      <c r="I336" t="s">
        <v>687</v>
      </c>
      <c r="J336" t="s">
        <v>53</v>
      </c>
      <c r="K336" t="s">
        <v>33</v>
      </c>
      <c r="L336" t="s">
        <v>64</v>
      </c>
      <c r="M336" t="s">
        <v>35</v>
      </c>
      <c r="N336" t="s">
        <v>36</v>
      </c>
      <c r="O336">
        <v>45</v>
      </c>
      <c r="P336">
        <v>45</v>
      </c>
      <c r="Q336">
        <v>53.8</v>
      </c>
      <c r="R336">
        <v>1200</v>
      </c>
      <c r="S336">
        <v>1200</v>
      </c>
      <c r="T336">
        <v>0</v>
      </c>
      <c r="U336">
        <v>0</v>
      </c>
      <c r="V336">
        <v>1</v>
      </c>
      <c r="W336">
        <v>0</v>
      </c>
      <c r="X336">
        <v>0.85</v>
      </c>
    </row>
    <row r="337" spans="1:24" x14ac:dyDescent="0.3">
      <c r="A337" t="s">
        <v>688</v>
      </c>
      <c r="B337" s="1">
        <v>45687</v>
      </c>
      <c r="C337" t="s">
        <v>130</v>
      </c>
      <c r="D337" t="s">
        <v>50</v>
      </c>
      <c r="E337" t="s">
        <v>83</v>
      </c>
      <c r="F337" t="s">
        <v>58</v>
      </c>
      <c r="G337" t="s">
        <v>59</v>
      </c>
      <c r="H337" t="s">
        <v>117</v>
      </c>
      <c r="I337" t="s">
        <v>616</v>
      </c>
      <c r="J337" t="s">
        <v>53</v>
      </c>
      <c r="K337" t="s">
        <v>85</v>
      </c>
      <c r="L337" t="s">
        <v>64</v>
      </c>
      <c r="M337" t="s">
        <v>71</v>
      </c>
      <c r="N337" t="s">
        <v>95</v>
      </c>
      <c r="O337">
        <v>60</v>
      </c>
      <c r="P337">
        <v>0</v>
      </c>
      <c r="Q337">
        <v>74.7</v>
      </c>
      <c r="R337">
        <v>1800</v>
      </c>
      <c r="S337">
        <v>0</v>
      </c>
      <c r="T337">
        <v>1800</v>
      </c>
      <c r="U337">
        <v>1</v>
      </c>
      <c r="V337">
        <v>0</v>
      </c>
      <c r="W337">
        <v>0</v>
      </c>
      <c r="X337">
        <v>0.85</v>
      </c>
    </row>
    <row r="338" spans="1:24" x14ac:dyDescent="0.3">
      <c r="A338" t="s">
        <v>689</v>
      </c>
      <c r="B338" s="1">
        <v>45751</v>
      </c>
      <c r="C338" t="s">
        <v>92</v>
      </c>
      <c r="D338" t="s">
        <v>82</v>
      </c>
      <c r="E338" t="s">
        <v>27</v>
      </c>
      <c r="F338" t="s">
        <v>58</v>
      </c>
      <c r="G338" t="s">
        <v>59</v>
      </c>
      <c r="H338" t="s">
        <v>296</v>
      </c>
      <c r="I338" t="s">
        <v>690</v>
      </c>
      <c r="J338" t="s">
        <v>53</v>
      </c>
      <c r="K338" t="s">
        <v>70</v>
      </c>
      <c r="L338" t="s">
        <v>34</v>
      </c>
      <c r="M338" t="s">
        <v>35</v>
      </c>
      <c r="N338" t="s">
        <v>95</v>
      </c>
      <c r="O338">
        <v>45</v>
      </c>
      <c r="P338">
        <v>0</v>
      </c>
      <c r="Q338">
        <v>57.5</v>
      </c>
      <c r="R338">
        <v>1350</v>
      </c>
      <c r="S338">
        <v>0</v>
      </c>
      <c r="T338">
        <v>1350</v>
      </c>
      <c r="U338">
        <v>1</v>
      </c>
      <c r="V338">
        <v>0</v>
      </c>
      <c r="W338">
        <v>0</v>
      </c>
      <c r="X338">
        <v>0.85</v>
      </c>
    </row>
    <row r="339" spans="1:24" x14ac:dyDescent="0.3">
      <c r="A339" t="s">
        <v>691</v>
      </c>
      <c r="B339" s="1">
        <v>45957</v>
      </c>
      <c r="C339" t="s">
        <v>97</v>
      </c>
      <c r="D339" t="s">
        <v>39</v>
      </c>
      <c r="E339" t="s">
        <v>83</v>
      </c>
      <c r="F339" t="s">
        <v>28</v>
      </c>
      <c r="G339" t="s">
        <v>29</v>
      </c>
      <c r="H339" t="s">
        <v>30</v>
      </c>
      <c r="I339" t="s">
        <v>692</v>
      </c>
      <c r="J339" t="s">
        <v>45</v>
      </c>
      <c r="K339" t="s">
        <v>104</v>
      </c>
      <c r="L339" t="s">
        <v>34</v>
      </c>
      <c r="M339" t="s">
        <v>71</v>
      </c>
      <c r="N339" t="s">
        <v>95</v>
      </c>
      <c r="O339">
        <v>60</v>
      </c>
      <c r="P339">
        <v>0</v>
      </c>
      <c r="Q339">
        <v>74.599999999999994</v>
      </c>
      <c r="R339">
        <v>1450</v>
      </c>
      <c r="S339">
        <v>0</v>
      </c>
      <c r="T339">
        <v>1450</v>
      </c>
      <c r="U339">
        <v>1</v>
      </c>
      <c r="V339">
        <v>0</v>
      </c>
      <c r="W339">
        <v>0</v>
      </c>
      <c r="X339">
        <v>0.85</v>
      </c>
    </row>
    <row r="340" spans="1:24" x14ac:dyDescent="0.3">
      <c r="A340" t="s">
        <v>693</v>
      </c>
      <c r="B340" s="1">
        <v>45805</v>
      </c>
      <c r="C340" t="s">
        <v>128</v>
      </c>
      <c r="D340" t="s">
        <v>57</v>
      </c>
      <c r="E340" t="s">
        <v>83</v>
      </c>
      <c r="F340" t="s">
        <v>41</v>
      </c>
      <c r="G340" t="s">
        <v>42</v>
      </c>
      <c r="H340" t="s">
        <v>125</v>
      </c>
      <c r="I340" t="s">
        <v>694</v>
      </c>
      <c r="J340" t="s">
        <v>53</v>
      </c>
      <c r="K340" t="s">
        <v>33</v>
      </c>
      <c r="L340" t="s">
        <v>34</v>
      </c>
      <c r="M340" t="s">
        <v>47</v>
      </c>
      <c r="N340" t="s">
        <v>36</v>
      </c>
      <c r="O340">
        <v>75</v>
      </c>
      <c r="P340">
        <v>75</v>
      </c>
      <c r="Q340">
        <v>81.5</v>
      </c>
      <c r="R340">
        <v>2000</v>
      </c>
      <c r="S340">
        <v>2000</v>
      </c>
      <c r="T340">
        <v>0</v>
      </c>
      <c r="U340">
        <v>0</v>
      </c>
      <c r="V340">
        <v>1</v>
      </c>
      <c r="W340">
        <v>0</v>
      </c>
      <c r="X340">
        <v>0.85</v>
      </c>
    </row>
    <row r="341" spans="1:24" x14ac:dyDescent="0.3">
      <c r="A341" t="s">
        <v>695</v>
      </c>
      <c r="B341" s="1">
        <v>45866</v>
      </c>
      <c r="C341" t="s">
        <v>101</v>
      </c>
      <c r="D341" t="s">
        <v>39</v>
      </c>
      <c r="E341" t="s">
        <v>27</v>
      </c>
      <c r="F341" t="s">
        <v>28</v>
      </c>
      <c r="G341" t="s">
        <v>29</v>
      </c>
      <c r="H341" t="s">
        <v>120</v>
      </c>
      <c r="I341" t="s">
        <v>696</v>
      </c>
      <c r="J341" t="s">
        <v>137</v>
      </c>
      <c r="K341" t="s">
        <v>46</v>
      </c>
      <c r="L341" t="s">
        <v>78</v>
      </c>
      <c r="M341" t="s">
        <v>86</v>
      </c>
      <c r="N341" t="s">
        <v>36</v>
      </c>
      <c r="O341">
        <v>75</v>
      </c>
      <c r="P341">
        <v>75</v>
      </c>
      <c r="Q341">
        <v>86.9</v>
      </c>
      <c r="R341">
        <v>1450</v>
      </c>
      <c r="S341">
        <v>1450</v>
      </c>
      <c r="T341">
        <v>0</v>
      </c>
      <c r="U341">
        <v>0</v>
      </c>
      <c r="V341">
        <v>1</v>
      </c>
      <c r="W341">
        <v>0</v>
      </c>
      <c r="X341">
        <v>0.85</v>
      </c>
    </row>
    <row r="342" spans="1:24" x14ac:dyDescent="0.3">
      <c r="A342" t="s">
        <v>697</v>
      </c>
      <c r="B342" s="1">
        <v>45808</v>
      </c>
      <c r="C342" t="s">
        <v>128</v>
      </c>
      <c r="D342" t="s">
        <v>88</v>
      </c>
      <c r="E342" t="s">
        <v>83</v>
      </c>
      <c r="F342" t="s">
        <v>41</v>
      </c>
      <c r="G342" t="s">
        <v>42</v>
      </c>
      <c r="H342" t="s">
        <v>51</v>
      </c>
      <c r="I342" t="s">
        <v>473</v>
      </c>
      <c r="J342" t="s">
        <v>99</v>
      </c>
      <c r="K342" t="s">
        <v>33</v>
      </c>
      <c r="L342" t="s">
        <v>34</v>
      </c>
      <c r="M342" t="s">
        <v>65</v>
      </c>
      <c r="N342" t="s">
        <v>95</v>
      </c>
      <c r="O342">
        <v>60</v>
      </c>
      <c r="P342">
        <v>0</v>
      </c>
      <c r="Q342">
        <v>67.3</v>
      </c>
      <c r="R342">
        <v>1350</v>
      </c>
      <c r="S342">
        <v>0</v>
      </c>
      <c r="T342">
        <v>1350</v>
      </c>
      <c r="U342">
        <v>1</v>
      </c>
      <c r="V342">
        <v>0</v>
      </c>
      <c r="W342">
        <v>0</v>
      </c>
      <c r="X342">
        <v>0.85</v>
      </c>
    </row>
    <row r="343" spans="1:24" x14ac:dyDescent="0.3">
      <c r="A343" t="s">
        <v>698</v>
      </c>
      <c r="B343" s="1">
        <v>45722</v>
      </c>
      <c r="C343" t="s">
        <v>56</v>
      </c>
      <c r="D343" t="s">
        <v>50</v>
      </c>
      <c r="E343" t="s">
        <v>27</v>
      </c>
      <c r="F343" t="s">
        <v>41</v>
      </c>
      <c r="G343" t="s">
        <v>42</v>
      </c>
      <c r="H343" t="s">
        <v>89</v>
      </c>
      <c r="I343" t="s">
        <v>699</v>
      </c>
      <c r="J343" t="s">
        <v>45</v>
      </c>
      <c r="K343" t="s">
        <v>63</v>
      </c>
      <c r="L343" t="s">
        <v>64</v>
      </c>
      <c r="M343" t="s">
        <v>71</v>
      </c>
      <c r="N343" t="s">
        <v>36</v>
      </c>
      <c r="O343">
        <v>60</v>
      </c>
      <c r="P343">
        <v>60</v>
      </c>
      <c r="Q343">
        <v>80.099999999999994</v>
      </c>
      <c r="R343">
        <v>1550</v>
      </c>
      <c r="S343">
        <v>1550</v>
      </c>
      <c r="T343">
        <v>0</v>
      </c>
      <c r="U343">
        <v>0</v>
      </c>
      <c r="V343">
        <v>1</v>
      </c>
      <c r="W343">
        <v>0</v>
      </c>
      <c r="X343">
        <v>0.85</v>
      </c>
    </row>
    <row r="344" spans="1:24" x14ac:dyDescent="0.3">
      <c r="A344" t="s">
        <v>700</v>
      </c>
      <c r="B344" s="1">
        <v>45780</v>
      </c>
      <c r="C344" t="s">
        <v>128</v>
      </c>
      <c r="D344" t="s">
        <v>88</v>
      </c>
      <c r="E344" t="s">
        <v>83</v>
      </c>
      <c r="F344" t="s">
        <v>41</v>
      </c>
      <c r="G344" t="s">
        <v>42</v>
      </c>
      <c r="H344" t="s">
        <v>43</v>
      </c>
      <c r="I344" t="s">
        <v>701</v>
      </c>
      <c r="J344" t="s">
        <v>53</v>
      </c>
      <c r="K344" t="s">
        <v>70</v>
      </c>
      <c r="L344" t="s">
        <v>64</v>
      </c>
      <c r="M344" t="s">
        <v>47</v>
      </c>
      <c r="N344" t="s">
        <v>36</v>
      </c>
      <c r="O344">
        <v>45</v>
      </c>
      <c r="P344">
        <v>45</v>
      </c>
      <c r="Q344">
        <v>54.3</v>
      </c>
      <c r="R344">
        <v>1200</v>
      </c>
      <c r="S344">
        <v>1200</v>
      </c>
      <c r="T344">
        <v>0</v>
      </c>
      <c r="U344">
        <v>0</v>
      </c>
      <c r="V344">
        <v>1</v>
      </c>
      <c r="W344">
        <v>0</v>
      </c>
      <c r="X344">
        <v>0.85</v>
      </c>
    </row>
    <row r="345" spans="1:24" x14ac:dyDescent="0.3">
      <c r="A345" t="s">
        <v>702</v>
      </c>
      <c r="B345" s="1">
        <v>45668</v>
      </c>
      <c r="C345" t="s">
        <v>130</v>
      </c>
      <c r="D345" t="s">
        <v>88</v>
      </c>
      <c r="E345" t="s">
        <v>40</v>
      </c>
      <c r="F345" t="s">
        <v>28</v>
      </c>
      <c r="G345" t="s">
        <v>29</v>
      </c>
      <c r="H345" t="s">
        <v>102</v>
      </c>
      <c r="I345" t="s">
        <v>703</v>
      </c>
      <c r="J345" t="s">
        <v>99</v>
      </c>
      <c r="K345" t="s">
        <v>33</v>
      </c>
      <c r="L345" t="s">
        <v>64</v>
      </c>
      <c r="M345" t="s">
        <v>86</v>
      </c>
      <c r="N345" t="s">
        <v>36</v>
      </c>
      <c r="O345">
        <v>75</v>
      </c>
      <c r="P345">
        <v>75</v>
      </c>
      <c r="Q345">
        <v>93.4</v>
      </c>
      <c r="R345">
        <v>1550</v>
      </c>
      <c r="S345">
        <v>1550</v>
      </c>
      <c r="T345">
        <v>0</v>
      </c>
      <c r="U345">
        <v>0</v>
      </c>
      <c r="V345">
        <v>1</v>
      </c>
      <c r="W345">
        <v>0</v>
      </c>
      <c r="X345">
        <v>0.85</v>
      </c>
    </row>
    <row r="346" spans="1:24" x14ac:dyDescent="0.3">
      <c r="A346" t="s">
        <v>704</v>
      </c>
      <c r="B346" s="1">
        <v>45993</v>
      </c>
      <c r="C346" t="s">
        <v>25</v>
      </c>
      <c r="D346" t="s">
        <v>26</v>
      </c>
      <c r="E346" t="s">
        <v>27</v>
      </c>
      <c r="F346" t="s">
        <v>58</v>
      </c>
      <c r="G346" t="s">
        <v>59</v>
      </c>
      <c r="H346" t="s">
        <v>296</v>
      </c>
      <c r="I346" t="s">
        <v>705</v>
      </c>
      <c r="J346" t="s">
        <v>62</v>
      </c>
      <c r="K346" t="s">
        <v>46</v>
      </c>
      <c r="L346" t="s">
        <v>64</v>
      </c>
      <c r="M346" t="s">
        <v>94</v>
      </c>
      <c r="N346" t="s">
        <v>36</v>
      </c>
      <c r="O346">
        <v>45</v>
      </c>
      <c r="P346">
        <v>45</v>
      </c>
      <c r="Q346">
        <v>60.2</v>
      </c>
      <c r="R346">
        <v>1100</v>
      </c>
      <c r="S346">
        <v>1100</v>
      </c>
      <c r="T346">
        <v>0</v>
      </c>
      <c r="U346">
        <v>0</v>
      </c>
      <c r="V346">
        <v>1</v>
      </c>
      <c r="W346">
        <v>0</v>
      </c>
      <c r="X346">
        <v>0.85</v>
      </c>
    </row>
    <row r="347" spans="1:24" x14ac:dyDescent="0.3">
      <c r="A347" t="s">
        <v>706</v>
      </c>
      <c r="B347" s="1">
        <v>45813</v>
      </c>
      <c r="C347" t="s">
        <v>67</v>
      </c>
      <c r="D347" t="s">
        <v>50</v>
      </c>
      <c r="E347" t="s">
        <v>27</v>
      </c>
      <c r="F347" t="s">
        <v>58</v>
      </c>
      <c r="G347" t="s">
        <v>59</v>
      </c>
      <c r="H347" t="s">
        <v>117</v>
      </c>
      <c r="I347" t="s">
        <v>707</v>
      </c>
      <c r="J347" t="s">
        <v>32</v>
      </c>
      <c r="K347" t="s">
        <v>33</v>
      </c>
      <c r="L347" t="s">
        <v>78</v>
      </c>
      <c r="M347" t="s">
        <v>65</v>
      </c>
      <c r="N347" t="s">
        <v>36</v>
      </c>
      <c r="O347">
        <v>90</v>
      </c>
      <c r="P347">
        <v>90</v>
      </c>
      <c r="Q347">
        <v>115.4</v>
      </c>
      <c r="R347">
        <v>2050</v>
      </c>
      <c r="S347">
        <v>2050</v>
      </c>
      <c r="T347">
        <v>0</v>
      </c>
      <c r="U347">
        <v>0</v>
      </c>
      <c r="V347">
        <v>1</v>
      </c>
      <c r="W347">
        <v>0</v>
      </c>
      <c r="X347">
        <v>0.85</v>
      </c>
    </row>
    <row r="348" spans="1:24" x14ac:dyDescent="0.3">
      <c r="A348" t="s">
        <v>708</v>
      </c>
      <c r="B348" s="1">
        <v>45965</v>
      </c>
      <c r="C348" t="s">
        <v>38</v>
      </c>
      <c r="D348" t="s">
        <v>26</v>
      </c>
      <c r="E348" t="s">
        <v>68</v>
      </c>
      <c r="F348" t="s">
        <v>28</v>
      </c>
      <c r="G348" t="s">
        <v>29</v>
      </c>
      <c r="H348" t="s">
        <v>102</v>
      </c>
      <c r="I348" t="s">
        <v>709</v>
      </c>
      <c r="J348" t="s">
        <v>53</v>
      </c>
      <c r="K348" t="s">
        <v>46</v>
      </c>
      <c r="L348" t="s">
        <v>64</v>
      </c>
      <c r="M348" t="s">
        <v>94</v>
      </c>
      <c r="N348" t="s">
        <v>36</v>
      </c>
      <c r="O348">
        <v>60</v>
      </c>
      <c r="P348">
        <v>60</v>
      </c>
      <c r="Q348">
        <v>75.3</v>
      </c>
      <c r="R348">
        <v>1500</v>
      </c>
      <c r="S348">
        <v>1500</v>
      </c>
      <c r="T348">
        <v>0</v>
      </c>
      <c r="U348">
        <v>0</v>
      </c>
      <c r="V348">
        <v>1</v>
      </c>
      <c r="W348">
        <v>0</v>
      </c>
      <c r="X348">
        <v>0.85</v>
      </c>
    </row>
    <row r="349" spans="1:24" x14ac:dyDescent="0.3">
      <c r="A349" t="s">
        <v>710</v>
      </c>
      <c r="B349" s="1">
        <v>45913</v>
      </c>
      <c r="C349" t="s">
        <v>49</v>
      </c>
      <c r="D349" t="s">
        <v>88</v>
      </c>
      <c r="E349" t="s">
        <v>68</v>
      </c>
      <c r="F349" t="s">
        <v>41</v>
      </c>
      <c r="G349" t="s">
        <v>42</v>
      </c>
      <c r="H349" t="s">
        <v>89</v>
      </c>
      <c r="I349" t="s">
        <v>261</v>
      </c>
      <c r="J349" t="s">
        <v>62</v>
      </c>
      <c r="K349" t="s">
        <v>63</v>
      </c>
      <c r="L349" t="s">
        <v>54</v>
      </c>
      <c r="M349" t="s">
        <v>47</v>
      </c>
      <c r="N349" t="s">
        <v>36</v>
      </c>
      <c r="O349">
        <v>90</v>
      </c>
      <c r="P349">
        <v>90</v>
      </c>
      <c r="Q349">
        <v>106.7</v>
      </c>
      <c r="R349">
        <v>1700</v>
      </c>
      <c r="S349">
        <v>1700</v>
      </c>
      <c r="T349">
        <v>0</v>
      </c>
      <c r="U349">
        <v>0</v>
      </c>
      <c r="V349">
        <v>1</v>
      </c>
      <c r="W349">
        <v>0</v>
      </c>
      <c r="X349">
        <v>0.85</v>
      </c>
    </row>
    <row r="350" spans="1:24" x14ac:dyDescent="0.3">
      <c r="A350" t="s">
        <v>711</v>
      </c>
      <c r="B350" s="1">
        <v>45873</v>
      </c>
      <c r="C350" t="s">
        <v>110</v>
      </c>
      <c r="D350" t="s">
        <v>39</v>
      </c>
      <c r="E350" t="s">
        <v>83</v>
      </c>
      <c r="F350" t="s">
        <v>41</v>
      </c>
      <c r="G350" t="s">
        <v>42</v>
      </c>
      <c r="H350" t="s">
        <v>89</v>
      </c>
      <c r="I350" t="s">
        <v>712</v>
      </c>
      <c r="J350" t="s">
        <v>62</v>
      </c>
      <c r="K350" t="s">
        <v>70</v>
      </c>
      <c r="L350" t="s">
        <v>34</v>
      </c>
      <c r="M350" t="s">
        <v>71</v>
      </c>
      <c r="N350" t="s">
        <v>36</v>
      </c>
      <c r="O350">
        <v>60</v>
      </c>
      <c r="P350">
        <v>60</v>
      </c>
      <c r="Q350">
        <v>76.099999999999994</v>
      </c>
      <c r="R350">
        <v>1350</v>
      </c>
      <c r="S350">
        <v>1350</v>
      </c>
      <c r="T350">
        <v>0</v>
      </c>
      <c r="U350">
        <v>0</v>
      </c>
      <c r="V350">
        <v>1</v>
      </c>
      <c r="W350">
        <v>0</v>
      </c>
      <c r="X350">
        <v>0.85</v>
      </c>
    </row>
    <row r="351" spans="1:24" x14ac:dyDescent="0.3">
      <c r="A351" t="s">
        <v>713</v>
      </c>
      <c r="B351" s="1">
        <v>45717</v>
      </c>
      <c r="C351" t="s">
        <v>56</v>
      </c>
      <c r="D351" t="s">
        <v>88</v>
      </c>
      <c r="E351" t="s">
        <v>68</v>
      </c>
      <c r="F351" t="s">
        <v>41</v>
      </c>
      <c r="G351" t="s">
        <v>42</v>
      </c>
      <c r="H351" t="s">
        <v>111</v>
      </c>
      <c r="I351" t="s">
        <v>703</v>
      </c>
      <c r="J351" t="s">
        <v>62</v>
      </c>
      <c r="K351" t="s">
        <v>46</v>
      </c>
      <c r="L351" t="s">
        <v>78</v>
      </c>
      <c r="M351" t="s">
        <v>35</v>
      </c>
      <c r="N351" t="s">
        <v>36</v>
      </c>
      <c r="O351">
        <v>30</v>
      </c>
      <c r="P351">
        <v>30</v>
      </c>
      <c r="Q351">
        <v>33.5</v>
      </c>
      <c r="R351">
        <v>600</v>
      </c>
      <c r="S351">
        <v>600</v>
      </c>
      <c r="T351">
        <v>0</v>
      </c>
      <c r="U351">
        <v>0</v>
      </c>
      <c r="V351">
        <v>1</v>
      </c>
      <c r="W351">
        <v>0</v>
      </c>
      <c r="X351">
        <v>0.85</v>
      </c>
    </row>
    <row r="352" spans="1:24" x14ac:dyDescent="0.3">
      <c r="A352" t="s">
        <v>714</v>
      </c>
      <c r="B352" s="1">
        <v>45950</v>
      </c>
      <c r="C352" t="s">
        <v>97</v>
      </c>
      <c r="D352" t="s">
        <v>39</v>
      </c>
      <c r="E352" t="s">
        <v>40</v>
      </c>
      <c r="F352" t="s">
        <v>41</v>
      </c>
      <c r="G352" t="s">
        <v>42</v>
      </c>
      <c r="H352" t="s">
        <v>125</v>
      </c>
      <c r="I352" t="s">
        <v>715</v>
      </c>
      <c r="J352" t="s">
        <v>137</v>
      </c>
      <c r="K352" t="s">
        <v>104</v>
      </c>
      <c r="L352" t="s">
        <v>78</v>
      </c>
      <c r="M352" t="s">
        <v>86</v>
      </c>
      <c r="N352" t="s">
        <v>36</v>
      </c>
      <c r="O352">
        <v>60</v>
      </c>
      <c r="P352">
        <v>60</v>
      </c>
      <c r="Q352">
        <v>67.5</v>
      </c>
      <c r="R352">
        <v>1250</v>
      </c>
      <c r="S352">
        <v>1250</v>
      </c>
      <c r="T352">
        <v>0</v>
      </c>
      <c r="U352">
        <v>0</v>
      </c>
      <c r="V352">
        <v>1</v>
      </c>
      <c r="W352">
        <v>0</v>
      </c>
      <c r="X352">
        <v>0.85</v>
      </c>
    </row>
    <row r="353" spans="1:24" x14ac:dyDescent="0.3">
      <c r="A353" t="s">
        <v>716</v>
      </c>
      <c r="B353" s="1">
        <v>45775</v>
      </c>
      <c r="C353" t="s">
        <v>92</v>
      </c>
      <c r="D353" t="s">
        <v>39</v>
      </c>
      <c r="E353" t="s">
        <v>83</v>
      </c>
      <c r="F353" t="s">
        <v>58</v>
      </c>
      <c r="G353" t="s">
        <v>59</v>
      </c>
      <c r="H353" t="s">
        <v>117</v>
      </c>
      <c r="I353" t="s">
        <v>166</v>
      </c>
      <c r="J353" t="s">
        <v>62</v>
      </c>
      <c r="K353" t="s">
        <v>33</v>
      </c>
      <c r="L353" t="s">
        <v>78</v>
      </c>
      <c r="M353" t="s">
        <v>94</v>
      </c>
      <c r="N353" t="s">
        <v>113</v>
      </c>
      <c r="O353">
        <v>45</v>
      </c>
      <c r="P353">
        <v>0</v>
      </c>
      <c r="Q353">
        <v>51</v>
      </c>
      <c r="R353">
        <v>1050</v>
      </c>
      <c r="S353">
        <v>0</v>
      </c>
      <c r="T353">
        <v>1050</v>
      </c>
      <c r="U353">
        <v>0</v>
      </c>
      <c r="V353">
        <v>0</v>
      </c>
      <c r="W353">
        <v>1</v>
      </c>
      <c r="X353">
        <v>0.85</v>
      </c>
    </row>
    <row r="354" spans="1:24" x14ac:dyDescent="0.3">
      <c r="A354" t="s">
        <v>717</v>
      </c>
      <c r="B354" s="1">
        <v>45866</v>
      </c>
      <c r="C354" t="s">
        <v>101</v>
      </c>
      <c r="D354" t="s">
        <v>39</v>
      </c>
      <c r="E354" t="s">
        <v>83</v>
      </c>
      <c r="F354" t="s">
        <v>28</v>
      </c>
      <c r="G354" t="s">
        <v>29</v>
      </c>
      <c r="H354" t="s">
        <v>30</v>
      </c>
      <c r="I354" t="s">
        <v>192</v>
      </c>
      <c r="J354" t="s">
        <v>99</v>
      </c>
      <c r="K354" t="s">
        <v>33</v>
      </c>
      <c r="L354" t="s">
        <v>34</v>
      </c>
      <c r="M354" t="s">
        <v>71</v>
      </c>
      <c r="N354" t="s">
        <v>36</v>
      </c>
      <c r="O354">
        <v>30</v>
      </c>
      <c r="P354">
        <v>30</v>
      </c>
      <c r="Q354">
        <v>32.799999999999997</v>
      </c>
      <c r="R354">
        <v>600</v>
      </c>
      <c r="S354">
        <v>600</v>
      </c>
      <c r="T354">
        <v>0</v>
      </c>
      <c r="U354">
        <v>0</v>
      </c>
      <c r="V354">
        <v>1</v>
      </c>
      <c r="W354">
        <v>0</v>
      </c>
      <c r="X354">
        <v>0.85</v>
      </c>
    </row>
    <row r="355" spans="1:24" x14ac:dyDescent="0.3">
      <c r="A355" t="s">
        <v>718</v>
      </c>
      <c r="B355" s="1">
        <v>45663</v>
      </c>
      <c r="C355" t="s">
        <v>130</v>
      </c>
      <c r="D355" t="s">
        <v>39</v>
      </c>
      <c r="E355" t="s">
        <v>40</v>
      </c>
      <c r="F355" t="s">
        <v>41</v>
      </c>
      <c r="G355" t="s">
        <v>42</v>
      </c>
      <c r="H355" t="s">
        <v>111</v>
      </c>
      <c r="I355" t="s">
        <v>631</v>
      </c>
      <c r="J355" t="s">
        <v>99</v>
      </c>
      <c r="K355" t="s">
        <v>70</v>
      </c>
      <c r="L355" t="s">
        <v>34</v>
      </c>
      <c r="M355" t="s">
        <v>65</v>
      </c>
      <c r="N355" t="s">
        <v>36</v>
      </c>
      <c r="O355">
        <v>30</v>
      </c>
      <c r="P355">
        <v>30</v>
      </c>
      <c r="Q355">
        <v>40</v>
      </c>
      <c r="R355">
        <v>700</v>
      </c>
      <c r="S355">
        <v>700</v>
      </c>
      <c r="T355">
        <v>0</v>
      </c>
      <c r="U355">
        <v>0</v>
      </c>
      <c r="V355">
        <v>1</v>
      </c>
      <c r="W355">
        <v>0</v>
      </c>
      <c r="X355">
        <v>0.85</v>
      </c>
    </row>
    <row r="356" spans="1:24" x14ac:dyDescent="0.3">
      <c r="A356" t="s">
        <v>719</v>
      </c>
      <c r="B356" s="1">
        <v>45726</v>
      </c>
      <c r="C356" t="s">
        <v>56</v>
      </c>
      <c r="D356" t="s">
        <v>39</v>
      </c>
      <c r="E356" t="s">
        <v>27</v>
      </c>
      <c r="F356" t="s">
        <v>41</v>
      </c>
      <c r="G356" t="s">
        <v>42</v>
      </c>
      <c r="H356" t="s">
        <v>89</v>
      </c>
      <c r="I356" t="s">
        <v>720</v>
      </c>
      <c r="J356" t="s">
        <v>62</v>
      </c>
      <c r="K356" t="s">
        <v>63</v>
      </c>
      <c r="L356" t="s">
        <v>54</v>
      </c>
      <c r="M356" t="s">
        <v>71</v>
      </c>
      <c r="N356" t="s">
        <v>36</v>
      </c>
      <c r="O356">
        <v>30</v>
      </c>
      <c r="P356">
        <v>30</v>
      </c>
      <c r="Q356">
        <v>34.9</v>
      </c>
      <c r="R356">
        <v>550</v>
      </c>
      <c r="S356">
        <v>550</v>
      </c>
      <c r="T356">
        <v>0</v>
      </c>
      <c r="U356">
        <v>0</v>
      </c>
      <c r="V356">
        <v>1</v>
      </c>
      <c r="W356">
        <v>0</v>
      </c>
      <c r="X356">
        <v>0.85</v>
      </c>
    </row>
    <row r="357" spans="1:24" x14ac:dyDescent="0.3">
      <c r="A357" t="s">
        <v>721</v>
      </c>
      <c r="B357" s="1">
        <v>45835</v>
      </c>
      <c r="C357" t="s">
        <v>67</v>
      </c>
      <c r="D357" t="s">
        <v>82</v>
      </c>
      <c r="E357" t="s">
        <v>83</v>
      </c>
      <c r="F357" t="s">
        <v>41</v>
      </c>
      <c r="G357" t="s">
        <v>42</v>
      </c>
      <c r="H357" t="s">
        <v>43</v>
      </c>
      <c r="I357" t="s">
        <v>722</v>
      </c>
      <c r="J357" t="s">
        <v>45</v>
      </c>
      <c r="K357" t="s">
        <v>33</v>
      </c>
      <c r="L357" t="s">
        <v>54</v>
      </c>
      <c r="M357" t="s">
        <v>86</v>
      </c>
      <c r="N357" t="s">
        <v>95</v>
      </c>
      <c r="O357">
        <v>75</v>
      </c>
      <c r="P357">
        <v>0</v>
      </c>
      <c r="Q357">
        <v>94.8</v>
      </c>
      <c r="R357">
        <v>1650</v>
      </c>
      <c r="S357">
        <v>0</v>
      </c>
      <c r="T357">
        <v>1650</v>
      </c>
      <c r="U357">
        <v>1</v>
      </c>
      <c r="V357">
        <v>0</v>
      </c>
      <c r="W357">
        <v>0</v>
      </c>
      <c r="X357">
        <v>0.85</v>
      </c>
    </row>
    <row r="358" spans="1:24" x14ac:dyDescent="0.3">
      <c r="A358" t="s">
        <v>723</v>
      </c>
      <c r="B358" s="1">
        <v>45954</v>
      </c>
      <c r="C358" t="s">
        <v>97</v>
      </c>
      <c r="D358" t="s">
        <v>82</v>
      </c>
      <c r="E358" t="s">
        <v>68</v>
      </c>
      <c r="F358" t="s">
        <v>41</v>
      </c>
      <c r="G358" t="s">
        <v>42</v>
      </c>
      <c r="H358" t="s">
        <v>43</v>
      </c>
      <c r="I358" t="s">
        <v>724</v>
      </c>
      <c r="J358" t="s">
        <v>53</v>
      </c>
      <c r="K358" t="s">
        <v>46</v>
      </c>
      <c r="L358" t="s">
        <v>34</v>
      </c>
      <c r="M358" t="s">
        <v>65</v>
      </c>
      <c r="N358" t="s">
        <v>36</v>
      </c>
      <c r="O358">
        <v>30</v>
      </c>
      <c r="P358">
        <v>30</v>
      </c>
      <c r="Q358">
        <v>35.6</v>
      </c>
      <c r="R358">
        <v>800</v>
      </c>
      <c r="S358">
        <v>800</v>
      </c>
      <c r="T358">
        <v>0</v>
      </c>
      <c r="U358">
        <v>0</v>
      </c>
      <c r="V358">
        <v>1</v>
      </c>
      <c r="W358">
        <v>0</v>
      </c>
      <c r="X358">
        <v>0.85</v>
      </c>
    </row>
    <row r="359" spans="1:24" x14ac:dyDescent="0.3">
      <c r="A359" t="s">
        <v>725</v>
      </c>
      <c r="B359" s="1">
        <v>45993</v>
      </c>
      <c r="C359" t="s">
        <v>25</v>
      </c>
      <c r="D359" t="s">
        <v>26</v>
      </c>
      <c r="E359" t="s">
        <v>68</v>
      </c>
      <c r="F359" t="s">
        <v>58</v>
      </c>
      <c r="G359" t="s">
        <v>59</v>
      </c>
      <c r="H359" t="s">
        <v>296</v>
      </c>
      <c r="I359" t="s">
        <v>726</v>
      </c>
      <c r="J359" t="s">
        <v>53</v>
      </c>
      <c r="K359" t="s">
        <v>63</v>
      </c>
      <c r="L359" t="s">
        <v>34</v>
      </c>
      <c r="M359" t="s">
        <v>47</v>
      </c>
      <c r="N359" t="s">
        <v>36</v>
      </c>
      <c r="O359">
        <v>90</v>
      </c>
      <c r="P359">
        <v>90</v>
      </c>
      <c r="Q359">
        <v>107.1</v>
      </c>
      <c r="R359">
        <v>2700</v>
      </c>
      <c r="S359">
        <v>2700</v>
      </c>
      <c r="T359">
        <v>0</v>
      </c>
      <c r="U359">
        <v>0</v>
      </c>
      <c r="V359">
        <v>1</v>
      </c>
      <c r="W359">
        <v>0</v>
      </c>
      <c r="X359">
        <v>0.85</v>
      </c>
    </row>
    <row r="360" spans="1:24" x14ac:dyDescent="0.3">
      <c r="A360" t="s">
        <v>727</v>
      </c>
      <c r="B360" s="1">
        <v>45834</v>
      </c>
      <c r="C360" t="s">
        <v>67</v>
      </c>
      <c r="D360" t="s">
        <v>50</v>
      </c>
      <c r="E360" t="s">
        <v>68</v>
      </c>
      <c r="F360" t="s">
        <v>28</v>
      </c>
      <c r="G360" t="s">
        <v>29</v>
      </c>
      <c r="H360" t="s">
        <v>210</v>
      </c>
      <c r="I360" t="s">
        <v>728</v>
      </c>
      <c r="J360" t="s">
        <v>137</v>
      </c>
      <c r="K360" t="s">
        <v>104</v>
      </c>
      <c r="L360" t="s">
        <v>64</v>
      </c>
      <c r="M360" t="s">
        <v>65</v>
      </c>
      <c r="N360" t="s">
        <v>36</v>
      </c>
      <c r="O360">
        <v>60</v>
      </c>
      <c r="P360">
        <v>60</v>
      </c>
      <c r="Q360">
        <v>68.099999999999994</v>
      </c>
      <c r="R360">
        <v>1250</v>
      </c>
      <c r="S360">
        <v>1250</v>
      </c>
      <c r="T360">
        <v>0</v>
      </c>
      <c r="U360">
        <v>0</v>
      </c>
      <c r="V360">
        <v>1</v>
      </c>
      <c r="W360">
        <v>0</v>
      </c>
      <c r="X360">
        <v>0.85</v>
      </c>
    </row>
    <row r="361" spans="1:24" x14ac:dyDescent="0.3">
      <c r="A361" t="s">
        <v>729</v>
      </c>
      <c r="B361" s="1">
        <v>45751</v>
      </c>
      <c r="C361" t="s">
        <v>92</v>
      </c>
      <c r="D361" t="s">
        <v>82</v>
      </c>
      <c r="E361" t="s">
        <v>83</v>
      </c>
      <c r="F361" t="s">
        <v>58</v>
      </c>
      <c r="G361" t="s">
        <v>59</v>
      </c>
      <c r="H361" t="s">
        <v>73</v>
      </c>
      <c r="I361" t="s">
        <v>730</v>
      </c>
      <c r="J361" t="s">
        <v>137</v>
      </c>
      <c r="K361" t="s">
        <v>33</v>
      </c>
      <c r="L361" t="s">
        <v>34</v>
      </c>
      <c r="M361" t="s">
        <v>71</v>
      </c>
      <c r="N361" t="s">
        <v>36</v>
      </c>
      <c r="O361">
        <v>60</v>
      </c>
      <c r="P361">
        <v>60</v>
      </c>
      <c r="Q361">
        <v>79.8</v>
      </c>
      <c r="R361">
        <v>1500</v>
      </c>
      <c r="S361">
        <v>1500</v>
      </c>
      <c r="T361">
        <v>0</v>
      </c>
      <c r="U361">
        <v>0</v>
      </c>
      <c r="V361">
        <v>1</v>
      </c>
      <c r="W361">
        <v>0</v>
      </c>
      <c r="X361">
        <v>0.85</v>
      </c>
    </row>
    <row r="362" spans="1:24" x14ac:dyDescent="0.3">
      <c r="A362" t="s">
        <v>731</v>
      </c>
      <c r="B362" s="1">
        <v>45876</v>
      </c>
      <c r="C362" t="s">
        <v>110</v>
      </c>
      <c r="D362" t="s">
        <v>50</v>
      </c>
      <c r="E362" t="s">
        <v>68</v>
      </c>
      <c r="F362" t="s">
        <v>58</v>
      </c>
      <c r="G362" t="s">
        <v>59</v>
      </c>
      <c r="H362" t="s">
        <v>296</v>
      </c>
      <c r="I362" t="s">
        <v>732</v>
      </c>
      <c r="J362" t="s">
        <v>137</v>
      </c>
      <c r="K362" t="s">
        <v>70</v>
      </c>
      <c r="L362" t="s">
        <v>34</v>
      </c>
      <c r="M362" t="s">
        <v>86</v>
      </c>
      <c r="N362" t="s">
        <v>36</v>
      </c>
      <c r="O362">
        <v>90</v>
      </c>
      <c r="P362">
        <v>90</v>
      </c>
      <c r="Q362">
        <v>117.7</v>
      </c>
      <c r="R362">
        <v>2250</v>
      </c>
      <c r="S362">
        <v>2250</v>
      </c>
      <c r="T362">
        <v>0</v>
      </c>
      <c r="U362">
        <v>0</v>
      </c>
      <c r="V362">
        <v>1</v>
      </c>
      <c r="W362">
        <v>0</v>
      </c>
      <c r="X362">
        <v>0.85</v>
      </c>
    </row>
    <row r="363" spans="1:24" x14ac:dyDescent="0.3">
      <c r="A363" t="s">
        <v>733</v>
      </c>
      <c r="B363" s="1">
        <v>45675</v>
      </c>
      <c r="C363" t="s">
        <v>130</v>
      </c>
      <c r="D363" t="s">
        <v>88</v>
      </c>
      <c r="E363" t="s">
        <v>40</v>
      </c>
      <c r="F363" t="s">
        <v>28</v>
      </c>
      <c r="G363" t="s">
        <v>29</v>
      </c>
      <c r="H363" t="s">
        <v>30</v>
      </c>
      <c r="I363" t="s">
        <v>364</v>
      </c>
      <c r="J363" t="s">
        <v>62</v>
      </c>
      <c r="K363" t="s">
        <v>63</v>
      </c>
      <c r="L363" t="s">
        <v>78</v>
      </c>
      <c r="M363" t="s">
        <v>47</v>
      </c>
      <c r="N363" t="s">
        <v>36</v>
      </c>
      <c r="O363">
        <v>30</v>
      </c>
      <c r="P363">
        <v>30</v>
      </c>
      <c r="Q363">
        <v>32.9</v>
      </c>
      <c r="R363">
        <v>600</v>
      </c>
      <c r="S363">
        <v>600</v>
      </c>
      <c r="T363">
        <v>0</v>
      </c>
      <c r="U363">
        <v>0</v>
      </c>
      <c r="V363">
        <v>1</v>
      </c>
      <c r="W363">
        <v>0</v>
      </c>
      <c r="X363">
        <v>0.85</v>
      </c>
    </row>
    <row r="364" spans="1:24" x14ac:dyDescent="0.3">
      <c r="A364" t="s">
        <v>734</v>
      </c>
      <c r="B364" s="1">
        <v>45855</v>
      </c>
      <c r="C364" t="s">
        <v>101</v>
      </c>
      <c r="D364" t="s">
        <v>50</v>
      </c>
      <c r="E364" t="s">
        <v>68</v>
      </c>
      <c r="F364" t="s">
        <v>28</v>
      </c>
      <c r="G364" t="s">
        <v>29</v>
      </c>
      <c r="H364" t="s">
        <v>30</v>
      </c>
      <c r="I364" t="s">
        <v>735</v>
      </c>
      <c r="J364" t="s">
        <v>99</v>
      </c>
      <c r="K364" t="s">
        <v>63</v>
      </c>
      <c r="L364" t="s">
        <v>34</v>
      </c>
      <c r="M364" t="s">
        <v>71</v>
      </c>
      <c r="N364" t="s">
        <v>36</v>
      </c>
      <c r="O364">
        <v>60</v>
      </c>
      <c r="P364">
        <v>60</v>
      </c>
      <c r="Q364">
        <v>67.599999999999994</v>
      </c>
      <c r="R364">
        <v>1250</v>
      </c>
      <c r="S364">
        <v>1250</v>
      </c>
      <c r="T364">
        <v>0</v>
      </c>
      <c r="U364">
        <v>0</v>
      </c>
      <c r="V364">
        <v>1</v>
      </c>
      <c r="W364">
        <v>0</v>
      </c>
      <c r="X364">
        <v>0.85</v>
      </c>
    </row>
    <row r="365" spans="1:24" x14ac:dyDescent="0.3">
      <c r="A365" t="s">
        <v>736</v>
      </c>
      <c r="B365" s="1">
        <v>45703</v>
      </c>
      <c r="C365" t="s">
        <v>76</v>
      </c>
      <c r="D365" t="s">
        <v>88</v>
      </c>
      <c r="E365" t="s">
        <v>40</v>
      </c>
      <c r="F365" t="s">
        <v>58</v>
      </c>
      <c r="G365" t="s">
        <v>59</v>
      </c>
      <c r="H365" t="s">
        <v>117</v>
      </c>
      <c r="I365" t="s">
        <v>503</v>
      </c>
      <c r="J365" t="s">
        <v>53</v>
      </c>
      <c r="K365" t="s">
        <v>46</v>
      </c>
      <c r="L365" t="s">
        <v>34</v>
      </c>
      <c r="M365" t="s">
        <v>86</v>
      </c>
      <c r="N365" t="s">
        <v>113</v>
      </c>
      <c r="O365">
        <v>45</v>
      </c>
      <c r="P365">
        <v>0</v>
      </c>
      <c r="Q365">
        <v>59</v>
      </c>
      <c r="R365">
        <v>1350</v>
      </c>
      <c r="S365">
        <v>0</v>
      </c>
      <c r="T365">
        <v>1350</v>
      </c>
      <c r="U365">
        <v>0</v>
      </c>
      <c r="V365">
        <v>0</v>
      </c>
      <c r="W365">
        <v>1</v>
      </c>
      <c r="X365">
        <v>0.85</v>
      </c>
    </row>
    <row r="366" spans="1:24" x14ac:dyDescent="0.3">
      <c r="A366" t="s">
        <v>737</v>
      </c>
      <c r="B366" s="1">
        <v>46003</v>
      </c>
      <c r="C366" t="s">
        <v>25</v>
      </c>
      <c r="D366" t="s">
        <v>82</v>
      </c>
      <c r="E366" t="s">
        <v>27</v>
      </c>
      <c r="F366" t="s">
        <v>41</v>
      </c>
      <c r="G366" t="s">
        <v>42</v>
      </c>
      <c r="H366" t="s">
        <v>111</v>
      </c>
      <c r="I366" t="s">
        <v>663</v>
      </c>
      <c r="J366" t="s">
        <v>62</v>
      </c>
      <c r="K366" t="s">
        <v>33</v>
      </c>
      <c r="L366" t="s">
        <v>34</v>
      </c>
      <c r="M366" t="s">
        <v>94</v>
      </c>
      <c r="N366" t="s">
        <v>36</v>
      </c>
      <c r="O366">
        <v>45</v>
      </c>
      <c r="P366">
        <v>45</v>
      </c>
      <c r="Q366">
        <v>50.2</v>
      </c>
      <c r="R366">
        <v>1000</v>
      </c>
      <c r="S366">
        <v>1000</v>
      </c>
      <c r="T366">
        <v>0</v>
      </c>
      <c r="U366">
        <v>0</v>
      </c>
      <c r="V366">
        <v>1</v>
      </c>
      <c r="W366">
        <v>0</v>
      </c>
      <c r="X366">
        <v>0.85</v>
      </c>
    </row>
    <row r="367" spans="1:24" x14ac:dyDescent="0.3">
      <c r="A367" t="s">
        <v>738</v>
      </c>
      <c r="B367" s="1">
        <v>45867</v>
      </c>
      <c r="C367" t="s">
        <v>101</v>
      </c>
      <c r="D367" t="s">
        <v>26</v>
      </c>
      <c r="E367" t="s">
        <v>27</v>
      </c>
      <c r="F367" t="s">
        <v>28</v>
      </c>
      <c r="G367" t="s">
        <v>29</v>
      </c>
      <c r="H367" t="s">
        <v>135</v>
      </c>
      <c r="I367" t="s">
        <v>739</v>
      </c>
      <c r="J367" t="s">
        <v>45</v>
      </c>
      <c r="K367" t="s">
        <v>104</v>
      </c>
      <c r="L367" t="s">
        <v>34</v>
      </c>
      <c r="M367" t="s">
        <v>71</v>
      </c>
      <c r="N367" t="s">
        <v>36</v>
      </c>
      <c r="O367">
        <v>60</v>
      </c>
      <c r="P367">
        <v>60</v>
      </c>
      <c r="Q367">
        <v>74.3</v>
      </c>
      <c r="R367">
        <v>1450</v>
      </c>
      <c r="S367">
        <v>1450</v>
      </c>
      <c r="T367">
        <v>0</v>
      </c>
      <c r="U367">
        <v>0</v>
      </c>
      <c r="V367">
        <v>1</v>
      </c>
      <c r="W367">
        <v>0</v>
      </c>
      <c r="X367">
        <v>0.85</v>
      </c>
    </row>
    <row r="368" spans="1:24" x14ac:dyDescent="0.3">
      <c r="A368" t="s">
        <v>740</v>
      </c>
      <c r="B368" s="1">
        <v>45943</v>
      </c>
      <c r="C368" t="s">
        <v>97</v>
      </c>
      <c r="D368" t="s">
        <v>39</v>
      </c>
      <c r="E368" t="s">
        <v>83</v>
      </c>
      <c r="F368" t="s">
        <v>28</v>
      </c>
      <c r="G368" t="s">
        <v>29</v>
      </c>
      <c r="H368" t="s">
        <v>120</v>
      </c>
      <c r="I368" t="s">
        <v>741</v>
      </c>
      <c r="J368" t="s">
        <v>32</v>
      </c>
      <c r="K368" t="s">
        <v>33</v>
      </c>
      <c r="L368" t="s">
        <v>64</v>
      </c>
      <c r="M368" t="s">
        <v>47</v>
      </c>
      <c r="N368" t="s">
        <v>36</v>
      </c>
      <c r="O368">
        <v>75</v>
      </c>
      <c r="P368">
        <v>75</v>
      </c>
      <c r="Q368">
        <v>99.9</v>
      </c>
      <c r="R368">
        <v>1550</v>
      </c>
      <c r="S368">
        <v>1550</v>
      </c>
      <c r="T368">
        <v>0</v>
      </c>
      <c r="U368">
        <v>0</v>
      </c>
      <c r="V368">
        <v>1</v>
      </c>
      <c r="W368">
        <v>0</v>
      </c>
      <c r="X368">
        <v>0.85</v>
      </c>
    </row>
    <row r="369" spans="1:24" x14ac:dyDescent="0.3">
      <c r="A369" t="s">
        <v>742</v>
      </c>
      <c r="B369" s="1">
        <v>45832</v>
      </c>
      <c r="C369" t="s">
        <v>67</v>
      </c>
      <c r="D369" t="s">
        <v>26</v>
      </c>
      <c r="E369" t="s">
        <v>68</v>
      </c>
      <c r="F369" t="s">
        <v>28</v>
      </c>
      <c r="G369" t="s">
        <v>29</v>
      </c>
      <c r="H369" t="s">
        <v>210</v>
      </c>
      <c r="I369" t="s">
        <v>724</v>
      </c>
      <c r="J369" t="s">
        <v>32</v>
      </c>
      <c r="K369" t="s">
        <v>63</v>
      </c>
      <c r="L369" t="s">
        <v>34</v>
      </c>
      <c r="M369" t="s">
        <v>47</v>
      </c>
      <c r="N369" t="s">
        <v>95</v>
      </c>
      <c r="O369">
        <v>60</v>
      </c>
      <c r="P369">
        <v>0</v>
      </c>
      <c r="Q369">
        <v>66.5</v>
      </c>
      <c r="R369">
        <v>1250</v>
      </c>
      <c r="S369">
        <v>0</v>
      </c>
      <c r="T369">
        <v>1250</v>
      </c>
      <c r="U369">
        <v>1</v>
      </c>
      <c r="V369">
        <v>0</v>
      </c>
      <c r="W369">
        <v>0</v>
      </c>
      <c r="X369">
        <v>0.85</v>
      </c>
    </row>
    <row r="370" spans="1:24" x14ac:dyDescent="0.3">
      <c r="A370" t="s">
        <v>743</v>
      </c>
      <c r="B370" s="1">
        <v>45873</v>
      </c>
      <c r="C370" t="s">
        <v>110</v>
      </c>
      <c r="D370" t="s">
        <v>39</v>
      </c>
      <c r="E370" t="s">
        <v>68</v>
      </c>
      <c r="F370" t="s">
        <v>58</v>
      </c>
      <c r="G370" t="s">
        <v>59</v>
      </c>
      <c r="H370" t="s">
        <v>60</v>
      </c>
      <c r="I370" t="s">
        <v>744</v>
      </c>
      <c r="J370" t="s">
        <v>62</v>
      </c>
      <c r="K370" t="s">
        <v>46</v>
      </c>
      <c r="L370" t="s">
        <v>34</v>
      </c>
      <c r="M370" t="s">
        <v>94</v>
      </c>
      <c r="N370" t="s">
        <v>36</v>
      </c>
      <c r="O370">
        <v>60</v>
      </c>
      <c r="P370">
        <v>60</v>
      </c>
      <c r="Q370">
        <v>77.400000000000006</v>
      </c>
      <c r="R370">
        <v>1500</v>
      </c>
      <c r="S370">
        <v>1500</v>
      </c>
      <c r="T370">
        <v>0</v>
      </c>
      <c r="U370">
        <v>0</v>
      </c>
      <c r="V370">
        <v>1</v>
      </c>
      <c r="W370">
        <v>0</v>
      </c>
      <c r="X370">
        <v>0.85</v>
      </c>
    </row>
    <row r="371" spans="1:24" x14ac:dyDescent="0.3">
      <c r="A371" t="s">
        <v>745</v>
      </c>
      <c r="B371" s="1">
        <v>45872</v>
      </c>
      <c r="C371" t="s">
        <v>110</v>
      </c>
      <c r="D371" t="s">
        <v>287</v>
      </c>
      <c r="E371" t="s">
        <v>68</v>
      </c>
      <c r="F371" t="s">
        <v>41</v>
      </c>
      <c r="G371" t="s">
        <v>42</v>
      </c>
      <c r="H371" t="s">
        <v>89</v>
      </c>
      <c r="I371" t="s">
        <v>330</v>
      </c>
      <c r="J371" t="s">
        <v>62</v>
      </c>
      <c r="K371" t="s">
        <v>104</v>
      </c>
      <c r="L371" t="s">
        <v>34</v>
      </c>
      <c r="M371" t="s">
        <v>65</v>
      </c>
      <c r="N371" t="s">
        <v>36</v>
      </c>
      <c r="O371">
        <v>90</v>
      </c>
      <c r="P371">
        <v>90</v>
      </c>
      <c r="Q371">
        <v>100.5</v>
      </c>
      <c r="R371">
        <v>2000</v>
      </c>
      <c r="S371">
        <v>2000</v>
      </c>
      <c r="T371">
        <v>0</v>
      </c>
      <c r="U371">
        <v>0</v>
      </c>
      <c r="V371">
        <v>1</v>
      </c>
      <c r="W371">
        <v>0</v>
      </c>
      <c r="X371">
        <v>0.85</v>
      </c>
    </row>
    <row r="372" spans="1:24" x14ac:dyDescent="0.3">
      <c r="A372" t="s">
        <v>746</v>
      </c>
      <c r="B372" s="1">
        <v>45745</v>
      </c>
      <c r="C372" t="s">
        <v>56</v>
      </c>
      <c r="D372" t="s">
        <v>88</v>
      </c>
      <c r="E372" t="s">
        <v>68</v>
      </c>
      <c r="F372" t="s">
        <v>41</v>
      </c>
      <c r="G372" t="s">
        <v>42</v>
      </c>
      <c r="H372" t="s">
        <v>43</v>
      </c>
      <c r="I372" t="s">
        <v>747</v>
      </c>
      <c r="J372" t="s">
        <v>62</v>
      </c>
      <c r="K372" t="s">
        <v>46</v>
      </c>
      <c r="L372" t="s">
        <v>54</v>
      </c>
      <c r="M372" t="s">
        <v>35</v>
      </c>
      <c r="N372" t="s">
        <v>95</v>
      </c>
      <c r="O372">
        <v>45</v>
      </c>
      <c r="P372">
        <v>0</v>
      </c>
      <c r="Q372">
        <v>53.9</v>
      </c>
      <c r="R372">
        <v>850</v>
      </c>
      <c r="S372">
        <v>0</v>
      </c>
      <c r="T372">
        <v>850</v>
      </c>
      <c r="U372">
        <v>1</v>
      </c>
      <c r="V372">
        <v>0</v>
      </c>
      <c r="W372">
        <v>0</v>
      </c>
      <c r="X372">
        <v>0.85</v>
      </c>
    </row>
    <row r="373" spans="1:24" x14ac:dyDescent="0.3">
      <c r="A373" t="s">
        <v>748</v>
      </c>
      <c r="B373" s="1">
        <v>45801</v>
      </c>
      <c r="C373" t="s">
        <v>128</v>
      </c>
      <c r="D373" t="s">
        <v>88</v>
      </c>
      <c r="E373" t="s">
        <v>27</v>
      </c>
      <c r="F373" t="s">
        <v>41</v>
      </c>
      <c r="G373" t="s">
        <v>42</v>
      </c>
      <c r="H373" t="s">
        <v>51</v>
      </c>
      <c r="I373" t="s">
        <v>505</v>
      </c>
      <c r="J373" t="s">
        <v>62</v>
      </c>
      <c r="K373" t="s">
        <v>63</v>
      </c>
      <c r="L373" t="s">
        <v>78</v>
      </c>
      <c r="M373" t="s">
        <v>47</v>
      </c>
      <c r="N373" t="s">
        <v>95</v>
      </c>
      <c r="O373">
        <v>60</v>
      </c>
      <c r="P373">
        <v>0</v>
      </c>
      <c r="Q373">
        <v>69.5</v>
      </c>
      <c r="R373">
        <v>1250</v>
      </c>
      <c r="S373">
        <v>0</v>
      </c>
      <c r="T373">
        <v>1250</v>
      </c>
      <c r="U373">
        <v>1</v>
      </c>
      <c r="V373">
        <v>0</v>
      </c>
      <c r="W373">
        <v>0</v>
      </c>
      <c r="X373">
        <v>0.85</v>
      </c>
    </row>
    <row r="374" spans="1:24" x14ac:dyDescent="0.3">
      <c r="A374" t="s">
        <v>749</v>
      </c>
      <c r="B374" s="1">
        <v>45848</v>
      </c>
      <c r="C374" t="s">
        <v>101</v>
      </c>
      <c r="D374" t="s">
        <v>50</v>
      </c>
      <c r="E374" t="s">
        <v>83</v>
      </c>
      <c r="F374" t="s">
        <v>58</v>
      </c>
      <c r="G374" t="s">
        <v>59</v>
      </c>
      <c r="H374" t="s">
        <v>151</v>
      </c>
      <c r="I374" t="s">
        <v>750</v>
      </c>
      <c r="J374" t="s">
        <v>45</v>
      </c>
      <c r="K374" t="s">
        <v>85</v>
      </c>
      <c r="L374" t="s">
        <v>54</v>
      </c>
      <c r="M374" t="s">
        <v>35</v>
      </c>
      <c r="N374" t="s">
        <v>36</v>
      </c>
      <c r="O374">
        <v>60</v>
      </c>
      <c r="P374">
        <v>60</v>
      </c>
      <c r="Q374">
        <v>69.400000000000006</v>
      </c>
      <c r="R374">
        <v>1450</v>
      </c>
      <c r="S374">
        <v>1450</v>
      </c>
      <c r="T374">
        <v>0</v>
      </c>
      <c r="U374">
        <v>0</v>
      </c>
      <c r="V374">
        <v>1</v>
      </c>
      <c r="W374">
        <v>0</v>
      </c>
      <c r="X374">
        <v>0.85</v>
      </c>
    </row>
    <row r="375" spans="1:24" x14ac:dyDescent="0.3">
      <c r="A375" t="s">
        <v>751</v>
      </c>
      <c r="B375" s="1">
        <v>45804</v>
      </c>
      <c r="C375" t="s">
        <v>128</v>
      </c>
      <c r="D375" t="s">
        <v>26</v>
      </c>
      <c r="E375" t="s">
        <v>68</v>
      </c>
      <c r="F375" t="s">
        <v>28</v>
      </c>
      <c r="G375" t="s">
        <v>29</v>
      </c>
      <c r="H375" t="s">
        <v>120</v>
      </c>
      <c r="I375" t="s">
        <v>752</v>
      </c>
      <c r="J375" t="s">
        <v>32</v>
      </c>
      <c r="K375" t="s">
        <v>85</v>
      </c>
      <c r="L375" t="s">
        <v>54</v>
      </c>
      <c r="M375" t="s">
        <v>35</v>
      </c>
      <c r="N375" t="s">
        <v>36</v>
      </c>
      <c r="O375">
        <v>45</v>
      </c>
      <c r="P375">
        <v>45</v>
      </c>
      <c r="Q375">
        <v>49.9</v>
      </c>
      <c r="R375">
        <v>800</v>
      </c>
      <c r="S375">
        <v>800</v>
      </c>
      <c r="T375">
        <v>0</v>
      </c>
      <c r="U375">
        <v>0</v>
      </c>
      <c r="V375">
        <v>1</v>
      </c>
      <c r="W375">
        <v>0</v>
      </c>
      <c r="X375">
        <v>0.85</v>
      </c>
    </row>
    <row r="376" spans="1:24" x14ac:dyDescent="0.3">
      <c r="A376" t="s">
        <v>753</v>
      </c>
      <c r="B376" s="1">
        <v>45759</v>
      </c>
      <c r="C376" t="s">
        <v>92</v>
      </c>
      <c r="D376" t="s">
        <v>88</v>
      </c>
      <c r="E376" t="s">
        <v>27</v>
      </c>
      <c r="F376" t="s">
        <v>58</v>
      </c>
      <c r="G376" t="s">
        <v>59</v>
      </c>
      <c r="H376" t="s">
        <v>151</v>
      </c>
      <c r="I376" t="s">
        <v>754</v>
      </c>
      <c r="J376" t="s">
        <v>32</v>
      </c>
      <c r="K376" t="s">
        <v>63</v>
      </c>
      <c r="L376" t="s">
        <v>34</v>
      </c>
      <c r="M376" t="s">
        <v>35</v>
      </c>
      <c r="N376" t="s">
        <v>36</v>
      </c>
      <c r="O376">
        <v>60</v>
      </c>
      <c r="P376">
        <v>60</v>
      </c>
      <c r="Q376">
        <v>70</v>
      </c>
      <c r="R376">
        <v>1500</v>
      </c>
      <c r="S376">
        <v>1500</v>
      </c>
      <c r="T376">
        <v>0</v>
      </c>
      <c r="U376">
        <v>0</v>
      </c>
      <c r="V376">
        <v>1</v>
      </c>
      <c r="W376">
        <v>0</v>
      </c>
      <c r="X376">
        <v>0.85</v>
      </c>
    </row>
    <row r="377" spans="1:24" x14ac:dyDescent="0.3">
      <c r="A377" t="s">
        <v>755</v>
      </c>
      <c r="B377" s="1">
        <v>45924</v>
      </c>
      <c r="C377" t="s">
        <v>49</v>
      </c>
      <c r="D377" t="s">
        <v>57</v>
      </c>
      <c r="E377" t="s">
        <v>40</v>
      </c>
      <c r="F377" t="s">
        <v>41</v>
      </c>
      <c r="G377" t="s">
        <v>42</v>
      </c>
      <c r="H377" t="s">
        <v>111</v>
      </c>
      <c r="I377" t="s">
        <v>756</v>
      </c>
      <c r="J377" t="s">
        <v>32</v>
      </c>
      <c r="K377" t="s">
        <v>33</v>
      </c>
      <c r="L377" t="s">
        <v>34</v>
      </c>
      <c r="M377" t="s">
        <v>35</v>
      </c>
      <c r="N377" t="s">
        <v>36</v>
      </c>
      <c r="O377">
        <v>60</v>
      </c>
      <c r="P377">
        <v>60</v>
      </c>
      <c r="Q377">
        <v>71</v>
      </c>
      <c r="R377">
        <v>1350</v>
      </c>
      <c r="S377">
        <v>1350</v>
      </c>
      <c r="T377">
        <v>0</v>
      </c>
      <c r="U377">
        <v>0</v>
      </c>
      <c r="V377">
        <v>1</v>
      </c>
      <c r="W377">
        <v>0</v>
      </c>
      <c r="X377">
        <v>0.85</v>
      </c>
    </row>
    <row r="378" spans="1:24" x14ac:dyDescent="0.3">
      <c r="A378" t="s">
        <v>757</v>
      </c>
      <c r="B378" s="1">
        <v>45699</v>
      </c>
      <c r="C378" t="s">
        <v>76</v>
      </c>
      <c r="D378" t="s">
        <v>26</v>
      </c>
      <c r="E378" t="s">
        <v>68</v>
      </c>
      <c r="F378" t="s">
        <v>58</v>
      </c>
      <c r="G378" t="s">
        <v>59</v>
      </c>
      <c r="H378" t="s">
        <v>296</v>
      </c>
      <c r="I378" t="s">
        <v>661</v>
      </c>
      <c r="J378" t="s">
        <v>99</v>
      </c>
      <c r="K378" t="s">
        <v>46</v>
      </c>
      <c r="L378" t="s">
        <v>78</v>
      </c>
      <c r="M378" t="s">
        <v>86</v>
      </c>
      <c r="N378" t="s">
        <v>36</v>
      </c>
      <c r="O378">
        <v>90</v>
      </c>
      <c r="P378">
        <v>90</v>
      </c>
      <c r="Q378">
        <v>108.7</v>
      </c>
      <c r="R378">
        <v>2050</v>
      </c>
      <c r="S378">
        <v>2050</v>
      </c>
      <c r="T378">
        <v>0</v>
      </c>
      <c r="U378">
        <v>0</v>
      </c>
      <c r="V378">
        <v>1</v>
      </c>
      <c r="W378">
        <v>0</v>
      </c>
      <c r="X378">
        <v>0.85</v>
      </c>
    </row>
    <row r="379" spans="1:24" x14ac:dyDescent="0.3">
      <c r="A379" t="s">
        <v>758</v>
      </c>
      <c r="B379" s="1">
        <v>45720</v>
      </c>
      <c r="C379" t="s">
        <v>56</v>
      </c>
      <c r="D379" t="s">
        <v>26</v>
      </c>
      <c r="E379" t="s">
        <v>68</v>
      </c>
      <c r="F379" t="s">
        <v>41</v>
      </c>
      <c r="G379" t="s">
        <v>42</v>
      </c>
      <c r="H379" t="s">
        <v>89</v>
      </c>
      <c r="I379" t="s">
        <v>759</v>
      </c>
      <c r="J379" t="s">
        <v>53</v>
      </c>
      <c r="K379" t="s">
        <v>46</v>
      </c>
      <c r="L379" t="s">
        <v>54</v>
      </c>
      <c r="M379" t="s">
        <v>94</v>
      </c>
      <c r="N379" t="s">
        <v>36</v>
      </c>
      <c r="O379">
        <v>60</v>
      </c>
      <c r="P379">
        <v>60</v>
      </c>
      <c r="Q379">
        <v>79.5</v>
      </c>
      <c r="R379">
        <v>1400</v>
      </c>
      <c r="S379">
        <v>1400</v>
      </c>
      <c r="T379">
        <v>0</v>
      </c>
      <c r="U379">
        <v>0</v>
      </c>
      <c r="V379">
        <v>1</v>
      </c>
      <c r="W379">
        <v>0</v>
      </c>
      <c r="X379">
        <v>0.85</v>
      </c>
    </row>
    <row r="380" spans="1:24" x14ac:dyDescent="0.3">
      <c r="A380" t="s">
        <v>760</v>
      </c>
      <c r="B380" s="1">
        <v>45867</v>
      </c>
      <c r="C380" t="s">
        <v>101</v>
      </c>
      <c r="D380" t="s">
        <v>26</v>
      </c>
      <c r="E380" t="s">
        <v>40</v>
      </c>
      <c r="F380" t="s">
        <v>58</v>
      </c>
      <c r="G380" t="s">
        <v>59</v>
      </c>
      <c r="H380" t="s">
        <v>60</v>
      </c>
      <c r="I380" t="s">
        <v>310</v>
      </c>
      <c r="J380" t="s">
        <v>45</v>
      </c>
      <c r="K380" t="s">
        <v>85</v>
      </c>
      <c r="L380" t="s">
        <v>34</v>
      </c>
      <c r="M380" t="s">
        <v>47</v>
      </c>
      <c r="N380" t="s">
        <v>36</v>
      </c>
      <c r="O380">
        <v>60</v>
      </c>
      <c r="P380">
        <v>60</v>
      </c>
      <c r="Q380">
        <v>79</v>
      </c>
      <c r="R380">
        <v>1700</v>
      </c>
      <c r="S380">
        <v>1700</v>
      </c>
      <c r="T380">
        <v>0</v>
      </c>
      <c r="U380">
        <v>0</v>
      </c>
      <c r="V380">
        <v>1</v>
      </c>
      <c r="W380">
        <v>0</v>
      </c>
      <c r="X380">
        <v>0.85</v>
      </c>
    </row>
    <row r="381" spans="1:24" x14ac:dyDescent="0.3">
      <c r="A381" t="s">
        <v>761</v>
      </c>
      <c r="B381" s="1">
        <v>45950</v>
      </c>
      <c r="C381" t="s">
        <v>97</v>
      </c>
      <c r="D381" t="s">
        <v>39</v>
      </c>
      <c r="E381" t="s">
        <v>83</v>
      </c>
      <c r="F381" t="s">
        <v>58</v>
      </c>
      <c r="G381" t="s">
        <v>59</v>
      </c>
      <c r="H381" t="s">
        <v>117</v>
      </c>
      <c r="I381" t="s">
        <v>762</v>
      </c>
      <c r="J381" t="s">
        <v>62</v>
      </c>
      <c r="K381" t="s">
        <v>70</v>
      </c>
      <c r="L381" t="s">
        <v>78</v>
      </c>
      <c r="M381" t="s">
        <v>71</v>
      </c>
      <c r="N381" t="s">
        <v>36</v>
      </c>
      <c r="O381">
        <v>60</v>
      </c>
      <c r="P381">
        <v>60</v>
      </c>
      <c r="Q381">
        <v>69.900000000000006</v>
      </c>
      <c r="R381">
        <v>1400</v>
      </c>
      <c r="S381">
        <v>1400</v>
      </c>
      <c r="T381">
        <v>0</v>
      </c>
      <c r="U381">
        <v>0</v>
      </c>
      <c r="V381">
        <v>1</v>
      </c>
      <c r="W381">
        <v>0</v>
      </c>
      <c r="X381">
        <v>0.85</v>
      </c>
    </row>
    <row r="382" spans="1:24" x14ac:dyDescent="0.3">
      <c r="A382" t="s">
        <v>763</v>
      </c>
      <c r="B382" s="1">
        <v>45693</v>
      </c>
      <c r="C382" t="s">
        <v>76</v>
      </c>
      <c r="D382" t="s">
        <v>57</v>
      </c>
      <c r="E382" t="s">
        <v>40</v>
      </c>
      <c r="F382" t="s">
        <v>58</v>
      </c>
      <c r="G382" t="s">
        <v>59</v>
      </c>
      <c r="H382" t="s">
        <v>296</v>
      </c>
      <c r="I382" t="s">
        <v>764</v>
      </c>
      <c r="J382" t="s">
        <v>53</v>
      </c>
      <c r="K382" t="s">
        <v>70</v>
      </c>
      <c r="L382" t="s">
        <v>34</v>
      </c>
      <c r="M382" t="s">
        <v>71</v>
      </c>
      <c r="N382" t="s">
        <v>95</v>
      </c>
      <c r="O382">
        <v>45</v>
      </c>
      <c r="P382">
        <v>0</v>
      </c>
      <c r="Q382">
        <v>59.1</v>
      </c>
      <c r="R382">
        <v>1350</v>
      </c>
      <c r="S382">
        <v>0</v>
      </c>
      <c r="T382">
        <v>1350</v>
      </c>
      <c r="U382">
        <v>1</v>
      </c>
      <c r="V382">
        <v>0</v>
      </c>
      <c r="W382">
        <v>0</v>
      </c>
      <c r="X382">
        <v>0.85</v>
      </c>
    </row>
    <row r="383" spans="1:24" x14ac:dyDescent="0.3">
      <c r="A383" t="s">
        <v>765</v>
      </c>
      <c r="B383" s="1">
        <v>45754</v>
      </c>
      <c r="C383" t="s">
        <v>92</v>
      </c>
      <c r="D383" t="s">
        <v>39</v>
      </c>
      <c r="E383" t="s">
        <v>27</v>
      </c>
      <c r="F383" t="s">
        <v>41</v>
      </c>
      <c r="G383" t="s">
        <v>42</v>
      </c>
      <c r="H383" t="s">
        <v>51</v>
      </c>
      <c r="I383" t="s">
        <v>447</v>
      </c>
      <c r="J383" t="s">
        <v>45</v>
      </c>
      <c r="K383" t="s">
        <v>85</v>
      </c>
      <c r="L383" t="s">
        <v>64</v>
      </c>
      <c r="M383" t="s">
        <v>65</v>
      </c>
      <c r="N383" t="s">
        <v>36</v>
      </c>
      <c r="O383">
        <v>30</v>
      </c>
      <c r="P383">
        <v>30</v>
      </c>
      <c r="Q383">
        <v>38.799999999999997</v>
      </c>
      <c r="R383">
        <v>800</v>
      </c>
      <c r="S383">
        <v>800</v>
      </c>
      <c r="T383">
        <v>0</v>
      </c>
      <c r="U383">
        <v>0</v>
      </c>
      <c r="V383">
        <v>1</v>
      </c>
      <c r="W383">
        <v>0</v>
      </c>
      <c r="X383">
        <v>0.85</v>
      </c>
    </row>
    <row r="384" spans="1:24" x14ac:dyDescent="0.3">
      <c r="A384" t="s">
        <v>766</v>
      </c>
      <c r="B384" s="1">
        <v>45846</v>
      </c>
      <c r="C384" t="s">
        <v>101</v>
      </c>
      <c r="D384" t="s">
        <v>26</v>
      </c>
      <c r="E384" t="s">
        <v>83</v>
      </c>
      <c r="F384" t="s">
        <v>28</v>
      </c>
      <c r="G384" t="s">
        <v>29</v>
      </c>
      <c r="H384" t="s">
        <v>102</v>
      </c>
      <c r="I384" t="s">
        <v>300</v>
      </c>
      <c r="J384" t="s">
        <v>45</v>
      </c>
      <c r="K384" t="s">
        <v>70</v>
      </c>
      <c r="L384" t="s">
        <v>64</v>
      </c>
      <c r="M384" t="s">
        <v>65</v>
      </c>
      <c r="N384" t="s">
        <v>36</v>
      </c>
      <c r="O384">
        <v>60</v>
      </c>
      <c r="P384">
        <v>60</v>
      </c>
      <c r="Q384">
        <v>80.900000000000006</v>
      </c>
      <c r="R384">
        <v>1450</v>
      </c>
      <c r="S384">
        <v>1450</v>
      </c>
      <c r="T384">
        <v>0</v>
      </c>
      <c r="U384">
        <v>0</v>
      </c>
      <c r="V384">
        <v>1</v>
      </c>
      <c r="W384">
        <v>0</v>
      </c>
      <c r="X384">
        <v>0.85</v>
      </c>
    </row>
    <row r="385" spans="1:24" x14ac:dyDescent="0.3">
      <c r="A385" t="s">
        <v>767</v>
      </c>
      <c r="B385" s="1">
        <v>45731</v>
      </c>
      <c r="C385" t="s">
        <v>56</v>
      </c>
      <c r="D385" t="s">
        <v>88</v>
      </c>
      <c r="E385" t="s">
        <v>68</v>
      </c>
      <c r="F385" t="s">
        <v>58</v>
      </c>
      <c r="G385" t="s">
        <v>59</v>
      </c>
      <c r="H385" t="s">
        <v>296</v>
      </c>
      <c r="I385" t="s">
        <v>768</v>
      </c>
      <c r="J385" t="s">
        <v>62</v>
      </c>
      <c r="K385" t="s">
        <v>70</v>
      </c>
      <c r="L385" t="s">
        <v>78</v>
      </c>
      <c r="M385" t="s">
        <v>35</v>
      </c>
      <c r="N385" t="s">
        <v>36</v>
      </c>
      <c r="O385">
        <v>45</v>
      </c>
      <c r="P385">
        <v>45</v>
      </c>
      <c r="Q385">
        <v>53.2</v>
      </c>
      <c r="R385">
        <v>1050</v>
      </c>
      <c r="S385">
        <v>1050</v>
      </c>
      <c r="T385">
        <v>0</v>
      </c>
      <c r="U385">
        <v>0</v>
      </c>
      <c r="V385">
        <v>1</v>
      </c>
      <c r="W385">
        <v>0</v>
      </c>
      <c r="X385">
        <v>0.85</v>
      </c>
    </row>
    <row r="386" spans="1:24" x14ac:dyDescent="0.3">
      <c r="A386" t="s">
        <v>769</v>
      </c>
      <c r="B386" s="1">
        <v>45868</v>
      </c>
      <c r="C386" t="s">
        <v>101</v>
      </c>
      <c r="D386" t="s">
        <v>57</v>
      </c>
      <c r="E386" t="s">
        <v>68</v>
      </c>
      <c r="F386" t="s">
        <v>28</v>
      </c>
      <c r="G386" t="s">
        <v>29</v>
      </c>
      <c r="H386" t="s">
        <v>120</v>
      </c>
      <c r="I386" t="s">
        <v>770</v>
      </c>
      <c r="J386" t="s">
        <v>99</v>
      </c>
      <c r="K386" t="s">
        <v>33</v>
      </c>
      <c r="L386" t="s">
        <v>78</v>
      </c>
      <c r="M386" t="s">
        <v>94</v>
      </c>
      <c r="N386" t="s">
        <v>36</v>
      </c>
      <c r="O386">
        <v>60</v>
      </c>
      <c r="P386">
        <v>60</v>
      </c>
      <c r="Q386">
        <v>66.599999999999994</v>
      </c>
      <c r="R386">
        <v>1150</v>
      </c>
      <c r="S386">
        <v>1150</v>
      </c>
      <c r="T386">
        <v>0</v>
      </c>
      <c r="U386">
        <v>0</v>
      </c>
      <c r="V386">
        <v>1</v>
      </c>
      <c r="W386">
        <v>0</v>
      </c>
      <c r="X386">
        <v>0.85</v>
      </c>
    </row>
    <row r="387" spans="1:24" x14ac:dyDescent="0.3">
      <c r="A387" t="s">
        <v>771</v>
      </c>
      <c r="B387" s="1">
        <v>46007</v>
      </c>
      <c r="C387" t="s">
        <v>25</v>
      </c>
      <c r="D387" t="s">
        <v>26</v>
      </c>
      <c r="E387" t="s">
        <v>68</v>
      </c>
      <c r="F387" t="s">
        <v>58</v>
      </c>
      <c r="G387" t="s">
        <v>59</v>
      </c>
      <c r="H387" t="s">
        <v>60</v>
      </c>
      <c r="I387" t="s">
        <v>772</v>
      </c>
      <c r="J387" t="s">
        <v>45</v>
      </c>
      <c r="K387" t="s">
        <v>104</v>
      </c>
      <c r="L387" t="s">
        <v>54</v>
      </c>
      <c r="M387" t="s">
        <v>47</v>
      </c>
      <c r="N387" t="s">
        <v>153</v>
      </c>
      <c r="O387">
        <v>60</v>
      </c>
      <c r="P387">
        <v>0</v>
      </c>
      <c r="Q387">
        <v>80.900000000000006</v>
      </c>
      <c r="R387">
        <v>1450</v>
      </c>
      <c r="S387">
        <v>0</v>
      </c>
      <c r="T387">
        <v>0</v>
      </c>
      <c r="U387">
        <v>0</v>
      </c>
      <c r="V387">
        <v>0</v>
      </c>
      <c r="W387">
        <v>0</v>
      </c>
      <c r="X387">
        <v>0.85</v>
      </c>
    </row>
    <row r="388" spans="1:24" x14ac:dyDescent="0.3">
      <c r="A388" t="s">
        <v>773</v>
      </c>
      <c r="B388" s="1">
        <v>45794</v>
      </c>
      <c r="C388" t="s">
        <v>128</v>
      </c>
      <c r="D388" t="s">
        <v>88</v>
      </c>
      <c r="E388" t="s">
        <v>83</v>
      </c>
      <c r="F388" t="s">
        <v>28</v>
      </c>
      <c r="G388" t="s">
        <v>29</v>
      </c>
      <c r="H388" t="s">
        <v>210</v>
      </c>
      <c r="I388" t="s">
        <v>80</v>
      </c>
      <c r="J388" t="s">
        <v>62</v>
      </c>
      <c r="K388" t="s">
        <v>33</v>
      </c>
      <c r="L388" t="s">
        <v>64</v>
      </c>
      <c r="M388" t="s">
        <v>94</v>
      </c>
      <c r="N388" t="s">
        <v>36</v>
      </c>
      <c r="O388">
        <v>30</v>
      </c>
      <c r="P388">
        <v>30</v>
      </c>
      <c r="Q388">
        <v>39.9</v>
      </c>
      <c r="R388">
        <v>600</v>
      </c>
      <c r="S388">
        <v>600</v>
      </c>
      <c r="T388">
        <v>0</v>
      </c>
      <c r="U388">
        <v>0</v>
      </c>
      <c r="V388">
        <v>1</v>
      </c>
      <c r="W388">
        <v>0</v>
      </c>
      <c r="X388">
        <v>0.85</v>
      </c>
    </row>
    <row r="389" spans="1:24" x14ac:dyDescent="0.3">
      <c r="A389" t="s">
        <v>774</v>
      </c>
      <c r="B389" s="1">
        <v>45966</v>
      </c>
      <c r="C389" t="s">
        <v>38</v>
      </c>
      <c r="D389" t="s">
        <v>57</v>
      </c>
      <c r="E389" t="s">
        <v>40</v>
      </c>
      <c r="F389" t="s">
        <v>41</v>
      </c>
      <c r="G389" t="s">
        <v>42</v>
      </c>
      <c r="H389" t="s">
        <v>111</v>
      </c>
      <c r="I389" t="s">
        <v>112</v>
      </c>
      <c r="J389" t="s">
        <v>53</v>
      </c>
      <c r="K389" t="s">
        <v>85</v>
      </c>
      <c r="L389" t="s">
        <v>64</v>
      </c>
      <c r="M389" t="s">
        <v>94</v>
      </c>
      <c r="N389" t="s">
        <v>95</v>
      </c>
      <c r="O389">
        <v>45</v>
      </c>
      <c r="P389">
        <v>0</v>
      </c>
      <c r="Q389">
        <v>51</v>
      </c>
      <c r="R389">
        <v>1200</v>
      </c>
      <c r="S389">
        <v>0</v>
      </c>
      <c r="T389">
        <v>1200</v>
      </c>
      <c r="U389">
        <v>1</v>
      </c>
      <c r="V389">
        <v>0</v>
      </c>
      <c r="W389">
        <v>0</v>
      </c>
      <c r="X389">
        <v>0.85</v>
      </c>
    </row>
    <row r="390" spans="1:24" x14ac:dyDescent="0.3">
      <c r="A390" t="s">
        <v>775</v>
      </c>
      <c r="B390" s="1">
        <v>45961</v>
      </c>
      <c r="C390" t="s">
        <v>97</v>
      </c>
      <c r="D390" t="s">
        <v>82</v>
      </c>
      <c r="E390" t="s">
        <v>27</v>
      </c>
      <c r="F390" t="s">
        <v>58</v>
      </c>
      <c r="G390" t="s">
        <v>59</v>
      </c>
      <c r="H390" t="s">
        <v>117</v>
      </c>
      <c r="I390" t="s">
        <v>776</v>
      </c>
      <c r="J390" t="s">
        <v>62</v>
      </c>
      <c r="K390" t="s">
        <v>104</v>
      </c>
      <c r="L390" t="s">
        <v>64</v>
      </c>
      <c r="M390" t="s">
        <v>94</v>
      </c>
      <c r="N390" t="s">
        <v>36</v>
      </c>
      <c r="O390">
        <v>45</v>
      </c>
      <c r="P390">
        <v>45</v>
      </c>
      <c r="Q390">
        <v>60.1</v>
      </c>
      <c r="R390">
        <v>1100</v>
      </c>
      <c r="S390">
        <v>1100</v>
      </c>
      <c r="T390">
        <v>0</v>
      </c>
      <c r="U390">
        <v>0</v>
      </c>
      <c r="V390">
        <v>1</v>
      </c>
      <c r="W390">
        <v>0</v>
      </c>
      <c r="X390">
        <v>0.85</v>
      </c>
    </row>
    <row r="391" spans="1:24" x14ac:dyDescent="0.3">
      <c r="A391" t="s">
        <v>777</v>
      </c>
      <c r="B391" s="1">
        <v>45748</v>
      </c>
      <c r="C391" t="s">
        <v>92</v>
      </c>
      <c r="D391" t="s">
        <v>26</v>
      </c>
      <c r="E391" t="s">
        <v>27</v>
      </c>
      <c r="F391" t="s">
        <v>41</v>
      </c>
      <c r="G391" t="s">
        <v>42</v>
      </c>
      <c r="H391" t="s">
        <v>51</v>
      </c>
      <c r="I391" t="s">
        <v>778</v>
      </c>
      <c r="J391" t="s">
        <v>32</v>
      </c>
      <c r="K391" t="s">
        <v>33</v>
      </c>
      <c r="L391" t="s">
        <v>78</v>
      </c>
      <c r="M391" t="s">
        <v>47</v>
      </c>
      <c r="N391" t="s">
        <v>95</v>
      </c>
      <c r="O391">
        <v>60</v>
      </c>
      <c r="P391">
        <v>0</v>
      </c>
      <c r="Q391">
        <v>79.3</v>
      </c>
      <c r="R391">
        <v>1250</v>
      </c>
      <c r="S391">
        <v>0</v>
      </c>
      <c r="T391">
        <v>1250</v>
      </c>
      <c r="U391">
        <v>1</v>
      </c>
      <c r="V391">
        <v>0</v>
      </c>
      <c r="W391">
        <v>0</v>
      </c>
      <c r="X391">
        <v>0.85</v>
      </c>
    </row>
    <row r="392" spans="1:24" x14ac:dyDescent="0.3">
      <c r="A392" t="s">
        <v>779</v>
      </c>
      <c r="B392" s="1">
        <v>45789</v>
      </c>
      <c r="C392" t="s">
        <v>128</v>
      </c>
      <c r="D392" t="s">
        <v>39</v>
      </c>
      <c r="E392" t="s">
        <v>27</v>
      </c>
      <c r="F392" t="s">
        <v>28</v>
      </c>
      <c r="G392" t="s">
        <v>29</v>
      </c>
      <c r="H392" t="s">
        <v>102</v>
      </c>
      <c r="I392" t="s">
        <v>780</v>
      </c>
      <c r="J392" t="s">
        <v>62</v>
      </c>
      <c r="K392" t="s">
        <v>85</v>
      </c>
      <c r="L392" t="s">
        <v>34</v>
      </c>
      <c r="M392" t="s">
        <v>65</v>
      </c>
      <c r="N392" t="s">
        <v>153</v>
      </c>
      <c r="O392">
        <v>30</v>
      </c>
      <c r="P392">
        <v>0</v>
      </c>
      <c r="Q392">
        <v>35.5</v>
      </c>
      <c r="R392">
        <v>600</v>
      </c>
      <c r="S392">
        <v>0</v>
      </c>
      <c r="T392">
        <v>0</v>
      </c>
      <c r="U392">
        <v>0</v>
      </c>
      <c r="V392">
        <v>0</v>
      </c>
      <c r="W392">
        <v>0</v>
      </c>
      <c r="X392">
        <v>0.85</v>
      </c>
    </row>
    <row r="393" spans="1:24" x14ac:dyDescent="0.3">
      <c r="A393" t="s">
        <v>781</v>
      </c>
      <c r="B393" s="1">
        <v>45817</v>
      </c>
      <c r="C393" t="s">
        <v>67</v>
      </c>
      <c r="D393" t="s">
        <v>39</v>
      </c>
      <c r="E393" t="s">
        <v>83</v>
      </c>
      <c r="F393" t="s">
        <v>58</v>
      </c>
      <c r="G393" t="s">
        <v>59</v>
      </c>
      <c r="H393" t="s">
        <v>73</v>
      </c>
      <c r="I393" t="s">
        <v>330</v>
      </c>
      <c r="J393" t="s">
        <v>32</v>
      </c>
      <c r="K393" t="s">
        <v>63</v>
      </c>
      <c r="L393" t="s">
        <v>54</v>
      </c>
      <c r="M393" t="s">
        <v>35</v>
      </c>
      <c r="N393" t="s">
        <v>36</v>
      </c>
      <c r="O393">
        <v>45</v>
      </c>
      <c r="P393">
        <v>45</v>
      </c>
      <c r="Q393">
        <v>57.6</v>
      </c>
      <c r="R393">
        <v>950</v>
      </c>
      <c r="S393">
        <v>950</v>
      </c>
      <c r="T393">
        <v>0</v>
      </c>
      <c r="U393">
        <v>0</v>
      </c>
      <c r="V393">
        <v>1</v>
      </c>
      <c r="W393">
        <v>0</v>
      </c>
      <c r="X393">
        <v>0.85</v>
      </c>
    </row>
    <row r="394" spans="1:24" x14ac:dyDescent="0.3">
      <c r="A394" t="s">
        <v>782</v>
      </c>
      <c r="B394" s="1">
        <v>45742</v>
      </c>
      <c r="C394" t="s">
        <v>56</v>
      </c>
      <c r="D394" t="s">
        <v>57</v>
      </c>
      <c r="E394" t="s">
        <v>27</v>
      </c>
      <c r="F394" t="s">
        <v>41</v>
      </c>
      <c r="G394" t="s">
        <v>42</v>
      </c>
      <c r="H394" t="s">
        <v>89</v>
      </c>
      <c r="I394" t="s">
        <v>310</v>
      </c>
      <c r="J394" t="s">
        <v>137</v>
      </c>
      <c r="K394" t="s">
        <v>85</v>
      </c>
      <c r="L394" t="s">
        <v>64</v>
      </c>
      <c r="M394" t="s">
        <v>47</v>
      </c>
      <c r="N394" t="s">
        <v>36</v>
      </c>
      <c r="O394">
        <v>60</v>
      </c>
      <c r="P394">
        <v>60</v>
      </c>
      <c r="Q394">
        <v>78.099999999999994</v>
      </c>
      <c r="R394">
        <v>1350</v>
      </c>
      <c r="S394">
        <v>1350</v>
      </c>
      <c r="T394">
        <v>0</v>
      </c>
      <c r="U394">
        <v>0</v>
      </c>
      <c r="V394">
        <v>1</v>
      </c>
      <c r="W394">
        <v>0</v>
      </c>
      <c r="X394">
        <v>0.85</v>
      </c>
    </row>
    <row r="395" spans="1:24" x14ac:dyDescent="0.3">
      <c r="A395" t="s">
        <v>783</v>
      </c>
      <c r="B395" s="1">
        <v>45997</v>
      </c>
      <c r="C395" t="s">
        <v>25</v>
      </c>
      <c r="D395" t="s">
        <v>88</v>
      </c>
      <c r="E395" t="s">
        <v>83</v>
      </c>
      <c r="F395" t="s">
        <v>58</v>
      </c>
      <c r="G395" t="s">
        <v>59</v>
      </c>
      <c r="H395" t="s">
        <v>73</v>
      </c>
      <c r="I395" t="s">
        <v>495</v>
      </c>
      <c r="J395" t="s">
        <v>53</v>
      </c>
      <c r="K395" t="s">
        <v>104</v>
      </c>
      <c r="L395" t="s">
        <v>64</v>
      </c>
      <c r="M395" t="s">
        <v>35</v>
      </c>
      <c r="N395" t="s">
        <v>36</v>
      </c>
      <c r="O395">
        <v>45</v>
      </c>
      <c r="P395">
        <v>45</v>
      </c>
      <c r="Q395">
        <v>58</v>
      </c>
      <c r="R395">
        <v>1350</v>
      </c>
      <c r="S395">
        <v>1350</v>
      </c>
      <c r="T395">
        <v>0</v>
      </c>
      <c r="U395">
        <v>0</v>
      </c>
      <c r="V395">
        <v>1</v>
      </c>
      <c r="W395">
        <v>0</v>
      </c>
      <c r="X395">
        <v>0.85</v>
      </c>
    </row>
    <row r="396" spans="1:24" x14ac:dyDescent="0.3">
      <c r="A396" t="s">
        <v>784</v>
      </c>
      <c r="B396" s="1">
        <v>45768</v>
      </c>
      <c r="C396" t="s">
        <v>92</v>
      </c>
      <c r="D396" t="s">
        <v>39</v>
      </c>
      <c r="E396" t="s">
        <v>68</v>
      </c>
      <c r="F396" t="s">
        <v>58</v>
      </c>
      <c r="G396" t="s">
        <v>59</v>
      </c>
      <c r="H396" t="s">
        <v>117</v>
      </c>
      <c r="I396" t="s">
        <v>785</v>
      </c>
      <c r="J396" t="s">
        <v>137</v>
      </c>
      <c r="K396" t="s">
        <v>104</v>
      </c>
      <c r="L396" t="s">
        <v>64</v>
      </c>
      <c r="M396" t="s">
        <v>94</v>
      </c>
      <c r="N396" t="s">
        <v>36</v>
      </c>
      <c r="O396">
        <v>45</v>
      </c>
      <c r="P396">
        <v>45</v>
      </c>
      <c r="Q396">
        <v>50.1</v>
      </c>
      <c r="R396">
        <v>1100</v>
      </c>
      <c r="S396">
        <v>1100</v>
      </c>
      <c r="T396">
        <v>0</v>
      </c>
      <c r="U396">
        <v>0</v>
      </c>
      <c r="V396">
        <v>1</v>
      </c>
      <c r="W396">
        <v>0</v>
      </c>
      <c r="X396">
        <v>0.85</v>
      </c>
    </row>
    <row r="397" spans="1:24" x14ac:dyDescent="0.3">
      <c r="A397" t="s">
        <v>786</v>
      </c>
      <c r="B397" s="1">
        <v>45912</v>
      </c>
      <c r="C397" t="s">
        <v>49</v>
      </c>
      <c r="D397" t="s">
        <v>82</v>
      </c>
      <c r="E397" t="s">
        <v>68</v>
      </c>
      <c r="F397" t="s">
        <v>58</v>
      </c>
      <c r="G397" t="s">
        <v>59</v>
      </c>
      <c r="H397" t="s">
        <v>60</v>
      </c>
      <c r="I397" t="s">
        <v>703</v>
      </c>
      <c r="J397" t="s">
        <v>99</v>
      </c>
      <c r="K397" t="s">
        <v>104</v>
      </c>
      <c r="L397" t="s">
        <v>34</v>
      </c>
      <c r="M397" t="s">
        <v>65</v>
      </c>
      <c r="N397" t="s">
        <v>95</v>
      </c>
      <c r="O397">
        <v>90</v>
      </c>
      <c r="P397">
        <v>0</v>
      </c>
      <c r="Q397">
        <v>105.3</v>
      </c>
      <c r="R397">
        <v>2250</v>
      </c>
      <c r="S397">
        <v>0</v>
      </c>
      <c r="T397">
        <v>2250</v>
      </c>
      <c r="U397">
        <v>1</v>
      </c>
      <c r="V397">
        <v>0</v>
      </c>
      <c r="W397">
        <v>0</v>
      </c>
      <c r="X397">
        <v>0.85</v>
      </c>
    </row>
    <row r="398" spans="1:24" x14ac:dyDescent="0.3">
      <c r="A398" t="s">
        <v>787</v>
      </c>
      <c r="B398" s="1">
        <v>45819</v>
      </c>
      <c r="C398" t="s">
        <v>67</v>
      </c>
      <c r="D398" t="s">
        <v>57</v>
      </c>
      <c r="E398" t="s">
        <v>27</v>
      </c>
      <c r="F398" t="s">
        <v>41</v>
      </c>
      <c r="G398" t="s">
        <v>42</v>
      </c>
      <c r="H398" t="s">
        <v>125</v>
      </c>
      <c r="I398" t="s">
        <v>788</v>
      </c>
      <c r="J398" t="s">
        <v>32</v>
      </c>
      <c r="K398" t="s">
        <v>33</v>
      </c>
      <c r="L398" t="s">
        <v>34</v>
      </c>
      <c r="M398" t="s">
        <v>35</v>
      </c>
      <c r="N398" t="s">
        <v>153</v>
      </c>
      <c r="O398">
        <v>45</v>
      </c>
      <c r="P398">
        <v>0</v>
      </c>
      <c r="Q398">
        <v>53.9</v>
      </c>
      <c r="R398">
        <v>1000</v>
      </c>
      <c r="S398">
        <v>0</v>
      </c>
      <c r="T398">
        <v>0</v>
      </c>
      <c r="U398">
        <v>0</v>
      </c>
      <c r="V398">
        <v>0</v>
      </c>
      <c r="W398">
        <v>0</v>
      </c>
      <c r="X398">
        <v>0.85</v>
      </c>
    </row>
    <row r="399" spans="1:24" x14ac:dyDescent="0.3">
      <c r="A399" t="s">
        <v>789</v>
      </c>
      <c r="B399" s="1">
        <v>45728</v>
      </c>
      <c r="C399" t="s">
        <v>56</v>
      </c>
      <c r="D399" t="s">
        <v>57</v>
      </c>
      <c r="E399" t="s">
        <v>27</v>
      </c>
      <c r="F399" t="s">
        <v>41</v>
      </c>
      <c r="G399" t="s">
        <v>42</v>
      </c>
      <c r="H399" t="s">
        <v>125</v>
      </c>
      <c r="I399" t="s">
        <v>790</v>
      </c>
      <c r="J399" t="s">
        <v>62</v>
      </c>
      <c r="K399" t="s">
        <v>85</v>
      </c>
      <c r="L399" t="s">
        <v>64</v>
      </c>
      <c r="M399" t="s">
        <v>65</v>
      </c>
      <c r="N399" t="s">
        <v>95</v>
      </c>
      <c r="O399">
        <v>75</v>
      </c>
      <c r="P399">
        <v>0</v>
      </c>
      <c r="Q399">
        <v>85.8</v>
      </c>
      <c r="R399">
        <v>1700</v>
      </c>
      <c r="S399">
        <v>0</v>
      </c>
      <c r="T399">
        <v>1700</v>
      </c>
      <c r="U399">
        <v>1</v>
      </c>
      <c r="V399">
        <v>0</v>
      </c>
      <c r="W399">
        <v>0</v>
      </c>
      <c r="X399">
        <v>0.85</v>
      </c>
    </row>
    <row r="400" spans="1:24" x14ac:dyDescent="0.3">
      <c r="A400" t="s">
        <v>791</v>
      </c>
      <c r="B400" s="1">
        <v>45695</v>
      </c>
      <c r="C400" t="s">
        <v>76</v>
      </c>
      <c r="D400" t="s">
        <v>82</v>
      </c>
      <c r="E400" t="s">
        <v>40</v>
      </c>
      <c r="F400" t="s">
        <v>41</v>
      </c>
      <c r="G400" t="s">
        <v>42</v>
      </c>
      <c r="H400" t="s">
        <v>89</v>
      </c>
      <c r="I400" t="s">
        <v>694</v>
      </c>
      <c r="J400" t="s">
        <v>45</v>
      </c>
      <c r="K400" t="s">
        <v>85</v>
      </c>
      <c r="L400" t="s">
        <v>78</v>
      </c>
      <c r="M400" t="s">
        <v>94</v>
      </c>
      <c r="N400" t="s">
        <v>36</v>
      </c>
      <c r="O400">
        <v>45</v>
      </c>
      <c r="P400">
        <v>45</v>
      </c>
      <c r="Q400">
        <v>59.9</v>
      </c>
      <c r="R400">
        <v>1050</v>
      </c>
      <c r="S400">
        <v>1050</v>
      </c>
      <c r="T400">
        <v>0</v>
      </c>
      <c r="U400">
        <v>0</v>
      </c>
      <c r="V400">
        <v>1</v>
      </c>
      <c r="W400">
        <v>0</v>
      </c>
      <c r="X400">
        <v>0.85</v>
      </c>
    </row>
    <row r="401" spans="1:24" x14ac:dyDescent="0.3">
      <c r="A401" t="s">
        <v>792</v>
      </c>
      <c r="B401" s="1">
        <v>45916</v>
      </c>
      <c r="C401" t="s">
        <v>49</v>
      </c>
      <c r="D401" t="s">
        <v>26</v>
      </c>
      <c r="E401" t="s">
        <v>27</v>
      </c>
      <c r="F401" t="s">
        <v>28</v>
      </c>
      <c r="G401" t="s">
        <v>29</v>
      </c>
      <c r="H401" t="s">
        <v>210</v>
      </c>
      <c r="I401" t="s">
        <v>793</v>
      </c>
      <c r="J401" t="s">
        <v>62</v>
      </c>
      <c r="K401" t="s">
        <v>33</v>
      </c>
      <c r="L401" t="s">
        <v>34</v>
      </c>
      <c r="M401" t="s">
        <v>35</v>
      </c>
      <c r="N401" t="s">
        <v>95</v>
      </c>
      <c r="O401">
        <v>60</v>
      </c>
      <c r="P401">
        <v>0</v>
      </c>
      <c r="Q401">
        <v>67.7</v>
      </c>
      <c r="R401">
        <v>1250</v>
      </c>
      <c r="S401">
        <v>0</v>
      </c>
      <c r="T401">
        <v>1250</v>
      </c>
      <c r="U401">
        <v>1</v>
      </c>
      <c r="V401">
        <v>0</v>
      </c>
      <c r="W401">
        <v>0</v>
      </c>
      <c r="X401">
        <v>0.85</v>
      </c>
    </row>
    <row r="402" spans="1:24" x14ac:dyDescent="0.3">
      <c r="A402" t="s">
        <v>794</v>
      </c>
      <c r="B402" s="1">
        <v>45670</v>
      </c>
      <c r="C402" t="s">
        <v>130</v>
      </c>
      <c r="D402" t="s">
        <v>39</v>
      </c>
      <c r="E402" t="s">
        <v>40</v>
      </c>
      <c r="F402" t="s">
        <v>58</v>
      </c>
      <c r="G402" t="s">
        <v>59</v>
      </c>
      <c r="H402" t="s">
        <v>151</v>
      </c>
      <c r="I402" t="s">
        <v>750</v>
      </c>
      <c r="J402" t="s">
        <v>32</v>
      </c>
      <c r="K402" t="s">
        <v>46</v>
      </c>
      <c r="L402" t="s">
        <v>64</v>
      </c>
      <c r="M402" t="s">
        <v>35</v>
      </c>
      <c r="N402" t="s">
        <v>95</v>
      </c>
      <c r="O402">
        <v>45</v>
      </c>
      <c r="P402">
        <v>0</v>
      </c>
      <c r="Q402">
        <v>57.6</v>
      </c>
      <c r="R402">
        <v>1100</v>
      </c>
      <c r="S402">
        <v>0</v>
      </c>
      <c r="T402">
        <v>1100</v>
      </c>
      <c r="U402">
        <v>1</v>
      </c>
      <c r="V402">
        <v>0</v>
      </c>
      <c r="W402">
        <v>0</v>
      </c>
      <c r="X402">
        <v>0.85</v>
      </c>
    </row>
    <row r="403" spans="1:24" x14ac:dyDescent="0.3">
      <c r="A403" t="s">
        <v>795</v>
      </c>
      <c r="B403" s="1">
        <v>45785</v>
      </c>
      <c r="C403" t="s">
        <v>128</v>
      </c>
      <c r="D403" t="s">
        <v>50</v>
      </c>
      <c r="E403" t="s">
        <v>83</v>
      </c>
      <c r="F403" t="s">
        <v>58</v>
      </c>
      <c r="G403" t="s">
        <v>59</v>
      </c>
      <c r="H403" t="s">
        <v>117</v>
      </c>
      <c r="I403" t="s">
        <v>796</v>
      </c>
      <c r="J403" t="s">
        <v>62</v>
      </c>
      <c r="K403" t="s">
        <v>70</v>
      </c>
      <c r="L403" t="s">
        <v>34</v>
      </c>
      <c r="M403" t="s">
        <v>94</v>
      </c>
      <c r="N403" t="s">
        <v>95</v>
      </c>
      <c r="O403">
        <v>60</v>
      </c>
      <c r="P403">
        <v>0</v>
      </c>
      <c r="Q403">
        <v>68.5</v>
      </c>
      <c r="R403">
        <v>1500</v>
      </c>
      <c r="S403">
        <v>0</v>
      </c>
      <c r="T403">
        <v>1500</v>
      </c>
      <c r="U403">
        <v>1</v>
      </c>
      <c r="V403">
        <v>0</v>
      </c>
      <c r="W403">
        <v>0</v>
      </c>
      <c r="X403">
        <v>0.85</v>
      </c>
    </row>
    <row r="404" spans="1:24" x14ac:dyDescent="0.3">
      <c r="A404" t="s">
        <v>797</v>
      </c>
      <c r="B404" s="1">
        <v>45833</v>
      </c>
      <c r="C404" t="s">
        <v>67</v>
      </c>
      <c r="D404" t="s">
        <v>57</v>
      </c>
      <c r="E404" t="s">
        <v>27</v>
      </c>
      <c r="F404" t="s">
        <v>41</v>
      </c>
      <c r="G404" t="s">
        <v>42</v>
      </c>
      <c r="H404" t="s">
        <v>89</v>
      </c>
      <c r="I404" t="s">
        <v>198</v>
      </c>
      <c r="J404" t="s">
        <v>137</v>
      </c>
      <c r="K404" t="s">
        <v>85</v>
      </c>
      <c r="L404" t="s">
        <v>64</v>
      </c>
      <c r="M404" t="s">
        <v>47</v>
      </c>
      <c r="N404" t="s">
        <v>36</v>
      </c>
      <c r="O404">
        <v>60</v>
      </c>
      <c r="P404">
        <v>60</v>
      </c>
      <c r="Q404">
        <v>78.3</v>
      </c>
      <c r="R404">
        <v>1350</v>
      </c>
      <c r="S404">
        <v>1350</v>
      </c>
      <c r="T404">
        <v>0</v>
      </c>
      <c r="U404">
        <v>0</v>
      </c>
      <c r="V404">
        <v>1</v>
      </c>
      <c r="W404">
        <v>0</v>
      </c>
      <c r="X404">
        <v>0.85</v>
      </c>
    </row>
    <row r="405" spans="1:24" x14ac:dyDescent="0.3">
      <c r="A405" t="s">
        <v>798</v>
      </c>
      <c r="B405" s="1">
        <v>45859</v>
      </c>
      <c r="C405" t="s">
        <v>101</v>
      </c>
      <c r="D405" t="s">
        <v>39</v>
      </c>
      <c r="E405" t="s">
        <v>68</v>
      </c>
      <c r="F405" t="s">
        <v>28</v>
      </c>
      <c r="G405" t="s">
        <v>29</v>
      </c>
      <c r="H405" t="s">
        <v>102</v>
      </c>
      <c r="I405" t="s">
        <v>799</v>
      </c>
      <c r="J405" t="s">
        <v>53</v>
      </c>
      <c r="K405" t="s">
        <v>85</v>
      </c>
      <c r="L405" t="s">
        <v>34</v>
      </c>
      <c r="M405" t="s">
        <v>47</v>
      </c>
      <c r="N405" t="s">
        <v>95</v>
      </c>
      <c r="O405">
        <v>90</v>
      </c>
      <c r="P405">
        <v>0</v>
      </c>
      <c r="Q405">
        <v>116.9</v>
      </c>
      <c r="R405">
        <v>2250</v>
      </c>
      <c r="S405">
        <v>0</v>
      </c>
      <c r="T405">
        <v>2250</v>
      </c>
      <c r="U405">
        <v>1</v>
      </c>
      <c r="V405">
        <v>0</v>
      </c>
      <c r="W405">
        <v>0</v>
      </c>
      <c r="X405">
        <v>0.85</v>
      </c>
    </row>
    <row r="406" spans="1:24" x14ac:dyDescent="0.3">
      <c r="A406" t="s">
        <v>800</v>
      </c>
      <c r="B406" s="1">
        <v>45955</v>
      </c>
      <c r="C406" t="s">
        <v>97</v>
      </c>
      <c r="D406" t="s">
        <v>88</v>
      </c>
      <c r="E406" t="s">
        <v>40</v>
      </c>
      <c r="F406" t="s">
        <v>41</v>
      </c>
      <c r="G406" t="s">
        <v>42</v>
      </c>
      <c r="H406" t="s">
        <v>89</v>
      </c>
      <c r="I406" t="s">
        <v>801</v>
      </c>
      <c r="J406" t="s">
        <v>53</v>
      </c>
      <c r="K406" t="s">
        <v>33</v>
      </c>
      <c r="L406" t="s">
        <v>78</v>
      </c>
      <c r="M406" t="s">
        <v>94</v>
      </c>
      <c r="N406" t="s">
        <v>113</v>
      </c>
      <c r="O406">
        <v>60</v>
      </c>
      <c r="P406">
        <v>0</v>
      </c>
      <c r="Q406">
        <v>66.099999999999994</v>
      </c>
      <c r="R406">
        <v>1500</v>
      </c>
      <c r="S406">
        <v>0</v>
      </c>
      <c r="T406">
        <v>1500</v>
      </c>
      <c r="U406">
        <v>0</v>
      </c>
      <c r="V406">
        <v>0</v>
      </c>
      <c r="W406">
        <v>1</v>
      </c>
      <c r="X406">
        <v>0.85</v>
      </c>
    </row>
    <row r="407" spans="1:24" x14ac:dyDescent="0.3">
      <c r="A407" t="s">
        <v>802</v>
      </c>
      <c r="B407" s="1">
        <v>45959</v>
      </c>
      <c r="C407" t="s">
        <v>97</v>
      </c>
      <c r="D407" t="s">
        <v>57</v>
      </c>
      <c r="E407" t="s">
        <v>27</v>
      </c>
      <c r="F407" t="s">
        <v>41</v>
      </c>
      <c r="G407" t="s">
        <v>42</v>
      </c>
      <c r="H407" t="s">
        <v>43</v>
      </c>
      <c r="I407" t="s">
        <v>803</v>
      </c>
      <c r="J407" t="s">
        <v>45</v>
      </c>
      <c r="K407" t="s">
        <v>46</v>
      </c>
      <c r="L407" t="s">
        <v>34</v>
      </c>
      <c r="M407" t="s">
        <v>65</v>
      </c>
      <c r="N407" t="s">
        <v>95</v>
      </c>
      <c r="O407">
        <v>60</v>
      </c>
      <c r="P407">
        <v>0</v>
      </c>
      <c r="Q407">
        <v>79.2</v>
      </c>
      <c r="R407">
        <v>1550</v>
      </c>
      <c r="S407">
        <v>0</v>
      </c>
      <c r="T407">
        <v>1550</v>
      </c>
      <c r="U407">
        <v>1</v>
      </c>
      <c r="V407">
        <v>0</v>
      </c>
      <c r="W407">
        <v>0</v>
      </c>
      <c r="X407">
        <v>0.85</v>
      </c>
    </row>
    <row r="408" spans="1:24" x14ac:dyDescent="0.3">
      <c r="A408" t="s">
        <v>804</v>
      </c>
      <c r="B408" s="1">
        <v>45811</v>
      </c>
      <c r="C408" t="s">
        <v>67</v>
      </c>
      <c r="D408" t="s">
        <v>26</v>
      </c>
      <c r="E408" t="s">
        <v>27</v>
      </c>
      <c r="F408" t="s">
        <v>41</v>
      </c>
      <c r="G408" t="s">
        <v>42</v>
      </c>
      <c r="H408" t="s">
        <v>89</v>
      </c>
      <c r="I408" t="s">
        <v>805</v>
      </c>
      <c r="J408" t="s">
        <v>99</v>
      </c>
      <c r="K408" t="s">
        <v>33</v>
      </c>
      <c r="L408" t="s">
        <v>64</v>
      </c>
      <c r="M408" t="s">
        <v>65</v>
      </c>
      <c r="N408" t="s">
        <v>36</v>
      </c>
      <c r="O408">
        <v>45</v>
      </c>
      <c r="P408">
        <v>45</v>
      </c>
      <c r="Q408">
        <v>54.2</v>
      </c>
      <c r="R408">
        <v>1000</v>
      </c>
      <c r="S408">
        <v>1000</v>
      </c>
      <c r="T408">
        <v>0</v>
      </c>
      <c r="U408">
        <v>0</v>
      </c>
      <c r="V408">
        <v>1</v>
      </c>
      <c r="W408">
        <v>0</v>
      </c>
      <c r="X408">
        <v>0.85</v>
      </c>
    </row>
    <row r="409" spans="1:24" x14ac:dyDescent="0.3">
      <c r="A409" t="s">
        <v>806</v>
      </c>
      <c r="B409" s="1">
        <v>45751</v>
      </c>
      <c r="C409" t="s">
        <v>92</v>
      </c>
      <c r="D409" t="s">
        <v>82</v>
      </c>
      <c r="E409" t="s">
        <v>68</v>
      </c>
      <c r="F409" t="s">
        <v>41</v>
      </c>
      <c r="G409" t="s">
        <v>42</v>
      </c>
      <c r="H409" t="s">
        <v>125</v>
      </c>
      <c r="I409" t="s">
        <v>807</v>
      </c>
      <c r="J409" t="s">
        <v>53</v>
      </c>
      <c r="K409" t="s">
        <v>33</v>
      </c>
      <c r="L409" t="s">
        <v>54</v>
      </c>
      <c r="M409" t="s">
        <v>65</v>
      </c>
      <c r="N409" t="s">
        <v>36</v>
      </c>
      <c r="O409">
        <v>60</v>
      </c>
      <c r="P409">
        <v>60</v>
      </c>
      <c r="Q409">
        <v>67.099999999999994</v>
      </c>
      <c r="R409">
        <v>1400</v>
      </c>
      <c r="S409">
        <v>1400</v>
      </c>
      <c r="T409">
        <v>0</v>
      </c>
      <c r="U409">
        <v>0</v>
      </c>
      <c r="V409">
        <v>1</v>
      </c>
      <c r="W409">
        <v>0</v>
      </c>
      <c r="X409">
        <v>0.85</v>
      </c>
    </row>
    <row r="410" spans="1:24" x14ac:dyDescent="0.3">
      <c r="A410" t="s">
        <v>808</v>
      </c>
      <c r="B410" s="1">
        <v>45913</v>
      </c>
      <c r="C410" t="s">
        <v>49</v>
      </c>
      <c r="D410" t="s">
        <v>88</v>
      </c>
      <c r="E410" t="s">
        <v>83</v>
      </c>
      <c r="F410" t="s">
        <v>28</v>
      </c>
      <c r="G410" t="s">
        <v>29</v>
      </c>
      <c r="H410" t="s">
        <v>135</v>
      </c>
      <c r="I410" t="s">
        <v>294</v>
      </c>
      <c r="J410" t="s">
        <v>32</v>
      </c>
      <c r="K410" t="s">
        <v>85</v>
      </c>
      <c r="L410" t="s">
        <v>64</v>
      </c>
      <c r="M410" t="s">
        <v>35</v>
      </c>
      <c r="N410" t="s">
        <v>36</v>
      </c>
      <c r="O410">
        <v>60</v>
      </c>
      <c r="P410">
        <v>60</v>
      </c>
      <c r="Q410">
        <v>79.2</v>
      </c>
      <c r="R410">
        <v>1250</v>
      </c>
      <c r="S410">
        <v>1250</v>
      </c>
      <c r="T410">
        <v>0</v>
      </c>
      <c r="U410">
        <v>0</v>
      </c>
      <c r="V410">
        <v>1</v>
      </c>
      <c r="W410">
        <v>0</v>
      </c>
      <c r="X410">
        <v>0.85</v>
      </c>
    </row>
    <row r="411" spans="1:24" x14ac:dyDescent="0.3">
      <c r="A411" t="s">
        <v>809</v>
      </c>
      <c r="B411" s="1">
        <v>45743</v>
      </c>
      <c r="C411" t="s">
        <v>56</v>
      </c>
      <c r="D411" t="s">
        <v>50</v>
      </c>
      <c r="E411" t="s">
        <v>27</v>
      </c>
      <c r="F411" t="s">
        <v>41</v>
      </c>
      <c r="G411" t="s">
        <v>42</v>
      </c>
      <c r="H411" t="s">
        <v>125</v>
      </c>
      <c r="I411" t="s">
        <v>799</v>
      </c>
      <c r="J411" t="s">
        <v>45</v>
      </c>
      <c r="K411" t="s">
        <v>46</v>
      </c>
      <c r="L411" t="s">
        <v>64</v>
      </c>
      <c r="M411" t="s">
        <v>35</v>
      </c>
      <c r="N411" t="s">
        <v>36</v>
      </c>
      <c r="O411">
        <v>90</v>
      </c>
      <c r="P411">
        <v>90</v>
      </c>
      <c r="Q411">
        <v>116.6</v>
      </c>
      <c r="R411">
        <v>2350</v>
      </c>
      <c r="S411">
        <v>2350</v>
      </c>
      <c r="T411">
        <v>0</v>
      </c>
      <c r="U411">
        <v>0</v>
      </c>
      <c r="V411">
        <v>1</v>
      </c>
      <c r="W411">
        <v>0</v>
      </c>
      <c r="X411">
        <v>0.85</v>
      </c>
    </row>
    <row r="412" spans="1:24" x14ac:dyDescent="0.3">
      <c r="A412" t="s">
        <v>810</v>
      </c>
      <c r="B412" s="1">
        <v>45730</v>
      </c>
      <c r="C412" t="s">
        <v>56</v>
      </c>
      <c r="D412" t="s">
        <v>82</v>
      </c>
      <c r="E412" t="s">
        <v>83</v>
      </c>
      <c r="F412" t="s">
        <v>58</v>
      </c>
      <c r="G412" t="s">
        <v>59</v>
      </c>
      <c r="H412" t="s">
        <v>296</v>
      </c>
      <c r="I412" t="s">
        <v>811</v>
      </c>
      <c r="J412" t="s">
        <v>53</v>
      </c>
      <c r="K412" t="s">
        <v>85</v>
      </c>
      <c r="L412" t="s">
        <v>64</v>
      </c>
      <c r="M412" t="s">
        <v>94</v>
      </c>
      <c r="N412" t="s">
        <v>36</v>
      </c>
      <c r="O412">
        <v>60</v>
      </c>
      <c r="P412">
        <v>60</v>
      </c>
      <c r="Q412">
        <v>80</v>
      </c>
      <c r="R412">
        <v>1800</v>
      </c>
      <c r="S412">
        <v>1800</v>
      </c>
      <c r="T412">
        <v>0</v>
      </c>
      <c r="U412">
        <v>0</v>
      </c>
      <c r="V412">
        <v>1</v>
      </c>
      <c r="W412">
        <v>0</v>
      </c>
      <c r="X412">
        <v>0.85</v>
      </c>
    </row>
    <row r="413" spans="1:24" x14ac:dyDescent="0.3">
      <c r="A413" t="s">
        <v>812</v>
      </c>
      <c r="B413" s="1">
        <v>45961</v>
      </c>
      <c r="C413" t="s">
        <v>97</v>
      </c>
      <c r="D413" t="s">
        <v>82</v>
      </c>
      <c r="E413" t="s">
        <v>68</v>
      </c>
      <c r="F413" t="s">
        <v>28</v>
      </c>
      <c r="G413" t="s">
        <v>29</v>
      </c>
      <c r="H413" t="s">
        <v>210</v>
      </c>
      <c r="I413" t="s">
        <v>780</v>
      </c>
      <c r="J413" t="s">
        <v>62</v>
      </c>
      <c r="K413" t="s">
        <v>63</v>
      </c>
      <c r="L413" t="s">
        <v>78</v>
      </c>
      <c r="M413" t="s">
        <v>71</v>
      </c>
      <c r="N413" t="s">
        <v>36</v>
      </c>
      <c r="O413">
        <v>60</v>
      </c>
      <c r="P413">
        <v>60</v>
      </c>
      <c r="Q413">
        <v>78.7</v>
      </c>
      <c r="R413">
        <v>1150</v>
      </c>
      <c r="S413">
        <v>1150</v>
      </c>
      <c r="T413">
        <v>0</v>
      </c>
      <c r="U413">
        <v>0</v>
      </c>
      <c r="V413">
        <v>1</v>
      </c>
      <c r="W413">
        <v>0</v>
      </c>
      <c r="X413">
        <v>0.85</v>
      </c>
    </row>
    <row r="414" spans="1:24" x14ac:dyDescent="0.3">
      <c r="A414" t="s">
        <v>813</v>
      </c>
      <c r="B414" s="1">
        <v>45999</v>
      </c>
      <c r="C414" t="s">
        <v>25</v>
      </c>
      <c r="D414" t="s">
        <v>39</v>
      </c>
      <c r="E414" t="s">
        <v>68</v>
      </c>
      <c r="F414" t="s">
        <v>28</v>
      </c>
      <c r="G414" t="s">
        <v>29</v>
      </c>
      <c r="H414" t="s">
        <v>120</v>
      </c>
      <c r="I414" t="s">
        <v>118</v>
      </c>
      <c r="J414" t="s">
        <v>53</v>
      </c>
      <c r="K414" t="s">
        <v>85</v>
      </c>
      <c r="L414" t="s">
        <v>78</v>
      </c>
      <c r="M414" t="s">
        <v>94</v>
      </c>
      <c r="N414" t="s">
        <v>95</v>
      </c>
      <c r="O414">
        <v>45</v>
      </c>
      <c r="P414">
        <v>0</v>
      </c>
      <c r="Q414">
        <v>49.5</v>
      </c>
      <c r="R414">
        <v>1050</v>
      </c>
      <c r="S414">
        <v>0</v>
      </c>
      <c r="T414">
        <v>1050</v>
      </c>
      <c r="U414">
        <v>1</v>
      </c>
      <c r="V414">
        <v>0</v>
      </c>
      <c r="W414">
        <v>0</v>
      </c>
      <c r="X414">
        <v>0.85</v>
      </c>
    </row>
    <row r="415" spans="1:24" x14ac:dyDescent="0.3">
      <c r="A415" t="s">
        <v>814</v>
      </c>
      <c r="B415" s="1">
        <v>45976</v>
      </c>
      <c r="C415" t="s">
        <v>38</v>
      </c>
      <c r="D415" t="s">
        <v>88</v>
      </c>
      <c r="E415" t="s">
        <v>83</v>
      </c>
      <c r="F415" t="s">
        <v>58</v>
      </c>
      <c r="G415" t="s">
        <v>59</v>
      </c>
      <c r="H415" t="s">
        <v>60</v>
      </c>
      <c r="I415" t="s">
        <v>176</v>
      </c>
      <c r="J415" t="s">
        <v>32</v>
      </c>
      <c r="K415" t="s">
        <v>63</v>
      </c>
      <c r="L415" t="s">
        <v>64</v>
      </c>
      <c r="M415" t="s">
        <v>86</v>
      </c>
      <c r="N415" t="s">
        <v>36</v>
      </c>
      <c r="O415">
        <v>45</v>
      </c>
      <c r="P415">
        <v>45</v>
      </c>
      <c r="Q415">
        <v>56.6</v>
      </c>
      <c r="R415">
        <v>1100</v>
      </c>
      <c r="S415">
        <v>1100</v>
      </c>
      <c r="T415">
        <v>0</v>
      </c>
      <c r="U415">
        <v>0</v>
      </c>
      <c r="V415">
        <v>1</v>
      </c>
      <c r="W415">
        <v>0</v>
      </c>
      <c r="X415">
        <v>0.85</v>
      </c>
    </row>
    <row r="416" spans="1:24" x14ac:dyDescent="0.3">
      <c r="A416" t="s">
        <v>815</v>
      </c>
      <c r="B416" s="1">
        <v>45880</v>
      </c>
      <c r="C416" t="s">
        <v>110</v>
      </c>
      <c r="D416" t="s">
        <v>39</v>
      </c>
      <c r="E416" t="s">
        <v>27</v>
      </c>
      <c r="F416" t="s">
        <v>58</v>
      </c>
      <c r="G416" t="s">
        <v>59</v>
      </c>
      <c r="H416" t="s">
        <v>73</v>
      </c>
      <c r="I416" t="s">
        <v>816</v>
      </c>
      <c r="J416" t="s">
        <v>62</v>
      </c>
      <c r="K416" t="s">
        <v>63</v>
      </c>
      <c r="L416" t="s">
        <v>64</v>
      </c>
      <c r="M416" t="s">
        <v>86</v>
      </c>
      <c r="N416" t="s">
        <v>36</v>
      </c>
      <c r="O416">
        <v>45</v>
      </c>
      <c r="P416">
        <v>45</v>
      </c>
      <c r="Q416">
        <v>50.2</v>
      </c>
      <c r="R416">
        <v>1100</v>
      </c>
      <c r="S416">
        <v>1100</v>
      </c>
      <c r="T416">
        <v>0</v>
      </c>
      <c r="U416">
        <v>0</v>
      </c>
      <c r="V416">
        <v>1</v>
      </c>
      <c r="W416">
        <v>0</v>
      </c>
      <c r="X416">
        <v>0.85</v>
      </c>
    </row>
    <row r="417" spans="1:24" x14ac:dyDescent="0.3">
      <c r="A417" t="s">
        <v>817</v>
      </c>
      <c r="B417" s="1">
        <v>45824</v>
      </c>
      <c r="C417" t="s">
        <v>67</v>
      </c>
      <c r="D417" t="s">
        <v>39</v>
      </c>
      <c r="E417" t="s">
        <v>40</v>
      </c>
      <c r="F417" t="s">
        <v>58</v>
      </c>
      <c r="G417" t="s">
        <v>59</v>
      </c>
      <c r="H417" t="s">
        <v>117</v>
      </c>
      <c r="I417" t="s">
        <v>818</v>
      </c>
      <c r="J417" t="s">
        <v>53</v>
      </c>
      <c r="K417" t="s">
        <v>63</v>
      </c>
      <c r="L417" t="s">
        <v>64</v>
      </c>
      <c r="M417" t="s">
        <v>71</v>
      </c>
      <c r="N417" t="s">
        <v>36</v>
      </c>
      <c r="O417">
        <v>60</v>
      </c>
      <c r="P417">
        <v>60</v>
      </c>
      <c r="Q417">
        <v>66.400000000000006</v>
      </c>
      <c r="R417">
        <v>1800</v>
      </c>
      <c r="S417">
        <v>1800</v>
      </c>
      <c r="T417">
        <v>0</v>
      </c>
      <c r="U417">
        <v>0</v>
      </c>
      <c r="V417">
        <v>1</v>
      </c>
      <c r="W417">
        <v>0</v>
      </c>
      <c r="X417">
        <v>0.85</v>
      </c>
    </row>
    <row r="418" spans="1:24" x14ac:dyDescent="0.3">
      <c r="A418" t="s">
        <v>819</v>
      </c>
      <c r="B418" s="1">
        <v>45968</v>
      </c>
      <c r="C418" t="s">
        <v>38</v>
      </c>
      <c r="D418" t="s">
        <v>82</v>
      </c>
      <c r="E418" t="s">
        <v>40</v>
      </c>
      <c r="F418" t="s">
        <v>41</v>
      </c>
      <c r="G418" t="s">
        <v>42</v>
      </c>
      <c r="H418" t="s">
        <v>89</v>
      </c>
      <c r="I418" t="s">
        <v>820</v>
      </c>
      <c r="J418" t="s">
        <v>99</v>
      </c>
      <c r="K418" t="s">
        <v>104</v>
      </c>
      <c r="L418" t="s">
        <v>54</v>
      </c>
      <c r="M418" t="s">
        <v>94</v>
      </c>
      <c r="N418" t="s">
        <v>36</v>
      </c>
      <c r="O418">
        <v>60</v>
      </c>
      <c r="P418">
        <v>60</v>
      </c>
      <c r="Q418">
        <v>75.2</v>
      </c>
      <c r="R418">
        <v>1150</v>
      </c>
      <c r="S418">
        <v>1150</v>
      </c>
      <c r="T418">
        <v>0</v>
      </c>
      <c r="U418">
        <v>0</v>
      </c>
      <c r="V418">
        <v>1</v>
      </c>
      <c r="W418">
        <v>0</v>
      </c>
      <c r="X418">
        <v>0.85</v>
      </c>
    </row>
    <row r="419" spans="1:24" x14ac:dyDescent="0.3">
      <c r="A419" t="s">
        <v>821</v>
      </c>
      <c r="B419" s="1">
        <v>45876</v>
      </c>
      <c r="C419" t="s">
        <v>110</v>
      </c>
      <c r="D419" t="s">
        <v>50</v>
      </c>
      <c r="E419" t="s">
        <v>68</v>
      </c>
      <c r="F419" t="s">
        <v>28</v>
      </c>
      <c r="G419" t="s">
        <v>29</v>
      </c>
      <c r="H419" t="s">
        <v>120</v>
      </c>
      <c r="I419" t="s">
        <v>822</v>
      </c>
      <c r="J419" t="s">
        <v>62</v>
      </c>
      <c r="K419" t="s">
        <v>85</v>
      </c>
      <c r="L419" t="s">
        <v>34</v>
      </c>
      <c r="M419" t="s">
        <v>71</v>
      </c>
      <c r="N419" t="s">
        <v>95</v>
      </c>
      <c r="O419">
        <v>30</v>
      </c>
      <c r="P419">
        <v>0</v>
      </c>
      <c r="Q419">
        <v>33.1</v>
      </c>
      <c r="R419">
        <v>600</v>
      </c>
      <c r="S419">
        <v>0</v>
      </c>
      <c r="T419">
        <v>600</v>
      </c>
      <c r="U419">
        <v>1</v>
      </c>
      <c r="V419">
        <v>0</v>
      </c>
      <c r="W419">
        <v>0</v>
      </c>
      <c r="X419">
        <v>0.85</v>
      </c>
    </row>
    <row r="420" spans="1:24" x14ac:dyDescent="0.3">
      <c r="A420" t="s">
        <v>823</v>
      </c>
      <c r="B420" s="1">
        <v>45688</v>
      </c>
      <c r="C420" t="s">
        <v>130</v>
      </c>
      <c r="D420" t="s">
        <v>82</v>
      </c>
      <c r="E420" t="s">
        <v>68</v>
      </c>
      <c r="F420" t="s">
        <v>41</v>
      </c>
      <c r="G420" t="s">
        <v>42</v>
      </c>
      <c r="H420" t="s">
        <v>43</v>
      </c>
      <c r="I420" t="s">
        <v>320</v>
      </c>
      <c r="J420" t="s">
        <v>137</v>
      </c>
      <c r="K420" t="s">
        <v>33</v>
      </c>
      <c r="L420" t="s">
        <v>78</v>
      </c>
      <c r="M420" t="s">
        <v>86</v>
      </c>
      <c r="N420" t="s">
        <v>36</v>
      </c>
      <c r="O420">
        <v>60</v>
      </c>
      <c r="P420">
        <v>60</v>
      </c>
      <c r="Q420">
        <v>66.2</v>
      </c>
      <c r="R420">
        <v>1250</v>
      </c>
      <c r="S420">
        <v>1250</v>
      </c>
      <c r="T420">
        <v>0</v>
      </c>
      <c r="U420">
        <v>0</v>
      </c>
      <c r="V420">
        <v>1</v>
      </c>
      <c r="W420">
        <v>0</v>
      </c>
      <c r="X420">
        <v>0.85</v>
      </c>
    </row>
    <row r="421" spans="1:24" x14ac:dyDescent="0.3">
      <c r="A421" t="s">
        <v>824</v>
      </c>
      <c r="B421" s="1">
        <v>45894</v>
      </c>
      <c r="C421" t="s">
        <v>110</v>
      </c>
      <c r="D421" t="s">
        <v>39</v>
      </c>
      <c r="E421" t="s">
        <v>27</v>
      </c>
      <c r="F421" t="s">
        <v>58</v>
      </c>
      <c r="G421" t="s">
        <v>59</v>
      </c>
      <c r="H421" t="s">
        <v>117</v>
      </c>
      <c r="I421" t="s">
        <v>360</v>
      </c>
      <c r="J421" t="s">
        <v>62</v>
      </c>
      <c r="K421" t="s">
        <v>63</v>
      </c>
      <c r="L421" t="s">
        <v>64</v>
      </c>
      <c r="M421" t="s">
        <v>71</v>
      </c>
      <c r="N421" t="s">
        <v>95</v>
      </c>
      <c r="O421">
        <v>90</v>
      </c>
      <c r="P421">
        <v>0</v>
      </c>
      <c r="Q421">
        <v>113.1</v>
      </c>
      <c r="R421">
        <v>2250</v>
      </c>
      <c r="S421">
        <v>0</v>
      </c>
      <c r="T421">
        <v>2250</v>
      </c>
      <c r="U421">
        <v>1</v>
      </c>
      <c r="V421">
        <v>0</v>
      </c>
      <c r="W421">
        <v>0</v>
      </c>
      <c r="X421">
        <v>0.85</v>
      </c>
    </row>
    <row r="422" spans="1:24" x14ac:dyDescent="0.3">
      <c r="A422" t="s">
        <v>825</v>
      </c>
      <c r="B422" s="1">
        <v>45988</v>
      </c>
      <c r="C422" t="s">
        <v>38</v>
      </c>
      <c r="D422" t="s">
        <v>50</v>
      </c>
      <c r="E422" t="s">
        <v>27</v>
      </c>
      <c r="F422" t="s">
        <v>41</v>
      </c>
      <c r="G422" t="s">
        <v>42</v>
      </c>
      <c r="H422" t="s">
        <v>111</v>
      </c>
      <c r="I422" t="s">
        <v>215</v>
      </c>
      <c r="J422" t="s">
        <v>45</v>
      </c>
      <c r="K422" t="s">
        <v>63</v>
      </c>
      <c r="L422" t="s">
        <v>64</v>
      </c>
      <c r="M422" t="s">
        <v>71</v>
      </c>
      <c r="N422" t="s">
        <v>36</v>
      </c>
      <c r="O422">
        <v>45</v>
      </c>
      <c r="P422">
        <v>45</v>
      </c>
      <c r="Q422">
        <v>59.7</v>
      </c>
      <c r="R422">
        <v>1150</v>
      </c>
      <c r="S422">
        <v>1150</v>
      </c>
      <c r="T422">
        <v>0</v>
      </c>
      <c r="U422">
        <v>0</v>
      </c>
      <c r="V422">
        <v>1</v>
      </c>
      <c r="W422">
        <v>0</v>
      </c>
      <c r="X422">
        <v>0.85</v>
      </c>
    </row>
    <row r="423" spans="1:24" x14ac:dyDescent="0.3">
      <c r="A423" t="s">
        <v>826</v>
      </c>
      <c r="B423" s="1">
        <v>45805</v>
      </c>
      <c r="C423" t="s">
        <v>128</v>
      </c>
      <c r="D423" t="s">
        <v>57</v>
      </c>
      <c r="E423" t="s">
        <v>40</v>
      </c>
      <c r="F423" t="s">
        <v>41</v>
      </c>
      <c r="G423" t="s">
        <v>42</v>
      </c>
      <c r="H423" t="s">
        <v>125</v>
      </c>
      <c r="I423" t="s">
        <v>827</v>
      </c>
      <c r="J423" t="s">
        <v>62</v>
      </c>
      <c r="K423" t="s">
        <v>46</v>
      </c>
      <c r="L423" t="s">
        <v>34</v>
      </c>
      <c r="M423" t="s">
        <v>35</v>
      </c>
      <c r="N423" t="s">
        <v>113</v>
      </c>
      <c r="O423">
        <v>90</v>
      </c>
      <c r="P423">
        <v>0</v>
      </c>
      <c r="Q423">
        <v>111.5</v>
      </c>
      <c r="R423">
        <v>2000</v>
      </c>
      <c r="S423">
        <v>0</v>
      </c>
      <c r="T423">
        <v>2000</v>
      </c>
      <c r="U423">
        <v>0</v>
      </c>
      <c r="V423">
        <v>0</v>
      </c>
      <c r="W423">
        <v>1</v>
      </c>
      <c r="X423">
        <v>0.85</v>
      </c>
    </row>
    <row r="424" spans="1:24" x14ac:dyDescent="0.3">
      <c r="A424" t="s">
        <v>828</v>
      </c>
      <c r="B424" s="1">
        <v>46013</v>
      </c>
      <c r="C424" t="s">
        <v>25</v>
      </c>
      <c r="D424" t="s">
        <v>39</v>
      </c>
      <c r="E424" t="s">
        <v>68</v>
      </c>
      <c r="F424" t="s">
        <v>58</v>
      </c>
      <c r="G424" t="s">
        <v>59</v>
      </c>
      <c r="H424" t="s">
        <v>73</v>
      </c>
      <c r="I424" t="s">
        <v>318</v>
      </c>
      <c r="J424" t="s">
        <v>62</v>
      </c>
      <c r="K424" t="s">
        <v>46</v>
      </c>
      <c r="L424" t="s">
        <v>34</v>
      </c>
      <c r="M424" t="s">
        <v>94</v>
      </c>
      <c r="N424" t="s">
        <v>36</v>
      </c>
      <c r="O424">
        <v>60</v>
      </c>
      <c r="P424">
        <v>60</v>
      </c>
      <c r="Q424">
        <v>70.7</v>
      </c>
      <c r="R424">
        <v>1500</v>
      </c>
      <c r="S424">
        <v>1500</v>
      </c>
      <c r="T424">
        <v>0</v>
      </c>
      <c r="U424">
        <v>0</v>
      </c>
      <c r="V424">
        <v>1</v>
      </c>
      <c r="W424">
        <v>0</v>
      </c>
      <c r="X424">
        <v>0.85</v>
      </c>
    </row>
    <row r="425" spans="1:24" x14ac:dyDescent="0.3">
      <c r="A425" t="s">
        <v>829</v>
      </c>
      <c r="B425" s="1">
        <v>45703</v>
      </c>
      <c r="C425" t="s">
        <v>76</v>
      </c>
      <c r="D425" t="s">
        <v>88</v>
      </c>
      <c r="E425" t="s">
        <v>40</v>
      </c>
      <c r="F425" t="s">
        <v>58</v>
      </c>
      <c r="G425" t="s">
        <v>59</v>
      </c>
      <c r="H425" t="s">
        <v>151</v>
      </c>
      <c r="I425" t="s">
        <v>830</v>
      </c>
      <c r="J425" t="s">
        <v>137</v>
      </c>
      <c r="K425" t="s">
        <v>70</v>
      </c>
      <c r="L425" t="s">
        <v>34</v>
      </c>
      <c r="M425" t="s">
        <v>71</v>
      </c>
      <c r="N425" t="s">
        <v>36</v>
      </c>
      <c r="O425">
        <v>60</v>
      </c>
      <c r="P425">
        <v>60</v>
      </c>
      <c r="Q425">
        <v>80.599999999999994</v>
      </c>
      <c r="R425">
        <v>1500</v>
      </c>
      <c r="S425">
        <v>1500</v>
      </c>
      <c r="T425">
        <v>0</v>
      </c>
      <c r="U425">
        <v>0</v>
      </c>
      <c r="V425">
        <v>1</v>
      </c>
      <c r="W425">
        <v>0</v>
      </c>
      <c r="X425">
        <v>0.85</v>
      </c>
    </row>
    <row r="426" spans="1:24" x14ac:dyDescent="0.3">
      <c r="A426" t="s">
        <v>831</v>
      </c>
      <c r="B426" s="1">
        <v>45916</v>
      </c>
      <c r="C426" t="s">
        <v>49</v>
      </c>
      <c r="D426" t="s">
        <v>26</v>
      </c>
      <c r="E426" t="s">
        <v>40</v>
      </c>
      <c r="F426" t="s">
        <v>58</v>
      </c>
      <c r="G426" t="s">
        <v>59</v>
      </c>
      <c r="H426" t="s">
        <v>73</v>
      </c>
      <c r="I426" t="s">
        <v>639</v>
      </c>
      <c r="J426" t="s">
        <v>99</v>
      </c>
      <c r="K426" t="s">
        <v>46</v>
      </c>
      <c r="L426" t="s">
        <v>78</v>
      </c>
      <c r="M426" t="s">
        <v>71</v>
      </c>
      <c r="N426" t="s">
        <v>36</v>
      </c>
      <c r="O426">
        <v>75</v>
      </c>
      <c r="P426">
        <v>75</v>
      </c>
      <c r="Q426">
        <v>85.7</v>
      </c>
      <c r="R426">
        <v>1700</v>
      </c>
      <c r="S426">
        <v>1700</v>
      </c>
      <c r="T426">
        <v>0</v>
      </c>
      <c r="U426">
        <v>0</v>
      </c>
      <c r="V426">
        <v>1</v>
      </c>
      <c r="W426">
        <v>0</v>
      </c>
      <c r="X426">
        <v>0.85</v>
      </c>
    </row>
    <row r="427" spans="1:24" x14ac:dyDescent="0.3">
      <c r="A427" t="s">
        <v>832</v>
      </c>
      <c r="B427" s="1">
        <v>45990</v>
      </c>
      <c r="C427" t="s">
        <v>38</v>
      </c>
      <c r="D427" t="s">
        <v>88</v>
      </c>
      <c r="E427" t="s">
        <v>68</v>
      </c>
      <c r="F427" t="s">
        <v>58</v>
      </c>
      <c r="G427" t="s">
        <v>59</v>
      </c>
      <c r="H427" t="s">
        <v>117</v>
      </c>
      <c r="I427" t="s">
        <v>298</v>
      </c>
      <c r="J427" t="s">
        <v>62</v>
      </c>
      <c r="K427" t="s">
        <v>46</v>
      </c>
      <c r="L427" t="s">
        <v>64</v>
      </c>
      <c r="M427" t="s">
        <v>86</v>
      </c>
      <c r="N427" t="s">
        <v>36</v>
      </c>
      <c r="O427">
        <v>45</v>
      </c>
      <c r="P427">
        <v>45</v>
      </c>
      <c r="Q427">
        <v>57.6</v>
      </c>
      <c r="R427">
        <v>1100</v>
      </c>
      <c r="S427">
        <v>1100</v>
      </c>
      <c r="T427">
        <v>0</v>
      </c>
      <c r="U427">
        <v>0</v>
      </c>
      <c r="V427">
        <v>1</v>
      </c>
      <c r="W427">
        <v>0</v>
      </c>
      <c r="X427">
        <v>0.85</v>
      </c>
    </row>
    <row r="428" spans="1:24" x14ac:dyDescent="0.3">
      <c r="A428" t="s">
        <v>833</v>
      </c>
      <c r="B428" s="1">
        <v>45860</v>
      </c>
      <c r="C428" t="s">
        <v>101</v>
      </c>
      <c r="D428" t="s">
        <v>26</v>
      </c>
      <c r="E428" t="s">
        <v>68</v>
      </c>
      <c r="F428" t="s">
        <v>58</v>
      </c>
      <c r="G428" t="s">
        <v>59</v>
      </c>
      <c r="H428" t="s">
        <v>73</v>
      </c>
      <c r="I428" t="s">
        <v>732</v>
      </c>
      <c r="J428" t="s">
        <v>62</v>
      </c>
      <c r="K428" t="s">
        <v>46</v>
      </c>
      <c r="L428" t="s">
        <v>34</v>
      </c>
      <c r="M428" t="s">
        <v>35</v>
      </c>
      <c r="N428" t="s">
        <v>36</v>
      </c>
      <c r="O428">
        <v>30</v>
      </c>
      <c r="P428">
        <v>30</v>
      </c>
      <c r="Q428">
        <v>38.5</v>
      </c>
      <c r="R428">
        <v>750</v>
      </c>
      <c r="S428">
        <v>750</v>
      </c>
      <c r="T428">
        <v>0</v>
      </c>
      <c r="U428">
        <v>0</v>
      </c>
      <c r="V428">
        <v>1</v>
      </c>
      <c r="W428">
        <v>0</v>
      </c>
      <c r="X428">
        <v>0.85</v>
      </c>
    </row>
    <row r="429" spans="1:24" x14ac:dyDescent="0.3">
      <c r="A429" t="s">
        <v>834</v>
      </c>
      <c r="B429" s="1">
        <v>45974</v>
      </c>
      <c r="C429" t="s">
        <v>38</v>
      </c>
      <c r="D429" t="s">
        <v>50</v>
      </c>
      <c r="E429" t="s">
        <v>83</v>
      </c>
      <c r="F429" t="s">
        <v>58</v>
      </c>
      <c r="G429" t="s">
        <v>59</v>
      </c>
      <c r="H429" t="s">
        <v>296</v>
      </c>
      <c r="I429" t="s">
        <v>699</v>
      </c>
      <c r="J429" t="s">
        <v>62</v>
      </c>
      <c r="K429" t="s">
        <v>104</v>
      </c>
      <c r="L429" t="s">
        <v>34</v>
      </c>
      <c r="M429" t="s">
        <v>86</v>
      </c>
      <c r="N429" t="s">
        <v>36</v>
      </c>
      <c r="O429">
        <v>75</v>
      </c>
      <c r="P429">
        <v>75</v>
      </c>
      <c r="Q429">
        <v>99.8</v>
      </c>
      <c r="R429">
        <v>1900</v>
      </c>
      <c r="S429">
        <v>1900</v>
      </c>
      <c r="T429">
        <v>0</v>
      </c>
      <c r="U429">
        <v>0</v>
      </c>
      <c r="V429">
        <v>1</v>
      </c>
      <c r="W429">
        <v>0</v>
      </c>
      <c r="X429">
        <v>0.85</v>
      </c>
    </row>
    <row r="430" spans="1:24" x14ac:dyDescent="0.3">
      <c r="A430" t="s">
        <v>835</v>
      </c>
      <c r="B430" s="1">
        <v>45869</v>
      </c>
      <c r="C430" t="s">
        <v>101</v>
      </c>
      <c r="D430" t="s">
        <v>50</v>
      </c>
      <c r="E430" t="s">
        <v>27</v>
      </c>
      <c r="F430" t="s">
        <v>41</v>
      </c>
      <c r="G430" t="s">
        <v>42</v>
      </c>
      <c r="H430" t="s">
        <v>43</v>
      </c>
      <c r="I430" t="s">
        <v>473</v>
      </c>
      <c r="J430" t="s">
        <v>62</v>
      </c>
      <c r="K430" t="s">
        <v>33</v>
      </c>
      <c r="L430" t="s">
        <v>34</v>
      </c>
      <c r="M430" t="s">
        <v>71</v>
      </c>
      <c r="N430" t="s">
        <v>153</v>
      </c>
      <c r="O430">
        <v>75</v>
      </c>
      <c r="P430">
        <v>0</v>
      </c>
      <c r="Q430">
        <v>98.5</v>
      </c>
      <c r="R430">
        <v>1700</v>
      </c>
      <c r="S430">
        <v>0</v>
      </c>
      <c r="T430">
        <v>0</v>
      </c>
      <c r="U430">
        <v>0</v>
      </c>
      <c r="V430">
        <v>0</v>
      </c>
      <c r="W430">
        <v>0</v>
      </c>
      <c r="X430">
        <v>0.85</v>
      </c>
    </row>
    <row r="431" spans="1:24" x14ac:dyDescent="0.3">
      <c r="A431" t="s">
        <v>836</v>
      </c>
      <c r="B431" s="1">
        <v>45873</v>
      </c>
      <c r="C431" t="s">
        <v>110</v>
      </c>
      <c r="D431" t="s">
        <v>39</v>
      </c>
      <c r="E431" t="s">
        <v>27</v>
      </c>
      <c r="F431" t="s">
        <v>58</v>
      </c>
      <c r="G431" t="s">
        <v>59</v>
      </c>
      <c r="H431" t="s">
        <v>296</v>
      </c>
      <c r="I431" t="s">
        <v>837</v>
      </c>
      <c r="J431" t="s">
        <v>32</v>
      </c>
      <c r="K431" t="s">
        <v>46</v>
      </c>
      <c r="L431" t="s">
        <v>34</v>
      </c>
      <c r="M431" t="s">
        <v>35</v>
      </c>
      <c r="N431" t="s">
        <v>36</v>
      </c>
      <c r="O431">
        <v>75</v>
      </c>
      <c r="P431">
        <v>75</v>
      </c>
      <c r="Q431">
        <v>82</v>
      </c>
      <c r="R431">
        <v>1900</v>
      </c>
      <c r="S431">
        <v>1900</v>
      </c>
      <c r="T431">
        <v>0</v>
      </c>
      <c r="U431">
        <v>0</v>
      </c>
      <c r="V431">
        <v>1</v>
      </c>
      <c r="W431">
        <v>0</v>
      </c>
      <c r="X431">
        <v>0.85</v>
      </c>
    </row>
    <row r="432" spans="1:24" x14ac:dyDescent="0.3">
      <c r="A432" t="s">
        <v>838</v>
      </c>
      <c r="B432" s="1">
        <v>45824</v>
      </c>
      <c r="C432" t="s">
        <v>67</v>
      </c>
      <c r="D432" t="s">
        <v>39</v>
      </c>
      <c r="E432" t="s">
        <v>27</v>
      </c>
      <c r="F432" t="s">
        <v>28</v>
      </c>
      <c r="G432" t="s">
        <v>29</v>
      </c>
      <c r="H432" t="s">
        <v>135</v>
      </c>
      <c r="I432" t="s">
        <v>839</v>
      </c>
      <c r="J432" t="s">
        <v>53</v>
      </c>
      <c r="K432" t="s">
        <v>63</v>
      </c>
      <c r="L432" t="s">
        <v>78</v>
      </c>
      <c r="M432" t="s">
        <v>94</v>
      </c>
      <c r="N432" t="s">
        <v>36</v>
      </c>
      <c r="O432">
        <v>60</v>
      </c>
      <c r="P432">
        <v>60</v>
      </c>
      <c r="Q432">
        <v>67.599999999999994</v>
      </c>
      <c r="R432">
        <v>1400</v>
      </c>
      <c r="S432">
        <v>1400</v>
      </c>
      <c r="T432">
        <v>0</v>
      </c>
      <c r="U432">
        <v>0</v>
      </c>
      <c r="V432">
        <v>1</v>
      </c>
      <c r="W432">
        <v>0</v>
      </c>
      <c r="X432">
        <v>0.85</v>
      </c>
    </row>
    <row r="433" spans="1:24" x14ac:dyDescent="0.3">
      <c r="A433" t="s">
        <v>840</v>
      </c>
      <c r="B433" s="1">
        <v>45993</v>
      </c>
      <c r="C433" t="s">
        <v>25</v>
      </c>
      <c r="D433" t="s">
        <v>26</v>
      </c>
      <c r="E433" t="s">
        <v>68</v>
      </c>
      <c r="F433" t="s">
        <v>28</v>
      </c>
      <c r="G433" t="s">
        <v>29</v>
      </c>
      <c r="H433" t="s">
        <v>30</v>
      </c>
      <c r="I433" t="s">
        <v>546</v>
      </c>
      <c r="J433" t="s">
        <v>99</v>
      </c>
      <c r="K433" t="s">
        <v>70</v>
      </c>
      <c r="L433" t="s">
        <v>34</v>
      </c>
      <c r="M433" t="s">
        <v>47</v>
      </c>
      <c r="N433" t="s">
        <v>36</v>
      </c>
      <c r="O433">
        <v>60</v>
      </c>
      <c r="P433">
        <v>60</v>
      </c>
      <c r="Q433">
        <v>73.2</v>
      </c>
      <c r="R433">
        <v>1250</v>
      </c>
      <c r="S433">
        <v>1250</v>
      </c>
      <c r="T433">
        <v>0</v>
      </c>
      <c r="U433">
        <v>0</v>
      </c>
      <c r="V433">
        <v>1</v>
      </c>
      <c r="W433">
        <v>0</v>
      </c>
      <c r="X433">
        <v>0.85</v>
      </c>
    </row>
    <row r="434" spans="1:24" x14ac:dyDescent="0.3">
      <c r="A434" t="s">
        <v>841</v>
      </c>
      <c r="B434" s="1">
        <v>45989</v>
      </c>
      <c r="C434" t="s">
        <v>38</v>
      </c>
      <c r="D434" t="s">
        <v>82</v>
      </c>
      <c r="E434" t="s">
        <v>83</v>
      </c>
      <c r="F434" t="s">
        <v>41</v>
      </c>
      <c r="G434" t="s">
        <v>42</v>
      </c>
      <c r="H434" t="s">
        <v>89</v>
      </c>
      <c r="I434" t="s">
        <v>77</v>
      </c>
      <c r="J434" t="s">
        <v>53</v>
      </c>
      <c r="K434" t="s">
        <v>33</v>
      </c>
      <c r="L434" t="s">
        <v>78</v>
      </c>
      <c r="M434" t="s">
        <v>71</v>
      </c>
      <c r="N434" t="s">
        <v>36</v>
      </c>
      <c r="O434">
        <v>60</v>
      </c>
      <c r="P434">
        <v>60</v>
      </c>
      <c r="Q434">
        <v>72.8</v>
      </c>
      <c r="R434">
        <v>1500</v>
      </c>
      <c r="S434">
        <v>1500</v>
      </c>
      <c r="T434">
        <v>0</v>
      </c>
      <c r="U434">
        <v>0</v>
      </c>
      <c r="V434">
        <v>1</v>
      </c>
      <c r="W434">
        <v>0</v>
      </c>
      <c r="X434">
        <v>0.85</v>
      </c>
    </row>
    <row r="435" spans="1:24" x14ac:dyDescent="0.3">
      <c r="A435" t="s">
        <v>842</v>
      </c>
      <c r="B435" s="1">
        <v>45873</v>
      </c>
      <c r="C435" t="s">
        <v>110</v>
      </c>
      <c r="D435" t="s">
        <v>39</v>
      </c>
      <c r="E435" t="s">
        <v>40</v>
      </c>
      <c r="F435" t="s">
        <v>41</v>
      </c>
      <c r="G435" t="s">
        <v>42</v>
      </c>
      <c r="H435" t="s">
        <v>125</v>
      </c>
      <c r="I435" t="s">
        <v>705</v>
      </c>
      <c r="J435" t="s">
        <v>32</v>
      </c>
      <c r="K435" t="s">
        <v>46</v>
      </c>
      <c r="L435" t="s">
        <v>64</v>
      </c>
      <c r="M435" t="s">
        <v>94</v>
      </c>
      <c r="N435" t="s">
        <v>36</v>
      </c>
      <c r="O435">
        <v>60</v>
      </c>
      <c r="P435">
        <v>60</v>
      </c>
      <c r="Q435">
        <v>72.099999999999994</v>
      </c>
      <c r="R435">
        <v>1350</v>
      </c>
      <c r="S435">
        <v>1350</v>
      </c>
      <c r="T435">
        <v>0</v>
      </c>
      <c r="U435">
        <v>0</v>
      </c>
      <c r="V435">
        <v>1</v>
      </c>
      <c r="W435">
        <v>0</v>
      </c>
      <c r="X435">
        <v>0.85</v>
      </c>
    </row>
    <row r="436" spans="1:24" x14ac:dyDescent="0.3">
      <c r="A436" t="s">
        <v>843</v>
      </c>
      <c r="B436" s="1">
        <v>45761</v>
      </c>
      <c r="C436" t="s">
        <v>92</v>
      </c>
      <c r="D436" t="s">
        <v>39</v>
      </c>
      <c r="E436" t="s">
        <v>83</v>
      </c>
      <c r="F436" t="s">
        <v>28</v>
      </c>
      <c r="G436" t="s">
        <v>29</v>
      </c>
      <c r="H436" t="s">
        <v>120</v>
      </c>
      <c r="I436" t="s">
        <v>844</v>
      </c>
      <c r="J436" t="s">
        <v>62</v>
      </c>
      <c r="K436" t="s">
        <v>33</v>
      </c>
      <c r="L436" t="s">
        <v>64</v>
      </c>
      <c r="M436" t="s">
        <v>47</v>
      </c>
      <c r="N436" t="s">
        <v>36</v>
      </c>
      <c r="O436">
        <v>60</v>
      </c>
      <c r="P436">
        <v>60</v>
      </c>
      <c r="Q436">
        <v>71.5</v>
      </c>
      <c r="R436">
        <v>1250</v>
      </c>
      <c r="S436">
        <v>1250</v>
      </c>
      <c r="T436">
        <v>0</v>
      </c>
      <c r="U436">
        <v>0</v>
      </c>
      <c r="V436">
        <v>1</v>
      </c>
      <c r="W436">
        <v>0</v>
      </c>
      <c r="X436">
        <v>0.85</v>
      </c>
    </row>
    <row r="437" spans="1:24" x14ac:dyDescent="0.3">
      <c r="A437" t="s">
        <v>845</v>
      </c>
      <c r="B437" s="1">
        <v>45694</v>
      </c>
      <c r="C437" t="s">
        <v>76</v>
      </c>
      <c r="D437" t="s">
        <v>50</v>
      </c>
      <c r="E437" t="s">
        <v>83</v>
      </c>
      <c r="F437" t="s">
        <v>41</v>
      </c>
      <c r="G437" t="s">
        <v>42</v>
      </c>
      <c r="H437" t="s">
        <v>43</v>
      </c>
      <c r="I437" t="s">
        <v>846</v>
      </c>
      <c r="J437" t="s">
        <v>32</v>
      </c>
      <c r="K437" t="s">
        <v>70</v>
      </c>
      <c r="L437" t="s">
        <v>34</v>
      </c>
      <c r="M437" t="s">
        <v>65</v>
      </c>
      <c r="N437" t="s">
        <v>36</v>
      </c>
      <c r="O437">
        <v>60</v>
      </c>
      <c r="P437">
        <v>60</v>
      </c>
      <c r="Q437">
        <v>70.5</v>
      </c>
      <c r="R437">
        <v>1350</v>
      </c>
      <c r="S437">
        <v>1350</v>
      </c>
      <c r="T437">
        <v>0</v>
      </c>
      <c r="U437">
        <v>0</v>
      </c>
      <c r="V437">
        <v>1</v>
      </c>
      <c r="W437">
        <v>0</v>
      </c>
      <c r="X437">
        <v>0.85</v>
      </c>
    </row>
    <row r="438" spans="1:24" x14ac:dyDescent="0.3">
      <c r="A438" t="s">
        <v>847</v>
      </c>
      <c r="B438" s="1">
        <v>45822</v>
      </c>
      <c r="C438" t="s">
        <v>67</v>
      </c>
      <c r="D438" t="s">
        <v>88</v>
      </c>
      <c r="E438" t="s">
        <v>40</v>
      </c>
      <c r="F438" t="s">
        <v>28</v>
      </c>
      <c r="G438" t="s">
        <v>29</v>
      </c>
      <c r="H438" t="s">
        <v>210</v>
      </c>
      <c r="I438" t="s">
        <v>848</v>
      </c>
      <c r="J438" t="s">
        <v>53</v>
      </c>
      <c r="K438" t="s">
        <v>70</v>
      </c>
      <c r="L438" t="s">
        <v>54</v>
      </c>
      <c r="M438" t="s">
        <v>47</v>
      </c>
      <c r="N438" t="s">
        <v>36</v>
      </c>
      <c r="O438">
        <v>60</v>
      </c>
      <c r="P438">
        <v>60</v>
      </c>
      <c r="Q438">
        <v>71.5</v>
      </c>
      <c r="R438">
        <v>1300</v>
      </c>
      <c r="S438">
        <v>1300</v>
      </c>
      <c r="T438">
        <v>0</v>
      </c>
      <c r="U438">
        <v>0</v>
      </c>
      <c r="V438">
        <v>1</v>
      </c>
      <c r="W438">
        <v>0</v>
      </c>
      <c r="X438">
        <v>0.85</v>
      </c>
    </row>
    <row r="439" spans="1:24" x14ac:dyDescent="0.3">
      <c r="A439" t="s">
        <v>849</v>
      </c>
      <c r="B439" s="1">
        <v>45667</v>
      </c>
      <c r="C439" t="s">
        <v>130</v>
      </c>
      <c r="D439" t="s">
        <v>82</v>
      </c>
      <c r="E439" t="s">
        <v>68</v>
      </c>
      <c r="F439" t="s">
        <v>28</v>
      </c>
      <c r="G439" t="s">
        <v>29</v>
      </c>
      <c r="H439" t="s">
        <v>102</v>
      </c>
      <c r="I439" t="s">
        <v>850</v>
      </c>
      <c r="J439" t="s">
        <v>62</v>
      </c>
      <c r="K439" t="s">
        <v>70</v>
      </c>
      <c r="L439" t="s">
        <v>34</v>
      </c>
      <c r="M439" t="s">
        <v>86</v>
      </c>
      <c r="N439" t="s">
        <v>36</v>
      </c>
      <c r="O439">
        <v>90</v>
      </c>
      <c r="P439">
        <v>90</v>
      </c>
      <c r="Q439">
        <v>105.2</v>
      </c>
      <c r="R439">
        <v>1900</v>
      </c>
      <c r="S439">
        <v>1900</v>
      </c>
      <c r="T439">
        <v>0</v>
      </c>
      <c r="U439">
        <v>0</v>
      </c>
      <c r="V439">
        <v>1</v>
      </c>
      <c r="W439">
        <v>0</v>
      </c>
      <c r="X439">
        <v>0.85</v>
      </c>
    </row>
    <row r="440" spans="1:24" x14ac:dyDescent="0.3">
      <c r="A440" t="s">
        <v>851</v>
      </c>
      <c r="B440" s="1">
        <v>45721</v>
      </c>
      <c r="C440" t="s">
        <v>56</v>
      </c>
      <c r="D440" t="s">
        <v>57</v>
      </c>
      <c r="E440" t="s">
        <v>83</v>
      </c>
      <c r="F440" t="s">
        <v>58</v>
      </c>
      <c r="G440" t="s">
        <v>59</v>
      </c>
      <c r="H440" t="s">
        <v>117</v>
      </c>
      <c r="I440" t="s">
        <v>852</v>
      </c>
      <c r="J440" t="s">
        <v>32</v>
      </c>
      <c r="K440" t="s">
        <v>46</v>
      </c>
      <c r="L440" t="s">
        <v>64</v>
      </c>
      <c r="M440" t="s">
        <v>35</v>
      </c>
      <c r="N440" t="s">
        <v>113</v>
      </c>
      <c r="O440">
        <v>60</v>
      </c>
      <c r="P440">
        <v>0</v>
      </c>
      <c r="Q440">
        <v>67.900000000000006</v>
      </c>
      <c r="R440">
        <v>1500</v>
      </c>
      <c r="S440">
        <v>0</v>
      </c>
      <c r="T440">
        <v>1500</v>
      </c>
      <c r="U440">
        <v>0</v>
      </c>
      <c r="V440">
        <v>0</v>
      </c>
      <c r="W440">
        <v>1</v>
      </c>
      <c r="X440">
        <v>0.85</v>
      </c>
    </row>
    <row r="441" spans="1:24" x14ac:dyDescent="0.3">
      <c r="A441" t="s">
        <v>853</v>
      </c>
      <c r="B441" s="1">
        <v>45680</v>
      </c>
      <c r="C441" t="s">
        <v>130</v>
      </c>
      <c r="D441" t="s">
        <v>50</v>
      </c>
      <c r="E441" t="s">
        <v>83</v>
      </c>
      <c r="F441" t="s">
        <v>58</v>
      </c>
      <c r="G441" t="s">
        <v>59</v>
      </c>
      <c r="H441" t="s">
        <v>296</v>
      </c>
      <c r="I441" t="s">
        <v>854</v>
      </c>
      <c r="J441" t="s">
        <v>62</v>
      </c>
      <c r="K441" t="s">
        <v>70</v>
      </c>
      <c r="L441" t="s">
        <v>64</v>
      </c>
      <c r="M441" t="s">
        <v>94</v>
      </c>
      <c r="N441" t="s">
        <v>36</v>
      </c>
      <c r="O441">
        <v>30</v>
      </c>
      <c r="P441">
        <v>30</v>
      </c>
      <c r="Q441">
        <v>37.5</v>
      </c>
      <c r="R441">
        <v>750</v>
      </c>
      <c r="S441">
        <v>750</v>
      </c>
      <c r="T441">
        <v>0</v>
      </c>
      <c r="U441">
        <v>0</v>
      </c>
      <c r="V441">
        <v>1</v>
      </c>
      <c r="W441">
        <v>0</v>
      </c>
      <c r="X441">
        <v>0.85</v>
      </c>
    </row>
    <row r="442" spans="1:24" x14ac:dyDescent="0.3">
      <c r="A442" t="s">
        <v>855</v>
      </c>
      <c r="B442" s="1">
        <v>45931</v>
      </c>
      <c r="C442" t="s">
        <v>97</v>
      </c>
      <c r="D442" t="s">
        <v>57</v>
      </c>
      <c r="E442" t="s">
        <v>27</v>
      </c>
      <c r="F442" t="s">
        <v>58</v>
      </c>
      <c r="G442" t="s">
        <v>59</v>
      </c>
      <c r="H442" t="s">
        <v>73</v>
      </c>
      <c r="I442" t="s">
        <v>366</v>
      </c>
      <c r="J442" t="s">
        <v>32</v>
      </c>
      <c r="K442" t="s">
        <v>85</v>
      </c>
      <c r="L442" t="s">
        <v>78</v>
      </c>
      <c r="M442" t="s">
        <v>71</v>
      </c>
      <c r="N442" t="s">
        <v>95</v>
      </c>
      <c r="O442">
        <v>45</v>
      </c>
      <c r="P442">
        <v>0</v>
      </c>
      <c r="Q442">
        <v>56.5</v>
      </c>
      <c r="R442">
        <v>1050</v>
      </c>
      <c r="S442">
        <v>0</v>
      </c>
      <c r="T442">
        <v>1050</v>
      </c>
      <c r="U442">
        <v>1</v>
      </c>
      <c r="V442">
        <v>0</v>
      </c>
      <c r="W442">
        <v>0</v>
      </c>
      <c r="X442">
        <v>0.85</v>
      </c>
    </row>
    <row r="443" spans="1:24" x14ac:dyDescent="0.3">
      <c r="A443" t="s">
        <v>856</v>
      </c>
      <c r="B443" s="1">
        <v>45957</v>
      </c>
      <c r="C443" t="s">
        <v>97</v>
      </c>
      <c r="D443" t="s">
        <v>39</v>
      </c>
      <c r="E443" t="s">
        <v>83</v>
      </c>
      <c r="F443" t="s">
        <v>41</v>
      </c>
      <c r="G443" t="s">
        <v>42</v>
      </c>
      <c r="H443" t="s">
        <v>43</v>
      </c>
      <c r="I443" t="s">
        <v>435</v>
      </c>
      <c r="J443" t="s">
        <v>62</v>
      </c>
      <c r="K443" t="s">
        <v>33</v>
      </c>
      <c r="L443" t="s">
        <v>34</v>
      </c>
      <c r="M443" t="s">
        <v>71</v>
      </c>
      <c r="N443" t="s">
        <v>36</v>
      </c>
      <c r="O443">
        <v>75</v>
      </c>
      <c r="P443">
        <v>75</v>
      </c>
      <c r="Q443">
        <v>89.7</v>
      </c>
      <c r="R443">
        <v>1700</v>
      </c>
      <c r="S443">
        <v>1700</v>
      </c>
      <c r="T443">
        <v>0</v>
      </c>
      <c r="U443">
        <v>0</v>
      </c>
      <c r="V443">
        <v>1</v>
      </c>
      <c r="W443">
        <v>0</v>
      </c>
      <c r="X443">
        <v>0.85</v>
      </c>
    </row>
    <row r="444" spans="1:24" x14ac:dyDescent="0.3">
      <c r="A444" t="s">
        <v>857</v>
      </c>
      <c r="B444" s="1">
        <v>45762</v>
      </c>
      <c r="C444" t="s">
        <v>92</v>
      </c>
      <c r="D444" t="s">
        <v>26</v>
      </c>
      <c r="E444" t="s">
        <v>83</v>
      </c>
      <c r="F444" t="s">
        <v>28</v>
      </c>
      <c r="G444" t="s">
        <v>29</v>
      </c>
      <c r="H444" t="s">
        <v>210</v>
      </c>
      <c r="I444" t="s">
        <v>93</v>
      </c>
      <c r="J444" t="s">
        <v>45</v>
      </c>
      <c r="K444" t="s">
        <v>33</v>
      </c>
      <c r="L444" t="s">
        <v>34</v>
      </c>
      <c r="M444" t="s">
        <v>65</v>
      </c>
      <c r="N444" t="s">
        <v>36</v>
      </c>
      <c r="O444">
        <v>45</v>
      </c>
      <c r="P444">
        <v>45</v>
      </c>
      <c r="Q444">
        <v>57</v>
      </c>
      <c r="R444">
        <v>1100</v>
      </c>
      <c r="S444">
        <v>1100</v>
      </c>
      <c r="T444">
        <v>0</v>
      </c>
      <c r="U444">
        <v>0</v>
      </c>
      <c r="V444">
        <v>1</v>
      </c>
      <c r="W444">
        <v>0</v>
      </c>
      <c r="X444">
        <v>0.85</v>
      </c>
    </row>
    <row r="445" spans="1:24" x14ac:dyDescent="0.3">
      <c r="A445" t="s">
        <v>858</v>
      </c>
      <c r="B445" s="1">
        <v>45768</v>
      </c>
      <c r="C445" t="s">
        <v>92</v>
      </c>
      <c r="D445" t="s">
        <v>39</v>
      </c>
      <c r="E445" t="s">
        <v>68</v>
      </c>
      <c r="F445" t="s">
        <v>41</v>
      </c>
      <c r="G445" t="s">
        <v>42</v>
      </c>
      <c r="H445" t="s">
        <v>51</v>
      </c>
      <c r="I445" t="s">
        <v>460</v>
      </c>
      <c r="J445" t="s">
        <v>99</v>
      </c>
      <c r="K445" t="s">
        <v>85</v>
      </c>
      <c r="L445" t="s">
        <v>64</v>
      </c>
      <c r="M445" t="s">
        <v>71</v>
      </c>
      <c r="N445" t="s">
        <v>95</v>
      </c>
      <c r="O445">
        <v>45</v>
      </c>
      <c r="P445">
        <v>0</v>
      </c>
      <c r="Q445">
        <v>55.1</v>
      </c>
      <c r="R445">
        <v>1000</v>
      </c>
      <c r="S445">
        <v>0</v>
      </c>
      <c r="T445">
        <v>1000</v>
      </c>
      <c r="U445">
        <v>1</v>
      </c>
      <c r="V445">
        <v>0</v>
      </c>
      <c r="W445">
        <v>0</v>
      </c>
      <c r="X445">
        <v>0.85</v>
      </c>
    </row>
    <row r="446" spans="1:24" x14ac:dyDescent="0.3">
      <c r="A446" t="s">
        <v>859</v>
      </c>
      <c r="B446" s="1">
        <v>45987</v>
      </c>
      <c r="C446" t="s">
        <v>38</v>
      </c>
      <c r="D446" t="s">
        <v>57</v>
      </c>
      <c r="E446" t="s">
        <v>40</v>
      </c>
      <c r="F446" t="s">
        <v>58</v>
      </c>
      <c r="G446" t="s">
        <v>59</v>
      </c>
      <c r="H446" t="s">
        <v>60</v>
      </c>
      <c r="I446" t="s">
        <v>860</v>
      </c>
      <c r="J446" t="s">
        <v>45</v>
      </c>
      <c r="K446" t="s">
        <v>33</v>
      </c>
      <c r="L446" t="s">
        <v>64</v>
      </c>
      <c r="M446" t="s">
        <v>94</v>
      </c>
      <c r="N446" t="s">
        <v>36</v>
      </c>
      <c r="O446">
        <v>90</v>
      </c>
      <c r="P446">
        <v>90</v>
      </c>
      <c r="Q446">
        <v>121</v>
      </c>
      <c r="R446">
        <v>2600</v>
      </c>
      <c r="S446">
        <v>2600</v>
      </c>
      <c r="T446">
        <v>0</v>
      </c>
      <c r="U446">
        <v>0</v>
      </c>
      <c r="V446">
        <v>1</v>
      </c>
      <c r="W446">
        <v>0</v>
      </c>
      <c r="X446">
        <v>0.85</v>
      </c>
    </row>
    <row r="447" spans="1:24" x14ac:dyDescent="0.3">
      <c r="A447" t="s">
        <v>861</v>
      </c>
      <c r="B447" s="1">
        <v>45675</v>
      </c>
      <c r="C447" t="s">
        <v>130</v>
      </c>
      <c r="D447" t="s">
        <v>88</v>
      </c>
      <c r="E447" t="s">
        <v>83</v>
      </c>
      <c r="F447" t="s">
        <v>58</v>
      </c>
      <c r="G447" t="s">
        <v>59</v>
      </c>
      <c r="H447" t="s">
        <v>296</v>
      </c>
      <c r="I447" t="s">
        <v>243</v>
      </c>
      <c r="J447" t="s">
        <v>62</v>
      </c>
      <c r="K447" t="s">
        <v>104</v>
      </c>
      <c r="L447" t="s">
        <v>34</v>
      </c>
      <c r="M447" t="s">
        <v>47</v>
      </c>
      <c r="N447" t="s">
        <v>36</v>
      </c>
      <c r="O447">
        <v>60</v>
      </c>
      <c r="P447">
        <v>60</v>
      </c>
      <c r="Q447">
        <v>70.099999999999994</v>
      </c>
      <c r="R447">
        <v>1500</v>
      </c>
      <c r="S447">
        <v>1500</v>
      </c>
      <c r="T447">
        <v>0</v>
      </c>
      <c r="U447">
        <v>0</v>
      </c>
      <c r="V447">
        <v>1</v>
      </c>
      <c r="W447">
        <v>0</v>
      </c>
      <c r="X447">
        <v>0.85</v>
      </c>
    </row>
    <row r="448" spans="1:24" x14ac:dyDescent="0.3">
      <c r="A448" t="s">
        <v>862</v>
      </c>
      <c r="B448" s="1">
        <v>45754</v>
      </c>
      <c r="C448" t="s">
        <v>92</v>
      </c>
      <c r="D448" t="s">
        <v>39</v>
      </c>
      <c r="E448" t="s">
        <v>27</v>
      </c>
      <c r="F448" t="s">
        <v>58</v>
      </c>
      <c r="G448" t="s">
        <v>59</v>
      </c>
      <c r="H448" t="s">
        <v>151</v>
      </c>
      <c r="I448" t="s">
        <v>863</v>
      </c>
      <c r="J448" t="s">
        <v>32</v>
      </c>
      <c r="K448" t="s">
        <v>63</v>
      </c>
      <c r="L448" t="s">
        <v>34</v>
      </c>
      <c r="M448" t="s">
        <v>47</v>
      </c>
      <c r="N448" t="s">
        <v>36</v>
      </c>
      <c r="O448">
        <v>45</v>
      </c>
      <c r="P448">
        <v>45</v>
      </c>
      <c r="Q448">
        <v>57.9</v>
      </c>
      <c r="R448">
        <v>1100</v>
      </c>
      <c r="S448">
        <v>1100</v>
      </c>
      <c r="T448">
        <v>0</v>
      </c>
      <c r="U448">
        <v>0</v>
      </c>
      <c r="V448">
        <v>1</v>
      </c>
      <c r="W448">
        <v>0</v>
      </c>
      <c r="X448">
        <v>0.85</v>
      </c>
    </row>
    <row r="449" spans="1:24" x14ac:dyDescent="0.3">
      <c r="A449" t="s">
        <v>864</v>
      </c>
      <c r="B449" s="1">
        <v>46013</v>
      </c>
      <c r="C449" t="s">
        <v>25</v>
      </c>
      <c r="D449" t="s">
        <v>39</v>
      </c>
      <c r="E449" t="s">
        <v>83</v>
      </c>
      <c r="F449" t="s">
        <v>58</v>
      </c>
      <c r="G449" t="s">
        <v>59</v>
      </c>
      <c r="H449" t="s">
        <v>60</v>
      </c>
      <c r="I449" t="s">
        <v>865</v>
      </c>
      <c r="J449" t="s">
        <v>53</v>
      </c>
      <c r="K449" t="s">
        <v>85</v>
      </c>
      <c r="L449" t="s">
        <v>78</v>
      </c>
      <c r="M449" t="s">
        <v>94</v>
      </c>
      <c r="N449" t="s">
        <v>95</v>
      </c>
      <c r="O449">
        <v>75</v>
      </c>
      <c r="P449">
        <v>0</v>
      </c>
      <c r="Q449">
        <v>96.3</v>
      </c>
      <c r="R449">
        <v>2050</v>
      </c>
      <c r="S449">
        <v>0</v>
      </c>
      <c r="T449">
        <v>2050</v>
      </c>
      <c r="U449">
        <v>1</v>
      </c>
      <c r="V449">
        <v>0</v>
      </c>
      <c r="W449">
        <v>0</v>
      </c>
      <c r="X449">
        <v>0.85</v>
      </c>
    </row>
    <row r="450" spans="1:24" x14ac:dyDescent="0.3">
      <c r="A450" t="s">
        <v>866</v>
      </c>
      <c r="B450" s="1">
        <v>46004</v>
      </c>
      <c r="C450" t="s">
        <v>25</v>
      </c>
      <c r="D450" t="s">
        <v>88</v>
      </c>
      <c r="E450" t="s">
        <v>83</v>
      </c>
      <c r="F450" t="s">
        <v>58</v>
      </c>
      <c r="G450" t="s">
        <v>59</v>
      </c>
      <c r="H450" t="s">
        <v>60</v>
      </c>
      <c r="I450" t="s">
        <v>867</v>
      </c>
      <c r="J450" t="s">
        <v>32</v>
      </c>
      <c r="K450" t="s">
        <v>104</v>
      </c>
      <c r="L450" t="s">
        <v>78</v>
      </c>
      <c r="M450" t="s">
        <v>86</v>
      </c>
      <c r="N450" t="s">
        <v>113</v>
      </c>
      <c r="O450">
        <v>45</v>
      </c>
      <c r="P450">
        <v>0</v>
      </c>
      <c r="Q450">
        <v>50.3</v>
      </c>
      <c r="R450">
        <v>1050</v>
      </c>
      <c r="S450">
        <v>0</v>
      </c>
      <c r="T450">
        <v>1050</v>
      </c>
      <c r="U450">
        <v>0</v>
      </c>
      <c r="V450">
        <v>0</v>
      </c>
      <c r="W450">
        <v>1</v>
      </c>
      <c r="X450">
        <v>0.85</v>
      </c>
    </row>
    <row r="451" spans="1:24" x14ac:dyDescent="0.3">
      <c r="A451" t="s">
        <v>868</v>
      </c>
      <c r="B451" s="1">
        <v>46009</v>
      </c>
      <c r="C451" t="s">
        <v>25</v>
      </c>
      <c r="D451" t="s">
        <v>50</v>
      </c>
      <c r="E451" t="s">
        <v>27</v>
      </c>
      <c r="F451" t="s">
        <v>58</v>
      </c>
      <c r="G451" t="s">
        <v>59</v>
      </c>
      <c r="H451" t="s">
        <v>151</v>
      </c>
      <c r="I451" t="s">
        <v>403</v>
      </c>
      <c r="J451" t="s">
        <v>45</v>
      </c>
      <c r="K451" t="s">
        <v>104</v>
      </c>
      <c r="L451" t="s">
        <v>34</v>
      </c>
      <c r="M451" t="s">
        <v>65</v>
      </c>
      <c r="N451" t="s">
        <v>36</v>
      </c>
      <c r="O451">
        <v>45</v>
      </c>
      <c r="P451">
        <v>45</v>
      </c>
      <c r="Q451">
        <v>56.2</v>
      </c>
      <c r="R451">
        <v>1300</v>
      </c>
      <c r="S451">
        <v>1300</v>
      </c>
      <c r="T451">
        <v>0</v>
      </c>
      <c r="U451">
        <v>0</v>
      </c>
      <c r="V451">
        <v>1</v>
      </c>
      <c r="W451">
        <v>0</v>
      </c>
      <c r="X451">
        <v>0.85</v>
      </c>
    </row>
    <row r="452" spans="1:24" x14ac:dyDescent="0.3">
      <c r="A452" t="s">
        <v>869</v>
      </c>
      <c r="B452" s="1">
        <v>45894</v>
      </c>
      <c r="C452" t="s">
        <v>110</v>
      </c>
      <c r="D452" t="s">
        <v>39</v>
      </c>
      <c r="E452" t="s">
        <v>68</v>
      </c>
      <c r="F452" t="s">
        <v>41</v>
      </c>
      <c r="G452" t="s">
        <v>42</v>
      </c>
      <c r="H452" t="s">
        <v>43</v>
      </c>
      <c r="I452" t="s">
        <v>870</v>
      </c>
      <c r="J452" t="s">
        <v>45</v>
      </c>
      <c r="K452" t="s">
        <v>70</v>
      </c>
      <c r="L452" t="s">
        <v>34</v>
      </c>
      <c r="M452" t="s">
        <v>86</v>
      </c>
      <c r="N452" t="s">
        <v>36</v>
      </c>
      <c r="O452">
        <v>60</v>
      </c>
      <c r="P452">
        <v>60</v>
      </c>
      <c r="Q452">
        <v>67.5</v>
      </c>
      <c r="R452">
        <v>1550</v>
      </c>
      <c r="S452">
        <v>1550</v>
      </c>
      <c r="T452">
        <v>0</v>
      </c>
      <c r="U452">
        <v>0</v>
      </c>
      <c r="V452">
        <v>1</v>
      </c>
      <c r="W452">
        <v>0</v>
      </c>
      <c r="X452">
        <v>0.85</v>
      </c>
    </row>
    <row r="453" spans="1:24" x14ac:dyDescent="0.3">
      <c r="A453" t="s">
        <v>871</v>
      </c>
      <c r="B453" s="1">
        <v>45728</v>
      </c>
      <c r="C453" t="s">
        <v>56</v>
      </c>
      <c r="D453" t="s">
        <v>57</v>
      </c>
      <c r="E453" t="s">
        <v>83</v>
      </c>
      <c r="F453" t="s">
        <v>28</v>
      </c>
      <c r="G453" t="s">
        <v>29</v>
      </c>
      <c r="H453" t="s">
        <v>135</v>
      </c>
      <c r="I453" t="s">
        <v>850</v>
      </c>
      <c r="J453" t="s">
        <v>53</v>
      </c>
      <c r="K453" t="s">
        <v>63</v>
      </c>
      <c r="L453" t="s">
        <v>64</v>
      </c>
      <c r="M453" t="s">
        <v>47</v>
      </c>
      <c r="N453" t="s">
        <v>36</v>
      </c>
      <c r="O453">
        <v>75</v>
      </c>
      <c r="P453">
        <v>75</v>
      </c>
      <c r="Q453">
        <v>99.3</v>
      </c>
      <c r="R453">
        <v>1900</v>
      </c>
      <c r="S453">
        <v>1900</v>
      </c>
      <c r="T453">
        <v>0</v>
      </c>
      <c r="U453">
        <v>0</v>
      </c>
      <c r="V453">
        <v>1</v>
      </c>
      <c r="W453">
        <v>0</v>
      </c>
      <c r="X453">
        <v>0.85</v>
      </c>
    </row>
    <row r="454" spans="1:24" x14ac:dyDescent="0.3">
      <c r="A454" t="s">
        <v>872</v>
      </c>
      <c r="B454" s="1">
        <v>45838</v>
      </c>
      <c r="C454" t="s">
        <v>67</v>
      </c>
      <c r="D454" t="s">
        <v>39</v>
      </c>
      <c r="E454" t="s">
        <v>27</v>
      </c>
      <c r="F454" t="s">
        <v>41</v>
      </c>
      <c r="G454" t="s">
        <v>42</v>
      </c>
      <c r="H454" t="s">
        <v>125</v>
      </c>
      <c r="I454" t="s">
        <v>873</v>
      </c>
      <c r="J454" t="s">
        <v>62</v>
      </c>
      <c r="K454" t="s">
        <v>33</v>
      </c>
      <c r="L454" t="s">
        <v>64</v>
      </c>
      <c r="M454" t="s">
        <v>47</v>
      </c>
      <c r="N454" t="s">
        <v>95</v>
      </c>
      <c r="O454">
        <v>60</v>
      </c>
      <c r="P454">
        <v>0</v>
      </c>
      <c r="Q454">
        <v>79</v>
      </c>
      <c r="R454">
        <v>1350</v>
      </c>
      <c r="S454">
        <v>0</v>
      </c>
      <c r="T454">
        <v>1350</v>
      </c>
      <c r="U454">
        <v>1</v>
      </c>
      <c r="V454">
        <v>0</v>
      </c>
      <c r="W454">
        <v>0</v>
      </c>
      <c r="X454">
        <v>0.85</v>
      </c>
    </row>
    <row r="455" spans="1:24" x14ac:dyDescent="0.3">
      <c r="A455" t="s">
        <v>874</v>
      </c>
      <c r="B455" s="1">
        <v>45738</v>
      </c>
      <c r="C455" t="s">
        <v>56</v>
      </c>
      <c r="D455" t="s">
        <v>88</v>
      </c>
      <c r="E455" t="s">
        <v>27</v>
      </c>
      <c r="F455" t="s">
        <v>58</v>
      </c>
      <c r="G455" t="s">
        <v>59</v>
      </c>
      <c r="H455" t="s">
        <v>73</v>
      </c>
      <c r="I455" t="s">
        <v>875</v>
      </c>
      <c r="J455" t="s">
        <v>99</v>
      </c>
      <c r="K455" t="s">
        <v>46</v>
      </c>
      <c r="L455" t="s">
        <v>64</v>
      </c>
      <c r="M455" t="s">
        <v>47</v>
      </c>
      <c r="N455" t="s">
        <v>36</v>
      </c>
      <c r="O455">
        <v>45</v>
      </c>
      <c r="P455">
        <v>45</v>
      </c>
      <c r="Q455">
        <v>51.9</v>
      </c>
      <c r="R455">
        <v>1100</v>
      </c>
      <c r="S455">
        <v>1100</v>
      </c>
      <c r="T455">
        <v>0</v>
      </c>
      <c r="U455">
        <v>0</v>
      </c>
      <c r="V455">
        <v>1</v>
      </c>
      <c r="W455">
        <v>0</v>
      </c>
      <c r="X455">
        <v>0.85</v>
      </c>
    </row>
    <row r="456" spans="1:24" x14ac:dyDescent="0.3">
      <c r="A456" t="s">
        <v>876</v>
      </c>
      <c r="B456" s="1">
        <v>45983</v>
      </c>
      <c r="C456" t="s">
        <v>38</v>
      </c>
      <c r="D456" t="s">
        <v>88</v>
      </c>
      <c r="E456" t="s">
        <v>40</v>
      </c>
      <c r="F456" t="s">
        <v>58</v>
      </c>
      <c r="G456" t="s">
        <v>59</v>
      </c>
      <c r="H456" t="s">
        <v>296</v>
      </c>
      <c r="I456" t="s">
        <v>877</v>
      </c>
      <c r="J456" t="s">
        <v>137</v>
      </c>
      <c r="K456" t="s">
        <v>33</v>
      </c>
      <c r="L456" t="s">
        <v>78</v>
      </c>
      <c r="M456" t="s">
        <v>86</v>
      </c>
      <c r="N456" t="s">
        <v>36</v>
      </c>
      <c r="O456">
        <v>30</v>
      </c>
      <c r="P456">
        <v>30</v>
      </c>
      <c r="Q456">
        <v>39.9</v>
      </c>
      <c r="R456">
        <v>700</v>
      </c>
      <c r="S456">
        <v>700</v>
      </c>
      <c r="T456">
        <v>0</v>
      </c>
      <c r="U456">
        <v>0</v>
      </c>
      <c r="V456">
        <v>1</v>
      </c>
      <c r="W456">
        <v>0</v>
      </c>
      <c r="X456">
        <v>0.85</v>
      </c>
    </row>
    <row r="457" spans="1:24" x14ac:dyDescent="0.3">
      <c r="A457" t="s">
        <v>878</v>
      </c>
      <c r="B457" s="1">
        <v>45882</v>
      </c>
      <c r="C457" t="s">
        <v>110</v>
      </c>
      <c r="D457" t="s">
        <v>57</v>
      </c>
      <c r="E457" t="s">
        <v>83</v>
      </c>
      <c r="F457" t="s">
        <v>58</v>
      </c>
      <c r="G457" t="s">
        <v>59</v>
      </c>
      <c r="H457" t="s">
        <v>60</v>
      </c>
      <c r="I457" t="s">
        <v>879</v>
      </c>
      <c r="J457" t="s">
        <v>53</v>
      </c>
      <c r="K457" t="s">
        <v>33</v>
      </c>
      <c r="L457" t="s">
        <v>34</v>
      </c>
      <c r="M457" t="s">
        <v>35</v>
      </c>
      <c r="N457" t="s">
        <v>95</v>
      </c>
      <c r="O457">
        <v>45</v>
      </c>
      <c r="P457">
        <v>0</v>
      </c>
      <c r="Q457">
        <v>52</v>
      </c>
      <c r="R457">
        <v>1350</v>
      </c>
      <c r="S457">
        <v>0</v>
      </c>
      <c r="T457">
        <v>1350</v>
      </c>
      <c r="U457">
        <v>1</v>
      </c>
      <c r="V457">
        <v>0</v>
      </c>
      <c r="W457">
        <v>0</v>
      </c>
      <c r="X457">
        <v>0.85</v>
      </c>
    </row>
    <row r="458" spans="1:24" x14ac:dyDescent="0.3">
      <c r="A458" t="s">
        <v>880</v>
      </c>
      <c r="B458" s="1">
        <v>45909</v>
      </c>
      <c r="C458" t="s">
        <v>49</v>
      </c>
      <c r="D458" t="s">
        <v>26</v>
      </c>
      <c r="E458" t="s">
        <v>40</v>
      </c>
      <c r="F458" t="s">
        <v>41</v>
      </c>
      <c r="G458" t="s">
        <v>42</v>
      </c>
      <c r="H458" t="s">
        <v>89</v>
      </c>
      <c r="I458" t="s">
        <v>403</v>
      </c>
      <c r="J458" t="s">
        <v>45</v>
      </c>
      <c r="K458" t="s">
        <v>104</v>
      </c>
      <c r="L458" t="s">
        <v>78</v>
      </c>
      <c r="M458" t="s">
        <v>65</v>
      </c>
      <c r="N458" t="s">
        <v>113</v>
      </c>
      <c r="O458">
        <v>60</v>
      </c>
      <c r="P458">
        <v>0</v>
      </c>
      <c r="Q458">
        <v>66</v>
      </c>
      <c r="R458">
        <v>1450</v>
      </c>
      <c r="S458">
        <v>0</v>
      </c>
      <c r="T458">
        <v>1450</v>
      </c>
      <c r="U458">
        <v>0</v>
      </c>
      <c r="V458">
        <v>0</v>
      </c>
      <c r="W458">
        <v>1</v>
      </c>
      <c r="X458">
        <v>0.85</v>
      </c>
    </row>
    <row r="459" spans="1:24" x14ac:dyDescent="0.3">
      <c r="A459" t="s">
        <v>881</v>
      </c>
      <c r="B459" s="1">
        <v>46018</v>
      </c>
      <c r="C459" t="s">
        <v>25</v>
      </c>
      <c r="D459" t="s">
        <v>88</v>
      </c>
      <c r="E459" t="s">
        <v>27</v>
      </c>
      <c r="F459" t="s">
        <v>58</v>
      </c>
      <c r="G459" t="s">
        <v>59</v>
      </c>
      <c r="H459" t="s">
        <v>296</v>
      </c>
      <c r="I459" t="s">
        <v>509</v>
      </c>
      <c r="J459" t="s">
        <v>53</v>
      </c>
      <c r="K459" t="s">
        <v>104</v>
      </c>
      <c r="L459" t="s">
        <v>64</v>
      </c>
      <c r="M459" t="s">
        <v>65</v>
      </c>
      <c r="N459" t="s">
        <v>36</v>
      </c>
      <c r="O459">
        <v>45</v>
      </c>
      <c r="P459">
        <v>45</v>
      </c>
      <c r="Q459">
        <v>54.2</v>
      </c>
      <c r="R459">
        <v>1350</v>
      </c>
      <c r="S459">
        <v>1350</v>
      </c>
      <c r="T459">
        <v>0</v>
      </c>
      <c r="U459">
        <v>0</v>
      </c>
      <c r="V459">
        <v>1</v>
      </c>
      <c r="W459">
        <v>0</v>
      </c>
      <c r="X459">
        <v>0.85</v>
      </c>
    </row>
    <row r="460" spans="1:24" x14ac:dyDescent="0.3">
      <c r="A460" t="s">
        <v>882</v>
      </c>
      <c r="B460" s="1">
        <v>46019</v>
      </c>
      <c r="C460" t="s">
        <v>25</v>
      </c>
      <c r="D460" t="s">
        <v>287</v>
      </c>
      <c r="E460" t="s">
        <v>68</v>
      </c>
      <c r="F460" t="s">
        <v>41</v>
      </c>
      <c r="G460" t="s">
        <v>42</v>
      </c>
      <c r="H460" t="s">
        <v>51</v>
      </c>
      <c r="I460" t="s">
        <v>883</v>
      </c>
      <c r="J460" t="s">
        <v>53</v>
      </c>
      <c r="K460" t="s">
        <v>85</v>
      </c>
      <c r="L460" t="s">
        <v>34</v>
      </c>
      <c r="M460" t="s">
        <v>47</v>
      </c>
      <c r="N460" t="s">
        <v>36</v>
      </c>
      <c r="O460">
        <v>60</v>
      </c>
      <c r="P460">
        <v>60</v>
      </c>
      <c r="Q460">
        <v>76.2</v>
      </c>
      <c r="R460">
        <v>1600</v>
      </c>
      <c r="S460">
        <v>1600</v>
      </c>
      <c r="T460">
        <v>0</v>
      </c>
      <c r="U460">
        <v>0</v>
      </c>
      <c r="V460">
        <v>1</v>
      </c>
      <c r="W460">
        <v>0</v>
      </c>
      <c r="X460">
        <v>0.85</v>
      </c>
    </row>
    <row r="461" spans="1:24" x14ac:dyDescent="0.3">
      <c r="A461" t="s">
        <v>884</v>
      </c>
      <c r="B461" s="1">
        <v>45884</v>
      </c>
      <c r="C461" t="s">
        <v>110</v>
      </c>
      <c r="D461" t="s">
        <v>82</v>
      </c>
      <c r="E461" t="s">
        <v>83</v>
      </c>
      <c r="F461" t="s">
        <v>58</v>
      </c>
      <c r="G461" t="s">
        <v>59</v>
      </c>
      <c r="H461" t="s">
        <v>60</v>
      </c>
      <c r="I461" t="s">
        <v>885</v>
      </c>
      <c r="J461" t="s">
        <v>137</v>
      </c>
      <c r="K461" t="s">
        <v>63</v>
      </c>
      <c r="L461" t="s">
        <v>34</v>
      </c>
      <c r="M461" t="s">
        <v>94</v>
      </c>
      <c r="N461" t="s">
        <v>36</v>
      </c>
      <c r="O461">
        <v>75</v>
      </c>
      <c r="P461">
        <v>75</v>
      </c>
      <c r="Q461">
        <v>94.6</v>
      </c>
      <c r="R461">
        <v>1900</v>
      </c>
      <c r="S461">
        <v>1900</v>
      </c>
      <c r="T461">
        <v>0</v>
      </c>
      <c r="U461">
        <v>0</v>
      </c>
      <c r="V461">
        <v>1</v>
      </c>
      <c r="W461">
        <v>0</v>
      </c>
      <c r="X461">
        <v>0.85</v>
      </c>
    </row>
    <row r="462" spans="1:24" x14ac:dyDescent="0.3">
      <c r="A462" t="s">
        <v>886</v>
      </c>
      <c r="B462" s="1">
        <v>45925</v>
      </c>
      <c r="C462" t="s">
        <v>49</v>
      </c>
      <c r="D462" t="s">
        <v>50</v>
      </c>
      <c r="E462" t="s">
        <v>40</v>
      </c>
      <c r="F462" t="s">
        <v>58</v>
      </c>
      <c r="G462" t="s">
        <v>59</v>
      </c>
      <c r="H462" t="s">
        <v>151</v>
      </c>
      <c r="I462" t="s">
        <v>887</v>
      </c>
      <c r="J462" t="s">
        <v>62</v>
      </c>
      <c r="K462" t="s">
        <v>85</v>
      </c>
      <c r="L462" t="s">
        <v>78</v>
      </c>
      <c r="M462" t="s">
        <v>71</v>
      </c>
      <c r="N462" t="s">
        <v>36</v>
      </c>
      <c r="O462">
        <v>60</v>
      </c>
      <c r="P462">
        <v>60</v>
      </c>
      <c r="Q462">
        <v>70.2</v>
      </c>
      <c r="R462">
        <v>1400</v>
      </c>
      <c r="S462">
        <v>1400</v>
      </c>
      <c r="T462">
        <v>0</v>
      </c>
      <c r="U462">
        <v>0</v>
      </c>
      <c r="V462">
        <v>1</v>
      </c>
      <c r="W462">
        <v>0</v>
      </c>
      <c r="X462">
        <v>0.85</v>
      </c>
    </row>
    <row r="463" spans="1:24" x14ac:dyDescent="0.3">
      <c r="A463" t="s">
        <v>888</v>
      </c>
      <c r="B463" s="1">
        <v>45800</v>
      </c>
      <c r="C463" t="s">
        <v>128</v>
      </c>
      <c r="D463" t="s">
        <v>82</v>
      </c>
      <c r="E463" t="s">
        <v>40</v>
      </c>
      <c r="F463" t="s">
        <v>41</v>
      </c>
      <c r="G463" t="s">
        <v>42</v>
      </c>
      <c r="H463" t="s">
        <v>43</v>
      </c>
      <c r="I463" t="s">
        <v>648</v>
      </c>
      <c r="J463" t="s">
        <v>32</v>
      </c>
      <c r="K463" t="s">
        <v>85</v>
      </c>
      <c r="L463" t="s">
        <v>64</v>
      </c>
      <c r="M463" t="s">
        <v>47</v>
      </c>
      <c r="N463" t="s">
        <v>36</v>
      </c>
      <c r="O463">
        <v>45</v>
      </c>
      <c r="P463">
        <v>45</v>
      </c>
      <c r="Q463">
        <v>58.7</v>
      </c>
      <c r="R463">
        <v>1000</v>
      </c>
      <c r="S463">
        <v>1000</v>
      </c>
      <c r="T463">
        <v>0</v>
      </c>
      <c r="U463">
        <v>0</v>
      </c>
      <c r="V463">
        <v>1</v>
      </c>
      <c r="W463">
        <v>0</v>
      </c>
      <c r="X463">
        <v>0.85</v>
      </c>
    </row>
    <row r="464" spans="1:24" x14ac:dyDescent="0.3">
      <c r="A464" t="s">
        <v>889</v>
      </c>
      <c r="B464" s="1">
        <v>45864</v>
      </c>
      <c r="C464" t="s">
        <v>101</v>
      </c>
      <c r="D464" t="s">
        <v>88</v>
      </c>
      <c r="E464" t="s">
        <v>68</v>
      </c>
      <c r="F464" t="s">
        <v>58</v>
      </c>
      <c r="G464" t="s">
        <v>59</v>
      </c>
      <c r="H464" t="s">
        <v>296</v>
      </c>
      <c r="I464" t="s">
        <v>890</v>
      </c>
      <c r="J464" t="s">
        <v>62</v>
      </c>
      <c r="K464" t="s">
        <v>46</v>
      </c>
      <c r="L464" t="s">
        <v>34</v>
      </c>
      <c r="M464" t="s">
        <v>71</v>
      </c>
      <c r="N464" t="s">
        <v>36</v>
      </c>
      <c r="O464">
        <v>60</v>
      </c>
      <c r="P464">
        <v>60</v>
      </c>
      <c r="Q464">
        <v>67</v>
      </c>
      <c r="R464">
        <v>1500</v>
      </c>
      <c r="S464">
        <v>1500</v>
      </c>
      <c r="T464">
        <v>0</v>
      </c>
      <c r="U464">
        <v>0</v>
      </c>
      <c r="V464">
        <v>1</v>
      </c>
      <c r="W464">
        <v>0</v>
      </c>
      <c r="X464">
        <v>0.85</v>
      </c>
    </row>
    <row r="465" spans="1:24" x14ac:dyDescent="0.3">
      <c r="A465" t="s">
        <v>891</v>
      </c>
      <c r="B465" s="1">
        <v>45930</v>
      </c>
      <c r="C465" t="s">
        <v>49</v>
      </c>
      <c r="D465" t="s">
        <v>26</v>
      </c>
      <c r="E465" t="s">
        <v>68</v>
      </c>
      <c r="F465" t="s">
        <v>58</v>
      </c>
      <c r="G465" t="s">
        <v>59</v>
      </c>
      <c r="H465" t="s">
        <v>296</v>
      </c>
      <c r="I465" t="s">
        <v>147</v>
      </c>
      <c r="J465" t="s">
        <v>62</v>
      </c>
      <c r="K465" t="s">
        <v>70</v>
      </c>
      <c r="L465" t="s">
        <v>34</v>
      </c>
      <c r="M465" t="s">
        <v>94</v>
      </c>
      <c r="N465" t="s">
        <v>36</v>
      </c>
      <c r="O465">
        <v>60</v>
      </c>
      <c r="P465">
        <v>60</v>
      </c>
      <c r="Q465">
        <v>70.7</v>
      </c>
      <c r="R465">
        <v>1500</v>
      </c>
      <c r="S465">
        <v>1500</v>
      </c>
      <c r="T465">
        <v>0</v>
      </c>
      <c r="U465">
        <v>0</v>
      </c>
      <c r="V465">
        <v>1</v>
      </c>
      <c r="W465">
        <v>0</v>
      </c>
      <c r="X465">
        <v>0.85</v>
      </c>
    </row>
    <row r="466" spans="1:24" x14ac:dyDescent="0.3">
      <c r="A466" t="s">
        <v>892</v>
      </c>
      <c r="B466" s="1">
        <v>45953</v>
      </c>
      <c r="C466" t="s">
        <v>97</v>
      </c>
      <c r="D466" t="s">
        <v>50</v>
      </c>
      <c r="E466" t="s">
        <v>68</v>
      </c>
      <c r="F466" t="s">
        <v>58</v>
      </c>
      <c r="G466" t="s">
        <v>59</v>
      </c>
      <c r="H466" t="s">
        <v>117</v>
      </c>
      <c r="I466" t="s">
        <v>756</v>
      </c>
      <c r="J466" t="s">
        <v>62</v>
      </c>
      <c r="K466" t="s">
        <v>70</v>
      </c>
      <c r="L466" t="s">
        <v>34</v>
      </c>
      <c r="M466" t="s">
        <v>94</v>
      </c>
      <c r="N466" t="s">
        <v>36</v>
      </c>
      <c r="O466">
        <v>45</v>
      </c>
      <c r="P466">
        <v>45</v>
      </c>
      <c r="Q466">
        <v>52.3</v>
      </c>
      <c r="R466">
        <v>1100</v>
      </c>
      <c r="S466">
        <v>1100</v>
      </c>
      <c r="T466">
        <v>0</v>
      </c>
      <c r="U466">
        <v>0</v>
      </c>
      <c r="V466">
        <v>1</v>
      </c>
      <c r="W466">
        <v>0</v>
      </c>
      <c r="X466">
        <v>0.85</v>
      </c>
    </row>
    <row r="467" spans="1:24" x14ac:dyDescent="0.3">
      <c r="A467" t="s">
        <v>893</v>
      </c>
      <c r="B467" s="1">
        <v>45735</v>
      </c>
      <c r="C467" t="s">
        <v>56</v>
      </c>
      <c r="D467" t="s">
        <v>57</v>
      </c>
      <c r="E467" t="s">
        <v>40</v>
      </c>
      <c r="F467" t="s">
        <v>28</v>
      </c>
      <c r="G467" t="s">
        <v>29</v>
      </c>
      <c r="H467" t="s">
        <v>30</v>
      </c>
      <c r="I467" t="s">
        <v>126</v>
      </c>
      <c r="J467" t="s">
        <v>62</v>
      </c>
      <c r="K467" t="s">
        <v>46</v>
      </c>
      <c r="L467" t="s">
        <v>34</v>
      </c>
      <c r="M467" t="s">
        <v>35</v>
      </c>
      <c r="N467" t="s">
        <v>36</v>
      </c>
      <c r="O467">
        <v>75</v>
      </c>
      <c r="P467">
        <v>75</v>
      </c>
      <c r="Q467">
        <v>87.6</v>
      </c>
      <c r="R467">
        <v>1550</v>
      </c>
      <c r="S467">
        <v>1550</v>
      </c>
      <c r="T467">
        <v>0</v>
      </c>
      <c r="U467">
        <v>0</v>
      </c>
      <c r="V467">
        <v>1</v>
      </c>
      <c r="W467">
        <v>0</v>
      </c>
      <c r="X467">
        <v>0.85</v>
      </c>
    </row>
    <row r="468" spans="1:24" x14ac:dyDescent="0.3">
      <c r="A468" t="s">
        <v>894</v>
      </c>
      <c r="B468" s="1">
        <v>45926</v>
      </c>
      <c r="C468" t="s">
        <v>49</v>
      </c>
      <c r="D468" t="s">
        <v>82</v>
      </c>
      <c r="E468" t="s">
        <v>68</v>
      </c>
      <c r="F468" t="s">
        <v>28</v>
      </c>
      <c r="G468" t="s">
        <v>29</v>
      </c>
      <c r="H468" t="s">
        <v>30</v>
      </c>
      <c r="I468" t="s">
        <v>449</v>
      </c>
      <c r="J468" t="s">
        <v>53</v>
      </c>
      <c r="K468" t="s">
        <v>46</v>
      </c>
      <c r="L468" t="s">
        <v>64</v>
      </c>
      <c r="M468" t="s">
        <v>35</v>
      </c>
      <c r="N468" t="s">
        <v>36</v>
      </c>
      <c r="O468">
        <v>60</v>
      </c>
      <c r="P468">
        <v>60</v>
      </c>
      <c r="Q468">
        <v>66.8</v>
      </c>
      <c r="R468">
        <v>1500</v>
      </c>
      <c r="S468">
        <v>1500</v>
      </c>
      <c r="T468">
        <v>0</v>
      </c>
      <c r="U468">
        <v>0</v>
      </c>
      <c r="V468">
        <v>1</v>
      </c>
      <c r="W468">
        <v>0</v>
      </c>
      <c r="X468">
        <v>0.85</v>
      </c>
    </row>
    <row r="469" spans="1:24" x14ac:dyDescent="0.3">
      <c r="A469" t="s">
        <v>895</v>
      </c>
      <c r="B469" s="1">
        <v>45873</v>
      </c>
      <c r="C469" t="s">
        <v>110</v>
      </c>
      <c r="D469" t="s">
        <v>39</v>
      </c>
      <c r="E469" t="s">
        <v>40</v>
      </c>
      <c r="F469" t="s">
        <v>41</v>
      </c>
      <c r="G469" t="s">
        <v>42</v>
      </c>
      <c r="H469" t="s">
        <v>51</v>
      </c>
      <c r="I469" t="s">
        <v>493</v>
      </c>
      <c r="J469" t="s">
        <v>45</v>
      </c>
      <c r="K469" t="s">
        <v>70</v>
      </c>
      <c r="L469" t="s">
        <v>54</v>
      </c>
      <c r="M469" t="s">
        <v>86</v>
      </c>
      <c r="N469" t="s">
        <v>36</v>
      </c>
      <c r="O469">
        <v>75</v>
      </c>
      <c r="P469">
        <v>75</v>
      </c>
      <c r="Q469">
        <v>90.5</v>
      </c>
      <c r="R469">
        <v>1650</v>
      </c>
      <c r="S469">
        <v>1650</v>
      </c>
      <c r="T469">
        <v>0</v>
      </c>
      <c r="U469">
        <v>0</v>
      </c>
      <c r="V469">
        <v>1</v>
      </c>
      <c r="W469">
        <v>0</v>
      </c>
      <c r="X469">
        <v>0.85</v>
      </c>
    </row>
    <row r="470" spans="1:24" x14ac:dyDescent="0.3">
      <c r="A470" t="s">
        <v>896</v>
      </c>
      <c r="B470" s="1">
        <v>45857</v>
      </c>
      <c r="C470" t="s">
        <v>101</v>
      </c>
      <c r="D470" t="s">
        <v>88</v>
      </c>
      <c r="E470" t="s">
        <v>68</v>
      </c>
      <c r="F470" t="s">
        <v>28</v>
      </c>
      <c r="G470" t="s">
        <v>29</v>
      </c>
      <c r="H470" t="s">
        <v>210</v>
      </c>
      <c r="I470" t="s">
        <v>267</v>
      </c>
      <c r="J470" t="s">
        <v>53</v>
      </c>
      <c r="K470" t="s">
        <v>63</v>
      </c>
      <c r="L470" t="s">
        <v>54</v>
      </c>
      <c r="M470" t="s">
        <v>94</v>
      </c>
      <c r="N470" t="s">
        <v>95</v>
      </c>
      <c r="O470">
        <v>30</v>
      </c>
      <c r="P470">
        <v>0</v>
      </c>
      <c r="Q470">
        <v>37.6</v>
      </c>
      <c r="R470">
        <v>650</v>
      </c>
      <c r="S470">
        <v>0</v>
      </c>
      <c r="T470">
        <v>650</v>
      </c>
      <c r="U470">
        <v>1</v>
      </c>
      <c r="V470">
        <v>0</v>
      </c>
      <c r="W470">
        <v>0</v>
      </c>
      <c r="X470">
        <v>0.85</v>
      </c>
    </row>
    <row r="471" spans="1:24" x14ac:dyDescent="0.3">
      <c r="A471" t="s">
        <v>897</v>
      </c>
      <c r="B471" s="1">
        <v>45910</v>
      </c>
      <c r="C471" t="s">
        <v>49</v>
      </c>
      <c r="D471" t="s">
        <v>57</v>
      </c>
      <c r="E471" t="s">
        <v>40</v>
      </c>
      <c r="F471" t="s">
        <v>28</v>
      </c>
      <c r="G471" t="s">
        <v>29</v>
      </c>
      <c r="H471" t="s">
        <v>135</v>
      </c>
      <c r="I471" t="s">
        <v>671</v>
      </c>
      <c r="J471" t="s">
        <v>45</v>
      </c>
      <c r="K471" t="s">
        <v>46</v>
      </c>
      <c r="L471" t="s">
        <v>64</v>
      </c>
      <c r="M471" t="s">
        <v>35</v>
      </c>
      <c r="N471" t="s">
        <v>36</v>
      </c>
      <c r="O471">
        <v>90</v>
      </c>
      <c r="P471">
        <v>90</v>
      </c>
      <c r="Q471">
        <v>115</v>
      </c>
      <c r="R471">
        <v>2150</v>
      </c>
      <c r="S471">
        <v>2150</v>
      </c>
      <c r="T471">
        <v>0</v>
      </c>
      <c r="U471">
        <v>0</v>
      </c>
      <c r="V471">
        <v>1</v>
      </c>
      <c r="W471">
        <v>0</v>
      </c>
      <c r="X471">
        <v>0.85</v>
      </c>
    </row>
    <row r="472" spans="1:24" x14ac:dyDescent="0.3">
      <c r="A472" t="s">
        <v>898</v>
      </c>
      <c r="B472" s="1">
        <v>45892</v>
      </c>
      <c r="C472" t="s">
        <v>110</v>
      </c>
      <c r="D472" t="s">
        <v>88</v>
      </c>
      <c r="E472" t="s">
        <v>83</v>
      </c>
      <c r="F472" t="s">
        <v>41</v>
      </c>
      <c r="G472" t="s">
        <v>42</v>
      </c>
      <c r="H472" t="s">
        <v>111</v>
      </c>
      <c r="I472" t="s">
        <v>899</v>
      </c>
      <c r="J472" t="s">
        <v>99</v>
      </c>
      <c r="K472" t="s">
        <v>33</v>
      </c>
      <c r="L472" t="s">
        <v>34</v>
      </c>
      <c r="M472" t="s">
        <v>35</v>
      </c>
      <c r="N472" t="s">
        <v>95</v>
      </c>
      <c r="O472">
        <v>60</v>
      </c>
      <c r="P472">
        <v>0</v>
      </c>
      <c r="Q472">
        <v>77.5</v>
      </c>
      <c r="R472">
        <v>1350</v>
      </c>
      <c r="S472">
        <v>0</v>
      </c>
      <c r="T472">
        <v>1350</v>
      </c>
      <c r="U472">
        <v>1</v>
      </c>
      <c r="V472">
        <v>0</v>
      </c>
      <c r="W472">
        <v>0</v>
      </c>
      <c r="X472">
        <v>0.85</v>
      </c>
    </row>
    <row r="473" spans="1:24" x14ac:dyDescent="0.3">
      <c r="A473" t="s">
        <v>900</v>
      </c>
      <c r="B473" s="1">
        <v>45804</v>
      </c>
      <c r="C473" t="s">
        <v>128</v>
      </c>
      <c r="D473" t="s">
        <v>26</v>
      </c>
      <c r="E473" t="s">
        <v>27</v>
      </c>
      <c r="F473" t="s">
        <v>41</v>
      </c>
      <c r="G473" t="s">
        <v>42</v>
      </c>
      <c r="H473" t="s">
        <v>111</v>
      </c>
      <c r="I473" t="s">
        <v>290</v>
      </c>
      <c r="J473" t="s">
        <v>99</v>
      </c>
      <c r="K473" t="s">
        <v>33</v>
      </c>
      <c r="L473" t="s">
        <v>64</v>
      </c>
      <c r="M473" t="s">
        <v>86</v>
      </c>
      <c r="N473" t="s">
        <v>36</v>
      </c>
      <c r="O473">
        <v>30</v>
      </c>
      <c r="P473">
        <v>30</v>
      </c>
      <c r="Q473">
        <v>39.200000000000003</v>
      </c>
      <c r="R473">
        <v>700</v>
      </c>
      <c r="S473">
        <v>700</v>
      </c>
      <c r="T473">
        <v>0</v>
      </c>
      <c r="U473">
        <v>0</v>
      </c>
      <c r="V473">
        <v>1</v>
      </c>
      <c r="W473">
        <v>0</v>
      </c>
      <c r="X473">
        <v>0.85</v>
      </c>
    </row>
    <row r="474" spans="1:24" x14ac:dyDescent="0.3">
      <c r="A474" t="s">
        <v>901</v>
      </c>
      <c r="B474" s="1">
        <v>45905</v>
      </c>
      <c r="C474" t="s">
        <v>49</v>
      </c>
      <c r="D474" t="s">
        <v>82</v>
      </c>
      <c r="E474" t="s">
        <v>83</v>
      </c>
      <c r="F474" t="s">
        <v>41</v>
      </c>
      <c r="G474" t="s">
        <v>42</v>
      </c>
      <c r="H474" t="s">
        <v>111</v>
      </c>
      <c r="I474" t="s">
        <v>902</v>
      </c>
      <c r="J474" t="s">
        <v>137</v>
      </c>
      <c r="K474" t="s">
        <v>85</v>
      </c>
      <c r="L474" t="s">
        <v>78</v>
      </c>
      <c r="M474" t="s">
        <v>86</v>
      </c>
      <c r="N474" t="s">
        <v>36</v>
      </c>
      <c r="O474">
        <v>60</v>
      </c>
      <c r="P474">
        <v>60</v>
      </c>
      <c r="Q474">
        <v>76.900000000000006</v>
      </c>
      <c r="R474">
        <v>1250</v>
      </c>
      <c r="S474">
        <v>1250</v>
      </c>
      <c r="T474">
        <v>0</v>
      </c>
      <c r="U474">
        <v>0</v>
      </c>
      <c r="V474">
        <v>1</v>
      </c>
      <c r="W474">
        <v>0</v>
      </c>
      <c r="X474">
        <v>0.85</v>
      </c>
    </row>
    <row r="475" spans="1:24" x14ac:dyDescent="0.3">
      <c r="A475" t="s">
        <v>903</v>
      </c>
      <c r="B475" s="1">
        <v>45936</v>
      </c>
      <c r="C475" t="s">
        <v>97</v>
      </c>
      <c r="D475" t="s">
        <v>39</v>
      </c>
      <c r="E475" t="s">
        <v>27</v>
      </c>
      <c r="F475" t="s">
        <v>28</v>
      </c>
      <c r="G475" t="s">
        <v>29</v>
      </c>
      <c r="H475" t="s">
        <v>102</v>
      </c>
      <c r="I475" t="s">
        <v>493</v>
      </c>
      <c r="J475" t="s">
        <v>32</v>
      </c>
      <c r="K475" t="s">
        <v>85</v>
      </c>
      <c r="L475" t="s">
        <v>64</v>
      </c>
      <c r="M475" t="s">
        <v>47</v>
      </c>
      <c r="N475" t="s">
        <v>95</v>
      </c>
      <c r="O475">
        <v>45</v>
      </c>
      <c r="P475">
        <v>0</v>
      </c>
      <c r="Q475">
        <v>54.5</v>
      </c>
      <c r="R475">
        <v>950</v>
      </c>
      <c r="S475">
        <v>0</v>
      </c>
      <c r="T475">
        <v>950</v>
      </c>
      <c r="U475">
        <v>1</v>
      </c>
      <c r="V475">
        <v>0</v>
      </c>
      <c r="W475">
        <v>0</v>
      </c>
      <c r="X475">
        <v>0.85</v>
      </c>
    </row>
    <row r="476" spans="1:24" x14ac:dyDescent="0.3">
      <c r="A476" t="s">
        <v>904</v>
      </c>
      <c r="B476" s="1">
        <v>45755</v>
      </c>
      <c r="C476" t="s">
        <v>92</v>
      </c>
      <c r="D476" t="s">
        <v>26</v>
      </c>
      <c r="E476" t="s">
        <v>40</v>
      </c>
      <c r="F476" t="s">
        <v>28</v>
      </c>
      <c r="G476" t="s">
        <v>29</v>
      </c>
      <c r="H476" t="s">
        <v>120</v>
      </c>
      <c r="I476" t="s">
        <v>501</v>
      </c>
      <c r="J476" t="s">
        <v>62</v>
      </c>
      <c r="K476" t="s">
        <v>104</v>
      </c>
      <c r="L476" t="s">
        <v>34</v>
      </c>
      <c r="M476" t="s">
        <v>47</v>
      </c>
      <c r="N476" t="s">
        <v>95</v>
      </c>
      <c r="O476">
        <v>45</v>
      </c>
      <c r="P476">
        <v>0</v>
      </c>
      <c r="Q476">
        <v>58.1</v>
      </c>
      <c r="R476">
        <v>950</v>
      </c>
      <c r="S476">
        <v>0</v>
      </c>
      <c r="T476">
        <v>950</v>
      </c>
      <c r="U476">
        <v>1</v>
      </c>
      <c r="V476">
        <v>0</v>
      </c>
      <c r="W476">
        <v>0</v>
      </c>
      <c r="X476">
        <v>0.85</v>
      </c>
    </row>
    <row r="477" spans="1:24" x14ac:dyDescent="0.3">
      <c r="A477" t="s">
        <v>905</v>
      </c>
      <c r="B477" s="1">
        <v>45832</v>
      </c>
      <c r="C477" t="s">
        <v>67</v>
      </c>
      <c r="D477" t="s">
        <v>26</v>
      </c>
      <c r="E477" t="s">
        <v>83</v>
      </c>
      <c r="F477" t="s">
        <v>28</v>
      </c>
      <c r="G477" t="s">
        <v>29</v>
      </c>
      <c r="H477" t="s">
        <v>102</v>
      </c>
      <c r="I477" t="s">
        <v>906</v>
      </c>
      <c r="J477" t="s">
        <v>62</v>
      </c>
      <c r="K477" t="s">
        <v>33</v>
      </c>
      <c r="L477" t="s">
        <v>34</v>
      </c>
      <c r="M477" t="s">
        <v>94</v>
      </c>
      <c r="N477" t="s">
        <v>36</v>
      </c>
      <c r="O477">
        <v>60</v>
      </c>
      <c r="P477">
        <v>60</v>
      </c>
      <c r="Q477">
        <v>67.7</v>
      </c>
      <c r="R477">
        <v>1250</v>
      </c>
      <c r="S477">
        <v>1250</v>
      </c>
      <c r="T477">
        <v>0</v>
      </c>
      <c r="U477">
        <v>0</v>
      </c>
      <c r="V477">
        <v>1</v>
      </c>
      <c r="W477">
        <v>0</v>
      </c>
      <c r="X477">
        <v>0.85</v>
      </c>
    </row>
    <row r="478" spans="1:24" x14ac:dyDescent="0.3">
      <c r="A478" t="s">
        <v>907</v>
      </c>
      <c r="B478" s="1">
        <v>45747</v>
      </c>
      <c r="C478" t="s">
        <v>56</v>
      </c>
      <c r="D478" t="s">
        <v>39</v>
      </c>
      <c r="E478" t="s">
        <v>83</v>
      </c>
      <c r="F478" t="s">
        <v>41</v>
      </c>
      <c r="G478" t="s">
        <v>42</v>
      </c>
      <c r="H478" t="s">
        <v>111</v>
      </c>
      <c r="I478" t="s">
        <v>366</v>
      </c>
      <c r="J478" t="s">
        <v>99</v>
      </c>
      <c r="K478" t="s">
        <v>104</v>
      </c>
      <c r="L478" t="s">
        <v>54</v>
      </c>
      <c r="M478" t="s">
        <v>71</v>
      </c>
      <c r="N478" t="s">
        <v>95</v>
      </c>
      <c r="O478">
        <v>30</v>
      </c>
      <c r="P478">
        <v>0</v>
      </c>
      <c r="Q478">
        <v>39</v>
      </c>
      <c r="R478">
        <v>550</v>
      </c>
      <c r="S478">
        <v>0</v>
      </c>
      <c r="T478">
        <v>550</v>
      </c>
      <c r="U478">
        <v>1</v>
      </c>
      <c r="V478">
        <v>0</v>
      </c>
      <c r="W478">
        <v>0</v>
      </c>
      <c r="X478">
        <v>0.85</v>
      </c>
    </row>
    <row r="479" spans="1:24" x14ac:dyDescent="0.3">
      <c r="A479" t="s">
        <v>908</v>
      </c>
      <c r="B479" s="1">
        <v>45714</v>
      </c>
      <c r="C479" t="s">
        <v>76</v>
      </c>
      <c r="D479" t="s">
        <v>57</v>
      </c>
      <c r="E479" t="s">
        <v>40</v>
      </c>
      <c r="F479" t="s">
        <v>28</v>
      </c>
      <c r="G479" t="s">
        <v>29</v>
      </c>
      <c r="H479" t="s">
        <v>120</v>
      </c>
      <c r="I479" t="s">
        <v>909</v>
      </c>
      <c r="J479" t="s">
        <v>99</v>
      </c>
      <c r="K479" t="s">
        <v>33</v>
      </c>
      <c r="L479" t="s">
        <v>64</v>
      </c>
      <c r="M479" t="s">
        <v>86</v>
      </c>
      <c r="N479" t="s">
        <v>36</v>
      </c>
      <c r="O479">
        <v>90</v>
      </c>
      <c r="P479">
        <v>90</v>
      </c>
      <c r="Q479">
        <v>106.7</v>
      </c>
      <c r="R479">
        <v>1900</v>
      </c>
      <c r="S479">
        <v>1900</v>
      </c>
      <c r="T479">
        <v>0</v>
      </c>
      <c r="U479">
        <v>0</v>
      </c>
      <c r="V479">
        <v>1</v>
      </c>
      <c r="W479">
        <v>0</v>
      </c>
      <c r="X479">
        <v>0.85</v>
      </c>
    </row>
    <row r="480" spans="1:24" x14ac:dyDescent="0.3">
      <c r="A480" t="s">
        <v>910</v>
      </c>
      <c r="B480" s="1">
        <v>45801</v>
      </c>
      <c r="C480" t="s">
        <v>128</v>
      </c>
      <c r="D480" t="s">
        <v>88</v>
      </c>
      <c r="E480" t="s">
        <v>83</v>
      </c>
      <c r="F480" t="s">
        <v>58</v>
      </c>
      <c r="G480" t="s">
        <v>59</v>
      </c>
      <c r="H480" t="s">
        <v>73</v>
      </c>
      <c r="I480" t="s">
        <v>911</v>
      </c>
      <c r="J480" t="s">
        <v>99</v>
      </c>
      <c r="K480" t="s">
        <v>70</v>
      </c>
      <c r="L480" t="s">
        <v>34</v>
      </c>
      <c r="M480" t="s">
        <v>35</v>
      </c>
      <c r="N480" t="s">
        <v>36</v>
      </c>
      <c r="O480">
        <v>60</v>
      </c>
      <c r="P480">
        <v>60</v>
      </c>
      <c r="Q480">
        <v>68</v>
      </c>
      <c r="R480">
        <v>1500</v>
      </c>
      <c r="S480">
        <v>1500</v>
      </c>
      <c r="T480">
        <v>0</v>
      </c>
      <c r="U480">
        <v>0</v>
      </c>
      <c r="V480">
        <v>1</v>
      </c>
      <c r="W480">
        <v>0</v>
      </c>
      <c r="X480">
        <v>0.85</v>
      </c>
    </row>
    <row r="481" spans="1:24" x14ac:dyDescent="0.3">
      <c r="A481" t="s">
        <v>912</v>
      </c>
      <c r="B481" s="1">
        <v>45895</v>
      </c>
      <c r="C481" t="s">
        <v>110</v>
      </c>
      <c r="D481" t="s">
        <v>26</v>
      </c>
      <c r="E481" t="s">
        <v>40</v>
      </c>
      <c r="F481" t="s">
        <v>41</v>
      </c>
      <c r="G481" t="s">
        <v>42</v>
      </c>
      <c r="H481" t="s">
        <v>89</v>
      </c>
      <c r="I481" t="s">
        <v>399</v>
      </c>
      <c r="J481" t="s">
        <v>32</v>
      </c>
      <c r="K481" t="s">
        <v>85</v>
      </c>
      <c r="L481" t="s">
        <v>34</v>
      </c>
      <c r="M481" t="s">
        <v>94</v>
      </c>
      <c r="N481" t="s">
        <v>36</v>
      </c>
      <c r="O481">
        <v>60</v>
      </c>
      <c r="P481">
        <v>60</v>
      </c>
      <c r="Q481">
        <v>65.7</v>
      </c>
      <c r="R481">
        <v>1350</v>
      </c>
      <c r="S481">
        <v>1350</v>
      </c>
      <c r="T481">
        <v>0</v>
      </c>
      <c r="U481">
        <v>0</v>
      </c>
      <c r="V481">
        <v>1</v>
      </c>
      <c r="W481">
        <v>0</v>
      </c>
      <c r="X481">
        <v>0.85</v>
      </c>
    </row>
    <row r="482" spans="1:24" x14ac:dyDescent="0.3">
      <c r="A482" t="s">
        <v>913</v>
      </c>
      <c r="B482" s="1">
        <v>45719</v>
      </c>
      <c r="C482" t="s">
        <v>56</v>
      </c>
      <c r="D482" t="s">
        <v>39</v>
      </c>
      <c r="E482" t="s">
        <v>27</v>
      </c>
      <c r="F482" t="s">
        <v>28</v>
      </c>
      <c r="G482" t="s">
        <v>29</v>
      </c>
      <c r="H482" t="s">
        <v>120</v>
      </c>
      <c r="I482" t="s">
        <v>914</v>
      </c>
      <c r="J482" t="s">
        <v>53</v>
      </c>
      <c r="K482" t="s">
        <v>33</v>
      </c>
      <c r="L482" t="s">
        <v>34</v>
      </c>
      <c r="M482" t="s">
        <v>35</v>
      </c>
      <c r="N482" t="s">
        <v>36</v>
      </c>
      <c r="O482">
        <v>60</v>
      </c>
      <c r="P482">
        <v>60</v>
      </c>
      <c r="Q482">
        <v>72.400000000000006</v>
      </c>
      <c r="R482">
        <v>1500</v>
      </c>
      <c r="S482">
        <v>1500</v>
      </c>
      <c r="T482">
        <v>0</v>
      </c>
      <c r="U482">
        <v>0</v>
      </c>
      <c r="V482">
        <v>1</v>
      </c>
      <c r="W482">
        <v>0</v>
      </c>
      <c r="X482">
        <v>0.85</v>
      </c>
    </row>
    <row r="483" spans="1:24" x14ac:dyDescent="0.3">
      <c r="A483" t="s">
        <v>915</v>
      </c>
      <c r="B483" s="1">
        <v>45803</v>
      </c>
      <c r="C483" t="s">
        <v>128</v>
      </c>
      <c r="D483" t="s">
        <v>39</v>
      </c>
      <c r="E483" t="s">
        <v>68</v>
      </c>
      <c r="F483" t="s">
        <v>58</v>
      </c>
      <c r="G483" t="s">
        <v>59</v>
      </c>
      <c r="H483" t="s">
        <v>151</v>
      </c>
      <c r="I483" t="s">
        <v>890</v>
      </c>
      <c r="J483" t="s">
        <v>53</v>
      </c>
      <c r="K483" t="s">
        <v>33</v>
      </c>
      <c r="L483" t="s">
        <v>34</v>
      </c>
      <c r="M483" t="s">
        <v>47</v>
      </c>
      <c r="N483" t="s">
        <v>36</v>
      </c>
      <c r="O483">
        <v>45</v>
      </c>
      <c r="P483">
        <v>45</v>
      </c>
      <c r="Q483">
        <v>59.7</v>
      </c>
      <c r="R483">
        <v>1350</v>
      </c>
      <c r="S483">
        <v>1350</v>
      </c>
      <c r="T483">
        <v>0</v>
      </c>
      <c r="U483">
        <v>0</v>
      </c>
      <c r="V483">
        <v>1</v>
      </c>
      <c r="W483">
        <v>0</v>
      </c>
      <c r="X483">
        <v>0.85</v>
      </c>
    </row>
    <row r="484" spans="1:24" x14ac:dyDescent="0.3">
      <c r="A484" t="s">
        <v>916</v>
      </c>
      <c r="B484" s="1">
        <v>45964</v>
      </c>
      <c r="C484" t="s">
        <v>38</v>
      </c>
      <c r="D484" t="s">
        <v>39</v>
      </c>
      <c r="E484" t="s">
        <v>83</v>
      </c>
      <c r="F484" t="s">
        <v>58</v>
      </c>
      <c r="G484" t="s">
        <v>59</v>
      </c>
      <c r="H484" t="s">
        <v>117</v>
      </c>
      <c r="I484" t="s">
        <v>917</v>
      </c>
      <c r="J484" t="s">
        <v>45</v>
      </c>
      <c r="K484" t="s">
        <v>63</v>
      </c>
      <c r="L484" t="s">
        <v>34</v>
      </c>
      <c r="M484" t="s">
        <v>71</v>
      </c>
      <c r="N484" t="s">
        <v>36</v>
      </c>
      <c r="O484">
        <v>60</v>
      </c>
      <c r="P484">
        <v>60</v>
      </c>
      <c r="Q484">
        <v>75.8</v>
      </c>
      <c r="R484">
        <v>1700</v>
      </c>
      <c r="S484">
        <v>1700</v>
      </c>
      <c r="T484">
        <v>0</v>
      </c>
      <c r="U484">
        <v>0</v>
      </c>
      <c r="V484">
        <v>1</v>
      </c>
      <c r="W484">
        <v>0</v>
      </c>
      <c r="X484">
        <v>0.85</v>
      </c>
    </row>
    <row r="485" spans="1:24" x14ac:dyDescent="0.3">
      <c r="A485" t="s">
        <v>918</v>
      </c>
      <c r="B485" s="1">
        <v>45989</v>
      </c>
      <c r="C485" t="s">
        <v>38</v>
      </c>
      <c r="D485" t="s">
        <v>82</v>
      </c>
      <c r="E485" t="s">
        <v>68</v>
      </c>
      <c r="F485" t="s">
        <v>28</v>
      </c>
      <c r="G485" t="s">
        <v>29</v>
      </c>
      <c r="H485" t="s">
        <v>102</v>
      </c>
      <c r="I485" t="s">
        <v>566</v>
      </c>
      <c r="J485" t="s">
        <v>45</v>
      </c>
      <c r="K485" t="s">
        <v>63</v>
      </c>
      <c r="L485" t="s">
        <v>34</v>
      </c>
      <c r="M485" t="s">
        <v>86</v>
      </c>
      <c r="N485" t="s">
        <v>153</v>
      </c>
      <c r="O485">
        <v>45</v>
      </c>
      <c r="P485">
        <v>0</v>
      </c>
      <c r="Q485">
        <v>54</v>
      </c>
      <c r="R485">
        <v>1100</v>
      </c>
      <c r="S485">
        <v>0</v>
      </c>
      <c r="T485">
        <v>0</v>
      </c>
      <c r="U485">
        <v>0</v>
      </c>
      <c r="V485">
        <v>0</v>
      </c>
      <c r="W485">
        <v>0</v>
      </c>
      <c r="X485">
        <v>0.85</v>
      </c>
    </row>
    <row r="486" spans="1:24" x14ac:dyDescent="0.3">
      <c r="A486" t="s">
        <v>919</v>
      </c>
      <c r="B486" s="1">
        <v>45879</v>
      </c>
      <c r="C486" t="s">
        <v>110</v>
      </c>
      <c r="D486" t="s">
        <v>287</v>
      </c>
      <c r="E486" t="s">
        <v>68</v>
      </c>
      <c r="F486" t="s">
        <v>28</v>
      </c>
      <c r="G486" t="s">
        <v>29</v>
      </c>
      <c r="H486" t="s">
        <v>135</v>
      </c>
      <c r="I486" t="s">
        <v>762</v>
      </c>
      <c r="J486" t="s">
        <v>62</v>
      </c>
      <c r="K486" t="s">
        <v>70</v>
      </c>
      <c r="L486" t="s">
        <v>54</v>
      </c>
      <c r="M486" t="s">
        <v>47</v>
      </c>
      <c r="N486" t="s">
        <v>36</v>
      </c>
      <c r="O486">
        <v>60</v>
      </c>
      <c r="P486">
        <v>60</v>
      </c>
      <c r="Q486">
        <v>75.599999999999994</v>
      </c>
      <c r="R486">
        <v>1050</v>
      </c>
      <c r="S486">
        <v>1050</v>
      </c>
      <c r="T486">
        <v>0</v>
      </c>
      <c r="U486">
        <v>0</v>
      </c>
      <c r="V486">
        <v>1</v>
      </c>
      <c r="W486">
        <v>0</v>
      </c>
      <c r="X486">
        <v>0.85</v>
      </c>
    </row>
    <row r="487" spans="1:24" x14ac:dyDescent="0.3">
      <c r="A487" t="s">
        <v>920</v>
      </c>
      <c r="B487" s="1">
        <v>45686</v>
      </c>
      <c r="C487" t="s">
        <v>130</v>
      </c>
      <c r="D487" t="s">
        <v>57</v>
      </c>
      <c r="E487" t="s">
        <v>68</v>
      </c>
      <c r="F487" t="s">
        <v>28</v>
      </c>
      <c r="G487" t="s">
        <v>29</v>
      </c>
      <c r="H487" t="s">
        <v>30</v>
      </c>
      <c r="I487" t="s">
        <v>921</v>
      </c>
      <c r="J487" t="s">
        <v>53</v>
      </c>
      <c r="K487" t="s">
        <v>70</v>
      </c>
      <c r="L487" t="s">
        <v>78</v>
      </c>
      <c r="M487" t="s">
        <v>35</v>
      </c>
      <c r="N487" t="s">
        <v>36</v>
      </c>
      <c r="O487">
        <v>60</v>
      </c>
      <c r="P487">
        <v>60</v>
      </c>
      <c r="Q487">
        <v>77.900000000000006</v>
      </c>
      <c r="R487">
        <v>1400</v>
      </c>
      <c r="S487">
        <v>1400</v>
      </c>
      <c r="T487">
        <v>0</v>
      </c>
      <c r="U487">
        <v>0</v>
      </c>
      <c r="V487">
        <v>1</v>
      </c>
      <c r="W487">
        <v>0</v>
      </c>
      <c r="X487">
        <v>0.85</v>
      </c>
    </row>
    <row r="488" spans="1:24" x14ac:dyDescent="0.3">
      <c r="A488" t="s">
        <v>922</v>
      </c>
      <c r="B488" s="1">
        <v>45923</v>
      </c>
      <c r="C488" t="s">
        <v>49</v>
      </c>
      <c r="D488" t="s">
        <v>26</v>
      </c>
      <c r="E488" t="s">
        <v>68</v>
      </c>
      <c r="F488" t="s">
        <v>28</v>
      </c>
      <c r="G488" t="s">
        <v>29</v>
      </c>
      <c r="H488" t="s">
        <v>120</v>
      </c>
      <c r="I488" t="s">
        <v>923</v>
      </c>
      <c r="J488" t="s">
        <v>99</v>
      </c>
      <c r="K488" t="s">
        <v>33</v>
      </c>
      <c r="L488" t="s">
        <v>78</v>
      </c>
      <c r="M488" t="s">
        <v>86</v>
      </c>
      <c r="N488" t="s">
        <v>36</v>
      </c>
      <c r="O488">
        <v>60</v>
      </c>
      <c r="P488">
        <v>60</v>
      </c>
      <c r="Q488">
        <v>71.8</v>
      </c>
      <c r="R488">
        <v>1150</v>
      </c>
      <c r="S488">
        <v>1150</v>
      </c>
      <c r="T488">
        <v>0</v>
      </c>
      <c r="U488">
        <v>0</v>
      </c>
      <c r="V488">
        <v>1</v>
      </c>
      <c r="W488">
        <v>0</v>
      </c>
      <c r="X488">
        <v>0.85</v>
      </c>
    </row>
    <row r="489" spans="1:24" x14ac:dyDescent="0.3">
      <c r="A489" t="s">
        <v>924</v>
      </c>
      <c r="B489" s="1">
        <v>46010</v>
      </c>
      <c r="C489" t="s">
        <v>25</v>
      </c>
      <c r="D489" t="s">
        <v>82</v>
      </c>
      <c r="E489" t="s">
        <v>40</v>
      </c>
      <c r="F489" t="s">
        <v>41</v>
      </c>
      <c r="G489" t="s">
        <v>42</v>
      </c>
      <c r="H489" t="s">
        <v>111</v>
      </c>
      <c r="I489" t="s">
        <v>925</v>
      </c>
      <c r="J489" t="s">
        <v>62</v>
      </c>
      <c r="K489" t="s">
        <v>104</v>
      </c>
      <c r="L489" t="s">
        <v>78</v>
      </c>
      <c r="M489" t="s">
        <v>86</v>
      </c>
      <c r="N489" t="s">
        <v>36</v>
      </c>
      <c r="O489">
        <v>60</v>
      </c>
      <c r="P489">
        <v>60</v>
      </c>
      <c r="Q489">
        <v>68.5</v>
      </c>
      <c r="R489">
        <v>1250</v>
      </c>
      <c r="S489">
        <v>1250</v>
      </c>
      <c r="T489">
        <v>0</v>
      </c>
      <c r="U489">
        <v>0</v>
      </c>
      <c r="V489">
        <v>1</v>
      </c>
      <c r="W489">
        <v>0</v>
      </c>
      <c r="X489">
        <v>0.85</v>
      </c>
    </row>
    <row r="490" spans="1:24" x14ac:dyDescent="0.3">
      <c r="A490" t="s">
        <v>926</v>
      </c>
      <c r="B490" s="1">
        <v>45730</v>
      </c>
      <c r="C490" t="s">
        <v>56</v>
      </c>
      <c r="D490" t="s">
        <v>82</v>
      </c>
      <c r="E490" t="s">
        <v>68</v>
      </c>
      <c r="F490" t="s">
        <v>28</v>
      </c>
      <c r="G490" t="s">
        <v>29</v>
      </c>
      <c r="H490" t="s">
        <v>135</v>
      </c>
      <c r="I490" t="s">
        <v>927</v>
      </c>
      <c r="J490" t="s">
        <v>62</v>
      </c>
      <c r="K490" t="s">
        <v>104</v>
      </c>
      <c r="L490" t="s">
        <v>34</v>
      </c>
      <c r="M490" t="s">
        <v>86</v>
      </c>
      <c r="N490" t="s">
        <v>36</v>
      </c>
      <c r="O490">
        <v>90</v>
      </c>
      <c r="P490">
        <v>90</v>
      </c>
      <c r="Q490">
        <v>110.4</v>
      </c>
      <c r="R490">
        <v>1900</v>
      </c>
      <c r="S490">
        <v>1900</v>
      </c>
      <c r="T490">
        <v>0</v>
      </c>
      <c r="U490">
        <v>0</v>
      </c>
      <c r="V490">
        <v>1</v>
      </c>
      <c r="W490">
        <v>0</v>
      </c>
      <c r="X490">
        <v>0.85</v>
      </c>
    </row>
    <row r="491" spans="1:24" x14ac:dyDescent="0.3">
      <c r="A491" t="s">
        <v>928</v>
      </c>
      <c r="B491" s="1">
        <v>45910</v>
      </c>
      <c r="C491" t="s">
        <v>49</v>
      </c>
      <c r="D491" t="s">
        <v>57</v>
      </c>
      <c r="E491" t="s">
        <v>83</v>
      </c>
      <c r="F491" t="s">
        <v>58</v>
      </c>
      <c r="G491" t="s">
        <v>59</v>
      </c>
      <c r="H491" t="s">
        <v>73</v>
      </c>
      <c r="I491" t="s">
        <v>850</v>
      </c>
      <c r="J491" t="s">
        <v>62</v>
      </c>
      <c r="K491" t="s">
        <v>46</v>
      </c>
      <c r="L491" t="s">
        <v>34</v>
      </c>
      <c r="M491" t="s">
        <v>35</v>
      </c>
      <c r="N491" t="s">
        <v>36</v>
      </c>
      <c r="O491">
        <v>45</v>
      </c>
      <c r="P491">
        <v>45</v>
      </c>
      <c r="Q491">
        <v>52.9</v>
      </c>
      <c r="R491">
        <v>1100</v>
      </c>
      <c r="S491">
        <v>1100</v>
      </c>
      <c r="T491">
        <v>0</v>
      </c>
      <c r="U491">
        <v>0</v>
      </c>
      <c r="V491">
        <v>1</v>
      </c>
      <c r="W491">
        <v>0</v>
      </c>
      <c r="X491">
        <v>0.85</v>
      </c>
    </row>
    <row r="492" spans="1:24" x14ac:dyDescent="0.3">
      <c r="A492" t="s">
        <v>929</v>
      </c>
      <c r="B492" s="1">
        <v>45932</v>
      </c>
      <c r="C492" t="s">
        <v>97</v>
      </c>
      <c r="D492" t="s">
        <v>50</v>
      </c>
      <c r="E492" t="s">
        <v>83</v>
      </c>
      <c r="F492" t="s">
        <v>58</v>
      </c>
      <c r="G492" t="s">
        <v>59</v>
      </c>
      <c r="H492" t="s">
        <v>60</v>
      </c>
      <c r="I492" t="s">
        <v>930</v>
      </c>
      <c r="J492" t="s">
        <v>32</v>
      </c>
      <c r="K492" t="s">
        <v>46</v>
      </c>
      <c r="L492" t="s">
        <v>34</v>
      </c>
      <c r="M492" t="s">
        <v>35</v>
      </c>
      <c r="N492" t="s">
        <v>36</v>
      </c>
      <c r="O492">
        <v>45</v>
      </c>
      <c r="P492">
        <v>45</v>
      </c>
      <c r="Q492">
        <v>51.1</v>
      </c>
      <c r="R492">
        <v>1100</v>
      </c>
      <c r="S492">
        <v>1100</v>
      </c>
      <c r="T492">
        <v>0</v>
      </c>
      <c r="U492">
        <v>0</v>
      </c>
      <c r="V492">
        <v>1</v>
      </c>
      <c r="W492">
        <v>0</v>
      </c>
      <c r="X492">
        <v>0.85</v>
      </c>
    </row>
    <row r="493" spans="1:24" x14ac:dyDescent="0.3">
      <c r="A493" t="s">
        <v>931</v>
      </c>
      <c r="B493" s="1">
        <v>45943</v>
      </c>
      <c r="C493" t="s">
        <v>97</v>
      </c>
      <c r="D493" t="s">
        <v>39</v>
      </c>
      <c r="E493" t="s">
        <v>68</v>
      </c>
      <c r="F493" t="s">
        <v>58</v>
      </c>
      <c r="G493" t="s">
        <v>59</v>
      </c>
      <c r="H493" t="s">
        <v>296</v>
      </c>
      <c r="I493" t="s">
        <v>932</v>
      </c>
      <c r="J493" t="s">
        <v>45</v>
      </c>
      <c r="K493" t="s">
        <v>46</v>
      </c>
      <c r="L493" t="s">
        <v>64</v>
      </c>
      <c r="M493" t="s">
        <v>94</v>
      </c>
      <c r="N493" t="s">
        <v>153</v>
      </c>
      <c r="O493">
        <v>75</v>
      </c>
      <c r="P493">
        <v>0</v>
      </c>
      <c r="Q493">
        <v>93.2</v>
      </c>
      <c r="R493">
        <v>2150</v>
      </c>
      <c r="S493">
        <v>0</v>
      </c>
      <c r="T493">
        <v>0</v>
      </c>
      <c r="U493">
        <v>0</v>
      </c>
      <c r="V493">
        <v>0</v>
      </c>
      <c r="W493">
        <v>0</v>
      </c>
      <c r="X493">
        <v>0.85</v>
      </c>
    </row>
    <row r="494" spans="1:24" x14ac:dyDescent="0.3">
      <c r="A494" t="s">
        <v>933</v>
      </c>
      <c r="B494" s="1">
        <v>45902</v>
      </c>
      <c r="C494" t="s">
        <v>49</v>
      </c>
      <c r="D494" t="s">
        <v>26</v>
      </c>
      <c r="E494" t="s">
        <v>27</v>
      </c>
      <c r="F494" t="s">
        <v>58</v>
      </c>
      <c r="G494" t="s">
        <v>59</v>
      </c>
      <c r="H494" t="s">
        <v>117</v>
      </c>
      <c r="I494" t="s">
        <v>793</v>
      </c>
      <c r="J494" t="s">
        <v>137</v>
      </c>
      <c r="K494" t="s">
        <v>85</v>
      </c>
      <c r="L494" t="s">
        <v>34</v>
      </c>
      <c r="M494" t="s">
        <v>35</v>
      </c>
      <c r="N494" t="s">
        <v>95</v>
      </c>
      <c r="O494">
        <v>60</v>
      </c>
      <c r="P494">
        <v>0</v>
      </c>
      <c r="Q494">
        <v>66.900000000000006</v>
      </c>
      <c r="R494">
        <v>1500</v>
      </c>
      <c r="S494">
        <v>0</v>
      </c>
      <c r="T494">
        <v>1500</v>
      </c>
      <c r="U494">
        <v>1</v>
      </c>
      <c r="V494">
        <v>0</v>
      </c>
      <c r="W494">
        <v>0</v>
      </c>
      <c r="X494">
        <v>0.85</v>
      </c>
    </row>
    <row r="495" spans="1:24" x14ac:dyDescent="0.3">
      <c r="A495" t="s">
        <v>934</v>
      </c>
      <c r="B495" s="1">
        <v>45910</v>
      </c>
      <c r="C495" t="s">
        <v>49</v>
      </c>
      <c r="D495" t="s">
        <v>57</v>
      </c>
      <c r="E495" t="s">
        <v>27</v>
      </c>
      <c r="F495" t="s">
        <v>58</v>
      </c>
      <c r="G495" t="s">
        <v>59</v>
      </c>
      <c r="H495" t="s">
        <v>60</v>
      </c>
      <c r="I495" t="s">
        <v>902</v>
      </c>
      <c r="J495" t="s">
        <v>62</v>
      </c>
      <c r="K495" t="s">
        <v>63</v>
      </c>
      <c r="L495" t="s">
        <v>34</v>
      </c>
      <c r="M495" t="s">
        <v>71</v>
      </c>
      <c r="N495" t="s">
        <v>36</v>
      </c>
      <c r="O495">
        <v>60</v>
      </c>
      <c r="P495">
        <v>60</v>
      </c>
      <c r="Q495">
        <v>69.5</v>
      </c>
      <c r="R495">
        <v>1500</v>
      </c>
      <c r="S495">
        <v>1500</v>
      </c>
      <c r="T495">
        <v>0</v>
      </c>
      <c r="U495">
        <v>0</v>
      </c>
      <c r="V495">
        <v>1</v>
      </c>
      <c r="W495">
        <v>0</v>
      </c>
      <c r="X495">
        <v>0.85</v>
      </c>
    </row>
    <row r="496" spans="1:24" x14ac:dyDescent="0.3">
      <c r="A496" t="s">
        <v>935</v>
      </c>
      <c r="B496" s="1">
        <v>45958</v>
      </c>
      <c r="C496" t="s">
        <v>97</v>
      </c>
      <c r="D496" t="s">
        <v>26</v>
      </c>
      <c r="E496" t="s">
        <v>27</v>
      </c>
      <c r="F496" t="s">
        <v>58</v>
      </c>
      <c r="G496" t="s">
        <v>59</v>
      </c>
      <c r="H496" t="s">
        <v>296</v>
      </c>
      <c r="I496" t="s">
        <v>551</v>
      </c>
      <c r="J496" t="s">
        <v>62</v>
      </c>
      <c r="K496" t="s">
        <v>33</v>
      </c>
      <c r="L496" t="s">
        <v>64</v>
      </c>
      <c r="M496" t="s">
        <v>71</v>
      </c>
      <c r="N496" t="s">
        <v>36</v>
      </c>
      <c r="O496">
        <v>45</v>
      </c>
      <c r="P496">
        <v>45</v>
      </c>
      <c r="Q496">
        <v>57.6</v>
      </c>
      <c r="R496">
        <v>1100</v>
      </c>
      <c r="S496">
        <v>1100</v>
      </c>
      <c r="T496">
        <v>0</v>
      </c>
      <c r="U496">
        <v>0</v>
      </c>
      <c r="V496">
        <v>1</v>
      </c>
      <c r="W496">
        <v>0</v>
      </c>
      <c r="X496">
        <v>0.85</v>
      </c>
    </row>
    <row r="497" spans="1:24" x14ac:dyDescent="0.3">
      <c r="A497" t="s">
        <v>936</v>
      </c>
      <c r="B497" s="1">
        <v>45698</v>
      </c>
      <c r="C497" t="s">
        <v>76</v>
      </c>
      <c r="D497" t="s">
        <v>39</v>
      </c>
      <c r="E497" t="s">
        <v>83</v>
      </c>
      <c r="F497" t="s">
        <v>41</v>
      </c>
      <c r="G497" t="s">
        <v>42</v>
      </c>
      <c r="H497" t="s">
        <v>43</v>
      </c>
      <c r="I497" t="s">
        <v>937</v>
      </c>
      <c r="J497" t="s">
        <v>45</v>
      </c>
      <c r="K497" t="s">
        <v>63</v>
      </c>
      <c r="L497" t="s">
        <v>64</v>
      </c>
      <c r="M497" t="s">
        <v>35</v>
      </c>
      <c r="N497" t="s">
        <v>36</v>
      </c>
      <c r="O497">
        <v>30</v>
      </c>
      <c r="P497">
        <v>30</v>
      </c>
      <c r="Q497">
        <v>37.1</v>
      </c>
      <c r="R497">
        <v>800</v>
      </c>
      <c r="S497">
        <v>800</v>
      </c>
      <c r="T497">
        <v>0</v>
      </c>
      <c r="U497">
        <v>0</v>
      </c>
      <c r="V497">
        <v>1</v>
      </c>
      <c r="W497">
        <v>0</v>
      </c>
      <c r="X497">
        <v>0.85</v>
      </c>
    </row>
    <row r="498" spans="1:24" x14ac:dyDescent="0.3">
      <c r="A498" t="s">
        <v>938</v>
      </c>
      <c r="B498" s="1">
        <v>45996</v>
      </c>
      <c r="C498" t="s">
        <v>25</v>
      </c>
      <c r="D498" t="s">
        <v>82</v>
      </c>
      <c r="E498" t="s">
        <v>68</v>
      </c>
      <c r="F498" t="s">
        <v>58</v>
      </c>
      <c r="G498" t="s">
        <v>59</v>
      </c>
      <c r="H498" t="s">
        <v>117</v>
      </c>
      <c r="I498" t="s">
        <v>220</v>
      </c>
      <c r="J498" t="s">
        <v>45</v>
      </c>
      <c r="K498" t="s">
        <v>70</v>
      </c>
      <c r="L498" t="s">
        <v>64</v>
      </c>
      <c r="M498" t="s">
        <v>35</v>
      </c>
      <c r="N498" t="s">
        <v>36</v>
      </c>
      <c r="O498">
        <v>75</v>
      </c>
      <c r="P498">
        <v>75</v>
      </c>
      <c r="Q498">
        <v>98.9</v>
      </c>
      <c r="R498">
        <v>2150</v>
      </c>
      <c r="S498">
        <v>2150</v>
      </c>
      <c r="T498">
        <v>0</v>
      </c>
      <c r="U498">
        <v>0</v>
      </c>
      <c r="V498">
        <v>1</v>
      </c>
      <c r="W498">
        <v>0</v>
      </c>
      <c r="X498">
        <v>0.85</v>
      </c>
    </row>
    <row r="499" spans="1:24" x14ac:dyDescent="0.3">
      <c r="A499" t="s">
        <v>939</v>
      </c>
      <c r="B499" s="1">
        <v>45677</v>
      </c>
      <c r="C499" t="s">
        <v>130</v>
      </c>
      <c r="D499" t="s">
        <v>39</v>
      </c>
      <c r="E499" t="s">
        <v>83</v>
      </c>
      <c r="F499" t="s">
        <v>58</v>
      </c>
      <c r="G499" t="s">
        <v>59</v>
      </c>
      <c r="H499" t="s">
        <v>296</v>
      </c>
      <c r="I499" t="s">
        <v>911</v>
      </c>
      <c r="J499" t="s">
        <v>62</v>
      </c>
      <c r="K499" t="s">
        <v>33</v>
      </c>
      <c r="L499" t="s">
        <v>64</v>
      </c>
      <c r="M499" t="s">
        <v>47</v>
      </c>
      <c r="N499" t="s">
        <v>36</v>
      </c>
      <c r="O499">
        <v>45</v>
      </c>
      <c r="P499">
        <v>45</v>
      </c>
      <c r="Q499">
        <v>56.9</v>
      </c>
      <c r="R499">
        <v>1100</v>
      </c>
      <c r="S499">
        <v>1100</v>
      </c>
      <c r="T499">
        <v>0</v>
      </c>
      <c r="U499">
        <v>0</v>
      </c>
      <c r="V499">
        <v>1</v>
      </c>
      <c r="W499">
        <v>0</v>
      </c>
      <c r="X499">
        <v>0.85</v>
      </c>
    </row>
    <row r="500" spans="1:24" x14ac:dyDescent="0.3">
      <c r="A500" t="s">
        <v>940</v>
      </c>
      <c r="B500" s="1">
        <v>46006</v>
      </c>
      <c r="C500" t="s">
        <v>25</v>
      </c>
      <c r="D500" t="s">
        <v>39</v>
      </c>
      <c r="E500" t="s">
        <v>68</v>
      </c>
      <c r="F500" t="s">
        <v>41</v>
      </c>
      <c r="G500" t="s">
        <v>42</v>
      </c>
      <c r="H500" t="s">
        <v>111</v>
      </c>
      <c r="I500" t="s">
        <v>941</v>
      </c>
      <c r="J500" t="s">
        <v>137</v>
      </c>
      <c r="K500" t="s">
        <v>46</v>
      </c>
      <c r="L500" t="s">
        <v>34</v>
      </c>
      <c r="M500" t="s">
        <v>47</v>
      </c>
      <c r="N500" t="s">
        <v>95</v>
      </c>
      <c r="O500">
        <v>60</v>
      </c>
      <c r="P500">
        <v>0</v>
      </c>
      <c r="Q500">
        <v>78.099999999999994</v>
      </c>
      <c r="R500">
        <v>1350</v>
      </c>
      <c r="S500">
        <v>0</v>
      </c>
      <c r="T500">
        <v>1350</v>
      </c>
      <c r="U500">
        <v>1</v>
      </c>
      <c r="V500">
        <v>0</v>
      </c>
      <c r="W500">
        <v>0</v>
      </c>
      <c r="X500">
        <v>0.85</v>
      </c>
    </row>
    <row r="501" spans="1:24" x14ac:dyDescent="0.3">
      <c r="A501" t="s">
        <v>942</v>
      </c>
      <c r="B501" s="1">
        <v>45849</v>
      </c>
      <c r="C501" t="s">
        <v>101</v>
      </c>
      <c r="D501" t="s">
        <v>82</v>
      </c>
      <c r="E501" t="s">
        <v>40</v>
      </c>
      <c r="F501" t="s">
        <v>28</v>
      </c>
      <c r="G501" t="s">
        <v>29</v>
      </c>
      <c r="H501" t="s">
        <v>102</v>
      </c>
      <c r="I501" t="s">
        <v>764</v>
      </c>
      <c r="J501" t="s">
        <v>99</v>
      </c>
      <c r="K501" t="s">
        <v>63</v>
      </c>
      <c r="L501" t="s">
        <v>78</v>
      </c>
      <c r="M501" t="s">
        <v>47</v>
      </c>
      <c r="N501" t="s">
        <v>36</v>
      </c>
      <c r="O501">
        <v>60</v>
      </c>
      <c r="P501">
        <v>60</v>
      </c>
      <c r="Q501">
        <v>73.5</v>
      </c>
      <c r="R501">
        <v>1150</v>
      </c>
      <c r="S501">
        <v>1150</v>
      </c>
      <c r="T501">
        <v>0</v>
      </c>
      <c r="U501">
        <v>0</v>
      </c>
      <c r="V501">
        <v>1</v>
      </c>
      <c r="W501">
        <v>0</v>
      </c>
      <c r="X501">
        <v>0.85</v>
      </c>
    </row>
    <row r="502" spans="1:24" x14ac:dyDescent="0.3">
      <c r="A502" t="s">
        <v>943</v>
      </c>
      <c r="B502" s="1">
        <v>45944</v>
      </c>
      <c r="C502" t="s">
        <v>97</v>
      </c>
      <c r="D502" t="s">
        <v>26</v>
      </c>
      <c r="E502" t="s">
        <v>68</v>
      </c>
      <c r="F502" t="s">
        <v>58</v>
      </c>
      <c r="G502" t="s">
        <v>59</v>
      </c>
      <c r="H502" t="s">
        <v>60</v>
      </c>
      <c r="I502" t="s">
        <v>944</v>
      </c>
      <c r="J502" t="s">
        <v>45</v>
      </c>
      <c r="K502" t="s">
        <v>70</v>
      </c>
      <c r="L502" t="s">
        <v>78</v>
      </c>
      <c r="M502" t="s">
        <v>65</v>
      </c>
      <c r="N502" t="s">
        <v>113</v>
      </c>
      <c r="O502">
        <v>30</v>
      </c>
      <c r="P502">
        <v>0</v>
      </c>
      <c r="Q502">
        <v>34.700000000000003</v>
      </c>
      <c r="R502">
        <v>800</v>
      </c>
      <c r="S502">
        <v>0</v>
      </c>
      <c r="T502">
        <v>800</v>
      </c>
      <c r="U502">
        <v>0</v>
      </c>
      <c r="V502">
        <v>0</v>
      </c>
      <c r="W502">
        <v>1</v>
      </c>
      <c r="X502">
        <v>0.85</v>
      </c>
    </row>
    <row r="503" spans="1:24" x14ac:dyDescent="0.3">
      <c r="A503" t="s">
        <v>945</v>
      </c>
      <c r="B503" s="1">
        <v>45775</v>
      </c>
      <c r="C503" t="s">
        <v>92</v>
      </c>
      <c r="D503" t="s">
        <v>39</v>
      </c>
      <c r="E503" t="s">
        <v>83</v>
      </c>
      <c r="F503" t="s">
        <v>58</v>
      </c>
      <c r="G503" t="s">
        <v>59</v>
      </c>
      <c r="H503" t="s">
        <v>73</v>
      </c>
      <c r="I503" t="s">
        <v>946</v>
      </c>
      <c r="J503" t="s">
        <v>45</v>
      </c>
      <c r="K503" t="s">
        <v>85</v>
      </c>
      <c r="L503" t="s">
        <v>34</v>
      </c>
      <c r="M503" t="s">
        <v>65</v>
      </c>
      <c r="N503" t="s">
        <v>36</v>
      </c>
      <c r="O503">
        <v>75</v>
      </c>
      <c r="P503">
        <v>75</v>
      </c>
      <c r="Q503">
        <v>82.6</v>
      </c>
      <c r="R503">
        <v>2150</v>
      </c>
      <c r="S503">
        <v>2150</v>
      </c>
      <c r="T503">
        <v>0</v>
      </c>
      <c r="U503">
        <v>0</v>
      </c>
      <c r="V503">
        <v>1</v>
      </c>
      <c r="W503">
        <v>0</v>
      </c>
      <c r="X503">
        <v>0.85</v>
      </c>
    </row>
    <row r="504" spans="1:24" x14ac:dyDescent="0.3">
      <c r="A504" t="s">
        <v>947</v>
      </c>
      <c r="B504" s="1">
        <v>45710</v>
      </c>
      <c r="C504" t="s">
        <v>76</v>
      </c>
      <c r="D504" t="s">
        <v>88</v>
      </c>
      <c r="E504" t="s">
        <v>27</v>
      </c>
      <c r="F504" t="s">
        <v>41</v>
      </c>
      <c r="G504" t="s">
        <v>42</v>
      </c>
      <c r="H504" t="s">
        <v>125</v>
      </c>
      <c r="I504" t="s">
        <v>679</v>
      </c>
      <c r="J504" t="s">
        <v>45</v>
      </c>
      <c r="K504" t="s">
        <v>104</v>
      </c>
      <c r="L504" t="s">
        <v>64</v>
      </c>
      <c r="M504" t="s">
        <v>71</v>
      </c>
      <c r="N504" t="s">
        <v>36</v>
      </c>
      <c r="O504">
        <v>60</v>
      </c>
      <c r="P504">
        <v>60</v>
      </c>
      <c r="Q504">
        <v>78.900000000000006</v>
      </c>
      <c r="R504">
        <v>1550</v>
      </c>
      <c r="S504">
        <v>1550</v>
      </c>
      <c r="T504">
        <v>0</v>
      </c>
      <c r="U504">
        <v>0</v>
      </c>
      <c r="V504">
        <v>1</v>
      </c>
      <c r="W504">
        <v>0</v>
      </c>
      <c r="X504">
        <v>0.85</v>
      </c>
    </row>
    <row r="505" spans="1:24" x14ac:dyDescent="0.3">
      <c r="A505" t="s">
        <v>948</v>
      </c>
      <c r="B505" s="1">
        <v>45722</v>
      </c>
      <c r="C505" t="s">
        <v>56</v>
      </c>
      <c r="D505" t="s">
        <v>50</v>
      </c>
      <c r="E505" t="s">
        <v>83</v>
      </c>
      <c r="F505" t="s">
        <v>28</v>
      </c>
      <c r="G505" t="s">
        <v>29</v>
      </c>
      <c r="H505" t="s">
        <v>210</v>
      </c>
      <c r="I505" t="s">
        <v>949</v>
      </c>
      <c r="J505" t="s">
        <v>62</v>
      </c>
      <c r="K505" t="s">
        <v>46</v>
      </c>
      <c r="L505" t="s">
        <v>54</v>
      </c>
      <c r="M505" t="s">
        <v>47</v>
      </c>
      <c r="N505" t="s">
        <v>153</v>
      </c>
      <c r="O505">
        <v>90</v>
      </c>
      <c r="P505">
        <v>0</v>
      </c>
      <c r="Q505">
        <v>109.4</v>
      </c>
      <c r="R505">
        <v>1600</v>
      </c>
      <c r="S505">
        <v>0</v>
      </c>
      <c r="T505">
        <v>0</v>
      </c>
      <c r="U505">
        <v>0</v>
      </c>
      <c r="V505">
        <v>0</v>
      </c>
      <c r="W505">
        <v>0</v>
      </c>
      <c r="X505">
        <v>0.85</v>
      </c>
    </row>
    <row r="506" spans="1:24" x14ac:dyDescent="0.3">
      <c r="A506" t="s">
        <v>950</v>
      </c>
      <c r="B506" s="1">
        <v>45915</v>
      </c>
      <c r="C506" t="s">
        <v>49</v>
      </c>
      <c r="D506" t="s">
        <v>39</v>
      </c>
      <c r="E506" t="s">
        <v>40</v>
      </c>
      <c r="F506" t="s">
        <v>28</v>
      </c>
      <c r="G506" t="s">
        <v>29</v>
      </c>
      <c r="H506" t="s">
        <v>120</v>
      </c>
      <c r="I506" t="s">
        <v>471</v>
      </c>
      <c r="J506" t="s">
        <v>62</v>
      </c>
      <c r="K506" t="s">
        <v>85</v>
      </c>
      <c r="L506" t="s">
        <v>64</v>
      </c>
      <c r="M506" t="s">
        <v>47</v>
      </c>
      <c r="N506" t="s">
        <v>36</v>
      </c>
      <c r="O506">
        <v>45</v>
      </c>
      <c r="P506">
        <v>45</v>
      </c>
      <c r="Q506">
        <v>59.5</v>
      </c>
      <c r="R506">
        <v>950</v>
      </c>
      <c r="S506">
        <v>950</v>
      </c>
      <c r="T506">
        <v>0</v>
      </c>
      <c r="U506">
        <v>0</v>
      </c>
      <c r="V506">
        <v>1</v>
      </c>
      <c r="W506">
        <v>0</v>
      </c>
      <c r="X506">
        <v>0.85</v>
      </c>
    </row>
    <row r="507" spans="1:24" x14ac:dyDescent="0.3">
      <c r="A507" t="s">
        <v>951</v>
      </c>
      <c r="B507" s="1">
        <v>45796</v>
      </c>
      <c r="C507" t="s">
        <v>128</v>
      </c>
      <c r="D507" t="s">
        <v>39</v>
      </c>
      <c r="E507" t="s">
        <v>40</v>
      </c>
      <c r="F507" t="s">
        <v>28</v>
      </c>
      <c r="G507" t="s">
        <v>29</v>
      </c>
      <c r="H507" t="s">
        <v>30</v>
      </c>
      <c r="I507" t="s">
        <v>952</v>
      </c>
      <c r="J507" t="s">
        <v>53</v>
      </c>
      <c r="K507" t="s">
        <v>85</v>
      </c>
      <c r="L507" t="s">
        <v>64</v>
      </c>
      <c r="M507" t="s">
        <v>86</v>
      </c>
      <c r="N507" t="s">
        <v>95</v>
      </c>
      <c r="O507">
        <v>60</v>
      </c>
      <c r="P507">
        <v>0</v>
      </c>
      <c r="Q507">
        <v>79.099999999999994</v>
      </c>
      <c r="R507">
        <v>1500</v>
      </c>
      <c r="S507">
        <v>0</v>
      </c>
      <c r="T507">
        <v>1500</v>
      </c>
      <c r="U507">
        <v>1</v>
      </c>
      <c r="V507">
        <v>0</v>
      </c>
      <c r="W507">
        <v>0</v>
      </c>
      <c r="X507">
        <v>0.85</v>
      </c>
    </row>
    <row r="508" spans="1:24" x14ac:dyDescent="0.3">
      <c r="A508" t="s">
        <v>953</v>
      </c>
      <c r="B508" s="1">
        <v>45738</v>
      </c>
      <c r="C508" t="s">
        <v>56</v>
      </c>
      <c r="D508" t="s">
        <v>88</v>
      </c>
      <c r="E508" t="s">
        <v>27</v>
      </c>
      <c r="F508" t="s">
        <v>41</v>
      </c>
      <c r="G508" t="s">
        <v>42</v>
      </c>
      <c r="H508" t="s">
        <v>51</v>
      </c>
      <c r="I508" t="s">
        <v>424</v>
      </c>
      <c r="J508" t="s">
        <v>53</v>
      </c>
      <c r="K508" t="s">
        <v>33</v>
      </c>
      <c r="L508" t="s">
        <v>34</v>
      </c>
      <c r="M508" t="s">
        <v>47</v>
      </c>
      <c r="N508" t="s">
        <v>113</v>
      </c>
      <c r="O508">
        <v>60</v>
      </c>
      <c r="P508">
        <v>0</v>
      </c>
      <c r="Q508">
        <v>77.7</v>
      </c>
      <c r="R508">
        <v>1600</v>
      </c>
      <c r="S508">
        <v>0</v>
      </c>
      <c r="T508">
        <v>1600</v>
      </c>
      <c r="U508">
        <v>0</v>
      </c>
      <c r="V508">
        <v>0</v>
      </c>
      <c r="W508">
        <v>1</v>
      </c>
      <c r="X508">
        <v>0.85</v>
      </c>
    </row>
    <row r="509" spans="1:24" x14ac:dyDescent="0.3">
      <c r="A509" t="s">
        <v>954</v>
      </c>
      <c r="B509" s="1">
        <v>45734</v>
      </c>
      <c r="C509" t="s">
        <v>56</v>
      </c>
      <c r="D509" t="s">
        <v>26</v>
      </c>
      <c r="E509" t="s">
        <v>68</v>
      </c>
      <c r="F509" t="s">
        <v>41</v>
      </c>
      <c r="G509" t="s">
        <v>42</v>
      </c>
      <c r="H509" t="s">
        <v>89</v>
      </c>
      <c r="I509" t="s">
        <v>955</v>
      </c>
      <c r="J509" t="s">
        <v>32</v>
      </c>
      <c r="K509" t="s">
        <v>70</v>
      </c>
      <c r="L509" t="s">
        <v>64</v>
      </c>
      <c r="M509" t="s">
        <v>47</v>
      </c>
      <c r="N509" t="s">
        <v>36</v>
      </c>
      <c r="O509">
        <v>30</v>
      </c>
      <c r="P509">
        <v>30</v>
      </c>
      <c r="Q509">
        <v>39.5</v>
      </c>
      <c r="R509">
        <v>700</v>
      </c>
      <c r="S509">
        <v>700</v>
      </c>
      <c r="T509">
        <v>0</v>
      </c>
      <c r="U509">
        <v>0</v>
      </c>
      <c r="V509">
        <v>1</v>
      </c>
      <c r="W509">
        <v>0</v>
      </c>
      <c r="X509">
        <v>0.85</v>
      </c>
    </row>
    <row r="510" spans="1:24" x14ac:dyDescent="0.3">
      <c r="A510" t="s">
        <v>956</v>
      </c>
      <c r="B510" s="1">
        <v>45889</v>
      </c>
      <c r="C510" t="s">
        <v>110</v>
      </c>
      <c r="D510" t="s">
        <v>57</v>
      </c>
      <c r="E510" t="s">
        <v>27</v>
      </c>
      <c r="F510" t="s">
        <v>28</v>
      </c>
      <c r="G510" t="s">
        <v>29</v>
      </c>
      <c r="H510" t="s">
        <v>210</v>
      </c>
      <c r="I510" t="s">
        <v>318</v>
      </c>
      <c r="J510" t="s">
        <v>62</v>
      </c>
      <c r="K510" t="s">
        <v>85</v>
      </c>
      <c r="L510" t="s">
        <v>34</v>
      </c>
      <c r="M510" t="s">
        <v>65</v>
      </c>
      <c r="N510" t="s">
        <v>113</v>
      </c>
      <c r="O510">
        <v>75</v>
      </c>
      <c r="P510">
        <v>0</v>
      </c>
      <c r="Q510">
        <v>94.4</v>
      </c>
      <c r="R510">
        <v>1550</v>
      </c>
      <c r="S510">
        <v>0</v>
      </c>
      <c r="T510">
        <v>1550</v>
      </c>
      <c r="U510">
        <v>0</v>
      </c>
      <c r="V510">
        <v>0</v>
      </c>
      <c r="W510">
        <v>1</v>
      </c>
      <c r="X510">
        <v>0.85</v>
      </c>
    </row>
    <row r="511" spans="1:24" x14ac:dyDescent="0.3">
      <c r="A511" t="s">
        <v>957</v>
      </c>
      <c r="B511" s="1">
        <v>45962</v>
      </c>
      <c r="C511" t="s">
        <v>38</v>
      </c>
      <c r="D511" t="s">
        <v>88</v>
      </c>
      <c r="E511" t="s">
        <v>40</v>
      </c>
      <c r="F511" t="s">
        <v>58</v>
      </c>
      <c r="G511" t="s">
        <v>59</v>
      </c>
      <c r="H511" t="s">
        <v>73</v>
      </c>
      <c r="I511" t="s">
        <v>958</v>
      </c>
      <c r="J511" t="s">
        <v>62</v>
      </c>
      <c r="K511" t="s">
        <v>33</v>
      </c>
      <c r="L511" t="s">
        <v>34</v>
      </c>
      <c r="M511" t="s">
        <v>65</v>
      </c>
      <c r="N511" t="s">
        <v>153</v>
      </c>
      <c r="O511">
        <v>60</v>
      </c>
      <c r="P511">
        <v>0</v>
      </c>
      <c r="Q511">
        <v>69.400000000000006</v>
      </c>
      <c r="R511">
        <v>1500</v>
      </c>
      <c r="S511">
        <v>0</v>
      </c>
      <c r="T511">
        <v>0</v>
      </c>
      <c r="U511">
        <v>0</v>
      </c>
      <c r="V511">
        <v>0</v>
      </c>
      <c r="W511">
        <v>0</v>
      </c>
      <c r="X511">
        <v>0.85</v>
      </c>
    </row>
    <row r="512" spans="1:24" x14ac:dyDescent="0.3">
      <c r="A512" t="s">
        <v>959</v>
      </c>
      <c r="B512" s="1">
        <v>45992</v>
      </c>
      <c r="C512" t="s">
        <v>25</v>
      </c>
      <c r="D512" t="s">
        <v>39</v>
      </c>
      <c r="E512" t="s">
        <v>40</v>
      </c>
      <c r="F512" t="s">
        <v>28</v>
      </c>
      <c r="G512" t="s">
        <v>29</v>
      </c>
      <c r="H512" t="s">
        <v>30</v>
      </c>
      <c r="I512" t="s">
        <v>960</v>
      </c>
      <c r="J512" t="s">
        <v>62</v>
      </c>
      <c r="K512" t="s">
        <v>46</v>
      </c>
      <c r="L512" t="s">
        <v>34</v>
      </c>
      <c r="M512" t="s">
        <v>94</v>
      </c>
      <c r="N512" t="s">
        <v>36</v>
      </c>
      <c r="O512">
        <v>60</v>
      </c>
      <c r="P512">
        <v>60</v>
      </c>
      <c r="Q512">
        <v>71.900000000000006</v>
      </c>
      <c r="R512">
        <v>1250</v>
      </c>
      <c r="S512">
        <v>1250</v>
      </c>
      <c r="T512">
        <v>0</v>
      </c>
      <c r="U512">
        <v>0</v>
      </c>
      <c r="V512">
        <v>1</v>
      </c>
      <c r="W512">
        <v>0</v>
      </c>
      <c r="X512">
        <v>0.85</v>
      </c>
    </row>
    <row r="513" spans="1:24" x14ac:dyDescent="0.3">
      <c r="A513" t="s">
        <v>961</v>
      </c>
      <c r="B513" s="1">
        <v>45882</v>
      </c>
      <c r="C513" t="s">
        <v>110</v>
      </c>
      <c r="D513" t="s">
        <v>57</v>
      </c>
      <c r="E513" t="s">
        <v>40</v>
      </c>
      <c r="F513" t="s">
        <v>41</v>
      </c>
      <c r="G513" t="s">
        <v>42</v>
      </c>
      <c r="H513" t="s">
        <v>111</v>
      </c>
      <c r="I513" t="s">
        <v>379</v>
      </c>
      <c r="J513" t="s">
        <v>137</v>
      </c>
      <c r="K513" t="s">
        <v>70</v>
      </c>
      <c r="L513" t="s">
        <v>34</v>
      </c>
      <c r="M513" t="s">
        <v>65</v>
      </c>
      <c r="N513" t="s">
        <v>36</v>
      </c>
      <c r="O513">
        <v>45</v>
      </c>
      <c r="P513">
        <v>45</v>
      </c>
      <c r="Q513">
        <v>60</v>
      </c>
      <c r="R513">
        <v>1000</v>
      </c>
      <c r="S513">
        <v>1000</v>
      </c>
      <c r="T513">
        <v>0</v>
      </c>
      <c r="U513">
        <v>0</v>
      </c>
      <c r="V513">
        <v>1</v>
      </c>
      <c r="W513">
        <v>0</v>
      </c>
      <c r="X513">
        <v>0.85</v>
      </c>
    </row>
    <row r="514" spans="1:24" x14ac:dyDescent="0.3">
      <c r="A514" t="s">
        <v>962</v>
      </c>
      <c r="B514" s="1">
        <v>45783</v>
      </c>
      <c r="C514" t="s">
        <v>128</v>
      </c>
      <c r="D514" t="s">
        <v>26</v>
      </c>
      <c r="E514" t="s">
        <v>27</v>
      </c>
      <c r="F514" t="s">
        <v>41</v>
      </c>
      <c r="G514" t="s">
        <v>42</v>
      </c>
      <c r="H514" t="s">
        <v>125</v>
      </c>
      <c r="I514" t="s">
        <v>364</v>
      </c>
      <c r="J514" t="s">
        <v>62</v>
      </c>
      <c r="K514" t="s">
        <v>85</v>
      </c>
      <c r="L514" t="s">
        <v>64</v>
      </c>
      <c r="M514" t="s">
        <v>47</v>
      </c>
      <c r="N514" t="s">
        <v>113</v>
      </c>
      <c r="O514">
        <v>45</v>
      </c>
      <c r="P514">
        <v>0</v>
      </c>
      <c r="Q514">
        <v>60.6</v>
      </c>
      <c r="R514">
        <v>1000</v>
      </c>
      <c r="S514">
        <v>0</v>
      </c>
      <c r="T514">
        <v>1000</v>
      </c>
      <c r="U514">
        <v>0</v>
      </c>
      <c r="V514">
        <v>0</v>
      </c>
      <c r="W514">
        <v>1</v>
      </c>
      <c r="X514">
        <v>0.85</v>
      </c>
    </row>
    <row r="515" spans="1:24" x14ac:dyDescent="0.3">
      <c r="A515" t="s">
        <v>963</v>
      </c>
      <c r="B515" s="1">
        <v>45754</v>
      </c>
      <c r="C515" t="s">
        <v>92</v>
      </c>
      <c r="D515" t="s">
        <v>39</v>
      </c>
      <c r="E515" t="s">
        <v>68</v>
      </c>
      <c r="F515" t="s">
        <v>58</v>
      </c>
      <c r="G515" t="s">
        <v>59</v>
      </c>
      <c r="H515" t="s">
        <v>151</v>
      </c>
      <c r="I515" t="s">
        <v>715</v>
      </c>
      <c r="J515" t="s">
        <v>62</v>
      </c>
      <c r="K515" t="s">
        <v>85</v>
      </c>
      <c r="L515" t="s">
        <v>34</v>
      </c>
      <c r="M515" t="s">
        <v>94</v>
      </c>
      <c r="N515" t="s">
        <v>36</v>
      </c>
      <c r="O515">
        <v>90</v>
      </c>
      <c r="P515">
        <v>90</v>
      </c>
      <c r="Q515">
        <v>99.5</v>
      </c>
      <c r="R515">
        <v>2250</v>
      </c>
      <c r="S515">
        <v>2250</v>
      </c>
      <c r="T515">
        <v>0</v>
      </c>
      <c r="U515">
        <v>0</v>
      </c>
      <c r="V515">
        <v>1</v>
      </c>
      <c r="W515">
        <v>0</v>
      </c>
      <c r="X515">
        <v>0.85</v>
      </c>
    </row>
    <row r="516" spans="1:24" x14ac:dyDescent="0.3">
      <c r="A516" t="s">
        <v>964</v>
      </c>
      <c r="B516" s="1">
        <v>45834</v>
      </c>
      <c r="C516" t="s">
        <v>67</v>
      </c>
      <c r="D516" t="s">
        <v>50</v>
      </c>
      <c r="E516" t="s">
        <v>68</v>
      </c>
      <c r="F516" t="s">
        <v>41</v>
      </c>
      <c r="G516" t="s">
        <v>42</v>
      </c>
      <c r="H516" t="s">
        <v>111</v>
      </c>
      <c r="I516" t="s">
        <v>172</v>
      </c>
      <c r="J516" t="s">
        <v>62</v>
      </c>
      <c r="K516" t="s">
        <v>33</v>
      </c>
      <c r="L516" t="s">
        <v>34</v>
      </c>
      <c r="M516" t="s">
        <v>86</v>
      </c>
      <c r="N516" t="s">
        <v>36</v>
      </c>
      <c r="O516">
        <v>75</v>
      </c>
      <c r="P516">
        <v>75</v>
      </c>
      <c r="Q516">
        <v>90.8</v>
      </c>
      <c r="R516">
        <v>1700</v>
      </c>
      <c r="S516">
        <v>1700</v>
      </c>
      <c r="T516">
        <v>0</v>
      </c>
      <c r="U516">
        <v>0</v>
      </c>
      <c r="V516">
        <v>1</v>
      </c>
      <c r="W516">
        <v>0</v>
      </c>
      <c r="X516">
        <v>0.85</v>
      </c>
    </row>
    <row r="517" spans="1:24" x14ac:dyDescent="0.3">
      <c r="A517" t="s">
        <v>965</v>
      </c>
      <c r="B517" s="1">
        <v>45758</v>
      </c>
      <c r="C517" t="s">
        <v>92</v>
      </c>
      <c r="D517" t="s">
        <v>82</v>
      </c>
      <c r="E517" t="s">
        <v>83</v>
      </c>
      <c r="F517" t="s">
        <v>28</v>
      </c>
      <c r="G517" t="s">
        <v>29</v>
      </c>
      <c r="H517" t="s">
        <v>102</v>
      </c>
      <c r="I517" t="s">
        <v>930</v>
      </c>
      <c r="J517" t="s">
        <v>45</v>
      </c>
      <c r="K517" t="s">
        <v>104</v>
      </c>
      <c r="L517" t="s">
        <v>34</v>
      </c>
      <c r="M517" t="s">
        <v>71</v>
      </c>
      <c r="N517" t="s">
        <v>36</v>
      </c>
      <c r="O517">
        <v>30</v>
      </c>
      <c r="P517">
        <v>30</v>
      </c>
      <c r="Q517">
        <v>37.9</v>
      </c>
      <c r="R517">
        <v>700</v>
      </c>
      <c r="S517">
        <v>700</v>
      </c>
      <c r="T517">
        <v>0</v>
      </c>
      <c r="U517">
        <v>0</v>
      </c>
      <c r="V517">
        <v>1</v>
      </c>
      <c r="W517">
        <v>0</v>
      </c>
      <c r="X517">
        <v>0.85</v>
      </c>
    </row>
    <row r="518" spans="1:24" x14ac:dyDescent="0.3">
      <c r="A518" t="s">
        <v>966</v>
      </c>
      <c r="B518" s="1">
        <v>45957</v>
      </c>
      <c r="C518" t="s">
        <v>97</v>
      </c>
      <c r="D518" t="s">
        <v>39</v>
      </c>
      <c r="E518" t="s">
        <v>83</v>
      </c>
      <c r="F518" t="s">
        <v>58</v>
      </c>
      <c r="G518" t="s">
        <v>59</v>
      </c>
      <c r="H518" t="s">
        <v>151</v>
      </c>
      <c r="I518" t="s">
        <v>458</v>
      </c>
      <c r="J518" t="s">
        <v>62</v>
      </c>
      <c r="K518" t="s">
        <v>46</v>
      </c>
      <c r="L518" t="s">
        <v>64</v>
      </c>
      <c r="M518" t="s">
        <v>47</v>
      </c>
      <c r="N518" t="s">
        <v>36</v>
      </c>
      <c r="O518">
        <v>60</v>
      </c>
      <c r="P518">
        <v>60</v>
      </c>
      <c r="Q518">
        <v>81</v>
      </c>
      <c r="R518">
        <v>1500</v>
      </c>
      <c r="S518">
        <v>1500</v>
      </c>
      <c r="T518">
        <v>0</v>
      </c>
      <c r="U518">
        <v>0</v>
      </c>
      <c r="V518">
        <v>1</v>
      </c>
      <c r="W518">
        <v>0</v>
      </c>
      <c r="X518">
        <v>0.85</v>
      </c>
    </row>
    <row r="519" spans="1:24" x14ac:dyDescent="0.3">
      <c r="A519" t="s">
        <v>967</v>
      </c>
      <c r="B519" s="1">
        <v>45919</v>
      </c>
      <c r="C519" t="s">
        <v>49</v>
      </c>
      <c r="D519" t="s">
        <v>82</v>
      </c>
      <c r="E519" t="s">
        <v>40</v>
      </c>
      <c r="F519" t="s">
        <v>28</v>
      </c>
      <c r="G519" t="s">
        <v>29</v>
      </c>
      <c r="H519" t="s">
        <v>102</v>
      </c>
      <c r="I519" t="s">
        <v>701</v>
      </c>
      <c r="J519" t="s">
        <v>53</v>
      </c>
      <c r="K519" t="s">
        <v>70</v>
      </c>
      <c r="L519" t="s">
        <v>64</v>
      </c>
      <c r="M519" t="s">
        <v>47</v>
      </c>
      <c r="N519" t="s">
        <v>95</v>
      </c>
      <c r="O519">
        <v>60</v>
      </c>
      <c r="P519">
        <v>0</v>
      </c>
      <c r="Q519">
        <v>74</v>
      </c>
      <c r="R519">
        <v>1500</v>
      </c>
      <c r="S519">
        <v>0</v>
      </c>
      <c r="T519">
        <v>1500</v>
      </c>
      <c r="U519">
        <v>1</v>
      </c>
      <c r="V519">
        <v>0</v>
      </c>
      <c r="W519">
        <v>0</v>
      </c>
      <c r="X519">
        <v>0.85</v>
      </c>
    </row>
    <row r="520" spans="1:24" x14ac:dyDescent="0.3">
      <c r="A520" t="s">
        <v>968</v>
      </c>
      <c r="B520" s="1">
        <v>45691</v>
      </c>
      <c r="C520" t="s">
        <v>76</v>
      </c>
      <c r="D520" t="s">
        <v>39</v>
      </c>
      <c r="E520" t="s">
        <v>83</v>
      </c>
      <c r="F520" t="s">
        <v>58</v>
      </c>
      <c r="G520" t="s">
        <v>59</v>
      </c>
      <c r="H520" t="s">
        <v>117</v>
      </c>
      <c r="I520" t="s">
        <v>330</v>
      </c>
      <c r="J520" t="s">
        <v>53</v>
      </c>
      <c r="K520" t="s">
        <v>85</v>
      </c>
      <c r="L520" t="s">
        <v>34</v>
      </c>
      <c r="M520" t="s">
        <v>65</v>
      </c>
      <c r="N520" t="s">
        <v>36</v>
      </c>
      <c r="O520">
        <v>30</v>
      </c>
      <c r="P520">
        <v>30</v>
      </c>
      <c r="Q520">
        <v>34.1</v>
      </c>
      <c r="R520">
        <v>900</v>
      </c>
      <c r="S520">
        <v>900</v>
      </c>
      <c r="T520">
        <v>0</v>
      </c>
      <c r="U520">
        <v>0</v>
      </c>
      <c r="V520">
        <v>1</v>
      </c>
      <c r="W520">
        <v>0</v>
      </c>
      <c r="X520">
        <v>0.85</v>
      </c>
    </row>
    <row r="521" spans="1:24" x14ac:dyDescent="0.3">
      <c r="A521" t="s">
        <v>969</v>
      </c>
      <c r="B521" s="1">
        <v>45817</v>
      </c>
      <c r="C521" t="s">
        <v>67</v>
      </c>
      <c r="D521" t="s">
        <v>39</v>
      </c>
      <c r="E521" t="s">
        <v>40</v>
      </c>
      <c r="F521" t="s">
        <v>41</v>
      </c>
      <c r="G521" t="s">
        <v>42</v>
      </c>
      <c r="H521" t="s">
        <v>125</v>
      </c>
      <c r="I521" t="s">
        <v>475</v>
      </c>
      <c r="J521" t="s">
        <v>62</v>
      </c>
      <c r="K521" t="s">
        <v>33</v>
      </c>
      <c r="L521" t="s">
        <v>64</v>
      </c>
      <c r="M521" t="s">
        <v>71</v>
      </c>
      <c r="N521" t="s">
        <v>36</v>
      </c>
      <c r="O521">
        <v>30</v>
      </c>
      <c r="P521">
        <v>30</v>
      </c>
      <c r="Q521">
        <v>33.9</v>
      </c>
      <c r="R521">
        <v>700</v>
      </c>
      <c r="S521">
        <v>700</v>
      </c>
      <c r="T521">
        <v>0</v>
      </c>
      <c r="U521">
        <v>0</v>
      </c>
      <c r="V521">
        <v>1</v>
      </c>
      <c r="W521">
        <v>0</v>
      </c>
      <c r="X521">
        <v>0.85</v>
      </c>
    </row>
    <row r="522" spans="1:24" x14ac:dyDescent="0.3">
      <c r="A522" t="s">
        <v>970</v>
      </c>
      <c r="B522" s="1">
        <v>45941</v>
      </c>
      <c r="C522" t="s">
        <v>97</v>
      </c>
      <c r="D522" t="s">
        <v>88</v>
      </c>
      <c r="E522" t="s">
        <v>40</v>
      </c>
      <c r="F522" t="s">
        <v>41</v>
      </c>
      <c r="G522" t="s">
        <v>42</v>
      </c>
      <c r="H522" t="s">
        <v>89</v>
      </c>
      <c r="I522" t="s">
        <v>971</v>
      </c>
      <c r="J522" t="s">
        <v>45</v>
      </c>
      <c r="K522" t="s">
        <v>104</v>
      </c>
      <c r="L522" t="s">
        <v>64</v>
      </c>
      <c r="M522" t="s">
        <v>86</v>
      </c>
      <c r="N522" t="s">
        <v>36</v>
      </c>
      <c r="O522">
        <v>60</v>
      </c>
      <c r="P522">
        <v>60</v>
      </c>
      <c r="Q522">
        <v>70.5</v>
      </c>
      <c r="R522">
        <v>1550</v>
      </c>
      <c r="S522">
        <v>1550</v>
      </c>
      <c r="T522">
        <v>0</v>
      </c>
      <c r="U522">
        <v>0</v>
      </c>
      <c r="V522">
        <v>1</v>
      </c>
      <c r="W522">
        <v>0</v>
      </c>
      <c r="X522">
        <v>0.85</v>
      </c>
    </row>
    <row r="523" spans="1:24" x14ac:dyDescent="0.3">
      <c r="A523" t="s">
        <v>972</v>
      </c>
      <c r="B523" s="1">
        <v>45869</v>
      </c>
      <c r="C523" t="s">
        <v>101</v>
      </c>
      <c r="D523" t="s">
        <v>50</v>
      </c>
      <c r="E523" t="s">
        <v>40</v>
      </c>
      <c r="F523" t="s">
        <v>28</v>
      </c>
      <c r="G523" t="s">
        <v>29</v>
      </c>
      <c r="H523" t="s">
        <v>120</v>
      </c>
      <c r="I523" t="s">
        <v>133</v>
      </c>
      <c r="J523" t="s">
        <v>53</v>
      </c>
      <c r="K523" t="s">
        <v>104</v>
      </c>
      <c r="L523" t="s">
        <v>34</v>
      </c>
      <c r="M523" t="s">
        <v>47</v>
      </c>
      <c r="N523" t="s">
        <v>95</v>
      </c>
      <c r="O523">
        <v>90</v>
      </c>
      <c r="P523">
        <v>0</v>
      </c>
      <c r="Q523">
        <v>114.4</v>
      </c>
      <c r="R523">
        <v>2250</v>
      </c>
      <c r="S523">
        <v>0</v>
      </c>
      <c r="T523">
        <v>2250</v>
      </c>
      <c r="U523">
        <v>1</v>
      </c>
      <c r="V523">
        <v>0</v>
      </c>
      <c r="W523">
        <v>0</v>
      </c>
      <c r="X523">
        <v>0.85</v>
      </c>
    </row>
    <row r="524" spans="1:24" x14ac:dyDescent="0.3">
      <c r="A524" t="s">
        <v>973</v>
      </c>
      <c r="B524" s="1">
        <v>45903</v>
      </c>
      <c r="C524" t="s">
        <v>49</v>
      </c>
      <c r="D524" t="s">
        <v>57</v>
      </c>
      <c r="E524" t="s">
        <v>68</v>
      </c>
      <c r="F524" t="s">
        <v>41</v>
      </c>
      <c r="G524" t="s">
        <v>42</v>
      </c>
      <c r="H524" t="s">
        <v>89</v>
      </c>
      <c r="I524" t="s">
        <v>974</v>
      </c>
      <c r="J524" t="s">
        <v>62</v>
      </c>
      <c r="K524" t="s">
        <v>46</v>
      </c>
      <c r="L524" t="s">
        <v>64</v>
      </c>
      <c r="M524" t="s">
        <v>35</v>
      </c>
      <c r="N524" t="s">
        <v>36</v>
      </c>
      <c r="O524">
        <v>45</v>
      </c>
      <c r="P524">
        <v>45</v>
      </c>
      <c r="Q524">
        <v>57.6</v>
      </c>
      <c r="R524">
        <v>1000</v>
      </c>
      <c r="S524">
        <v>1000</v>
      </c>
      <c r="T524">
        <v>0</v>
      </c>
      <c r="U524">
        <v>0</v>
      </c>
      <c r="V524">
        <v>1</v>
      </c>
      <c r="W524">
        <v>0</v>
      </c>
      <c r="X524">
        <v>0.85</v>
      </c>
    </row>
    <row r="525" spans="1:24" x14ac:dyDescent="0.3">
      <c r="A525" t="s">
        <v>975</v>
      </c>
      <c r="B525" s="1">
        <v>45923</v>
      </c>
      <c r="C525" t="s">
        <v>49</v>
      </c>
      <c r="D525" t="s">
        <v>26</v>
      </c>
      <c r="E525" t="s">
        <v>83</v>
      </c>
      <c r="F525" t="s">
        <v>58</v>
      </c>
      <c r="G525" t="s">
        <v>59</v>
      </c>
      <c r="H525" t="s">
        <v>117</v>
      </c>
      <c r="I525" t="s">
        <v>976</v>
      </c>
      <c r="J525" t="s">
        <v>45</v>
      </c>
      <c r="K525" t="s">
        <v>46</v>
      </c>
      <c r="L525" t="s">
        <v>54</v>
      </c>
      <c r="M525" t="s">
        <v>94</v>
      </c>
      <c r="N525" t="s">
        <v>36</v>
      </c>
      <c r="O525">
        <v>30</v>
      </c>
      <c r="P525">
        <v>30</v>
      </c>
      <c r="Q525">
        <v>36</v>
      </c>
      <c r="R525">
        <v>750</v>
      </c>
      <c r="S525">
        <v>750</v>
      </c>
      <c r="T525">
        <v>0</v>
      </c>
      <c r="U525">
        <v>0</v>
      </c>
      <c r="V525">
        <v>1</v>
      </c>
      <c r="W525">
        <v>0</v>
      </c>
      <c r="X525">
        <v>0.85</v>
      </c>
    </row>
    <row r="526" spans="1:24" x14ac:dyDescent="0.3">
      <c r="A526" t="s">
        <v>977</v>
      </c>
      <c r="B526" s="1">
        <v>45810</v>
      </c>
      <c r="C526" t="s">
        <v>67</v>
      </c>
      <c r="D526" t="s">
        <v>39</v>
      </c>
      <c r="E526" t="s">
        <v>83</v>
      </c>
      <c r="F526" t="s">
        <v>28</v>
      </c>
      <c r="G526" t="s">
        <v>29</v>
      </c>
      <c r="H526" t="s">
        <v>120</v>
      </c>
      <c r="I526" t="s">
        <v>643</v>
      </c>
      <c r="J526" t="s">
        <v>62</v>
      </c>
      <c r="K526" t="s">
        <v>33</v>
      </c>
      <c r="L526" t="s">
        <v>34</v>
      </c>
      <c r="M526" t="s">
        <v>86</v>
      </c>
      <c r="N526" t="s">
        <v>36</v>
      </c>
      <c r="O526">
        <v>60</v>
      </c>
      <c r="P526">
        <v>60</v>
      </c>
      <c r="Q526">
        <v>70.5</v>
      </c>
      <c r="R526">
        <v>1250</v>
      </c>
      <c r="S526">
        <v>1250</v>
      </c>
      <c r="T526">
        <v>0</v>
      </c>
      <c r="U526">
        <v>0</v>
      </c>
      <c r="V526">
        <v>1</v>
      </c>
      <c r="W526">
        <v>0</v>
      </c>
      <c r="X526">
        <v>0.85</v>
      </c>
    </row>
    <row r="527" spans="1:24" x14ac:dyDescent="0.3">
      <c r="A527" t="s">
        <v>978</v>
      </c>
      <c r="B527" s="1">
        <v>45824</v>
      </c>
      <c r="C527" t="s">
        <v>67</v>
      </c>
      <c r="D527" t="s">
        <v>39</v>
      </c>
      <c r="E527" t="s">
        <v>83</v>
      </c>
      <c r="F527" t="s">
        <v>58</v>
      </c>
      <c r="G527" t="s">
        <v>59</v>
      </c>
      <c r="H527" t="s">
        <v>296</v>
      </c>
      <c r="I527" t="s">
        <v>979</v>
      </c>
      <c r="J527" t="s">
        <v>99</v>
      </c>
      <c r="K527" t="s">
        <v>104</v>
      </c>
      <c r="L527" t="s">
        <v>34</v>
      </c>
      <c r="M527" t="s">
        <v>94</v>
      </c>
      <c r="N527" t="s">
        <v>36</v>
      </c>
      <c r="O527">
        <v>90</v>
      </c>
      <c r="P527">
        <v>90</v>
      </c>
      <c r="Q527">
        <v>113.1</v>
      </c>
      <c r="R527">
        <v>2250</v>
      </c>
      <c r="S527">
        <v>2250</v>
      </c>
      <c r="T527">
        <v>0</v>
      </c>
      <c r="U527">
        <v>0</v>
      </c>
      <c r="V527">
        <v>1</v>
      </c>
      <c r="W527">
        <v>0</v>
      </c>
      <c r="X527">
        <v>0.85</v>
      </c>
    </row>
    <row r="528" spans="1:24" x14ac:dyDescent="0.3">
      <c r="A528" t="s">
        <v>980</v>
      </c>
      <c r="B528" s="1">
        <v>45675</v>
      </c>
      <c r="C528" t="s">
        <v>130</v>
      </c>
      <c r="D528" t="s">
        <v>88</v>
      </c>
      <c r="E528" t="s">
        <v>68</v>
      </c>
      <c r="F528" t="s">
        <v>58</v>
      </c>
      <c r="G528" t="s">
        <v>59</v>
      </c>
      <c r="H528" t="s">
        <v>151</v>
      </c>
      <c r="I528" t="s">
        <v>867</v>
      </c>
      <c r="J528" t="s">
        <v>45</v>
      </c>
      <c r="K528" t="s">
        <v>70</v>
      </c>
      <c r="L528" t="s">
        <v>54</v>
      </c>
      <c r="M528" t="s">
        <v>71</v>
      </c>
      <c r="N528" t="s">
        <v>36</v>
      </c>
      <c r="O528">
        <v>45</v>
      </c>
      <c r="P528">
        <v>45</v>
      </c>
      <c r="Q528">
        <v>54.6</v>
      </c>
      <c r="R528">
        <v>1100</v>
      </c>
      <c r="S528">
        <v>1100</v>
      </c>
      <c r="T528">
        <v>0</v>
      </c>
      <c r="U528">
        <v>0</v>
      </c>
      <c r="V528">
        <v>1</v>
      </c>
      <c r="W528">
        <v>0</v>
      </c>
      <c r="X528">
        <v>0.85</v>
      </c>
    </row>
    <row r="529" spans="1:24" x14ac:dyDescent="0.3">
      <c r="A529" t="s">
        <v>981</v>
      </c>
      <c r="B529" s="1">
        <v>45947</v>
      </c>
      <c r="C529" t="s">
        <v>97</v>
      </c>
      <c r="D529" t="s">
        <v>82</v>
      </c>
      <c r="E529" t="s">
        <v>83</v>
      </c>
      <c r="F529" t="s">
        <v>41</v>
      </c>
      <c r="G529" t="s">
        <v>42</v>
      </c>
      <c r="H529" t="s">
        <v>89</v>
      </c>
      <c r="I529" t="s">
        <v>982</v>
      </c>
      <c r="J529" t="s">
        <v>53</v>
      </c>
      <c r="K529" t="s">
        <v>46</v>
      </c>
      <c r="L529" t="s">
        <v>34</v>
      </c>
      <c r="M529" t="s">
        <v>65</v>
      </c>
      <c r="N529" t="s">
        <v>95</v>
      </c>
      <c r="O529">
        <v>30</v>
      </c>
      <c r="P529">
        <v>0</v>
      </c>
      <c r="Q529">
        <v>38</v>
      </c>
      <c r="R529">
        <v>800</v>
      </c>
      <c r="S529">
        <v>0</v>
      </c>
      <c r="T529">
        <v>800</v>
      </c>
      <c r="U529">
        <v>1</v>
      </c>
      <c r="V529">
        <v>0</v>
      </c>
      <c r="W529">
        <v>0</v>
      </c>
      <c r="X529">
        <v>0.85</v>
      </c>
    </row>
    <row r="530" spans="1:24" x14ac:dyDescent="0.3">
      <c r="A530" t="s">
        <v>983</v>
      </c>
      <c r="B530" s="1">
        <v>45813</v>
      </c>
      <c r="C530" t="s">
        <v>67</v>
      </c>
      <c r="D530" t="s">
        <v>50</v>
      </c>
      <c r="E530" t="s">
        <v>40</v>
      </c>
      <c r="F530" t="s">
        <v>28</v>
      </c>
      <c r="G530" t="s">
        <v>29</v>
      </c>
      <c r="H530" t="s">
        <v>135</v>
      </c>
      <c r="I530" t="s">
        <v>984</v>
      </c>
      <c r="J530" t="s">
        <v>99</v>
      </c>
      <c r="K530" t="s">
        <v>63</v>
      </c>
      <c r="L530" t="s">
        <v>34</v>
      </c>
      <c r="M530" t="s">
        <v>71</v>
      </c>
      <c r="N530" t="s">
        <v>36</v>
      </c>
      <c r="O530">
        <v>45</v>
      </c>
      <c r="P530">
        <v>45</v>
      </c>
      <c r="Q530">
        <v>57.4</v>
      </c>
      <c r="R530">
        <v>950</v>
      </c>
      <c r="S530">
        <v>950</v>
      </c>
      <c r="T530">
        <v>0</v>
      </c>
      <c r="U530">
        <v>0</v>
      </c>
      <c r="V530">
        <v>1</v>
      </c>
      <c r="W530">
        <v>0</v>
      </c>
      <c r="X530">
        <v>0.85</v>
      </c>
    </row>
    <row r="531" spans="1:24" x14ac:dyDescent="0.3">
      <c r="A531" t="s">
        <v>985</v>
      </c>
      <c r="B531" s="1">
        <v>45964</v>
      </c>
      <c r="C531" t="s">
        <v>38</v>
      </c>
      <c r="D531" t="s">
        <v>39</v>
      </c>
      <c r="E531" t="s">
        <v>83</v>
      </c>
      <c r="F531" t="s">
        <v>41</v>
      </c>
      <c r="G531" t="s">
        <v>42</v>
      </c>
      <c r="H531" t="s">
        <v>43</v>
      </c>
      <c r="I531" t="s">
        <v>986</v>
      </c>
      <c r="J531" t="s">
        <v>62</v>
      </c>
      <c r="K531" t="s">
        <v>85</v>
      </c>
      <c r="L531" t="s">
        <v>34</v>
      </c>
      <c r="M531" t="s">
        <v>65</v>
      </c>
      <c r="N531" t="s">
        <v>36</v>
      </c>
      <c r="O531">
        <v>30</v>
      </c>
      <c r="P531">
        <v>30</v>
      </c>
      <c r="Q531">
        <v>39.4</v>
      </c>
      <c r="R531">
        <v>700</v>
      </c>
      <c r="S531">
        <v>700</v>
      </c>
      <c r="T531">
        <v>0</v>
      </c>
      <c r="U531">
        <v>0</v>
      </c>
      <c r="V531">
        <v>1</v>
      </c>
      <c r="W531">
        <v>0</v>
      </c>
      <c r="X531">
        <v>0.85</v>
      </c>
    </row>
    <row r="532" spans="1:24" x14ac:dyDescent="0.3">
      <c r="A532" t="s">
        <v>987</v>
      </c>
      <c r="B532" s="1">
        <v>45838</v>
      </c>
      <c r="C532" t="s">
        <v>67</v>
      </c>
      <c r="D532" t="s">
        <v>39</v>
      </c>
      <c r="E532" t="s">
        <v>83</v>
      </c>
      <c r="F532" t="s">
        <v>58</v>
      </c>
      <c r="G532" t="s">
        <v>59</v>
      </c>
      <c r="H532" t="s">
        <v>60</v>
      </c>
      <c r="I532" t="s">
        <v>988</v>
      </c>
      <c r="J532" t="s">
        <v>137</v>
      </c>
      <c r="K532" t="s">
        <v>46</v>
      </c>
      <c r="L532" t="s">
        <v>64</v>
      </c>
      <c r="M532" t="s">
        <v>47</v>
      </c>
      <c r="N532" t="s">
        <v>36</v>
      </c>
      <c r="O532">
        <v>45</v>
      </c>
      <c r="P532">
        <v>45</v>
      </c>
      <c r="Q532">
        <v>57.9</v>
      </c>
      <c r="R532">
        <v>1100</v>
      </c>
      <c r="S532">
        <v>1100</v>
      </c>
      <c r="T532">
        <v>0</v>
      </c>
      <c r="U532">
        <v>0</v>
      </c>
      <c r="V532">
        <v>1</v>
      </c>
      <c r="W532">
        <v>0</v>
      </c>
      <c r="X532">
        <v>0.85</v>
      </c>
    </row>
    <row r="533" spans="1:24" x14ac:dyDescent="0.3">
      <c r="A533" t="s">
        <v>989</v>
      </c>
      <c r="B533" s="1">
        <v>45880</v>
      </c>
      <c r="C533" t="s">
        <v>110</v>
      </c>
      <c r="D533" t="s">
        <v>39</v>
      </c>
      <c r="E533" t="s">
        <v>40</v>
      </c>
      <c r="F533" t="s">
        <v>41</v>
      </c>
      <c r="G533" t="s">
        <v>42</v>
      </c>
      <c r="H533" t="s">
        <v>51</v>
      </c>
      <c r="I533" t="s">
        <v>990</v>
      </c>
      <c r="J533" t="s">
        <v>53</v>
      </c>
      <c r="K533" t="s">
        <v>46</v>
      </c>
      <c r="L533" t="s">
        <v>34</v>
      </c>
      <c r="M533" t="s">
        <v>65</v>
      </c>
      <c r="N533" t="s">
        <v>36</v>
      </c>
      <c r="O533">
        <v>90</v>
      </c>
      <c r="P533">
        <v>90</v>
      </c>
      <c r="Q533">
        <v>114</v>
      </c>
      <c r="R533">
        <v>2450</v>
      </c>
      <c r="S533">
        <v>2450</v>
      </c>
      <c r="T533">
        <v>0</v>
      </c>
      <c r="U533">
        <v>0</v>
      </c>
      <c r="V533">
        <v>1</v>
      </c>
      <c r="W533">
        <v>0</v>
      </c>
      <c r="X533">
        <v>0.85</v>
      </c>
    </row>
    <row r="534" spans="1:24" x14ac:dyDescent="0.3">
      <c r="A534" t="s">
        <v>991</v>
      </c>
      <c r="B534" s="1">
        <v>45789</v>
      </c>
      <c r="C534" t="s">
        <v>128</v>
      </c>
      <c r="D534" t="s">
        <v>39</v>
      </c>
      <c r="E534" t="s">
        <v>83</v>
      </c>
      <c r="F534" t="s">
        <v>41</v>
      </c>
      <c r="G534" t="s">
        <v>42</v>
      </c>
      <c r="H534" t="s">
        <v>125</v>
      </c>
      <c r="I534" t="s">
        <v>992</v>
      </c>
      <c r="J534" t="s">
        <v>45</v>
      </c>
      <c r="K534" t="s">
        <v>63</v>
      </c>
      <c r="L534" t="s">
        <v>34</v>
      </c>
      <c r="M534" t="s">
        <v>47</v>
      </c>
      <c r="N534" t="s">
        <v>36</v>
      </c>
      <c r="O534">
        <v>60</v>
      </c>
      <c r="P534">
        <v>60</v>
      </c>
      <c r="Q534">
        <v>78.7</v>
      </c>
      <c r="R534">
        <v>1550</v>
      </c>
      <c r="S534">
        <v>1550</v>
      </c>
      <c r="T534">
        <v>0</v>
      </c>
      <c r="U534">
        <v>0</v>
      </c>
      <c r="V534">
        <v>1</v>
      </c>
      <c r="W534">
        <v>0</v>
      </c>
      <c r="X534">
        <v>0.85</v>
      </c>
    </row>
    <row r="535" spans="1:24" x14ac:dyDescent="0.3">
      <c r="A535" t="s">
        <v>993</v>
      </c>
      <c r="B535" s="1">
        <v>45819</v>
      </c>
      <c r="C535" t="s">
        <v>67</v>
      </c>
      <c r="D535" t="s">
        <v>57</v>
      </c>
      <c r="E535" t="s">
        <v>27</v>
      </c>
      <c r="F535" t="s">
        <v>28</v>
      </c>
      <c r="G535" t="s">
        <v>29</v>
      </c>
      <c r="H535" t="s">
        <v>135</v>
      </c>
      <c r="I535" t="s">
        <v>994</v>
      </c>
      <c r="J535" t="s">
        <v>99</v>
      </c>
      <c r="K535" t="s">
        <v>104</v>
      </c>
      <c r="L535" t="s">
        <v>34</v>
      </c>
      <c r="M535" t="s">
        <v>47</v>
      </c>
      <c r="N535" t="s">
        <v>36</v>
      </c>
      <c r="O535">
        <v>45</v>
      </c>
      <c r="P535">
        <v>45</v>
      </c>
      <c r="Q535">
        <v>58.6</v>
      </c>
      <c r="R535">
        <v>950</v>
      </c>
      <c r="S535">
        <v>950</v>
      </c>
      <c r="T535">
        <v>0</v>
      </c>
      <c r="U535">
        <v>0</v>
      </c>
      <c r="V535">
        <v>1</v>
      </c>
      <c r="W535">
        <v>0</v>
      </c>
      <c r="X535">
        <v>0.85</v>
      </c>
    </row>
    <row r="536" spans="1:24" x14ac:dyDescent="0.3">
      <c r="A536" t="s">
        <v>995</v>
      </c>
      <c r="B536" s="1">
        <v>45901</v>
      </c>
      <c r="C536" t="s">
        <v>49</v>
      </c>
      <c r="D536" t="s">
        <v>39</v>
      </c>
      <c r="E536" t="s">
        <v>83</v>
      </c>
      <c r="F536" t="s">
        <v>58</v>
      </c>
      <c r="G536" t="s">
        <v>59</v>
      </c>
      <c r="H536" t="s">
        <v>151</v>
      </c>
      <c r="I536" t="s">
        <v>332</v>
      </c>
      <c r="J536" t="s">
        <v>53</v>
      </c>
      <c r="K536" t="s">
        <v>63</v>
      </c>
      <c r="L536" t="s">
        <v>34</v>
      </c>
      <c r="M536" t="s">
        <v>94</v>
      </c>
      <c r="N536" t="s">
        <v>36</v>
      </c>
      <c r="O536">
        <v>60</v>
      </c>
      <c r="P536">
        <v>60</v>
      </c>
      <c r="Q536">
        <v>67.7</v>
      </c>
      <c r="R536">
        <v>1800</v>
      </c>
      <c r="S536">
        <v>1800</v>
      </c>
      <c r="T536">
        <v>0</v>
      </c>
      <c r="U536">
        <v>0</v>
      </c>
      <c r="V536">
        <v>1</v>
      </c>
      <c r="W536">
        <v>0</v>
      </c>
      <c r="X536">
        <v>0.85</v>
      </c>
    </row>
    <row r="537" spans="1:24" x14ac:dyDescent="0.3">
      <c r="A537" t="s">
        <v>996</v>
      </c>
      <c r="B537" s="1">
        <v>45937</v>
      </c>
      <c r="C537" t="s">
        <v>97</v>
      </c>
      <c r="D537" t="s">
        <v>26</v>
      </c>
      <c r="E537" t="s">
        <v>40</v>
      </c>
      <c r="F537" t="s">
        <v>28</v>
      </c>
      <c r="G537" t="s">
        <v>29</v>
      </c>
      <c r="H537" t="s">
        <v>120</v>
      </c>
      <c r="I537" t="s">
        <v>302</v>
      </c>
      <c r="J537" t="s">
        <v>32</v>
      </c>
      <c r="K537" t="s">
        <v>104</v>
      </c>
      <c r="L537" t="s">
        <v>78</v>
      </c>
      <c r="M537" t="s">
        <v>35</v>
      </c>
      <c r="N537" t="s">
        <v>153</v>
      </c>
      <c r="O537">
        <v>60</v>
      </c>
      <c r="P537">
        <v>0</v>
      </c>
      <c r="Q537">
        <v>73.099999999999994</v>
      </c>
      <c r="R537">
        <v>1150</v>
      </c>
      <c r="S537">
        <v>0</v>
      </c>
      <c r="T537">
        <v>0</v>
      </c>
      <c r="U537">
        <v>0</v>
      </c>
      <c r="V537">
        <v>0</v>
      </c>
      <c r="W537">
        <v>0</v>
      </c>
      <c r="X537">
        <v>0.85</v>
      </c>
    </row>
    <row r="538" spans="1:24" x14ac:dyDescent="0.3">
      <c r="A538" t="s">
        <v>997</v>
      </c>
      <c r="B538" s="1">
        <v>46011</v>
      </c>
      <c r="C538" t="s">
        <v>25</v>
      </c>
      <c r="D538" t="s">
        <v>88</v>
      </c>
      <c r="E538" t="s">
        <v>40</v>
      </c>
      <c r="F538" t="s">
        <v>28</v>
      </c>
      <c r="G538" t="s">
        <v>29</v>
      </c>
      <c r="H538" t="s">
        <v>210</v>
      </c>
      <c r="I538" t="s">
        <v>366</v>
      </c>
      <c r="J538" t="s">
        <v>62</v>
      </c>
      <c r="K538" t="s">
        <v>104</v>
      </c>
      <c r="L538" t="s">
        <v>78</v>
      </c>
      <c r="M538" t="s">
        <v>71</v>
      </c>
      <c r="N538" t="s">
        <v>36</v>
      </c>
      <c r="O538">
        <v>60</v>
      </c>
      <c r="P538">
        <v>60</v>
      </c>
      <c r="Q538">
        <v>71.3</v>
      </c>
      <c r="R538">
        <v>1150</v>
      </c>
      <c r="S538">
        <v>1150</v>
      </c>
      <c r="T538">
        <v>0</v>
      </c>
      <c r="U538">
        <v>0</v>
      </c>
      <c r="V538">
        <v>1</v>
      </c>
      <c r="W538">
        <v>0</v>
      </c>
      <c r="X538">
        <v>0.85</v>
      </c>
    </row>
    <row r="539" spans="1:24" x14ac:dyDescent="0.3">
      <c r="A539" t="s">
        <v>998</v>
      </c>
      <c r="B539" s="1">
        <v>45789</v>
      </c>
      <c r="C539" t="s">
        <v>128</v>
      </c>
      <c r="D539" t="s">
        <v>39</v>
      </c>
      <c r="E539" t="s">
        <v>68</v>
      </c>
      <c r="F539" t="s">
        <v>41</v>
      </c>
      <c r="G539" t="s">
        <v>42</v>
      </c>
      <c r="H539" t="s">
        <v>51</v>
      </c>
      <c r="I539" t="s">
        <v>999</v>
      </c>
      <c r="J539" t="s">
        <v>62</v>
      </c>
      <c r="K539" t="s">
        <v>46</v>
      </c>
      <c r="L539" t="s">
        <v>64</v>
      </c>
      <c r="M539" t="s">
        <v>47</v>
      </c>
      <c r="N539" t="s">
        <v>36</v>
      </c>
      <c r="O539">
        <v>45</v>
      </c>
      <c r="P539">
        <v>45</v>
      </c>
      <c r="Q539">
        <v>55.7</v>
      </c>
      <c r="R539">
        <v>1000</v>
      </c>
      <c r="S539">
        <v>1000</v>
      </c>
      <c r="T539">
        <v>0</v>
      </c>
      <c r="U539">
        <v>0</v>
      </c>
      <c r="V539">
        <v>1</v>
      </c>
      <c r="W539">
        <v>0</v>
      </c>
      <c r="X539">
        <v>0.85</v>
      </c>
    </row>
    <row r="540" spans="1:24" x14ac:dyDescent="0.3">
      <c r="A540" t="s">
        <v>1000</v>
      </c>
      <c r="B540" s="1">
        <v>45677</v>
      </c>
      <c r="C540" t="s">
        <v>130</v>
      </c>
      <c r="D540" t="s">
        <v>39</v>
      </c>
      <c r="E540" t="s">
        <v>40</v>
      </c>
      <c r="F540" t="s">
        <v>28</v>
      </c>
      <c r="G540" t="s">
        <v>29</v>
      </c>
      <c r="H540" t="s">
        <v>102</v>
      </c>
      <c r="I540" t="s">
        <v>251</v>
      </c>
      <c r="J540" t="s">
        <v>53</v>
      </c>
      <c r="K540" t="s">
        <v>70</v>
      </c>
      <c r="L540" t="s">
        <v>34</v>
      </c>
      <c r="M540" t="s">
        <v>65</v>
      </c>
      <c r="N540" t="s">
        <v>36</v>
      </c>
      <c r="O540">
        <v>60</v>
      </c>
      <c r="P540">
        <v>60</v>
      </c>
      <c r="Q540">
        <v>69</v>
      </c>
      <c r="R540">
        <v>1500</v>
      </c>
      <c r="S540">
        <v>1500</v>
      </c>
      <c r="T540">
        <v>0</v>
      </c>
      <c r="U540">
        <v>0</v>
      </c>
      <c r="V540">
        <v>1</v>
      </c>
      <c r="W540">
        <v>0</v>
      </c>
      <c r="X540">
        <v>0.85</v>
      </c>
    </row>
    <row r="541" spans="1:24" x14ac:dyDescent="0.3">
      <c r="A541" t="s">
        <v>1001</v>
      </c>
      <c r="B541" s="1">
        <v>45973</v>
      </c>
      <c r="C541" t="s">
        <v>38</v>
      </c>
      <c r="D541" t="s">
        <v>57</v>
      </c>
      <c r="E541" t="s">
        <v>68</v>
      </c>
      <c r="F541" t="s">
        <v>41</v>
      </c>
      <c r="G541" t="s">
        <v>42</v>
      </c>
      <c r="H541" t="s">
        <v>43</v>
      </c>
      <c r="I541" t="s">
        <v>1002</v>
      </c>
      <c r="J541" t="s">
        <v>32</v>
      </c>
      <c r="K541" t="s">
        <v>85</v>
      </c>
      <c r="L541" t="s">
        <v>34</v>
      </c>
      <c r="M541" t="s">
        <v>71</v>
      </c>
      <c r="N541" t="s">
        <v>95</v>
      </c>
      <c r="O541">
        <v>75</v>
      </c>
      <c r="P541">
        <v>0</v>
      </c>
      <c r="Q541">
        <v>90.1</v>
      </c>
      <c r="R541">
        <v>1700</v>
      </c>
      <c r="S541">
        <v>0</v>
      </c>
      <c r="T541">
        <v>1700</v>
      </c>
      <c r="U541">
        <v>1</v>
      </c>
      <c r="V541">
        <v>0</v>
      </c>
      <c r="W541">
        <v>0</v>
      </c>
      <c r="X541">
        <v>0.85</v>
      </c>
    </row>
    <row r="542" spans="1:24" x14ac:dyDescent="0.3">
      <c r="A542" t="s">
        <v>1003</v>
      </c>
      <c r="B542" s="1">
        <v>45668</v>
      </c>
      <c r="C542" t="s">
        <v>130</v>
      </c>
      <c r="D542" t="s">
        <v>88</v>
      </c>
      <c r="E542" t="s">
        <v>68</v>
      </c>
      <c r="F542" t="s">
        <v>28</v>
      </c>
      <c r="G542" t="s">
        <v>29</v>
      </c>
      <c r="H542" t="s">
        <v>210</v>
      </c>
      <c r="I542" t="s">
        <v>906</v>
      </c>
      <c r="J542" t="s">
        <v>45</v>
      </c>
      <c r="K542" t="s">
        <v>46</v>
      </c>
      <c r="L542" t="s">
        <v>54</v>
      </c>
      <c r="M542" t="s">
        <v>86</v>
      </c>
      <c r="N542" t="s">
        <v>36</v>
      </c>
      <c r="O542">
        <v>90</v>
      </c>
      <c r="P542">
        <v>90</v>
      </c>
      <c r="Q542">
        <v>120</v>
      </c>
      <c r="R542">
        <v>1850</v>
      </c>
      <c r="S542">
        <v>1850</v>
      </c>
      <c r="T542">
        <v>0</v>
      </c>
      <c r="U542">
        <v>0</v>
      </c>
      <c r="V542">
        <v>1</v>
      </c>
      <c r="W542">
        <v>0</v>
      </c>
      <c r="X542">
        <v>0.85</v>
      </c>
    </row>
    <row r="543" spans="1:24" x14ac:dyDescent="0.3">
      <c r="A543" t="s">
        <v>1004</v>
      </c>
      <c r="B543" s="1">
        <v>45766</v>
      </c>
      <c r="C543" t="s">
        <v>92</v>
      </c>
      <c r="D543" t="s">
        <v>88</v>
      </c>
      <c r="E543" t="s">
        <v>27</v>
      </c>
      <c r="F543" t="s">
        <v>58</v>
      </c>
      <c r="G543" t="s">
        <v>59</v>
      </c>
      <c r="H543" t="s">
        <v>296</v>
      </c>
      <c r="I543" t="s">
        <v>245</v>
      </c>
      <c r="J543" t="s">
        <v>62</v>
      </c>
      <c r="K543" t="s">
        <v>70</v>
      </c>
      <c r="L543" t="s">
        <v>54</v>
      </c>
      <c r="M543" t="s">
        <v>86</v>
      </c>
      <c r="N543" t="s">
        <v>36</v>
      </c>
      <c r="O543">
        <v>60</v>
      </c>
      <c r="P543">
        <v>60</v>
      </c>
      <c r="Q543">
        <v>68.099999999999994</v>
      </c>
      <c r="R543">
        <v>1300</v>
      </c>
      <c r="S543">
        <v>1300</v>
      </c>
      <c r="T543">
        <v>0</v>
      </c>
      <c r="U543">
        <v>0</v>
      </c>
      <c r="V543">
        <v>1</v>
      </c>
      <c r="W543">
        <v>0</v>
      </c>
      <c r="X543">
        <v>0.85</v>
      </c>
    </row>
    <row r="544" spans="1:24" x14ac:dyDescent="0.3">
      <c r="A544" t="s">
        <v>1005</v>
      </c>
      <c r="B544" s="1">
        <v>45738</v>
      </c>
      <c r="C544" t="s">
        <v>56</v>
      </c>
      <c r="D544" t="s">
        <v>88</v>
      </c>
      <c r="E544" t="s">
        <v>68</v>
      </c>
      <c r="F544" t="s">
        <v>28</v>
      </c>
      <c r="G544" t="s">
        <v>29</v>
      </c>
      <c r="H544" t="s">
        <v>135</v>
      </c>
      <c r="I544" t="s">
        <v>1006</v>
      </c>
      <c r="J544" t="s">
        <v>62</v>
      </c>
      <c r="K544" t="s">
        <v>85</v>
      </c>
      <c r="L544" t="s">
        <v>34</v>
      </c>
      <c r="M544" t="s">
        <v>65</v>
      </c>
      <c r="N544" t="s">
        <v>36</v>
      </c>
      <c r="O544">
        <v>60</v>
      </c>
      <c r="P544">
        <v>60</v>
      </c>
      <c r="Q544">
        <v>78.3</v>
      </c>
      <c r="R544">
        <v>1250</v>
      </c>
      <c r="S544">
        <v>1250</v>
      </c>
      <c r="T544">
        <v>0</v>
      </c>
      <c r="U544">
        <v>0</v>
      </c>
      <c r="V544">
        <v>1</v>
      </c>
      <c r="W544">
        <v>0</v>
      </c>
      <c r="X544">
        <v>0.85</v>
      </c>
    </row>
    <row r="545" spans="1:24" x14ac:dyDescent="0.3">
      <c r="A545" t="s">
        <v>1007</v>
      </c>
      <c r="B545" s="1">
        <v>45780</v>
      </c>
      <c r="C545" t="s">
        <v>128</v>
      </c>
      <c r="D545" t="s">
        <v>88</v>
      </c>
      <c r="E545" t="s">
        <v>27</v>
      </c>
      <c r="F545" t="s">
        <v>28</v>
      </c>
      <c r="G545" t="s">
        <v>29</v>
      </c>
      <c r="H545" t="s">
        <v>120</v>
      </c>
      <c r="I545" t="s">
        <v>1008</v>
      </c>
      <c r="J545" t="s">
        <v>62</v>
      </c>
      <c r="K545" t="s">
        <v>70</v>
      </c>
      <c r="L545" t="s">
        <v>34</v>
      </c>
      <c r="M545" t="s">
        <v>71</v>
      </c>
      <c r="N545" t="s">
        <v>36</v>
      </c>
      <c r="O545">
        <v>60</v>
      </c>
      <c r="P545">
        <v>60</v>
      </c>
      <c r="Q545">
        <v>73.2</v>
      </c>
      <c r="R545">
        <v>1250</v>
      </c>
      <c r="S545">
        <v>1250</v>
      </c>
      <c r="T545">
        <v>0</v>
      </c>
      <c r="U545">
        <v>0</v>
      </c>
      <c r="V545">
        <v>1</v>
      </c>
      <c r="W545">
        <v>0</v>
      </c>
      <c r="X545">
        <v>0.85</v>
      </c>
    </row>
    <row r="546" spans="1:24" x14ac:dyDescent="0.3">
      <c r="A546" t="s">
        <v>1009</v>
      </c>
      <c r="B546" s="1">
        <v>45708</v>
      </c>
      <c r="C546" t="s">
        <v>76</v>
      </c>
      <c r="D546" t="s">
        <v>50</v>
      </c>
      <c r="E546" t="s">
        <v>40</v>
      </c>
      <c r="F546" t="s">
        <v>58</v>
      </c>
      <c r="G546" t="s">
        <v>59</v>
      </c>
      <c r="H546" t="s">
        <v>73</v>
      </c>
      <c r="I546" t="s">
        <v>1010</v>
      </c>
      <c r="J546" t="s">
        <v>62</v>
      </c>
      <c r="K546" t="s">
        <v>85</v>
      </c>
      <c r="L546" t="s">
        <v>64</v>
      </c>
      <c r="M546" t="s">
        <v>35</v>
      </c>
      <c r="N546" t="s">
        <v>95</v>
      </c>
      <c r="O546">
        <v>45</v>
      </c>
      <c r="P546">
        <v>0</v>
      </c>
      <c r="Q546">
        <v>54.2</v>
      </c>
      <c r="R546">
        <v>1100</v>
      </c>
      <c r="S546">
        <v>0</v>
      </c>
      <c r="T546">
        <v>1100</v>
      </c>
      <c r="U546">
        <v>1</v>
      </c>
      <c r="V546">
        <v>0</v>
      </c>
      <c r="W546">
        <v>0</v>
      </c>
      <c r="X546">
        <v>0.85</v>
      </c>
    </row>
    <row r="547" spans="1:24" x14ac:dyDescent="0.3">
      <c r="A547" t="s">
        <v>1011</v>
      </c>
      <c r="B547" s="1">
        <v>45743</v>
      </c>
      <c r="C547" t="s">
        <v>56</v>
      </c>
      <c r="D547" t="s">
        <v>50</v>
      </c>
      <c r="E547" t="s">
        <v>40</v>
      </c>
      <c r="F547" t="s">
        <v>28</v>
      </c>
      <c r="G547" t="s">
        <v>29</v>
      </c>
      <c r="H547" t="s">
        <v>102</v>
      </c>
      <c r="I547" t="s">
        <v>976</v>
      </c>
      <c r="J547" t="s">
        <v>99</v>
      </c>
      <c r="K547" t="s">
        <v>70</v>
      </c>
      <c r="L547" t="s">
        <v>54</v>
      </c>
      <c r="M547" t="s">
        <v>47</v>
      </c>
      <c r="N547" t="s">
        <v>36</v>
      </c>
      <c r="O547">
        <v>75</v>
      </c>
      <c r="P547">
        <v>75</v>
      </c>
      <c r="Q547">
        <v>85.4</v>
      </c>
      <c r="R547">
        <v>1350</v>
      </c>
      <c r="S547">
        <v>1350</v>
      </c>
      <c r="T547">
        <v>0</v>
      </c>
      <c r="U547">
        <v>0</v>
      </c>
      <c r="V547">
        <v>1</v>
      </c>
      <c r="W547">
        <v>0</v>
      </c>
      <c r="X547">
        <v>0.85</v>
      </c>
    </row>
    <row r="548" spans="1:24" x14ac:dyDescent="0.3">
      <c r="A548" t="s">
        <v>1012</v>
      </c>
      <c r="B548" s="1">
        <v>45688</v>
      </c>
      <c r="C548" t="s">
        <v>130</v>
      </c>
      <c r="D548" t="s">
        <v>82</v>
      </c>
      <c r="E548" t="s">
        <v>27</v>
      </c>
      <c r="F548" t="s">
        <v>58</v>
      </c>
      <c r="G548" t="s">
        <v>59</v>
      </c>
      <c r="H548" t="s">
        <v>60</v>
      </c>
      <c r="I548" t="s">
        <v>251</v>
      </c>
      <c r="J548" t="s">
        <v>62</v>
      </c>
      <c r="K548" t="s">
        <v>33</v>
      </c>
      <c r="L548" t="s">
        <v>78</v>
      </c>
      <c r="M548" t="s">
        <v>94</v>
      </c>
      <c r="N548" t="s">
        <v>36</v>
      </c>
      <c r="O548">
        <v>60</v>
      </c>
      <c r="P548">
        <v>60</v>
      </c>
      <c r="Q548">
        <v>69.8</v>
      </c>
      <c r="R548">
        <v>1400</v>
      </c>
      <c r="S548">
        <v>1400</v>
      </c>
      <c r="T548">
        <v>0</v>
      </c>
      <c r="U548">
        <v>0</v>
      </c>
      <c r="V548">
        <v>1</v>
      </c>
      <c r="W548">
        <v>0</v>
      </c>
      <c r="X548">
        <v>0.85</v>
      </c>
    </row>
    <row r="549" spans="1:24" x14ac:dyDescent="0.3">
      <c r="A549" t="s">
        <v>1013</v>
      </c>
      <c r="B549" s="1">
        <v>45685</v>
      </c>
      <c r="C549" t="s">
        <v>130</v>
      </c>
      <c r="D549" t="s">
        <v>26</v>
      </c>
      <c r="E549" t="s">
        <v>83</v>
      </c>
      <c r="F549" t="s">
        <v>41</v>
      </c>
      <c r="G549" t="s">
        <v>42</v>
      </c>
      <c r="H549" t="s">
        <v>51</v>
      </c>
      <c r="I549" t="s">
        <v>1014</v>
      </c>
      <c r="J549" t="s">
        <v>53</v>
      </c>
      <c r="K549" t="s">
        <v>70</v>
      </c>
      <c r="L549" t="s">
        <v>34</v>
      </c>
      <c r="M549" t="s">
        <v>71</v>
      </c>
      <c r="N549" t="s">
        <v>153</v>
      </c>
      <c r="O549">
        <v>75</v>
      </c>
      <c r="P549">
        <v>0</v>
      </c>
      <c r="Q549">
        <v>90.1</v>
      </c>
      <c r="R549">
        <v>2000</v>
      </c>
      <c r="S549">
        <v>0</v>
      </c>
      <c r="T549">
        <v>0</v>
      </c>
      <c r="U549">
        <v>0</v>
      </c>
      <c r="V549">
        <v>0</v>
      </c>
      <c r="W549">
        <v>0</v>
      </c>
      <c r="X549">
        <v>0.85</v>
      </c>
    </row>
    <row r="550" spans="1:24" x14ac:dyDescent="0.3">
      <c r="A550" t="s">
        <v>1015</v>
      </c>
      <c r="B550" s="1">
        <v>45771</v>
      </c>
      <c r="C550" t="s">
        <v>92</v>
      </c>
      <c r="D550" t="s">
        <v>50</v>
      </c>
      <c r="E550" t="s">
        <v>27</v>
      </c>
      <c r="F550" t="s">
        <v>58</v>
      </c>
      <c r="G550" t="s">
        <v>59</v>
      </c>
      <c r="H550" t="s">
        <v>117</v>
      </c>
      <c r="I550" t="s">
        <v>1016</v>
      </c>
      <c r="J550" t="s">
        <v>32</v>
      </c>
      <c r="K550" t="s">
        <v>85</v>
      </c>
      <c r="L550" t="s">
        <v>34</v>
      </c>
      <c r="M550" t="s">
        <v>94</v>
      </c>
      <c r="N550" t="s">
        <v>36</v>
      </c>
      <c r="O550">
        <v>60</v>
      </c>
      <c r="P550">
        <v>60</v>
      </c>
      <c r="Q550">
        <v>78.599999999999994</v>
      </c>
      <c r="R550">
        <v>1500</v>
      </c>
      <c r="S550">
        <v>1500</v>
      </c>
      <c r="T550">
        <v>0</v>
      </c>
      <c r="U550">
        <v>0</v>
      </c>
      <c r="V550">
        <v>1</v>
      </c>
      <c r="W550">
        <v>0</v>
      </c>
      <c r="X550">
        <v>0.85</v>
      </c>
    </row>
    <row r="551" spans="1:24" x14ac:dyDescent="0.3">
      <c r="A551" t="s">
        <v>1017</v>
      </c>
      <c r="B551" s="1">
        <v>45721</v>
      </c>
      <c r="C551" t="s">
        <v>56</v>
      </c>
      <c r="D551" t="s">
        <v>57</v>
      </c>
      <c r="E551" t="s">
        <v>68</v>
      </c>
      <c r="F551" t="s">
        <v>28</v>
      </c>
      <c r="G551" t="s">
        <v>29</v>
      </c>
      <c r="H551" t="s">
        <v>30</v>
      </c>
      <c r="I551" t="s">
        <v>709</v>
      </c>
      <c r="J551" t="s">
        <v>62</v>
      </c>
      <c r="K551" t="s">
        <v>46</v>
      </c>
      <c r="L551" t="s">
        <v>54</v>
      </c>
      <c r="M551" t="s">
        <v>71</v>
      </c>
      <c r="N551" t="s">
        <v>95</v>
      </c>
      <c r="O551">
        <v>45</v>
      </c>
      <c r="P551">
        <v>0</v>
      </c>
      <c r="Q551">
        <v>50.2</v>
      </c>
      <c r="R551">
        <v>800</v>
      </c>
      <c r="S551">
        <v>0</v>
      </c>
      <c r="T551">
        <v>800</v>
      </c>
      <c r="U551">
        <v>1</v>
      </c>
      <c r="V551">
        <v>0</v>
      </c>
      <c r="W551">
        <v>0</v>
      </c>
      <c r="X551">
        <v>0.85</v>
      </c>
    </row>
    <row r="552" spans="1:24" x14ac:dyDescent="0.3">
      <c r="A552" t="s">
        <v>1018</v>
      </c>
      <c r="B552" s="1">
        <v>45735</v>
      </c>
      <c r="C552" t="s">
        <v>56</v>
      </c>
      <c r="D552" t="s">
        <v>57</v>
      </c>
      <c r="E552" t="s">
        <v>68</v>
      </c>
      <c r="F552" t="s">
        <v>41</v>
      </c>
      <c r="G552" t="s">
        <v>42</v>
      </c>
      <c r="H552" t="s">
        <v>51</v>
      </c>
      <c r="I552" t="s">
        <v>409</v>
      </c>
      <c r="J552" t="s">
        <v>45</v>
      </c>
      <c r="K552" t="s">
        <v>33</v>
      </c>
      <c r="L552" t="s">
        <v>34</v>
      </c>
      <c r="M552" t="s">
        <v>65</v>
      </c>
      <c r="N552" t="s">
        <v>95</v>
      </c>
      <c r="O552">
        <v>60</v>
      </c>
      <c r="P552">
        <v>0</v>
      </c>
      <c r="Q552">
        <v>80.099999999999994</v>
      </c>
      <c r="R552">
        <v>1550</v>
      </c>
      <c r="S552">
        <v>0</v>
      </c>
      <c r="T552">
        <v>1550</v>
      </c>
      <c r="U552">
        <v>1</v>
      </c>
      <c r="V552">
        <v>0</v>
      </c>
      <c r="W552">
        <v>0</v>
      </c>
      <c r="X552">
        <v>0.85</v>
      </c>
    </row>
    <row r="553" spans="1:24" x14ac:dyDescent="0.3">
      <c r="A553" t="s">
        <v>1019</v>
      </c>
      <c r="B553" s="1">
        <v>45735</v>
      </c>
      <c r="C553" t="s">
        <v>56</v>
      </c>
      <c r="D553" t="s">
        <v>57</v>
      </c>
      <c r="E553" t="s">
        <v>40</v>
      </c>
      <c r="F553" t="s">
        <v>41</v>
      </c>
      <c r="G553" t="s">
        <v>42</v>
      </c>
      <c r="H553" t="s">
        <v>89</v>
      </c>
      <c r="I553" t="s">
        <v>1020</v>
      </c>
      <c r="J553" t="s">
        <v>99</v>
      </c>
      <c r="K553" t="s">
        <v>46</v>
      </c>
      <c r="L553" t="s">
        <v>34</v>
      </c>
      <c r="M553" t="s">
        <v>65</v>
      </c>
      <c r="N553" t="s">
        <v>95</v>
      </c>
      <c r="O553">
        <v>60</v>
      </c>
      <c r="P553">
        <v>0</v>
      </c>
      <c r="Q553">
        <v>79.900000000000006</v>
      </c>
      <c r="R553">
        <v>1350</v>
      </c>
      <c r="S553">
        <v>0</v>
      </c>
      <c r="T553">
        <v>1350</v>
      </c>
      <c r="U553">
        <v>1</v>
      </c>
      <c r="V553">
        <v>0</v>
      </c>
      <c r="W553">
        <v>0</v>
      </c>
      <c r="X553">
        <v>0.85</v>
      </c>
    </row>
    <row r="554" spans="1:24" x14ac:dyDescent="0.3">
      <c r="A554" t="s">
        <v>1021</v>
      </c>
      <c r="B554" s="1">
        <v>45978</v>
      </c>
      <c r="C554" t="s">
        <v>38</v>
      </c>
      <c r="D554" t="s">
        <v>39</v>
      </c>
      <c r="E554" t="s">
        <v>27</v>
      </c>
      <c r="F554" t="s">
        <v>58</v>
      </c>
      <c r="G554" t="s">
        <v>59</v>
      </c>
      <c r="H554" t="s">
        <v>73</v>
      </c>
      <c r="I554" t="s">
        <v>1022</v>
      </c>
      <c r="J554" t="s">
        <v>137</v>
      </c>
      <c r="K554" t="s">
        <v>70</v>
      </c>
      <c r="L554" t="s">
        <v>34</v>
      </c>
      <c r="M554" t="s">
        <v>94</v>
      </c>
      <c r="N554" t="s">
        <v>36</v>
      </c>
      <c r="O554">
        <v>75</v>
      </c>
      <c r="P554">
        <v>75</v>
      </c>
      <c r="Q554">
        <v>96.4</v>
      </c>
      <c r="R554">
        <v>1900</v>
      </c>
      <c r="S554">
        <v>1900</v>
      </c>
      <c r="T554">
        <v>0</v>
      </c>
      <c r="U554">
        <v>0</v>
      </c>
      <c r="V554">
        <v>1</v>
      </c>
      <c r="W554">
        <v>0</v>
      </c>
      <c r="X554">
        <v>0.85</v>
      </c>
    </row>
    <row r="555" spans="1:24" x14ac:dyDescent="0.3">
      <c r="A555" t="s">
        <v>1023</v>
      </c>
      <c r="B555" s="1">
        <v>45964</v>
      </c>
      <c r="C555" t="s">
        <v>38</v>
      </c>
      <c r="D555" t="s">
        <v>39</v>
      </c>
      <c r="E555" t="s">
        <v>83</v>
      </c>
      <c r="F555" t="s">
        <v>41</v>
      </c>
      <c r="G555" t="s">
        <v>42</v>
      </c>
      <c r="H555" t="s">
        <v>43</v>
      </c>
      <c r="I555" t="s">
        <v>703</v>
      </c>
      <c r="J555" t="s">
        <v>62</v>
      </c>
      <c r="K555" t="s">
        <v>63</v>
      </c>
      <c r="L555" t="s">
        <v>34</v>
      </c>
      <c r="M555" t="s">
        <v>71</v>
      </c>
      <c r="N555" t="s">
        <v>36</v>
      </c>
      <c r="O555">
        <v>60</v>
      </c>
      <c r="P555">
        <v>60</v>
      </c>
      <c r="Q555">
        <v>69.8</v>
      </c>
      <c r="R555">
        <v>1350</v>
      </c>
      <c r="S555">
        <v>1350</v>
      </c>
      <c r="T555">
        <v>0</v>
      </c>
      <c r="U555">
        <v>0</v>
      </c>
      <c r="V555">
        <v>1</v>
      </c>
      <c r="W555">
        <v>0</v>
      </c>
      <c r="X555">
        <v>0.85</v>
      </c>
    </row>
    <row r="556" spans="1:24" x14ac:dyDescent="0.3">
      <c r="A556" t="s">
        <v>1024</v>
      </c>
      <c r="B556" s="1">
        <v>45661</v>
      </c>
      <c r="C556" t="s">
        <v>130</v>
      </c>
      <c r="D556" t="s">
        <v>88</v>
      </c>
      <c r="E556" t="s">
        <v>27</v>
      </c>
      <c r="F556" t="s">
        <v>58</v>
      </c>
      <c r="G556" t="s">
        <v>59</v>
      </c>
      <c r="H556" t="s">
        <v>73</v>
      </c>
      <c r="I556" t="s">
        <v>720</v>
      </c>
      <c r="J556" t="s">
        <v>53</v>
      </c>
      <c r="K556" t="s">
        <v>63</v>
      </c>
      <c r="L556" t="s">
        <v>54</v>
      </c>
      <c r="M556" t="s">
        <v>71</v>
      </c>
      <c r="N556" t="s">
        <v>36</v>
      </c>
      <c r="O556">
        <v>60</v>
      </c>
      <c r="P556">
        <v>60</v>
      </c>
      <c r="Q556">
        <v>71.900000000000006</v>
      </c>
      <c r="R556">
        <v>1550</v>
      </c>
      <c r="S556">
        <v>1550</v>
      </c>
      <c r="T556">
        <v>0</v>
      </c>
      <c r="U556">
        <v>0</v>
      </c>
      <c r="V556">
        <v>1</v>
      </c>
      <c r="W556">
        <v>0</v>
      </c>
      <c r="X556">
        <v>0.85</v>
      </c>
    </row>
    <row r="557" spans="1:24" x14ac:dyDescent="0.3">
      <c r="A557" t="s">
        <v>1025</v>
      </c>
      <c r="B557" s="1">
        <v>45691</v>
      </c>
      <c r="C557" t="s">
        <v>76</v>
      </c>
      <c r="D557" t="s">
        <v>39</v>
      </c>
      <c r="E557" t="s">
        <v>83</v>
      </c>
      <c r="F557" t="s">
        <v>28</v>
      </c>
      <c r="G557" t="s">
        <v>29</v>
      </c>
      <c r="H557" t="s">
        <v>30</v>
      </c>
      <c r="I557" t="s">
        <v>1026</v>
      </c>
      <c r="J557" t="s">
        <v>53</v>
      </c>
      <c r="K557" t="s">
        <v>46</v>
      </c>
      <c r="L557" t="s">
        <v>34</v>
      </c>
      <c r="M557" t="s">
        <v>86</v>
      </c>
      <c r="N557" t="s">
        <v>95</v>
      </c>
      <c r="O557">
        <v>60</v>
      </c>
      <c r="P557">
        <v>0</v>
      </c>
      <c r="Q557">
        <v>74.2</v>
      </c>
      <c r="R557">
        <v>1500</v>
      </c>
      <c r="S557">
        <v>0</v>
      </c>
      <c r="T557">
        <v>1500</v>
      </c>
      <c r="U557">
        <v>1</v>
      </c>
      <c r="V557">
        <v>0</v>
      </c>
      <c r="W557">
        <v>0</v>
      </c>
      <c r="X557">
        <v>0.85</v>
      </c>
    </row>
    <row r="558" spans="1:24" x14ac:dyDescent="0.3">
      <c r="A558" t="s">
        <v>1027</v>
      </c>
      <c r="B558" s="1">
        <v>45853</v>
      </c>
      <c r="C558" t="s">
        <v>101</v>
      </c>
      <c r="D558" t="s">
        <v>26</v>
      </c>
      <c r="E558" t="s">
        <v>27</v>
      </c>
      <c r="F558" t="s">
        <v>41</v>
      </c>
      <c r="G558" t="s">
        <v>42</v>
      </c>
      <c r="H558" t="s">
        <v>111</v>
      </c>
      <c r="I558" t="s">
        <v>1028</v>
      </c>
      <c r="J558" t="s">
        <v>53</v>
      </c>
      <c r="K558" t="s">
        <v>63</v>
      </c>
      <c r="L558" t="s">
        <v>78</v>
      </c>
      <c r="M558" t="s">
        <v>65</v>
      </c>
      <c r="N558" t="s">
        <v>36</v>
      </c>
      <c r="O558">
        <v>60</v>
      </c>
      <c r="P558">
        <v>60</v>
      </c>
      <c r="Q558">
        <v>73.8</v>
      </c>
      <c r="R558">
        <v>1500</v>
      </c>
      <c r="S558">
        <v>1500</v>
      </c>
      <c r="T558">
        <v>0</v>
      </c>
      <c r="U558">
        <v>0</v>
      </c>
      <c r="V558">
        <v>1</v>
      </c>
      <c r="W558">
        <v>0</v>
      </c>
      <c r="X558">
        <v>0.85</v>
      </c>
    </row>
    <row r="559" spans="1:24" x14ac:dyDescent="0.3">
      <c r="A559" t="s">
        <v>1029</v>
      </c>
      <c r="B559" s="1">
        <v>45783</v>
      </c>
      <c r="C559" t="s">
        <v>128</v>
      </c>
      <c r="D559" t="s">
        <v>26</v>
      </c>
      <c r="E559" t="s">
        <v>83</v>
      </c>
      <c r="F559" t="s">
        <v>28</v>
      </c>
      <c r="G559" t="s">
        <v>29</v>
      </c>
      <c r="H559" t="s">
        <v>30</v>
      </c>
      <c r="I559" t="s">
        <v>1030</v>
      </c>
      <c r="J559" t="s">
        <v>137</v>
      </c>
      <c r="K559" t="s">
        <v>85</v>
      </c>
      <c r="L559" t="s">
        <v>34</v>
      </c>
      <c r="M559" t="s">
        <v>94</v>
      </c>
      <c r="N559" t="s">
        <v>95</v>
      </c>
      <c r="O559">
        <v>75</v>
      </c>
      <c r="P559">
        <v>0</v>
      </c>
      <c r="Q559">
        <v>96</v>
      </c>
      <c r="R559">
        <v>1550</v>
      </c>
      <c r="S559">
        <v>0</v>
      </c>
      <c r="T559">
        <v>1550</v>
      </c>
      <c r="U559">
        <v>1</v>
      </c>
      <c r="V559">
        <v>0</v>
      </c>
      <c r="W559">
        <v>0</v>
      </c>
      <c r="X559">
        <v>0.85</v>
      </c>
    </row>
    <row r="560" spans="1:24" x14ac:dyDescent="0.3">
      <c r="A560" t="s">
        <v>1031</v>
      </c>
      <c r="B560" s="1">
        <v>45791</v>
      </c>
      <c r="C560" t="s">
        <v>128</v>
      </c>
      <c r="D560" t="s">
        <v>57</v>
      </c>
      <c r="E560" t="s">
        <v>83</v>
      </c>
      <c r="F560" t="s">
        <v>41</v>
      </c>
      <c r="G560" t="s">
        <v>42</v>
      </c>
      <c r="H560" t="s">
        <v>89</v>
      </c>
      <c r="I560" t="s">
        <v>580</v>
      </c>
      <c r="J560" t="s">
        <v>62</v>
      </c>
      <c r="K560" t="s">
        <v>63</v>
      </c>
      <c r="L560" t="s">
        <v>78</v>
      </c>
      <c r="M560" t="s">
        <v>65</v>
      </c>
      <c r="N560" t="s">
        <v>36</v>
      </c>
      <c r="O560">
        <v>45</v>
      </c>
      <c r="P560">
        <v>45</v>
      </c>
      <c r="Q560">
        <v>55.7</v>
      </c>
      <c r="R560">
        <v>950</v>
      </c>
      <c r="S560">
        <v>950</v>
      </c>
      <c r="T560">
        <v>0</v>
      </c>
      <c r="U560">
        <v>0</v>
      </c>
      <c r="V560">
        <v>1</v>
      </c>
      <c r="W560">
        <v>0</v>
      </c>
      <c r="X560">
        <v>0.85</v>
      </c>
    </row>
    <row r="561" spans="1:24" x14ac:dyDescent="0.3">
      <c r="A561" t="s">
        <v>1032</v>
      </c>
      <c r="B561" s="1">
        <v>45811</v>
      </c>
      <c r="C561" t="s">
        <v>67</v>
      </c>
      <c r="D561" t="s">
        <v>26</v>
      </c>
      <c r="E561" t="s">
        <v>27</v>
      </c>
      <c r="F561" t="s">
        <v>28</v>
      </c>
      <c r="G561" t="s">
        <v>29</v>
      </c>
      <c r="H561" t="s">
        <v>135</v>
      </c>
      <c r="I561" t="s">
        <v>1014</v>
      </c>
      <c r="J561" t="s">
        <v>62</v>
      </c>
      <c r="K561" t="s">
        <v>63</v>
      </c>
      <c r="L561" t="s">
        <v>34</v>
      </c>
      <c r="M561" t="s">
        <v>47</v>
      </c>
      <c r="N561" t="s">
        <v>36</v>
      </c>
      <c r="O561">
        <v>45</v>
      </c>
      <c r="P561">
        <v>45</v>
      </c>
      <c r="Q561">
        <v>54</v>
      </c>
      <c r="R561">
        <v>950</v>
      </c>
      <c r="S561">
        <v>950</v>
      </c>
      <c r="T561">
        <v>0</v>
      </c>
      <c r="U561">
        <v>0</v>
      </c>
      <c r="V561">
        <v>1</v>
      </c>
      <c r="W561">
        <v>0</v>
      </c>
      <c r="X561">
        <v>0.85</v>
      </c>
    </row>
    <row r="562" spans="1:24" x14ac:dyDescent="0.3">
      <c r="A562" t="s">
        <v>1033</v>
      </c>
      <c r="B562" s="1">
        <v>45740</v>
      </c>
      <c r="C562" t="s">
        <v>56</v>
      </c>
      <c r="D562" t="s">
        <v>39</v>
      </c>
      <c r="E562" t="s">
        <v>83</v>
      </c>
      <c r="F562" t="s">
        <v>28</v>
      </c>
      <c r="G562" t="s">
        <v>29</v>
      </c>
      <c r="H562" t="s">
        <v>102</v>
      </c>
      <c r="I562" t="s">
        <v>1034</v>
      </c>
      <c r="J562" t="s">
        <v>53</v>
      </c>
      <c r="K562" t="s">
        <v>33</v>
      </c>
      <c r="L562" t="s">
        <v>64</v>
      </c>
      <c r="M562" t="s">
        <v>86</v>
      </c>
      <c r="N562" t="s">
        <v>36</v>
      </c>
      <c r="O562">
        <v>90</v>
      </c>
      <c r="P562">
        <v>90</v>
      </c>
      <c r="Q562">
        <v>115.4</v>
      </c>
      <c r="R562">
        <v>2250</v>
      </c>
      <c r="S562">
        <v>2250</v>
      </c>
      <c r="T562">
        <v>0</v>
      </c>
      <c r="U562">
        <v>0</v>
      </c>
      <c r="V562">
        <v>1</v>
      </c>
      <c r="W562">
        <v>0</v>
      </c>
      <c r="X562">
        <v>0.85</v>
      </c>
    </row>
    <row r="563" spans="1:24" x14ac:dyDescent="0.3">
      <c r="A563" t="s">
        <v>1035</v>
      </c>
      <c r="B563" s="1">
        <v>45745</v>
      </c>
      <c r="C563" t="s">
        <v>56</v>
      </c>
      <c r="D563" t="s">
        <v>88</v>
      </c>
      <c r="E563" t="s">
        <v>40</v>
      </c>
      <c r="F563" t="s">
        <v>58</v>
      </c>
      <c r="G563" t="s">
        <v>59</v>
      </c>
      <c r="H563" t="s">
        <v>151</v>
      </c>
      <c r="I563" t="s">
        <v>1036</v>
      </c>
      <c r="J563" t="s">
        <v>62</v>
      </c>
      <c r="K563" t="s">
        <v>46</v>
      </c>
      <c r="L563" t="s">
        <v>34</v>
      </c>
      <c r="M563" t="s">
        <v>86</v>
      </c>
      <c r="N563" t="s">
        <v>36</v>
      </c>
      <c r="O563">
        <v>30</v>
      </c>
      <c r="P563">
        <v>30</v>
      </c>
      <c r="Q563">
        <v>37.4</v>
      </c>
      <c r="R563">
        <v>750</v>
      </c>
      <c r="S563">
        <v>750</v>
      </c>
      <c r="T563">
        <v>0</v>
      </c>
      <c r="U563">
        <v>0</v>
      </c>
      <c r="V563">
        <v>1</v>
      </c>
      <c r="W563">
        <v>0</v>
      </c>
      <c r="X563">
        <v>0.85</v>
      </c>
    </row>
    <row r="564" spans="1:24" x14ac:dyDescent="0.3">
      <c r="A564" t="s">
        <v>1037</v>
      </c>
      <c r="B564" s="1">
        <v>45678</v>
      </c>
      <c r="C564" t="s">
        <v>130</v>
      </c>
      <c r="D564" t="s">
        <v>26</v>
      </c>
      <c r="E564" t="s">
        <v>83</v>
      </c>
      <c r="F564" t="s">
        <v>58</v>
      </c>
      <c r="G564" t="s">
        <v>59</v>
      </c>
      <c r="H564" t="s">
        <v>151</v>
      </c>
      <c r="I564" t="s">
        <v>1038</v>
      </c>
      <c r="J564" t="s">
        <v>45</v>
      </c>
      <c r="K564" t="s">
        <v>63</v>
      </c>
      <c r="L564" t="s">
        <v>34</v>
      </c>
      <c r="M564" t="s">
        <v>94</v>
      </c>
      <c r="N564" t="s">
        <v>36</v>
      </c>
      <c r="O564">
        <v>75</v>
      </c>
      <c r="P564">
        <v>75</v>
      </c>
      <c r="Q564">
        <v>94.6</v>
      </c>
      <c r="R564">
        <v>2150</v>
      </c>
      <c r="S564">
        <v>2150</v>
      </c>
      <c r="T564">
        <v>0</v>
      </c>
      <c r="U564">
        <v>0</v>
      </c>
      <c r="V564">
        <v>1</v>
      </c>
      <c r="W564">
        <v>0</v>
      </c>
      <c r="X564">
        <v>0.85</v>
      </c>
    </row>
    <row r="565" spans="1:24" x14ac:dyDescent="0.3">
      <c r="A565" t="s">
        <v>1039</v>
      </c>
      <c r="B565" s="1">
        <v>45987</v>
      </c>
      <c r="C565" t="s">
        <v>38</v>
      </c>
      <c r="D565" t="s">
        <v>57</v>
      </c>
      <c r="E565" t="s">
        <v>83</v>
      </c>
      <c r="F565" t="s">
        <v>58</v>
      </c>
      <c r="G565" t="s">
        <v>59</v>
      </c>
      <c r="H565" t="s">
        <v>151</v>
      </c>
      <c r="I565" t="s">
        <v>551</v>
      </c>
      <c r="J565" t="s">
        <v>32</v>
      </c>
      <c r="K565" t="s">
        <v>63</v>
      </c>
      <c r="L565" t="s">
        <v>54</v>
      </c>
      <c r="M565" t="s">
        <v>35</v>
      </c>
      <c r="N565" t="s">
        <v>36</v>
      </c>
      <c r="O565">
        <v>45</v>
      </c>
      <c r="P565">
        <v>45</v>
      </c>
      <c r="Q565">
        <v>57.6</v>
      </c>
      <c r="R565">
        <v>950</v>
      </c>
      <c r="S565">
        <v>950</v>
      </c>
      <c r="T565">
        <v>0</v>
      </c>
      <c r="U565">
        <v>0</v>
      </c>
      <c r="V565">
        <v>1</v>
      </c>
      <c r="W565">
        <v>0</v>
      </c>
      <c r="X565">
        <v>0.85</v>
      </c>
    </row>
    <row r="566" spans="1:24" x14ac:dyDescent="0.3">
      <c r="A566" t="s">
        <v>1040</v>
      </c>
      <c r="B566" s="1">
        <v>45824</v>
      </c>
      <c r="C566" t="s">
        <v>67</v>
      </c>
      <c r="D566" t="s">
        <v>39</v>
      </c>
      <c r="E566" t="s">
        <v>27</v>
      </c>
      <c r="F566" t="s">
        <v>41</v>
      </c>
      <c r="G566" t="s">
        <v>42</v>
      </c>
      <c r="H566" t="s">
        <v>111</v>
      </c>
      <c r="I566" t="s">
        <v>265</v>
      </c>
      <c r="J566" t="s">
        <v>99</v>
      </c>
      <c r="K566" t="s">
        <v>63</v>
      </c>
      <c r="L566" t="s">
        <v>78</v>
      </c>
      <c r="M566" t="s">
        <v>47</v>
      </c>
      <c r="N566" t="s">
        <v>36</v>
      </c>
      <c r="O566">
        <v>60</v>
      </c>
      <c r="P566">
        <v>60</v>
      </c>
      <c r="Q566">
        <v>78.5</v>
      </c>
      <c r="R566">
        <v>1250</v>
      </c>
      <c r="S566">
        <v>1250</v>
      </c>
      <c r="T566">
        <v>0</v>
      </c>
      <c r="U566">
        <v>0</v>
      </c>
      <c r="V566">
        <v>1</v>
      </c>
      <c r="W566">
        <v>0</v>
      </c>
      <c r="X566">
        <v>0.85</v>
      </c>
    </row>
    <row r="567" spans="1:24" x14ac:dyDescent="0.3">
      <c r="A567" t="s">
        <v>1041</v>
      </c>
      <c r="B567" s="1">
        <v>46008</v>
      </c>
      <c r="C567" t="s">
        <v>25</v>
      </c>
      <c r="D567" t="s">
        <v>57</v>
      </c>
      <c r="E567" t="s">
        <v>40</v>
      </c>
      <c r="F567" t="s">
        <v>28</v>
      </c>
      <c r="G567" t="s">
        <v>29</v>
      </c>
      <c r="H567" t="s">
        <v>135</v>
      </c>
      <c r="I567" t="s">
        <v>356</v>
      </c>
      <c r="J567" t="s">
        <v>99</v>
      </c>
      <c r="K567" t="s">
        <v>85</v>
      </c>
      <c r="L567" t="s">
        <v>34</v>
      </c>
      <c r="M567" t="s">
        <v>47</v>
      </c>
      <c r="N567" t="s">
        <v>36</v>
      </c>
      <c r="O567">
        <v>45</v>
      </c>
      <c r="P567">
        <v>45</v>
      </c>
      <c r="Q567">
        <v>56.1</v>
      </c>
      <c r="R567">
        <v>950</v>
      </c>
      <c r="S567">
        <v>950</v>
      </c>
      <c r="T567">
        <v>0</v>
      </c>
      <c r="U567">
        <v>0</v>
      </c>
      <c r="V567">
        <v>1</v>
      </c>
      <c r="W567">
        <v>0</v>
      </c>
      <c r="X567">
        <v>0.85</v>
      </c>
    </row>
    <row r="568" spans="1:24" x14ac:dyDescent="0.3">
      <c r="A568" t="s">
        <v>1042</v>
      </c>
      <c r="B568" s="1">
        <v>45814</v>
      </c>
      <c r="C568" t="s">
        <v>67</v>
      </c>
      <c r="D568" t="s">
        <v>82</v>
      </c>
      <c r="E568" t="s">
        <v>83</v>
      </c>
      <c r="F568" t="s">
        <v>28</v>
      </c>
      <c r="G568" t="s">
        <v>29</v>
      </c>
      <c r="H568" t="s">
        <v>210</v>
      </c>
      <c r="I568" t="s">
        <v>1043</v>
      </c>
      <c r="J568" t="s">
        <v>32</v>
      </c>
      <c r="K568" t="s">
        <v>33</v>
      </c>
      <c r="L568" t="s">
        <v>64</v>
      </c>
      <c r="M568" t="s">
        <v>47</v>
      </c>
      <c r="N568" t="s">
        <v>36</v>
      </c>
      <c r="O568">
        <v>45</v>
      </c>
      <c r="P568">
        <v>45</v>
      </c>
      <c r="Q568">
        <v>51.9</v>
      </c>
      <c r="R568">
        <v>950</v>
      </c>
      <c r="S568">
        <v>950</v>
      </c>
      <c r="T568">
        <v>0</v>
      </c>
      <c r="U568">
        <v>0</v>
      </c>
      <c r="V568">
        <v>1</v>
      </c>
      <c r="W568">
        <v>0</v>
      </c>
      <c r="X568">
        <v>0.85</v>
      </c>
    </row>
    <row r="569" spans="1:24" x14ac:dyDescent="0.3">
      <c r="A569" t="s">
        <v>1044</v>
      </c>
      <c r="B569" s="1">
        <v>45964</v>
      </c>
      <c r="C569" t="s">
        <v>38</v>
      </c>
      <c r="D569" t="s">
        <v>39</v>
      </c>
      <c r="E569" t="s">
        <v>40</v>
      </c>
      <c r="F569" t="s">
        <v>58</v>
      </c>
      <c r="G569" t="s">
        <v>59</v>
      </c>
      <c r="H569" t="s">
        <v>117</v>
      </c>
      <c r="I569" t="s">
        <v>155</v>
      </c>
      <c r="J569" t="s">
        <v>53</v>
      </c>
      <c r="K569" t="s">
        <v>104</v>
      </c>
      <c r="L569" t="s">
        <v>64</v>
      </c>
      <c r="M569" t="s">
        <v>35</v>
      </c>
      <c r="N569" t="s">
        <v>36</v>
      </c>
      <c r="O569">
        <v>45</v>
      </c>
      <c r="P569">
        <v>45</v>
      </c>
      <c r="Q569">
        <v>55.9</v>
      </c>
      <c r="R569">
        <v>1350</v>
      </c>
      <c r="S569">
        <v>1350</v>
      </c>
      <c r="T569">
        <v>0</v>
      </c>
      <c r="U569">
        <v>0</v>
      </c>
      <c r="V569">
        <v>1</v>
      </c>
      <c r="W569">
        <v>0</v>
      </c>
      <c r="X569">
        <v>0.85</v>
      </c>
    </row>
    <row r="570" spans="1:24" x14ac:dyDescent="0.3">
      <c r="A570" t="s">
        <v>1045</v>
      </c>
      <c r="B570" s="1">
        <v>45665</v>
      </c>
      <c r="C570" t="s">
        <v>130</v>
      </c>
      <c r="D570" t="s">
        <v>57</v>
      </c>
      <c r="E570" t="s">
        <v>27</v>
      </c>
      <c r="F570" t="s">
        <v>41</v>
      </c>
      <c r="G570" t="s">
        <v>42</v>
      </c>
      <c r="H570" t="s">
        <v>89</v>
      </c>
      <c r="I570" t="s">
        <v>1046</v>
      </c>
      <c r="J570" t="s">
        <v>137</v>
      </c>
      <c r="K570" t="s">
        <v>33</v>
      </c>
      <c r="L570" t="s">
        <v>34</v>
      </c>
      <c r="M570" t="s">
        <v>86</v>
      </c>
      <c r="N570" t="s">
        <v>36</v>
      </c>
      <c r="O570">
        <v>45</v>
      </c>
      <c r="P570">
        <v>45</v>
      </c>
      <c r="Q570">
        <v>54</v>
      </c>
      <c r="R570">
        <v>1000</v>
      </c>
      <c r="S570">
        <v>1000</v>
      </c>
      <c r="T570">
        <v>0</v>
      </c>
      <c r="U570">
        <v>0</v>
      </c>
      <c r="V570">
        <v>1</v>
      </c>
      <c r="W570">
        <v>0</v>
      </c>
      <c r="X570">
        <v>0.85</v>
      </c>
    </row>
    <row r="571" spans="1:24" x14ac:dyDescent="0.3">
      <c r="A571" t="s">
        <v>1047</v>
      </c>
      <c r="B571" s="1">
        <v>45941</v>
      </c>
      <c r="C571" t="s">
        <v>97</v>
      </c>
      <c r="D571" t="s">
        <v>88</v>
      </c>
      <c r="E571" t="s">
        <v>68</v>
      </c>
      <c r="F571" t="s">
        <v>28</v>
      </c>
      <c r="G571" t="s">
        <v>29</v>
      </c>
      <c r="H571" t="s">
        <v>30</v>
      </c>
      <c r="I571" t="s">
        <v>1048</v>
      </c>
      <c r="J571" t="s">
        <v>99</v>
      </c>
      <c r="K571" t="s">
        <v>85</v>
      </c>
      <c r="L571" t="s">
        <v>78</v>
      </c>
      <c r="M571" t="s">
        <v>47</v>
      </c>
      <c r="N571" t="s">
        <v>36</v>
      </c>
      <c r="O571">
        <v>60</v>
      </c>
      <c r="P571">
        <v>60</v>
      </c>
      <c r="Q571">
        <v>67.8</v>
      </c>
      <c r="R571">
        <v>1150</v>
      </c>
      <c r="S571">
        <v>1150</v>
      </c>
      <c r="T571">
        <v>0</v>
      </c>
      <c r="U571">
        <v>0</v>
      </c>
      <c r="V571">
        <v>1</v>
      </c>
      <c r="W571">
        <v>0</v>
      </c>
      <c r="X571">
        <v>0.85</v>
      </c>
    </row>
    <row r="572" spans="1:24" x14ac:dyDescent="0.3">
      <c r="A572" t="s">
        <v>1049</v>
      </c>
      <c r="B572" s="1">
        <v>46016</v>
      </c>
      <c r="C572" t="s">
        <v>25</v>
      </c>
      <c r="D572" t="s">
        <v>50</v>
      </c>
      <c r="E572" t="s">
        <v>68</v>
      </c>
      <c r="F572" t="s">
        <v>28</v>
      </c>
      <c r="G572" t="s">
        <v>29</v>
      </c>
      <c r="H572" t="s">
        <v>135</v>
      </c>
      <c r="I572" t="s">
        <v>650</v>
      </c>
      <c r="J572" t="s">
        <v>53</v>
      </c>
      <c r="K572" t="s">
        <v>46</v>
      </c>
      <c r="L572" t="s">
        <v>64</v>
      </c>
      <c r="M572" t="s">
        <v>94</v>
      </c>
      <c r="N572" t="s">
        <v>36</v>
      </c>
      <c r="O572">
        <v>30</v>
      </c>
      <c r="P572">
        <v>30</v>
      </c>
      <c r="Q572">
        <v>33.5</v>
      </c>
      <c r="R572">
        <v>750</v>
      </c>
      <c r="S572">
        <v>750</v>
      </c>
      <c r="T572">
        <v>0</v>
      </c>
      <c r="U572">
        <v>0</v>
      </c>
      <c r="V572">
        <v>1</v>
      </c>
      <c r="W572">
        <v>0</v>
      </c>
      <c r="X572">
        <v>0.85</v>
      </c>
    </row>
    <row r="573" spans="1:24" x14ac:dyDescent="0.3">
      <c r="A573" t="s">
        <v>1050</v>
      </c>
      <c r="B573" s="1">
        <v>45708</v>
      </c>
      <c r="C573" t="s">
        <v>76</v>
      </c>
      <c r="D573" t="s">
        <v>50</v>
      </c>
      <c r="E573" t="s">
        <v>68</v>
      </c>
      <c r="F573" t="s">
        <v>58</v>
      </c>
      <c r="G573" t="s">
        <v>59</v>
      </c>
      <c r="H573" t="s">
        <v>296</v>
      </c>
      <c r="I573" t="s">
        <v>238</v>
      </c>
      <c r="J573" t="s">
        <v>99</v>
      </c>
      <c r="K573" t="s">
        <v>46</v>
      </c>
      <c r="L573" t="s">
        <v>34</v>
      </c>
      <c r="M573" t="s">
        <v>47</v>
      </c>
      <c r="N573" t="s">
        <v>36</v>
      </c>
      <c r="O573">
        <v>30</v>
      </c>
      <c r="P573">
        <v>30</v>
      </c>
      <c r="Q573">
        <v>39.299999999999997</v>
      </c>
      <c r="R573">
        <v>750</v>
      </c>
      <c r="S573">
        <v>750</v>
      </c>
      <c r="T573">
        <v>0</v>
      </c>
      <c r="U573">
        <v>0</v>
      </c>
      <c r="V573">
        <v>1</v>
      </c>
      <c r="W573">
        <v>0</v>
      </c>
      <c r="X573">
        <v>0.85</v>
      </c>
    </row>
    <row r="574" spans="1:24" x14ac:dyDescent="0.3">
      <c r="A574" t="s">
        <v>1051</v>
      </c>
      <c r="B574" s="1">
        <v>45952</v>
      </c>
      <c r="C574" t="s">
        <v>97</v>
      </c>
      <c r="D574" t="s">
        <v>57</v>
      </c>
      <c r="E574" t="s">
        <v>68</v>
      </c>
      <c r="F574" t="s">
        <v>58</v>
      </c>
      <c r="G574" t="s">
        <v>59</v>
      </c>
      <c r="H574" t="s">
        <v>151</v>
      </c>
      <c r="I574" t="s">
        <v>1052</v>
      </c>
      <c r="J574" t="s">
        <v>99</v>
      </c>
      <c r="K574" t="s">
        <v>104</v>
      </c>
      <c r="L574" t="s">
        <v>34</v>
      </c>
      <c r="M574" t="s">
        <v>47</v>
      </c>
      <c r="N574" t="s">
        <v>36</v>
      </c>
      <c r="O574">
        <v>30</v>
      </c>
      <c r="P574">
        <v>30</v>
      </c>
      <c r="Q574">
        <v>37.6</v>
      </c>
      <c r="R574">
        <v>750</v>
      </c>
      <c r="S574">
        <v>750</v>
      </c>
      <c r="T574">
        <v>0</v>
      </c>
      <c r="U574">
        <v>0</v>
      </c>
      <c r="V574">
        <v>1</v>
      </c>
      <c r="W574">
        <v>0</v>
      </c>
      <c r="X574">
        <v>0.85</v>
      </c>
    </row>
    <row r="575" spans="1:24" x14ac:dyDescent="0.3">
      <c r="A575" t="s">
        <v>1053</v>
      </c>
      <c r="B575" s="1">
        <v>45695</v>
      </c>
      <c r="C575" t="s">
        <v>76</v>
      </c>
      <c r="D575" t="s">
        <v>82</v>
      </c>
      <c r="E575" t="s">
        <v>83</v>
      </c>
      <c r="F575" t="s">
        <v>58</v>
      </c>
      <c r="G575" t="s">
        <v>59</v>
      </c>
      <c r="H575" t="s">
        <v>117</v>
      </c>
      <c r="I575" t="s">
        <v>1054</v>
      </c>
      <c r="J575" t="s">
        <v>62</v>
      </c>
      <c r="K575" t="s">
        <v>85</v>
      </c>
      <c r="L575" t="s">
        <v>34</v>
      </c>
      <c r="M575" t="s">
        <v>94</v>
      </c>
      <c r="N575" t="s">
        <v>36</v>
      </c>
      <c r="O575">
        <v>60</v>
      </c>
      <c r="P575">
        <v>60</v>
      </c>
      <c r="Q575">
        <v>69.900000000000006</v>
      </c>
      <c r="R575">
        <v>1500</v>
      </c>
      <c r="S575">
        <v>1500</v>
      </c>
      <c r="T575">
        <v>0</v>
      </c>
      <c r="U575">
        <v>0</v>
      </c>
      <c r="V575">
        <v>1</v>
      </c>
      <c r="W575">
        <v>0</v>
      </c>
      <c r="X575">
        <v>0.85</v>
      </c>
    </row>
    <row r="576" spans="1:24" x14ac:dyDescent="0.3">
      <c r="A576" t="s">
        <v>1055</v>
      </c>
      <c r="B576" s="1">
        <v>45660</v>
      </c>
      <c r="C576" t="s">
        <v>130</v>
      </c>
      <c r="D576" t="s">
        <v>82</v>
      </c>
      <c r="E576" t="s">
        <v>27</v>
      </c>
      <c r="F576" t="s">
        <v>41</v>
      </c>
      <c r="G576" t="s">
        <v>42</v>
      </c>
      <c r="H576" t="s">
        <v>43</v>
      </c>
      <c r="I576" t="s">
        <v>1056</v>
      </c>
      <c r="J576" t="s">
        <v>137</v>
      </c>
      <c r="K576" t="s">
        <v>85</v>
      </c>
      <c r="L576" t="s">
        <v>64</v>
      </c>
      <c r="M576" t="s">
        <v>94</v>
      </c>
      <c r="N576" t="s">
        <v>36</v>
      </c>
      <c r="O576">
        <v>45</v>
      </c>
      <c r="P576">
        <v>45</v>
      </c>
      <c r="Q576">
        <v>53.1</v>
      </c>
      <c r="R576">
        <v>1000</v>
      </c>
      <c r="S576">
        <v>1000</v>
      </c>
      <c r="T576">
        <v>0</v>
      </c>
      <c r="U576">
        <v>0</v>
      </c>
      <c r="V576">
        <v>1</v>
      </c>
      <c r="W576">
        <v>0</v>
      </c>
      <c r="X576">
        <v>0.85</v>
      </c>
    </row>
    <row r="577" spans="1:24" x14ac:dyDescent="0.3">
      <c r="A577" t="s">
        <v>1057</v>
      </c>
      <c r="B577" s="1">
        <v>45822</v>
      </c>
      <c r="C577" t="s">
        <v>67</v>
      </c>
      <c r="D577" t="s">
        <v>88</v>
      </c>
      <c r="E577" t="s">
        <v>27</v>
      </c>
      <c r="F577" t="s">
        <v>28</v>
      </c>
      <c r="G577" t="s">
        <v>29</v>
      </c>
      <c r="H577" t="s">
        <v>30</v>
      </c>
      <c r="I577" t="s">
        <v>974</v>
      </c>
      <c r="J577" t="s">
        <v>32</v>
      </c>
      <c r="K577" t="s">
        <v>33</v>
      </c>
      <c r="L577" t="s">
        <v>64</v>
      </c>
      <c r="M577" t="s">
        <v>71</v>
      </c>
      <c r="N577" t="s">
        <v>95</v>
      </c>
      <c r="O577">
        <v>45</v>
      </c>
      <c r="P577">
        <v>0</v>
      </c>
      <c r="Q577">
        <v>51</v>
      </c>
      <c r="R577">
        <v>950</v>
      </c>
      <c r="S577">
        <v>0</v>
      </c>
      <c r="T577">
        <v>950</v>
      </c>
      <c r="U577">
        <v>1</v>
      </c>
      <c r="V577">
        <v>0</v>
      </c>
      <c r="W577">
        <v>0</v>
      </c>
      <c r="X577">
        <v>0.85</v>
      </c>
    </row>
    <row r="578" spans="1:24" x14ac:dyDescent="0.3">
      <c r="A578" t="s">
        <v>1058</v>
      </c>
      <c r="B578" s="1">
        <v>45892</v>
      </c>
      <c r="C578" t="s">
        <v>110</v>
      </c>
      <c r="D578" t="s">
        <v>88</v>
      </c>
      <c r="E578" t="s">
        <v>27</v>
      </c>
      <c r="F578" t="s">
        <v>28</v>
      </c>
      <c r="G578" t="s">
        <v>29</v>
      </c>
      <c r="H578" t="s">
        <v>210</v>
      </c>
      <c r="I578" t="s">
        <v>1059</v>
      </c>
      <c r="J578" t="s">
        <v>45</v>
      </c>
      <c r="K578" t="s">
        <v>63</v>
      </c>
      <c r="L578" t="s">
        <v>34</v>
      </c>
      <c r="M578" t="s">
        <v>65</v>
      </c>
      <c r="N578" t="s">
        <v>95</v>
      </c>
      <c r="O578">
        <v>75</v>
      </c>
      <c r="P578">
        <v>0</v>
      </c>
      <c r="Q578">
        <v>82.2</v>
      </c>
      <c r="R578">
        <v>1800</v>
      </c>
      <c r="S578">
        <v>0</v>
      </c>
      <c r="T578">
        <v>1800</v>
      </c>
      <c r="U578">
        <v>1</v>
      </c>
      <c r="V578">
        <v>0</v>
      </c>
      <c r="W578">
        <v>0</v>
      </c>
      <c r="X578">
        <v>0.85</v>
      </c>
    </row>
    <row r="579" spans="1:24" x14ac:dyDescent="0.3">
      <c r="A579" t="s">
        <v>1060</v>
      </c>
      <c r="B579" s="1">
        <v>45737</v>
      </c>
      <c r="C579" t="s">
        <v>56</v>
      </c>
      <c r="D579" t="s">
        <v>82</v>
      </c>
      <c r="E579" t="s">
        <v>27</v>
      </c>
      <c r="F579" t="s">
        <v>28</v>
      </c>
      <c r="G579" t="s">
        <v>29</v>
      </c>
      <c r="H579" t="s">
        <v>102</v>
      </c>
      <c r="I579" t="s">
        <v>206</v>
      </c>
      <c r="J579" t="s">
        <v>62</v>
      </c>
      <c r="K579" t="s">
        <v>104</v>
      </c>
      <c r="L579" t="s">
        <v>54</v>
      </c>
      <c r="M579" t="s">
        <v>65</v>
      </c>
      <c r="N579" t="s">
        <v>36</v>
      </c>
      <c r="O579">
        <v>45</v>
      </c>
      <c r="P579">
        <v>45</v>
      </c>
      <c r="Q579">
        <v>54.3</v>
      </c>
      <c r="R579">
        <v>800</v>
      </c>
      <c r="S579">
        <v>800</v>
      </c>
      <c r="T579">
        <v>0</v>
      </c>
      <c r="U579">
        <v>0</v>
      </c>
      <c r="V579">
        <v>1</v>
      </c>
      <c r="W579">
        <v>0</v>
      </c>
      <c r="X579">
        <v>0.85</v>
      </c>
    </row>
    <row r="580" spans="1:24" x14ac:dyDescent="0.3">
      <c r="A580" t="s">
        <v>1061</v>
      </c>
      <c r="B580" s="1">
        <v>45684</v>
      </c>
      <c r="C580" t="s">
        <v>130</v>
      </c>
      <c r="D580" t="s">
        <v>39</v>
      </c>
      <c r="E580" t="s">
        <v>68</v>
      </c>
      <c r="F580" t="s">
        <v>41</v>
      </c>
      <c r="G580" t="s">
        <v>42</v>
      </c>
      <c r="H580" t="s">
        <v>43</v>
      </c>
      <c r="I580" t="s">
        <v>269</v>
      </c>
      <c r="J580" t="s">
        <v>45</v>
      </c>
      <c r="K580" t="s">
        <v>33</v>
      </c>
      <c r="L580" t="s">
        <v>78</v>
      </c>
      <c r="M580" t="s">
        <v>71</v>
      </c>
      <c r="N580" t="s">
        <v>36</v>
      </c>
      <c r="O580">
        <v>45</v>
      </c>
      <c r="P580">
        <v>45</v>
      </c>
      <c r="Q580">
        <v>57.1</v>
      </c>
      <c r="R580">
        <v>1050</v>
      </c>
      <c r="S580">
        <v>1050</v>
      </c>
      <c r="T580">
        <v>0</v>
      </c>
      <c r="U580">
        <v>0</v>
      </c>
      <c r="V580">
        <v>1</v>
      </c>
      <c r="W580">
        <v>0</v>
      </c>
      <c r="X580">
        <v>0.85</v>
      </c>
    </row>
    <row r="581" spans="1:24" x14ac:dyDescent="0.3">
      <c r="A581" t="s">
        <v>1062</v>
      </c>
      <c r="B581" s="1">
        <v>45998</v>
      </c>
      <c r="C581" t="s">
        <v>25</v>
      </c>
      <c r="D581" t="s">
        <v>287</v>
      </c>
      <c r="E581" t="s">
        <v>83</v>
      </c>
      <c r="F581" t="s">
        <v>58</v>
      </c>
      <c r="G581" t="s">
        <v>59</v>
      </c>
      <c r="H581" t="s">
        <v>60</v>
      </c>
      <c r="I581" t="s">
        <v>949</v>
      </c>
      <c r="J581" t="s">
        <v>62</v>
      </c>
      <c r="K581" t="s">
        <v>63</v>
      </c>
      <c r="L581" t="s">
        <v>54</v>
      </c>
      <c r="M581" t="s">
        <v>94</v>
      </c>
      <c r="N581" t="s">
        <v>36</v>
      </c>
      <c r="O581">
        <v>90</v>
      </c>
      <c r="P581">
        <v>90</v>
      </c>
      <c r="Q581">
        <v>116.5</v>
      </c>
      <c r="R581">
        <v>1900</v>
      </c>
      <c r="S581">
        <v>1900</v>
      </c>
      <c r="T581">
        <v>0</v>
      </c>
      <c r="U581">
        <v>0</v>
      </c>
      <c r="V581">
        <v>1</v>
      </c>
      <c r="W581">
        <v>0</v>
      </c>
      <c r="X581">
        <v>0.85</v>
      </c>
    </row>
    <row r="582" spans="1:24" x14ac:dyDescent="0.3">
      <c r="A582" t="s">
        <v>1063</v>
      </c>
      <c r="B582" s="1">
        <v>45724</v>
      </c>
      <c r="C582" t="s">
        <v>56</v>
      </c>
      <c r="D582" t="s">
        <v>88</v>
      </c>
      <c r="E582" t="s">
        <v>68</v>
      </c>
      <c r="F582" t="s">
        <v>28</v>
      </c>
      <c r="G582" t="s">
        <v>29</v>
      </c>
      <c r="H582" t="s">
        <v>135</v>
      </c>
      <c r="I582" t="s">
        <v>1064</v>
      </c>
      <c r="J582" t="s">
        <v>137</v>
      </c>
      <c r="K582" t="s">
        <v>63</v>
      </c>
      <c r="L582" t="s">
        <v>34</v>
      </c>
      <c r="M582" t="s">
        <v>94</v>
      </c>
      <c r="N582" t="s">
        <v>113</v>
      </c>
      <c r="O582">
        <v>60</v>
      </c>
      <c r="P582">
        <v>0</v>
      </c>
      <c r="Q582">
        <v>78.900000000000006</v>
      </c>
      <c r="R582">
        <v>1250</v>
      </c>
      <c r="S582">
        <v>0</v>
      </c>
      <c r="T582">
        <v>1250</v>
      </c>
      <c r="U582">
        <v>0</v>
      </c>
      <c r="V582">
        <v>0</v>
      </c>
      <c r="W582">
        <v>1</v>
      </c>
      <c r="X582">
        <v>0.85</v>
      </c>
    </row>
    <row r="583" spans="1:24" x14ac:dyDescent="0.3">
      <c r="A583" t="s">
        <v>1065</v>
      </c>
      <c r="B583" s="1">
        <v>45860</v>
      </c>
      <c r="C583" t="s">
        <v>101</v>
      </c>
      <c r="D583" t="s">
        <v>26</v>
      </c>
      <c r="E583" t="s">
        <v>27</v>
      </c>
      <c r="F583" t="s">
        <v>28</v>
      </c>
      <c r="G583" t="s">
        <v>29</v>
      </c>
      <c r="H583" t="s">
        <v>102</v>
      </c>
      <c r="I583" t="s">
        <v>1066</v>
      </c>
      <c r="J583" t="s">
        <v>62</v>
      </c>
      <c r="K583" t="s">
        <v>33</v>
      </c>
      <c r="L583" t="s">
        <v>34</v>
      </c>
      <c r="M583" t="s">
        <v>86</v>
      </c>
      <c r="N583" t="s">
        <v>36</v>
      </c>
      <c r="O583">
        <v>45</v>
      </c>
      <c r="P583">
        <v>45</v>
      </c>
      <c r="Q583">
        <v>59.3</v>
      </c>
      <c r="R583">
        <v>950</v>
      </c>
      <c r="S583">
        <v>950</v>
      </c>
      <c r="T583">
        <v>0</v>
      </c>
      <c r="U583">
        <v>0</v>
      </c>
      <c r="V583">
        <v>1</v>
      </c>
      <c r="W583">
        <v>0</v>
      </c>
      <c r="X583">
        <v>0.85</v>
      </c>
    </row>
    <row r="584" spans="1:24" x14ac:dyDescent="0.3">
      <c r="A584" t="s">
        <v>1067</v>
      </c>
      <c r="B584" s="1">
        <v>45887</v>
      </c>
      <c r="C584" t="s">
        <v>110</v>
      </c>
      <c r="D584" t="s">
        <v>39</v>
      </c>
      <c r="E584" t="s">
        <v>40</v>
      </c>
      <c r="F584" t="s">
        <v>41</v>
      </c>
      <c r="G584" t="s">
        <v>42</v>
      </c>
      <c r="H584" t="s">
        <v>125</v>
      </c>
      <c r="I584" t="s">
        <v>982</v>
      </c>
      <c r="J584" t="s">
        <v>62</v>
      </c>
      <c r="K584" t="s">
        <v>33</v>
      </c>
      <c r="L584" t="s">
        <v>64</v>
      </c>
      <c r="M584" t="s">
        <v>35</v>
      </c>
      <c r="N584" t="s">
        <v>36</v>
      </c>
      <c r="O584">
        <v>75</v>
      </c>
      <c r="P584">
        <v>75</v>
      </c>
      <c r="Q584">
        <v>87.1</v>
      </c>
      <c r="R584">
        <v>1700</v>
      </c>
      <c r="S584">
        <v>1700</v>
      </c>
      <c r="T584">
        <v>0</v>
      </c>
      <c r="U584">
        <v>0</v>
      </c>
      <c r="V584">
        <v>1</v>
      </c>
      <c r="W584">
        <v>0</v>
      </c>
      <c r="X584">
        <v>0.85</v>
      </c>
    </row>
    <row r="585" spans="1:24" x14ac:dyDescent="0.3">
      <c r="A585" t="s">
        <v>1068</v>
      </c>
      <c r="B585" s="1">
        <v>45728</v>
      </c>
      <c r="C585" t="s">
        <v>56</v>
      </c>
      <c r="D585" t="s">
        <v>57</v>
      </c>
      <c r="E585" t="s">
        <v>27</v>
      </c>
      <c r="F585" t="s">
        <v>58</v>
      </c>
      <c r="G585" t="s">
        <v>59</v>
      </c>
      <c r="H585" t="s">
        <v>296</v>
      </c>
      <c r="I585" t="s">
        <v>328</v>
      </c>
      <c r="J585" t="s">
        <v>137</v>
      </c>
      <c r="K585" t="s">
        <v>46</v>
      </c>
      <c r="L585" t="s">
        <v>64</v>
      </c>
      <c r="M585" t="s">
        <v>65</v>
      </c>
      <c r="N585" t="s">
        <v>36</v>
      </c>
      <c r="O585">
        <v>30</v>
      </c>
      <c r="P585">
        <v>30</v>
      </c>
      <c r="Q585">
        <v>33.1</v>
      </c>
      <c r="R585">
        <v>750</v>
      </c>
      <c r="S585">
        <v>750</v>
      </c>
      <c r="T585">
        <v>0</v>
      </c>
      <c r="U585">
        <v>0</v>
      </c>
      <c r="V585">
        <v>1</v>
      </c>
      <c r="W585">
        <v>0</v>
      </c>
      <c r="X585">
        <v>0.85</v>
      </c>
    </row>
    <row r="586" spans="1:24" x14ac:dyDescent="0.3">
      <c r="A586" t="s">
        <v>1069</v>
      </c>
      <c r="B586" s="1">
        <v>45975</v>
      </c>
      <c r="C586" t="s">
        <v>38</v>
      </c>
      <c r="D586" t="s">
        <v>82</v>
      </c>
      <c r="E586" t="s">
        <v>68</v>
      </c>
      <c r="F586" t="s">
        <v>58</v>
      </c>
      <c r="G586" t="s">
        <v>59</v>
      </c>
      <c r="H586" t="s">
        <v>60</v>
      </c>
      <c r="I586" t="s">
        <v>1002</v>
      </c>
      <c r="J586" t="s">
        <v>32</v>
      </c>
      <c r="K586" t="s">
        <v>70</v>
      </c>
      <c r="L586" t="s">
        <v>34</v>
      </c>
      <c r="M586" t="s">
        <v>47</v>
      </c>
      <c r="N586" t="s">
        <v>113</v>
      </c>
      <c r="O586">
        <v>60</v>
      </c>
      <c r="P586">
        <v>0</v>
      </c>
      <c r="Q586">
        <v>79.7</v>
      </c>
      <c r="R586">
        <v>1500</v>
      </c>
      <c r="S586">
        <v>0</v>
      </c>
      <c r="T586">
        <v>1500</v>
      </c>
      <c r="U586">
        <v>0</v>
      </c>
      <c r="V586">
        <v>0</v>
      </c>
      <c r="W586">
        <v>1</v>
      </c>
      <c r="X586">
        <v>0.85</v>
      </c>
    </row>
    <row r="587" spans="1:24" x14ac:dyDescent="0.3">
      <c r="A587" t="s">
        <v>1070</v>
      </c>
      <c r="B587" s="1">
        <v>45856</v>
      </c>
      <c r="C587" t="s">
        <v>101</v>
      </c>
      <c r="D587" t="s">
        <v>82</v>
      </c>
      <c r="E587" t="s">
        <v>27</v>
      </c>
      <c r="F587" t="s">
        <v>58</v>
      </c>
      <c r="G587" t="s">
        <v>59</v>
      </c>
      <c r="H587" t="s">
        <v>60</v>
      </c>
      <c r="I587" t="s">
        <v>1071</v>
      </c>
      <c r="J587" t="s">
        <v>32</v>
      </c>
      <c r="K587" t="s">
        <v>33</v>
      </c>
      <c r="L587" t="s">
        <v>54</v>
      </c>
      <c r="M587" t="s">
        <v>35</v>
      </c>
      <c r="N587" t="s">
        <v>36</v>
      </c>
      <c r="O587">
        <v>75</v>
      </c>
      <c r="P587">
        <v>75</v>
      </c>
      <c r="Q587">
        <v>95.8</v>
      </c>
      <c r="R587">
        <v>1600</v>
      </c>
      <c r="S587">
        <v>1600</v>
      </c>
      <c r="T587">
        <v>0</v>
      </c>
      <c r="U587">
        <v>0</v>
      </c>
      <c r="V587">
        <v>1</v>
      </c>
      <c r="W587">
        <v>0</v>
      </c>
      <c r="X587">
        <v>0.85</v>
      </c>
    </row>
    <row r="588" spans="1:24" x14ac:dyDescent="0.3">
      <c r="A588" t="s">
        <v>1072</v>
      </c>
      <c r="B588" s="1">
        <v>45908</v>
      </c>
      <c r="C588" t="s">
        <v>49</v>
      </c>
      <c r="D588" t="s">
        <v>39</v>
      </c>
      <c r="E588" t="s">
        <v>83</v>
      </c>
      <c r="F588" t="s">
        <v>28</v>
      </c>
      <c r="G588" t="s">
        <v>29</v>
      </c>
      <c r="H588" t="s">
        <v>102</v>
      </c>
      <c r="I588" t="s">
        <v>395</v>
      </c>
      <c r="J588" t="s">
        <v>62</v>
      </c>
      <c r="K588" t="s">
        <v>33</v>
      </c>
      <c r="L588" t="s">
        <v>64</v>
      </c>
      <c r="M588" t="s">
        <v>35</v>
      </c>
      <c r="N588" t="s">
        <v>95</v>
      </c>
      <c r="O588">
        <v>30</v>
      </c>
      <c r="P588">
        <v>0</v>
      </c>
      <c r="Q588">
        <v>36.9</v>
      </c>
      <c r="R588">
        <v>600</v>
      </c>
      <c r="S588">
        <v>0</v>
      </c>
      <c r="T588">
        <v>600</v>
      </c>
      <c r="U588">
        <v>1</v>
      </c>
      <c r="V588">
        <v>0</v>
      </c>
      <c r="W588">
        <v>0</v>
      </c>
      <c r="X588">
        <v>0.85</v>
      </c>
    </row>
    <row r="589" spans="1:24" x14ac:dyDescent="0.3">
      <c r="A589" t="s">
        <v>1073</v>
      </c>
      <c r="B589" s="1">
        <v>45957</v>
      </c>
      <c r="C589" t="s">
        <v>97</v>
      </c>
      <c r="D589" t="s">
        <v>39</v>
      </c>
      <c r="E589" t="s">
        <v>40</v>
      </c>
      <c r="F589" t="s">
        <v>58</v>
      </c>
      <c r="G589" t="s">
        <v>59</v>
      </c>
      <c r="H589" t="s">
        <v>151</v>
      </c>
      <c r="I589" t="s">
        <v>1074</v>
      </c>
      <c r="J589" t="s">
        <v>45</v>
      </c>
      <c r="K589" t="s">
        <v>85</v>
      </c>
      <c r="L589" t="s">
        <v>64</v>
      </c>
      <c r="M589" t="s">
        <v>94</v>
      </c>
      <c r="N589" t="s">
        <v>36</v>
      </c>
      <c r="O589">
        <v>60</v>
      </c>
      <c r="P589">
        <v>60</v>
      </c>
      <c r="Q589">
        <v>69.2</v>
      </c>
      <c r="R589">
        <v>1700</v>
      </c>
      <c r="S589">
        <v>1700</v>
      </c>
      <c r="T589">
        <v>0</v>
      </c>
      <c r="U589">
        <v>0</v>
      </c>
      <c r="V589">
        <v>1</v>
      </c>
      <c r="W589">
        <v>0</v>
      </c>
      <c r="X589">
        <v>0.85</v>
      </c>
    </row>
    <row r="590" spans="1:24" x14ac:dyDescent="0.3">
      <c r="A590" t="s">
        <v>1075</v>
      </c>
      <c r="B590" s="1">
        <v>45867</v>
      </c>
      <c r="C590" t="s">
        <v>101</v>
      </c>
      <c r="D590" t="s">
        <v>26</v>
      </c>
      <c r="E590" t="s">
        <v>40</v>
      </c>
      <c r="F590" t="s">
        <v>58</v>
      </c>
      <c r="G590" t="s">
        <v>59</v>
      </c>
      <c r="H590" t="s">
        <v>151</v>
      </c>
      <c r="I590" t="s">
        <v>643</v>
      </c>
      <c r="J590" t="s">
        <v>62</v>
      </c>
      <c r="K590" t="s">
        <v>46</v>
      </c>
      <c r="L590" t="s">
        <v>34</v>
      </c>
      <c r="M590" t="s">
        <v>35</v>
      </c>
      <c r="N590" t="s">
        <v>36</v>
      </c>
      <c r="O590">
        <v>60</v>
      </c>
      <c r="P590">
        <v>60</v>
      </c>
      <c r="Q590">
        <v>65.599999999999994</v>
      </c>
      <c r="R590">
        <v>1500</v>
      </c>
      <c r="S590">
        <v>1500</v>
      </c>
      <c r="T590">
        <v>0</v>
      </c>
      <c r="U590">
        <v>0</v>
      </c>
      <c r="V590">
        <v>1</v>
      </c>
      <c r="W590">
        <v>0</v>
      </c>
      <c r="X590">
        <v>0.85</v>
      </c>
    </row>
    <row r="591" spans="1:24" x14ac:dyDescent="0.3">
      <c r="A591" t="s">
        <v>1076</v>
      </c>
      <c r="B591" s="1">
        <v>45843</v>
      </c>
      <c r="C591" t="s">
        <v>101</v>
      </c>
      <c r="D591" t="s">
        <v>88</v>
      </c>
      <c r="E591" t="s">
        <v>27</v>
      </c>
      <c r="F591" t="s">
        <v>58</v>
      </c>
      <c r="G591" t="s">
        <v>59</v>
      </c>
      <c r="H591" t="s">
        <v>151</v>
      </c>
      <c r="I591" t="s">
        <v>535</v>
      </c>
      <c r="J591" t="s">
        <v>53</v>
      </c>
      <c r="K591" t="s">
        <v>46</v>
      </c>
      <c r="L591" t="s">
        <v>34</v>
      </c>
      <c r="M591" t="s">
        <v>94</v>
      </c>
      <c r="N591" t="s">
        <v>36</v>
      </c>
      <c r="O591">
        <v>60</v>
      </c>
      <c r="P591">
        <v>60</v>
      </c>
      <c r="Q591">
        <v>69.8</v>
      </c>
      <c r="R591">
        <v>1800</v>
      </c>
      <c r="S591">
        <v>1800</v>
      </c>
      <c r="T591">
        <v>0</v>
      </c>
      <c r="U591">
        <v>0</v>
      </c>
      <c r="V591">
        <v>1</v>
      </c>
      <c r="W591">
        <v>0</v>
      </c>
      <c r="X591">
        <v>0.85</v>
      </c>
    </row>
    <row r="592" spans="1:24" x14ac:dyDescent="0.3">
      <c r="A592" t="s">
        <v>1077</v>
      </c>
      <c r="B592" s="1">
        <v>45780</v>
      </c>
      <c r="C592" t="s">
        <v>128</v>
      </c>
      <c r="D592" t="s">
        <v>88</v>
      </c>
      <c r="E592" t="s">
        <v>68</v>
      </c>
      <c r="F592" t="s">
        <v>41</v>
      </c>
      <c r="G592" t="s">
        <v>42</v>
      </c>
      <c r="H592" t="s">
        <v>125</v>
      </c>
      <c r="I592" t="s">
        <v>528</v>
      </c>
      <c r="J592" t="s">
        <v>137</v>
      </c>
      <c r="K592" t="s">
        <v>70</v>
      </c>
      <c r="L592" t="s">
        <v>34</v>
      </c>
      <c r="M592" t="s">
        <v>65</v>
      </c>
      <c r="N592" t="s">
        <v>36</v>
      </c>
      <c r="O592">
        <v>60</v>
      </c>
      <c r="P592">
        <v>60</v>
      </c>
      <c r="Q592">
        <v>75.3</v>
      </c>
      <c r="R592">
        <v>1350</v>
      </c>
      <c r="S592">
        <v>1350</v>
      </c>
      <c r="T592">
        <v>0</v>
      </c>
      <c r="U592">
        <v>0</v>
      </c>
      <c r="V592">
        <v>1</v>
      </c>
      <c r="W592">
        <v>0</v>
      </c>
      <c r="X592">
        <v>0.85</v>
      </c>
    </row>
    <row r="593" spans="1:24" x14ac:dyDescent="0.3">
      <c r="A593" t="s">
        <v>1078</v>
      </c>
      <c r="B593" s="1">
        <v>45712</v>
      </c>
      <c r="C593" t="s">
        <v>76</v>
      </c>
      <c r="D593" t="s">
        <v>39</v>
      </c>
      <c r="E593" t="s">
        <v>27</v>
      </c>
      <c r="F593" t="s">
        <v>41</v>
      </c>
      <c r="G593" t="s">
        <v>42</v>
      </c>
      <c r="H593" t="s">
        <v>89</v>
      </c>
      <c r="I593" t="s">
        <v>982</v>
      </c>
      <c r="J593" t="s">
        <v>62</v>
      </c>
      <c r="K593" t="s">
        <v>70</v>
      </c>
      <c r="L593" t="s">
        <v>34</v>
      </c>
      <c r="M593" t="s">
        <v>35</v>
      </c>
      <c r="N593" t="s">
        <v>36</v>
      </c>
      <c r="O593">
        <v>75</v>
      </c>
      <c r="P593">
        <v>75</v>
      </c>
      <c r="Q593">
        <v>91.1</v>
      </c>
      <c r="R593">
        <v>1700</v>
      </c>
      <c r="S593">
        <v>1700</v>
      </c>
      <c r="T593">
        <v>0</v>
      </c>
      <c r="U593">
        <v>0</v>
      </c>
      <c r="V593">
        <v>1</v>
      </c>
      <c r="W593">
        <v>0</v>
      </c>
      <c r="X593">
        <v>0.85</v>
      </c>
    </row>
    <row r="594" spans="1:24" x14ac:dyDescent="0.3">
      <c r="A594" t="s">
        <v>1079</v>
      </c>
      <c r="B594" s="1">
        <v>45749</v>
      </c>
      <c r="C594" t="s">
        <v>92</v>
      </c>
      <c r="D594" t="s">
        <v>57</v>
      </c>
      <c r="E594" t="s">
        <v>68</v>
      </c>
      <c r="F594" t="s">
        <v>58</v>
      </c>
      <c r="G594" t="s">
        <v>59</v>
      </c>
      <c r="H594" t="s">
        <v>117</v>
      </c>
      <c r="I594" t="s">
        <v>1080</v>
      </c>
      <c r="J594" t="s">
        <v>32</v>
      </c>
      <c r="K594" t="s">
        <v>85</v>
      </c>
      <c r="L594" t="s">
        <v>64</v>
      </c>
      <c r="M594" t="s">
        <v>94</v>
      </c>
      <c r="N594" t="s">
        <v>36</v>
      </c>
      <c r="O594">
        <v>60</v>
      </c>
      <c r="P594">
        <v>60</v>
      </c>
      <c r="Q594">
        <v>78.8</v>
      </c>
      <c r="R594">
        <v>1500</v>
      </c>
      <c r="S594">
        <v>1500</v>
      </c>
      <c r="T594">
        <v>0</v>
      </c>
      <c r="U594">
        <v>0</v>
      </c>
      <c r="V594">
        <v>1</v>
      </c>
      <c r="W594">
        <v>0</v>
      </c>
      <c r="X594">
        <v>0.85</v>
      </c>
    </row>
    <row r="595" spans="1:24" x14ac:dyDescent="0.3">
      <c r="A595" t="s">
        <v>1081</v>
      </c>
      <c r="B595" s="1">
        <v>46004</v>
      </c>
      <c r="C595" t="s">
        <v>25</v>
      </c>
      <c r="D595" t="s">
        <v>88</v>
      </c>
      <c r="E595" t="s">
        <v>68</v>
      </c>
      <c r="F595" t="s">
        <v>41</v>
      </c>
      <c r="G595" t="s">
        <v>42</v>
      </c>
      <c r="H595" t="s">
        <v>89</v>
      </c>
      <c r="I595" t="s">
        <v>952</v>
      </c>
      <c r="J595" t="s">
        <v>62</v>
      </c>
      <c r="K595" t="s">
        <v>104</v>
      </c>
      <c r="L595" t="s">
        <v>54</v>
      </c>
      <c r="M595" t="s">
        <v>71</v>
      </c>
      <c r="N595" t="s">
        <v>36</v>
      </c>
      <c r="O595">
        <v>90</v>
      </c>
      <c r="P595">
        <v>90</v>
      </c>
      <c r="Q595">
        <v>98.1</v>
      </c>
      <c r="R595">
        <v>1700</v>
      </c>
      <c r="S595">
        <v>1700</v>
      </c>
      <c r="T595">
        <v>0</v>
      </c>
      <c r="U595">
        <v>0</v>
      </c>
      <c r="V595">
        <v>1</v>
      </c>
      <c r="W595">
        <v>0</v>
      </c>
      <c r="X595">
        <v>0.85</v>
      </c>
    </row>
    <row r="596" spans="1:24" x14ac:dyDescent="0.3">
      <c r="A596" t="s">
        <v>1082</v>
      </c>
      <c r="B596" s="1">
        <v>45845</v>
      </c>
      <c r="C596" t="s">
        <v>101</v>
      </c>
      <c r="D596" t="s">
        <v>39</v>
      </c>
      <c r="E596" t="s">
        <v>40</v>
      </c>
      <c r="F596" t="s">
        <v>58</v>
      </c>
      <c r="G596" t="s">
        <v>59</v>
      </c>
      <c r="H596" t="s">
        <v>73</v>
      </c>
      <c r="I596" t="s">
        <v>52</v>
      </c>
      <c r="J596" t="s">
        <v>32</v>
      </c>
      <c r="K596" t="s">
        <v>70</v>
      </c>
      <c r="L596" t="s">
        <v>64</v>
      </c>
      <c r="M596" t="s">
        <v>65</v>
      </c>
      <c r="N596" t="s">
        <v>36</v>
      </c>
      <c r="O596">
        <v>60</v>
      </c>
      <c r="P596">
        <v>60</v>
      </c>
      <c r="Q596">
        <v>68.599999999999994</v>
      </c>
      <c r="R596">
        <v>1500</v>
      </c>
      <c r="S596">
        <v>1500</v>
      </c>
      <c r="T596">
        <v>0</v>
      </c>
      <c r="U596">
        <v>0</v>
      </c>
      <c r="V596">
        <v>1</v>
      </c>
      <c r="W596">
        <v>0</v>
      </c>
      <c r="X596">
        <v>0.85</v>
      </c>
    </row>
    <row r="597" spans="1:24" x14ac:dyDescent="0.3">
      <c r="A597" t="s">
        <v>1083</v>
      </c>
      <c r="B597" s="1">
        <v>45659</v>
      </c>
      <c r="C597" t="s">
        <v>130</v>
      </c>
      <c r="D597" t="s">
        <v>50</v>
      </c>
      <c r="E597" t="s">
        <v>27</v>
      </c>
      <c r="F597" t="s">
        <v>58</v>
      </c>
      <c r="G597" t="s">
        <v>59</v>
      </c>
      <c r="H597" t="s">
        <v>60</v>
      </c>
      <c r="I597" t="s">
        <v>316</v>
      </c>
      <c r="J597" t="s">
        <v>62</v>
      </c>
      <c r="K597" t="s">
        <v>46</v>
      </c>
      <c r="L597" t="s">
        <v>34</v>
      </c>
      <c r="M597" t="s">
        <v>65</v>
      </c>
      <c r="N597" t="s">
        <v>95</v>
      </c>
      <c r="O597">
        <v>30</v>
      </c>
      <c r="P597">
        <v>0</v>
      </c>
      <c r="Q597">
        <v>33.299999999999997</v>
      </c>
      <c r="R597">
        <v>750</v>
      </c>
      <c r="S597">
        <v>0</v>
      </c>
      <c r="T597">
        <v>750</v>
      </c>
      <c r="U597">
        <v>1</v>
      </c>
      <c r="V597">
        <v>0</v>
      </c>
      <c r="W597">
        <v>0</v>
      </c>
      <c r="X597">
        <v>0.85</v>
      </c>
    </row>
    <row r="598" spans="1:24" x14ac:dyDescent="0.3">
      <c r="A598" t="s">
        <v>1084</v>
      </c>
      <c r="B598" s="1">
        <v>45989</v>
      </c>
      <c r="C598" t="s">
        <v>38</v>
      </c>
      <c r="D598" t="s">
        <v>82</v>
      </c>
      <c r="E598" t="s">
        <v>68</v>
      </c>
      <c r="F598" t="s">
        <v>28</v>
      </c>
      <c r="G598" t="s">
        <v>29</v>
      </c>
      <c r="H598" t="s">
        <v>102</v>
      </c>
      <c r="I598" t="s">
        <v>1085</v>
      </c>
      <c r="J598" t="s">
        <v>53</v>
      </c>
      <c r="K598" t="s">
        <v>70</v>
      </c>
      <c r="L598" t="s">
        <v>78</v>
      </c>
      <c r="M598" t="s">
        <v>86</v>
      </c>
      <c r="N598" t="s">
        <v>36</v>
      </c>
      <c r="O598">
        <v>60</v>
      </c>
      <c r="P598">
        <v>60</v>
      </c>
      <c r="Q598">
        <v>68.2</v>
      </c>
      <c r="R598">
        <v>1400</v>
      </c>
      <c r="S598">
        <v>1400</v>
      </c>
      <c r="T598">
        <v>0</v>
      </c>
      <c r="U598">
        <v>0</v>
      </c>
      <c r="V598">
        <v>1</v>
      </c>
      <c r="W598">
        <v>0</v>
      </c>
      <c r="X598">
        <v>0.85</v>
      </c>
    </row>
    <row r="599" spans="1:24" x14ac:dyDescent="0.3">
      <c r="A599" t="s">
        <v>1086</v>
      </c>
      <c r="B599" s="1">
        <v>45743</v>
      </c>
      <c r="C599" t="s">
        <v>56</v>
      </c>
      <c r="D599" t="s">
        <v>50</v>
      </c>
      <c r="E599" t="s">
        <v>68</v>
      </c>
      <c r="F599" t="s">
        <v>41</v>
      </c>
      <c r="G599" t="s">
        <v>42</v>
      </c>
      <c r="H599" t="s">
        <v>111</v>
      </c>
      <c r="I599" t="s">
        <v>393</v>
      </c>
      <c r="J599" t="s">
        <v>137</v>
      </c>
      <c r="K599" t="s">
        <v>33</v>
      </c>
      <c r="L599" t="s">
        <v>64</v>
      </c>
      <c r="M599" t="s">
        <v>65</v>
      </c>
      <c r="N599" t="s">
        <v>36</v>
      </c>
      <c r="O599">
        <v>60</v>
      </c>
      <c r="P599">
        <v>60</v>
      </c>
      <c r="Q599">
        <v>68.599999999999994</v>
      </c>
      <c r="R599">
        <v>1350</v>
      </c>
      <c r="S599">
        <v>1350</v>
      </c>
      <c r="T599">
        <v>0</v>
      </c>
      <c r="U599">
        <v>0</v>
      </c>
      <c r="V599">
        <v>1</v>
      </c>
      <c r="W599">
        <v>0</v>
      </c>
      <c r="X599">
        <v>0.85</v>
      </c>
    </row>
    <row r="600" spans="1:24" x14ac:dyDescent="0.3">
      <c r="A600" t="s">
        <v>1087</v>
      </c>
      <c r="B600" s="1">
        <v>45660</v>
      </c>
      <c r="C600" t="s">
        <v>130</v>
      </c>
      <c r="D600" t="s">
        <v>82</v>
      </c>
      <c r="E600" t="s">
        <v>27</v>
      </c>
      <c r="F600" t="s">
        <v>58</v>
      </c>
      <c r="G600" t="s">
        <v>59</v>
      </c>
      <c r="H600" t="s">
        <v>60</v>
      </c>
      <c r="I600" t="s">
        <v>1014</v>
      </c>
      <c r="J600" t="s">
        <v>62</v>
      </c>
      <c r="K600" t="s">
        <v>33</v>
      </c>
      <c r="L600" t="s">
        <v>34</v>
      </c>
      <c r="M600" t="s">
        <v>47</v>
      </c>
      <c r="N600" t="s">
        <v>153</v>
      </c>
      <c r="O600">
        <v>45</v>
      </c>
      <c r="P600">
        <v>0</v>
      </c>
      <c r="Q600">
        <v>53.7</v>
      </c>
      <c r="R600">
        <v>1100</v>
      </c>
      <c r="S600">
        <v>0</v>
      </c>
      <c r="T600">
        <v>0</v>
      </c>
      <c r="U600">
        <v>0</v>
      </c>
      <c r="V600">
        <v>0</v>
      </c>
      <c r="W600">
        <v>0</v>
      </c>
      <c r="X600">
        <v>0.85</v>
      </c>
    </row>
    <row r="601" spans="1:24" x14ac:dyDescent="0.3">
      <c r="A601" t="s">
        <v>1088</v>
      </c>
      <c r="B601" s="1">
        <v>45684</v>
      </c>
      <c r="C601" t="s">
        <v>130</v>
      </c>
      <c r="D601" t="s">
        <v>39</v>
      </c>
      <c r="E601" t="s">
        <v>27</v>
      </c>
      <c r="F601" t="s">
        <v>28</v>
      </c>
      <c r="G601" t="s">
        <v>29</v>
      </c>
      <c r="H601" t="s">
        <v>120</v>
      </c>
      <c r="I601" t="s">
        <v>873</v>
      </c>
      <c r="J601" t="s">
        <v>62</v>
      </c>
      <c r="K601" t="s">
        <v>85</v>
      </c>
      <c r="L601" t="s">
        <v>34</v>
      </c>
      <c r="M601" t="s">
        <v>65</v>
      </c>
      <c r="N601" t="s">
        <v>95</v>
      </c>
      <c r="O601">
        <v>90</v>
      </c>
      <c r="P601">
        <v>0</v>
      </c>
      <c r="Q601">
        <v>100.4</v>
      </c>
      <c r="R601">
        <v>1900</v>
      </c>
      <c r="S601">
        <v>0</v>
      </c>
      <c r="T601">
        <v>1900</v>
      </c>
      <c r="U601">
        <v>1</v>
      </c>
      <c r="V601">
        <v>0</v>
      </c>
      <c r="W601">
        <v>0</v>
      </c>
      <c r="X601">
        <v>0.85</v>
      </c>
    </row>
    <row r="602" spans="1:24" x14ac:dyDescent="0.3">
      <c r="A602" t="s">
        <v>1089</v>
      </c>
      <c r="B602" s="1">
        <v>45936</v>
      </c>
      <c r="C602" t="s">
        <v>97</v>
      </c>
      <c r="D602" t="s">
        <v>39</v>
      </c>
      <c r="E602" t="s">
        <v>40</v>
      </c>
      <c r="F602" t="s">
        <v>41</v>
      </c>
      <c r="G602" t="s">
        <v>42</v>
      </c>
      <c r="H602" t="s">
        <v>89</v>
      </c>
      <c r="I602" t="s">
        <v>1090</v>
      </c>
      <c r="J602" t="s">
        <v>137</v>
      </c>
      <c r="K602" t="s">
        <v>33</v>
      </c>
      <c r="L602" t="s">
        <v>34</v>
      </c>
      <c r="M602" t="s">
        <v>94</v>
      </c>
      <c r="N602" t="s">
        <v>95</v>
      </c>
      <c r="O602">
        <v>60</v>
      </c>
      <c r="P602">
        <v>0</v>
      </c>
      <c r="Q602">
        <v>69.7</v>
      </c>
      <c r="R602">
        <v>1350</v>
      </c>
      <c r="S602">
        <v>0</v>
      </c>
      <c r="T602">
        <v>1350</v>
      </c>
      <c r="U602">
        <v>1</v>
      </c>
      <c r="V602">
        <v>0</v>
      </c>
      <c r="W602">
        <v>0</v>
      </c>
      <c r="X602">
        <v>0.85</v>
      </c>
    </row>
    <row r="603" spans="1:24" x14ac:dyDescent="0.3">
      <c r="A603" t="s">
        <v>1091</v>
      </c>
      <c r="B603" s="1">
        <v>45795</v>
      </c>
      <c r="C603" t="s">
        <v>128</v>
      </c>
      <c r="D603" t="s">
        <v>287</v>
      </c>
      <c r="E603" t="s">
        <v>83</v>
      </c>
      <c r="F603" t="s">
        <v>41</v>
      </c>
      <c r="G603" t="s">
        <v>42</v>
      </c>
      <c r="H603" t="s">
        <v>89</v>
      </c>
      <c r="I603" t="s">
        <v>1064</v>
      </c>
      <c r="J603" t="s">
        <v>62</v>
      </c>
      <c r="K603" t="s">
        <v>46</v>
      </c>
      <c r="L603" t="s">
        <v>34</v>
      </c>
      <c r="M603" t="s">
        <v>35</v>
      </c>
      <c r="N603" t="s">
        <v>36</v>
      </c>
      <c r="O603">
        <v>60</v>
      </c>
      <c r="P603">
        <v>60</v>
      </c>
      <c r="Q603">
        <v>80.099999999999994</v>
      </c>
      <c r="R603">
        <v>1350</v>
      </c>
      <c r="S603">
        <v>1350</v>
      </c>
      <c r="T603">
        <v>0</v>
      </c>
      <c r="U603">
        <v>0</v>
      </c>
      <c r="V603">
        <v>1</v>
      </c>
      <c r="W603">
        <v>0</v>
      </c>
      <c r="X603">
        <v>0.85</v>
      </c>
    </row>
    <row r="604" spans="1:24" x14ac:dyDescent="0.3">
      <c r="A604" t="s">
        <v>1092</v>
      </c>
      <c r="B604" s="1">
        <v>45796</v>
      </c>
      <c r="C604" t="s">
        <v>128</v>
      </c>
      <c r="D604" t="s">
        <v>39</v>
      </c>
      <c r="E604" t="s">
        <v>27</v>
      </c>
      <c r="F604" t="s">
        <v>41</v>
      </c>
      <c r="G604" t="s">
        <v>42</v>
      </c>
      <c r="H604" t="s">
        <v>51</v>
      </c>
      <c r="I604" t="s">
        <v>585</v>
      </c>
      <c r="J604" t="s">
        <v>45</v>
      </c>
      <c r="K604" t="s">
        <v>85</v>
      </c>
      <c r="L604" t="s">
        <v>78</v>
      </c>
      <c r="M604" t="s">
        <v>65</v>
      </c>
      <c r="N604" t="s">
        <v>36</v>
      </c>
      <c r="O604">
        <v>45</v>
      </c>
      <c r="P604">
        <v>45</v>
      </c>
      <c r="Q604">
        <v>52.7</v>
      </c>
      <c r="R604">
        <v>1050</v>
      </c>
      <c r="S604">
        <v>1050</v>
      </c>
      <c r="T604">
        <v>0</v>
      </c>
      <c r="U604">
        <v>0</v>
      </c>
      <c r="V604">
        <v>1</v>
      </c>
      <c r="W604">
        <v>0</v>
      </c>
      <c r="X604">
        <v>0.85</v>
      </c>
    </row>
    <row r="605" spans="1:24" x14ac:dyDescent="0.3">
      <c r="A605" t="s">
        <v>1093</v>
      </c>
      <c r="B605" s="1">
        <v>45758</v>
      </c>
      <c r="C605" t="s">
        <v>92</v>
      </c>
      <c r="D605" t="s">
        <v>82</v>
      </c>
      <c r="E605" t="s">
        <v>68</v>
      </c>
      <c r="F605" t="s">
        <v>28</v>
      </c>
      <c r="G605" t="s">
        <v>29</v>
      </c>
      <c r="H605" t="s">
        <v>102</v>
      </c>
      <c r="I605" t="s">
        <v>186</v>
      </c>
      <c r="J605" t="s">
        <v>45</v>
      </c>
      <c r="K605" t="s">
        <v>33</v>
      </c>
      <c r="L605" t="s">
        <v>34</v>
      </c>
      <c r="M605" t="s">
        <v>94</v>
      </c>
      <c r="N605" t="s">
        <v>36</v>
      </c>
      <c r="O605">
        <v>60</v>
      </c>
      <c r="P605">
        <v>60</v>
      </c>
      <c r="Q605">
        <v>70.3</v>
      </c>
      <c r="R605">
        <v>1450</v>
      </c>
      <c r="S605">
        <v>1450</v>
      </c>
      <c r="T605">
        <v>0</v>
      </c>
      <c r="U605">
        <v>0</v>
      </c>
      <c r="V605">
        <v>1</v>
      </c>
      <c r="W605">
        <v>0</v>
      </c>
      <c r="X605">
        <v>0.85</v>
      </c>
    </row>
    <row r="606" spans="1:24" x14ac:dyDescent="0.3">
      <c r="A606" t="s">
        <v>1094</v>
      </c>
      <c r="B606" s="1">
        <v>45659</v>
      </c>
      <c r="C606" t="s">
        <v>130</v>
      </c>
      <c r="D606" t="s">
        <v>50</v>
      </c>
      <c r="E606" t="s">
        <v>68</v>
      </c>
      <c r="F606" t="s">
        <v>41</v>
      </c>
      <c r="G606" t="s">
        <v>42</v>
      </c>
      <c r="H606" t="s">
        <v>89</v>
      </c>
      <c r="I606" t="s">
        <v>1095</v>
      </c>
      <c r="J606" t="s">
        <v>32</v>
      </c>
      <c r="K606" t="s">
        <v>85</v>
      </c>
      <c r="L606" t="s">
        <v>34</v>
      </c>
      <c r="M606" t="s">
        <v>94</v>
      </c>
      <c r="N606" t="s">
        <v>36</v>
      </c>
      <c r="O606">
        <v>45</v>
      </c>
      <c r="P606">
        <v>45</v>
      </c>
      <c r="Q606">
        <v>50.8</v>
      </c>
      <c r="R606">
        <v>1000</v>
      </c>
      <c r="S606">
        <v>1000</v>
      </c>
      <c r="T606">
        <v>0</v>
      </c>
      <c r="U606">
        <v>0</v>
      </c>
      <c r="V606">
        <v>1</v>
      </c>
      <c r="W606">
        <v>0</v>
      </c>
      <c r="X606">
        <v>0.85</v>
      </c>
    </row>
    <row r="607" spans="1:24" x14ac:dyDescent="0.3">
      <c r="A607" t="s">
        <v>1096</v>
      </c>
      <c r="B607" s="1">
        <v>45695</v>
      </c>
      <c r="C607" t="s">
        <v>76</v>
      </c>
      <c r="D607" t="s">
        <v>82</v>
      </c>
      <c r="E607" t="s">
        <v>40</v>
      </c>
      <c r="F607" t="s">
        <v>41</v>
      </c>
      <c r="G607" t="s">
        <v>42</v>
      </c>
      <c r="H607" t="s">
        <v>125</v>
      </c>
      <c r="I607" t="s">
        <v>322</v>
      </c>
      <c r="J607" t="s">
        <v>99</v>
      </c>
      <c r="K607" t="s">
        <v>70</v>
      </c>
      <c r="L607" t="s">
        <v>78</v>
      </c>
      <c r="M607" t="s">
        <v>86</v>
      </c>
      <c r="N607" t="s">
        <v>36</v>
      </c>
      <c r="O607">
        <v>90</v>
      </c>
      <c r="P607">
        <v>90</v>
      </c>
      <c r="Q607">
        <v>100.5</v>
      </c>
      <c r="R607">
        <v>1850</v>
      </c>
      <c r="S607">
        <v>1850</v>
      </c>
      <c r="T607">
        <v>0</v>
      </c>
      <c r="U607">
        <v>0</v>
      </c>
      <c r="V607">
        <v>1</v>
      </c>
      <c r="W607">
        <v>0</v>
      </c>
      <c r="X607">
        <v>0.85</v>
      </c>
    </row>
    <row r="608" spans="1:24" x14ac:dyDescent="0.3">
      <c r="A608" t="s">
        <v>1097</v>
      </c>
      <c r="B608" s="1">
        <v>46010</v>
      </c>
      <c r="C608" t="s">
        <v>25</v>
      </c>
      <c r="D608" t="s">
        <v>82</v>
      </c>
      <c r="E608" t="s">
        <v>83</v>
      </c>
      <c r="F608" t="s">
        <v>28</v>
      </c>
      <c r="G608" t="s">
        <v>29</v>
      </c>
      <c r="H608" t="s">
        <v>30</v>
      </c>
      <c r="I608" t="s">
        <v>1098</v>
      </c>
      <c r="J608" t="s">
        <v>62</v>
      </c>
      <c r="K608" t="s">
        <v>63</v>
      </c>
      <c r="L608" t="s">
        <v>54</v>
      </c>
      <c r="M608" t="s">
        <v>86</v>
      </c>
      <c r="N608" t="s">
        <v>36</v>
      </c>
      <c r="O608">
        <v>60</v>
      </c>
      <c r="P608">
        <v>60</v>
      </c>
      <c r="Q608">
        <v>80.400000000000006</v>
      </c>
      <c r="R608">
        <v>1050</v>
      </c>
      <c r="S608">
        <v>1050</v>
      </c>
      <c r="T608">
        <v>0</v>
      </c>
      <c r="U608">
        <v>0</v>
      </c>
      <c r="V608">
        <v>1</v>
      </c>
      <c r="W608">
        <v>0</v>
      </c>
      <c r="X608">
        <v>0.85</v>
      </c>
    </row>
    <row r="609" spans="1:24" x14ac:dyDescent="0.3">
      <c r="A609" t="s">
        <v>1099</v>
      </c>
      <c r="B609" s="1">
        <v>45936</v>
      </c>
      <c r="C609" t="s">
        <v>97</v>
      </c>
      <c r="D609" t="s">
        <v>39</v>
      </c>
      <c r="E609" t="s">
        <v>83</v>
      </c>
      <c r="F609" t="s">
        <v>41</v>
      </c>
      <c r="G609" t="s">
        <v>42</v>
      </c>
      <c r="H609" t="s">
        <v>43</v>
      </c>
      <c r="I609" t="s">
        <v>1100</v>
      </c>
      <c r="J609" t="s">
        <v>53</v>
      </c>
      <c r="K609" t="s">
        <v>85</v>
      </c>
      <c r="L609" t="s">
        <v>34</v>
      </c>
      <c r="M609" t="s">
        <v>65</v>
      </c>
      <c r="N609" t="s">
        <v>95</v>
      </c>
      <c r="O609">
        <v>60</v>
      </c>
      <c r="P609">
        <v>0</v>
      </c>
      <c r="Q609">
        <v>74.7</v>
      </c>
      <c r="R609">
        <v>1600</v>
      </c>
      <c r="S609">
        <v>0</v>
      </c>
      <c r="T609">
        <v>1600</v>
      </c>
      <c r="U609">
        <v>1</v>
      </c>
      <c r="V609">
        <v>0</v>
      </c>
      <c r="W609">
        <v>0</v>
      </c>
      <c r="X609">
        <v>0.85</v>
      </c>
    </row>
    <row r="610" spans="1:24" x14ac:dyDescent="0.3">
      <c r="A610" t="s">
        <v>1101</v>
      </c>
      <c r="B610" s="1">
        <v>45778</v>
      </c>
      <c r="C610" t="s">
        <v>128</v>
      </c>
      <c r="D610" t="s">
        <v>50</v>
      </c>
      <c r="E610" t="s">
        <v>83</v>
      </c>
      <c r="F610" t="s">
        <v>28</v>
      </c>
      <c r="G610" t="s">
        <v>29</v>
      </c>
      <c r="H610" t="s">
        <v>102</v>
      </c>
      <c r="I610" t="s">
        <v>699</v>
      </c>
      <c r="J610" t="s">
        <v>45</v>
      </c>
      <c r="K610" t="s">
        <v>70</v>
      </c>
      <c r="L610" t="s">
        <v>34</v>
      </c>
      <c r="M610" t="s">
        <v>94</v>
      </c>
      <c r="N610" t="s">
        <v>36</v>
      </c>
      <c r="O610">
        <v>30</v>
      </c>
      <c r="P610">
        <v>30</v>
      </c>
      <c r="Q610">
        <v>40.4</v>
      </c>
      <c r="R610">
        <v>700</v>
      </c>
      <c r="S610">
        <v>700</v>
      </c>
      <c r="T610">
        <v>0</v>
      </c>
      <c r="U610">
        <v>0</v>
      </c>
      <c r="V610">
        <v>1</v>
      </c>
      <c r="W610">
        <v>0</v>
      </c>
      <c r="X610">
        <v>0.85</v>
      </c>
    </row>
    <row r="611" spans="1:24" x14ac:dyDescent="0.3">
      <c r="A611" t="s">
        <v>1102</v>
      </c>
      <c r="B611" s="1">
        <v>46013</v>
      </c>
      <c r="C611" t="s">
        <v>25</v>
      </c>
      <c r="D611" t="s">
        <v>39</v>
      </c>
      <c r="E611" t="s">
        <v>40</v>
      </c>
      <c r="F611" t="s">
        <v>58</v>
      </c>
      <c r="G611" t="s">
        <v>59</v>
      </c>
      <c r="H611" t="s">
        <v>296</v>
      </c>
      <c r="I611" t="s">
        <v>416</v>
      </c>
      <c r="J611" t="s">
        <v>62</v>
      </c>
      <c r="K611" t="s">
        <v>33</v>
      </c>
      <c r="L611" t="s">
        <v>34</v>
      </c>
      <c r="M611" t="s">
        <v>86</v>
      </c>
      <c r="N611" t="s">
        <v>36</v>
      </c>
      <c r="O611">
        <v>60</v>
      </c>
      <c r="P611">
        <v>60</v>
      </c>
      <c r="Q611">
        <v>65.7</v>
      </c>
      <c r="R611">
        <v>1500</v>
      </c>
      <c r="S611">
        <v>1500</v>
      </c>
      <c r="T611">
        <v>0</v>
      </c>
      <c r="U611">
        <v>0</v>
      </c>
      <c r="V611">
        <v>1</v>
      </c>
      <c r="W611">
        <v>0</v>
      </c>
      <c r="X611">
        <v>0.85</v>
      </c>
    </row>
    <row r="612" spans="1:24" x14ac:dyDescent="0.3">
      <c r="A612" t="s">
        <v>1103</v>
      </c>
      <c r="B612" s="1">
        <v>45677</v>
      </c>
      <c r="C612" t="s">
        <v>130</v>
      </c>
      <c r="D612" t="s">
        <v>39</v>
      </c>
      <c r="E612" t="s">
        <v>68</v>
      </c>
      <c r="F612" t="s">
        <v>41</v>
      </c>
      <c r="G612" t="s">
        <v>42</v>
      </c>
      <c r="H612" t="s">
        <v>111</v>
      </c>
      <c r="I612" t="s">
        <v>370</v>
      </c>
      <c r="J612" t="s">
        <v>45</v>
      </c>
      <c r="K612" t="s">
        <v>46</v>
      </c>
      <c r="L612" t="s">
        <v>78</v>
      </c>
      <c r="M612" t="s">
        <v>35</v>
      </c>
      <c r="N612" t="s">
        <v>36</v>
      </c>
      <c r="O612">
        <v>60</v>
      </c>
      <c r="P612">
        <v>60</v>
      </c>
      <c r="Q612">
        <v>74</v>
      </c>
      <c r="R612">
        <v>1450</v>
      </c>
      <c r="S612">
        <v>1450</v>
      </c>
      <c r="T612">
        <v>0</v>
      </c>
      <c r="U612">
        <v>0</v>
      </c>
      <c r="V612">
        <v>1</v>
      </c>
      <c r="W612">
        <v>0</v>
      </c>
      <c r="X612">
        <v>0.85</v>
      </c>
    </row>
    <row r="613" spans="1:24" x14ac:dyDescent="0.3">
      <c r="A613" t="s">
        <v>1104</v>
      </c>
      <c r="B613" s="1">
        <v>45707</v>
      </c>
      <c r="C613" t="s">
        <v>76</v>
      </c>
      <c r="D613" t="s">
        <v>57</v>
      </c>
      <c r="E613" t="s">
        <v>68</v>
      </c>
      <c r="F613" t="s">
        <v>58</v>
      </c>
      <c r="G613" t="s">
        <v>59</v>
      </c>
      <c r="H613" t="s">
        <v>73</v>
      </c>
      <c r="I613" t="s">
        <v>1105</v>
      </c>
      <c r="J613" t="s">
        <v>45</v>
      </c>
      <c r="K613" t="s">
        <v>104</v>
      </c>
      <c r="L613" t="s">
        <v>34</v>
      </c>
      <c r="M613" t="s">
        <v>86</v>
      </c>
      <c r="N613" t="s">
        <v>36</v>
      </c>
      <c r="O613">
        <v>45</v>
      </c>
      <c r="P613">
        <v>45</v>
      </c>
      <c r="Q613">
        <v>58.6</v>
      </c>
      <c r="R613">
        <v>1300</v>
      </c>
      <c r="S613">
        <v>1300</v>
      </c>
      <c r="T613">
        <v>0</v>
      </c>
      <c r="U613">
        <v>0</v>
      </c>
      <c r="V613">
        <v>1</v>
      </c>
      <c r="W613">
        <v>0</v>
      </c>
      <c r="X613">
        <v>0.85</v>
      </c>
    </row>
    <row r="614" spans="1:24" x14ac:dyDescent="0.3">
      <c r="A614" t="s">
        <v>1106</v>
      </c>
      <c r="B614" s="1">
        <v>45685</v>
      </c>
      <c r="C614" t="s">
        <v>130</v>
      </c>
      <c r="D614" t="s">
        <v>26</v>
      </c>
      <c r="E614" t="s">
        <v>40</v>
      </c>
      <c r="F614" t="s">
        <v>41</v>
      </c>
      <c r="G614" t="s">
        <v>42</v>
      </c>
      <c r="H614" t="s">
        <v>111</v>
      </c>
      <c r="I614" t="s">
        <v>724</v>
      </c>
      <c r="J614" t="s">
        <v>53</v>
      </c>
      <c r="K614" t="s">
        <v>63</v>
      </c>
      <c r="L614" t="s">
        <v>34</v>
      </c>
      <c r="M614" t="s">
        <v>71</v>
      </c>
      <c r="N614" t="s">
        <v>95</v>
      </c>
      <c r="O614">
        <v>45</v>
      </c>
      <c r="P614">
        <v>0</v>
      </c>
      <c r="Q614">
        <v>59.8</v>
      </c>
      <c r="R614">
        <v>1200</v>
      </c>
      <c r="S614">
        <v>0</v>
      </c>
      <c r="T614">
        <v>1200</v>
      </c>
      <c r="U614">
        <v>1</v>
      </c>
      <c r="V614">
        <v>0</v>
      </c>
      <c r="W614">
        <v>0</v>
      </c>
      <c r="X614">
        <v>0.85</v>
      </c>
    </row>
    <row r="615" spans="1:24" x14ac:dyDescent="0.3">
      <c r="A615" t="s">
        <v>1107</v>
      </c>
      <c r="B615" s="1">
        <v>45791</v>
      </c>
      <c r="C615" t="s">
        <v>128</v>
      </c>
      <c r="D615" t="s">
        <v>57</v>
      </c>
      <c r="E615" t="s">
        <v>27</v>
      </c>
      <c r="F615" t="s">
        <v>58</v>
      </c>
      <c r="G615" t="s">
        <v>59</v>
      </c>
      <c r="H615" t="s">
        <v>151</v>
      </c>
      <c r="I615" t="s">
        <v>879</v>
      </c>
      <c r="J615" t="s">
        <v>137</v>
      </c>
      <c r="K615" t="s">
        <v>33</v>
      </c>
      <c r="L615" t="s">
        <v>34</v>
      </c>
      <c r="M615" t="s">
        <v>35</v>
      </c>
      <c r="N615" t="s">
        <v>36</v>
      </c>
      <c r="O615">
        <v>45</v>
      </c>
      <c r="P615">
        <v>45</v>
      </c>
      <c r="Q615">
        <v>59.7</v>
      </c>
      <c r="R615">
        <v>1100</v>
      </c>
      <c r="S615">
        <v>1100</v>
      </c>
      <c r="T615">
        <v>0</v>
      </c>
      <c r="U615">
        <v>0</v>
      </c>
      <c r="V615">
        <v>1</v>
      </c>
      <c r="W615">
        <v>0</v>
      </c>
      <c r="X615">
        <v>0.85</v>
      </c>
    </row>
    <row r="616" spans="1:24" x14ac:dyDescent="0.3">
      <c r="A616" t="s">
        <v>1108</v>
      </c>
      <c r="B616" s="1">
        <v>45946</v>
      </c>
      <c r="C616" t="s">
        <v>97</v>
      </c>
      <c r="D616" t="s">
        <v>50</v>
      </c>
      <c r="E616" t="s">
        <v>27</v>
      </c>
      <c r="F616" t="s">
        <v>41</v>
      </c>
      <c r="G616" t="s">
        <v>42</v>
      </c>
      <c r="H616" t="s">
        <v>89</v>
      </c>
      <c r="I616" t="s">
        <v>513</v>
      </c>
      <c r="J616" t="s">
        <v>62</v>
      </c>
      <c r="K616" t="s">
        <v>85</v>
      </c>
      <c r="L616" t="s">
        <v>64</v>
      </c>
      <c r="M616" t="s">
        <v>35</v>
      </c>
      <c r="N616" t="s">
        <v>153</v>
      </c>
      <c r="O616">
        <v>60</v>
      </c>
      <c r="P616">
        <v>0</v>
      </c>
      <c r="Q616">
        <v>67.5</v>
      </c>
      <c r="R616">
        <v>1350</v>
      </c>
      <c r="S616">
        <v>0</v>
      </c>
      <c r="T616">
        <v>0</v>
      </c>
      <c r="U616">
        <v>0</v>
      </c>
      <c r="V616">
        <v>0</v>
      </c>
      <c r="W616">
        <v>0</v>
      </c>
      <c r="X616">
        <v>0.85</v>
      </c>
    </row>
    <row r="617" spans="1:24" x14ac:dyDescent="0.3">
      <c r="A617" t="s">
        <v>1109</v>
      </c>
      <c r="B617" s="1">
        <v>45723</v>
      </c>
      <c r="C617" t="s">
        <v>56</v>
      </c>
      <c r="D617" t="s">
        <v>82</v>
      </c>
      <c r="E617" t="s">
        <v>68</v>
      </c>
      <c r="F617" t="s">
        <v>41</v>
      </c>
      <c r="G617" t="s">
        <v>42</v>
      </c>
      <c r="H617" t="s">
        <v>125</v>
      </c>
      <c r="I617" t="s">
        <v>937</v>
      </c>
      <c r="J617" t="s">
        <v>32</v>
      </c>
      <c r="K617" t="s">
        <v>33</v>
      </c>
      <c r="L617" t="s">
        <v>34</v>
      </c>
      <c r="M617" t="s">
        <v>94</v>
      </c>
      <c r="N617" t="s">
        <v>36</v>
      </c>
      <c r="O617">
        <v>45</v>
      </c>
      <c r="P617">
        <v>45</v>
      </c>
      <c r="Q617">
        <v>58.9</v>
      </c>
      <c r="R617">
        <v>1000</v>
      </c>
      <c r="S617">
        <v>1000</v>
      </c>
      <c r="T617">
        <v>0</v>
      </c>
      <c r="U617">
        <v>0</v>
      </c>
      <c r="V617">
        <v>1</v>
      </c>
      <c r="W617">
        <v>0</v>
      </c>
      <c r="X617">
        <v>0.85</v>
      </c>
    </row>
    <row r="618" spans="1:24" x14ac:dyDescent="0.3">
      <c r="A618" t="s">
        <v>1110</v>
      </c>
      <c r="B618" s="1">
        <v>45687</v>
      </c>
      <c r="C618" t="s">
        <v>130</v>
      </c>
      <c r="D618" t="s">
        <v>50</v>
      </c>
      <c r="E618" t="s">
        <v>27</v>
      </c>
      <c r="F618" t="s">
        <v>28</v>
      </c>
      <c r="G618" t="s">
        <v>29</v>
      </c>
      <c r="H618" t="s">
        <v>135</v>
      </c>
      <c r="I618" t="s">
        <v>168</v>
      </c>
      <c r="J618" t="s">
        <v>99</v>
      </c>
      <c r="K618" t="s">
        <v>70</v>
      </c>
      <c r="L618" t="s">
        <v>34</v>
      </c>
      <c r="M618" t="s">
        <v>86</v>
      </c>
      <c r="N618" t="s">
        <v>36</v>
      </c>
      <c r="O618">
        <v>45</v>
      </c>
      <c r="P618">
        <v>45</v>
      </c>
      <c r="Q618">
        <v>52.9</v>
      </c>
      <c r="R618">
        <v>950</v>
      </c>
      <c r="S618">
        <v>950</v>
      </c>
      <c r="T618">
        <v>0</v>
      </c>
      <c r="U618">
        <v>0</v>
      </c>
      <c r="V618">
        <v>1</v>
      </c>
      <c r="W618">
        <v>0</v>
      </c>
      <c r="X618">
        <v>0.85</v>
      </c>
    </row>
    <row r="619" spans="1:24" x14ac:dyDescent="0.3">
      <c r="A619" t="s">
        <v>1111</v>
      </c>
      <c r="B619" s="1">
        <v>45782</v>
      </c>
      <c r="C619" t="s">
        <v>128</v>
      </c>
      <c r="D619" t="s">
        <v>39</v>
      </c>
      <c r="E619" t="s">
        <v>27</v>
      </c>
      <c r="F619" t="s">
        <v>58</v>
      </c>
      <c r="G619" t="s">
        <v>59</v>
      </c>
      <c r="H619" t="s">
        <v>60</v>
      </c>
      <c r="I619" t="s">
        <v>1112</v>
      </c>
      <c r="J619" t="s">
        <v>53</v>
      </c>
      <c r="K619" t="s">
        <v>33</v>
      </c>
      <c r="L619" t="s">
        <v>34</v>
      </c>
      <c r="M619" t="s">
        <v>65</v>
      </c>
      <c r="N619" t="s">
        <v>36</v>
      </c>
      <c r="O619">
        <v>30</v>
      </c>
      <c r="P619">
        <v>30</v>
      </c>
      <c r="Q619">
        <v>35.5</v>
      </c>
      <c r="R619">
        <v>900</v>
      </c>
      <c r="S619">
        <v>900</v>
      </c>
      <c r="T619">
        <v>0</v>
      </c>
      <c r="U619">
        <v>0</v>
      </c>
      <c r="V619">
        <v>1</v>
      </c>
      <c r="W619">
        <v>0</v>
      </c>
      <c r="X619">
        <v>0.85</v>
      </c>
    </row>
    <row r="620" spans="1:24" x14ac:dyDescent="0.3">
      <c r="A620" t="s">
        <v>1113</v>
      </c>
      <c r="B620" s="1">
        <v>45922</v>
      </c>
      <c r="C620" t="s">
        <v>49</v>
      </c>
      <c r="D620" t="s">
        <v>39</v>
      </c>
      <c r="E620" t="s">
        <v>83</v>
      </c>
      <c r="F620" t="s">
        <v>28</v>
      </c>
      <c r="G620" t="s">
        <v>29</v>
      </c>
      <c r="H620" t="s">
        <v>210</v>
      </c>
      <c r="I620" t="s">
        <v>1114</v>
      </c>
      <c r="J620" t="s">
        <v>62</v>
      </c>
      <c r="K620" t="s">
        <v>33</v>
      </c>
      <c r="L620" t="s">
        <v>34</v>
      </c>
      <c r="M620" t="s">
        <v>47</v>
      </c>
      <c r="N620" t="s">
        <v>95</v>
      </c>
      <c r="O620">
        <v>90</v>
      </c>
      <c r="P620">
        <v>0</v>
      </c>
      <c r="Q620">
        <v>103.8</v>
      </c>
      <c r="R620">
        <v>1900</v>
      </c>
      <c r="S620">
        <v>0</v>
      </c>
      <c r="T620">
        <v>1900</v>
      </c>
      <c r="U620">
        <v>1</v>
      </c>
      <c r="V620">
        <v>0</v>
      </c>
      <c r="W620">
        <v>0</v>
      </c>
      <c r="X620">
        <v>0.85</v>
      </c>
    </row>
    <row r="621" spans="1:24" x14ac:dyDescent="0.3">
      <c r="A621" t="s">
        <v>1115</v>
      </c>
      <c r="B621" s="1">
        <v>45913</v>
      </c>
      <c r="C621" t="s">
        <v>49</v>
      </c>
      <c r="D621" t="s">
        <v>88</v>
      </c>
      <c r="E621" t="s">
        <v>27</v>
      </c>
      <c r="F621" t="s">
        <v>41</v>
      </c>
      <c r="G621" t="s">
        <v>42</v>
      </c>
      <c r="H621" t="s">
        <v>43</v>
      </c>
      <c r="I621" t="s">
        <v>1116</v>
      </c>
      <c r="J621" t="s">
        <v>62</v>
      </c>
      <c r="K621" t="s">
        <v>46</v>
      </c>
      <c r="L621" t="s">
        <v>64</v>
      </c>
      <c r="M621" t="s">
        <v>35</v>
      </c>
      <c r="N621" t="s">
        <v>36</v>
      </c>
      <c r="O621">
        <v>30</v>
      </c>
      <c r="P621">
        <v>30</v>
      </c>
      <c r="Q621">
        <v>38.799999999999997</v>
      </c>
      <c r="R621">
        <v>700</v>
      </c>
      <c r="S621">
        <v>700</v>
      </c>
      <c r="T621">
        <v>0</v>
      </c>
      <c r="U621">
        <v>0</v>
      </c>
      <c r="V621">
        <v>1</v>
      </c>
      <c r="W621">
        <v>0</v>
      </c>
      <c r="X621">
        <v>0.85</v>
      </c>
    </row>
    <row r="622" spans="1:24" x14ac:dyDescent="0.3">
      <c r="A622" t="s">
        <v>1117</v>
      </c>
      <c r="B622" s="1">
        <v>45677</v>
      </c>
      <c r="C622" t="s">
        <v>130</v>
      </c>
      <c r="D622" t="s">
        <v>39</v>
      </c>
      <c r="E622" t="s">
        <v>83</v>
      </c>
      <c r="F622" t="s">
        <v>41</v>
      </c>
      <c r="G622" t="s">
        <v>42</v>
      </c>
      <c r="H622" t="s">
        <v>89</v>
      </c>
      <c r="I622" t="s">
        <v>1118</v>
      </c>
      <c r="J622" t="s">
        <v>62</v>
      </c>
      <c r="K622" t="s">
        <v>46</v>
      </c>
      <c r="L622" t="s">
        <v>78</v>
      </c>
      <c r="M622" t="s">
        <v>47</v>
      </c>
      <c r="N622" t="s">
        <v>36</v>
      </c>
      <c r="O622">
        <v>45</v>
      </c>
      <c r="P622">
        <v>45</v>
      </c>
      <c r="Q622">
        <v>53.1</v>
      </c>
      <c r="R622">
        <v>950</v>
      </c>
      <c r="S622">
        <v>950</v>
      </c>
      <c r="T622">
        <v>0</v>
      </c>
      <c r="U622">
        <v>0</v>
      </c>
      <c r="V622">
        <v>1</v>
      </c>
      <c r="W622">
        <v>0</v>
      </c>
      <c r="X622">
        <v>0.85</v>
      </c>
    </row>
    <row r="623" spans="1:24" x14ac:dyDescent="0.3">
      <c r="A623" t="s">
        <v>1119</v>
      </c>
      <c r="B623" s="1">
        <v>45810</v>
      </c>
      <c r="C623" t="s">
        <v>67</v>
      </c>
      <c r="D623" t="s">
        <v>39</v>
      </c>
      <c r="E623" t="s">
        <v>40</v>
      </c>
      <c r="F623" t="s">
        <v>28</v>
      </c>
      <c r="G623" t="s">
        <v>29</v>
      </c>
      <c r="H623" t="s">
        <v>210</v>
      </c>
      <c r="I623" t="s">
        <v>1120</v>
      </c>
      <c r="J623" t="s">
        <v>53</v>
      </c>
      <c r="K623" t="s">
        <v>63</v>
      </c>
      <c r="L623" t="s">
        <v>64</v>
      </c>
      <c r="M623" t="s">
        <v>65</v>
      </c>
      <c r="N623" t="s">
        <v>36</v>
      </c>
      <c r="O623">
        <v>60</v>
      </c>
      <c r="P623">
        <v>60</v>
      </c>
      <c r="Q623">
        <v>66.900000000000006</v>
      </c>
      <c r="R623">
        <v>1500</v>
      </c>
      <c r="S623">
        <v>1500</v>
      </c>
      <c r="T623">
        <v>0</v>
      </c>
      <c r="U623">
        <v>0</v>
      </c>
      <c r="V623">
        <v>1</v>
      </c>
      <c r="W623">
        <v>0</v>
      </c>
      <c r="X623">
        <v>0.85</v>
      </c>
    </row>
    <row r="624" spans="1:24" x14ac:dyDescent="0.3">
      <c r="A624" t="s">
        <v>1121</v>
      </c>
      <c r="B624" s="1">
        <v>46014</v>
      </c>
      <c r="C624" t="s">
        <v>25</v>
      </c>
      <c r="D624" t="s">
        <v>26</v>
      </c>
      <c r="E624" t="s">
        <v>40</v>
      </c>
      <c r="F624" t="s">
        <v>58</v>
      </c>
      <c r="G624" t="s">
        <v>59</v>
      </c>
      <c r="H624" t="s">
        <v>117</v>
      </c>
      <c r="I624" t="s">
        <v>574</v>
      </c>
      <c r="J624" t="s">
        <v>62</v>
      </c>
      <c r="K624" t="s">
        <v>104</v>
      </c>
      <c r="L624" t="s">
        <v>34</v>
      </c>
      <c r="M624" t="s">
        <v>65</v>
      </c>
      <c r="N624" t="s">
        <v>36</v>
      </c>
      <c r="O624">
        <v>60</v>
      </c>
      <c r="P624">
        <v>60</v>
      </c>
      <c r="Q624">
        <v>66.599999999999994</v>
      </c>
      <c r="R624">
        <v>1500</v>
      </c>
      <c r="S624">
        <v>1500</v>
      </c>
      <c r="T624">
        <v>0</v>
      </c>
      <c r="U624">
        <v>0</v>
      </c>
      <c r="V624">
        <v>1</v>
      </c>
      <c r="W624">
        <v>0</v>
      </c>
      <c r="X624">
        <v>0.85</v>
      </c>
    </row>
    <row r="625" spans="1:24" x14ac:dyDescent="0.3">
      <c r="A625" t="s">
        <v>1122</v>
      </c>
      <c r="B625" s="1">
        <v>45787</v>
      </c>
      <c r="C625" t="s">
        <v>128</v>
      </c>
      <c r="D625" t="s">
        <v>88</v>
      </c>
      <c r="E625" t="s">
        <v>68</v>
      </c>
      <c r="F625" t="s">
        <v>41</v>
      </c>
      <c r="G625" t="s">
        <v>42</v>
      </c>
      <c r="H625" t="s">
        <v>51</v>
      </c>
      <c r="I625" t="s">
        <v>979</v>
      </c>
      <c r="J625" t="s">
        <v>62</v>
      </c>
      <c r="K625" t="s">
        <v>70</v>
      </c>
      <c r="L625" t="s">
        <v>34</v>
      </c>
      <c r="M625" t="s">
        <v>35</v>
      </c>
      <c r="N625" t="s">
        <v>36</v>
      </c>
      <c r="O625">
        <v>60</v>
      </c>
      <c r="P625">
        <v>60</v>
      </c>
      <c r="Q625">
        <v>67.400000000000006</v>
      </c>
      <c r="R625">
        <v>1350</v>
      </c>
      <c r="S625">
        <v>1350</v>
      </c>
      <c r="T625">
        <v>0</v>
      </c>
      <c r="U625">
        <v>0</v>
      </c>
      <c r="V625">
        <v>1</v>
      </c>
      <c r="W625">
        <v>0</v>
      </c>
      <c r="X625">
        <v>0.85</v>
      </c>
    </row>
    <row r="626" spans="1:24" x14ac:dyDescent="0.3">
      <c r="A626" t="s">
        <v>1123</v>
      </c>
      <c r="B626" s="1">
        <v>45797</v>
      </c>
      <c r="C626" t="s">
        <v>128</v>
      </c>
      <c r="D626" t="s">
        <v>26</v>
      </c>
      <c r="E626" t="s">
        <v>27</v>
      </c>
      <c r="F626" t="s">
        <v>41</v>
      </c>
      <c r="G626" t="s">
        <v>42</v>
      </c>
      <c r="H626" t="s">
        <v>51</v>
      </c>
      <c r="I626" t="s">
        <v>1124</v>
      </c>
      <c r="J626" t="s">
        <v>32</v>
      </c>
      <c r="K626" t="s">
        <v>33</v>
      </c>
      <c r="L626" t="s">
        <v>34</v>
      </c>
      <c r="M626" t="s">
        <v>47</v>
      </c>
      <c r="N626" t="s">
        <v>95</v>
      </c>
      <c r="O626">
        <v>45</v>
      </c>
      <c r="P626">
        <v>0</v>
      </c>
      <c r="Q626">
        <v>59.9</v>
      </c>
      <c r="R626">
        <v>1000</v>
      </c>
      <c r="S626">
        <v>0</v>
      </c>
      <c r="T626">
        <v>1000</v>
      </c>
      <c r="U626">
        <v>1</v>
      </c>
      <c r="V626">
        <v>0</v>
      </c>
      <c r="W626">
        <v>0</v>
      </c>
      <c r="X626">
        <v>0.85</v>
      </c>
    </row>
    <row r="627" spans="1:24" x14ac:dyDescent="0.3">
      <c r="A627" t="s">
        <v>1125</v>
      </c>
      <c r="B627" s="1">
        <v>45751</v>
      </c>
      <c r="C627" t="s">
        <v>92</v>
      </c>
      <c r="D627" t="s">
        <v>82</v>
      </c>
      <c r="E627" t="s">
        <v>83</v>
      </c>
      <c r="F627" t="s">
        <v>28</v>
      </c>
      <c r="G627" t="s">
        <v>29</v>
      </c>
      <c r="H627" t="s">
        <v>30</v>
      </c>
      <c r="I627" t="s">
        <v>1126</v>
      </c>
      <c r="J627" t="s">
        <v>32</v>
      </c>
      <c r="K627" t="s">
        <v>85</v>
      </c>
      <c r="L627" t="s">
        <v>64</v>
      </c>
      <c r="M627" t="s">
        <v>71</v>
      </c>
      <c r="N627" t="s">
        <v>113</v>
      </c>
      <c r="O627">
        <v>30</v>
      </c>
      <c r="P627">
        <v>0</v>
      </c>
      <c r="Q627">
        <v>34.4</v>
      </c>
      <c r="R627">
        <v>600</v>
      </c>
      <c r="S627">
        <v>0</v>
      </c>
      <c r="T627">
        <v>600</v>
      </c>
      <c r="U627">
        <v>0</v>
      </c>
      <c r="V627">
        <v>0</v>
      </c>
      <c r="W627">
        <v>1</v>
      </c>
      <c r="X627">
        <v>0.85</v>
      </c>
    </row>
    <row r="628" spans="1:24" x14ac:dyDescent="0.3">
      <c r="A628" t="s">
        <v>1127</v>
      </c>
      <c r="B628" s="1">
        <v>46008</v>
      </c>
      <c r="C628" t="s">
        <v>25</v>
      </c>
      <c r="D628" t="s">
        <v>57</v>
      </c>
      <c r="E628" t="s">
        <v>40</v>
      </c>
      <c r="F628" t="s">
        <v>41</v>
      </c>
      <c r="G628" t="s">
        <v>42</v>
      </c>
      <c r="H628" t="s">
        <v>125</v>
      </c>
      <c r="I628" t="s">
        <v>1128</v>
      </c>
      <c r="J628" t="s">
        <v>45</v>
      </c>
      <c r="K628" t="s">
        <v>33</v>
      </c>
      <c r="L628" t="s">
        <v>64</v>
      </c>
      <c r="M628" t="s">
        <v>47</v>
      </c>
      <c r="N628" t="s">
        <v>36</v>
      </c>
      <c r="O628">
        <v>60</v>
      </c>
      <c r="P628">
        <v>60</v>
      </c>
      <c r="Q628">
        <v>78.8</v>
      </c>
      <c r="R628">
        <v>1550</v>
      </c>
      <c r="S628">
        <v>1550</v>
      </c>
      <c r="T628">
        <v>0</v>
      </c>
      <c r="U628">
        <v>0</v>
      </c>
      <c r="V628">
        <v>1</v>
      </c>
      <c r="W628">
        <v>0</v>
      </c>
      <c r="X628">
        <v>0.85</v>
      </c>
    </row>
    <row r="629" spans="1:24" x14ac:dyDescent="0.3">
      <c r="A629" t="s">
        <v>1129</v>
      </c>
      <c r="B629" s="1">
        <v>45973</v>
      </c>
      <c r="C629" t="s">
        <v>38</v>
      </c>
      <c r="D629" t="s">
        <v>57</v>
      </c>
      <c r="E629" t="s">
        <v>40</v>
      </c>
      <c r="F629" t="s">
        <v>28</v>
      </c>
      <c r="G629" t="s">
        <v>29</v>
      </c>
      <c r="H629" t="s">
        <v>210</v>
      </c>
      <c r="I629" t="s">
        <v>1130</v>
      </c>
      <c r="J629" t="s">
        <v>32</v>
      </c>
      <c r="K629" t="s">
        <v>85</v>
      </c>
      <c r="L629" t="s">
        <v>64</v>
      </c>
      <c r="M629" t="s">
        <v>65</v>
      </c>
      <c r="N629" t="s">
        <v>36</v>
      </c>
      <c r="O629">
        <v>60</v>
      </c>
      <c r="P629">
        <v>60</v>
      </c>
      <c r="Q629">
        <v>78.599999999999994</v>
      </c>
      <c r="R629">
        <v>1250</v>
      </c>
      <c r="S629">
        <v>1250</v>
      </c>
      <c r="T629">
        <v>0</v>
      </c>
      <c r="U629">
        <v>0</v>
      </c>
      <c r="V629">
        <v>1</v>
      </c>
      <c r="W629">
        <v>0</v>
      </c>
      <c r="X629">
        <v>0.85</v>
      </c>
    </row>
    <row r="630" spans="1:24" x14ac:dyDescent="0.3">
      <c r="A630" t="s">
        <v>1131</v>
      </c>
      <c r="B630" s="1">
        <v>45841</v>
      </c>
      <c r="C630" t="s">
        <v>101</v>
      </c>
      <c r="D630" t="s">
        <v>50</v>
      </c>
      <c r="E630" t="s">
        <v>83</v>
      </c>
      <c r="F630" t="s">
        <v>41</v>
      </c>
      <c r="G630" t="s">
        <v>42</v>
      </c>
      <c r="H630" t="s">
        <v>89</v>
      </c>
      <c r="I630" t="s">
        <v>890</v>
      </c>
      <c r="J630" t="s">
        <v>62</v>
      </c>
      <c r="K630" t="s">
        <v>33</v>
      </c>
      <c r="L630" t="s">
        <v>34</v>
      </c>
      <c r="M630" t="s">
        <v>94</v>
      </c>
      <c r="N630" t="s">
        <v>36</v>
      </c>
      <c r="O630">
        <v>30</v>
      </c>
      <c r="P630">
        <v>30</v>
      </c>
      <c r="Q630">
        <v>38.1</v>
      </c>
      <c r="R630">
        <v>700</v>
      </c>
      <c r="S630">
        <v>700</v>
      </c>
      <c r="T630">
        <v>0</v>
      </c>
      <c r="U630">
        <v>0</v>
      </c>
      <c r="V630">
        <v>1</v>
      </c>
      <c r="W630">
        <v>0</v>
      </c>
      <c r="X630">
        <v>0.85</v>
      </c>
    </row>
    <row r="631" spans="1:24" x14ac:dyDescent="0.3">
      <c r="A631" t="s">
        <v>1132</v>
      </c>
      <c r="B631" s="1">
        <v>45727</v>
      </c>
      <c r="C631" t="s">
        <v>56</v>
      </c>
      <c r="D631" t="s">
        <v>26</v>
      </c>
      <c r="E631" t="s">
        <v>83</v>
      </c>
      <c r="F631" t="s">
        <v>28</v>
      </c>
      <c r="G631" t="s">
        <v>29</v>
      </c>
      <c r="H631" t="s">
        <v>135</v>
      </c>
      <c r="I631" t="s">
        <v>281</v>
      </c>
      <c r="J631" t="s">
        <v>45</v>
      </c>
      <c r="K631" t="s">
        <v>33</v>
      </c>
      <c r="L631" t="s">
        <v>64</v>
      </c>
      <c r="M631" t="s">
        <v>47</v>
      </c>
      <c r="N631" t="s">
        <v>36</v>
      </c>
      <c r="O631">
        <v>60</v>
      </c>
      <c r="P631">
        <v>60</v>
      </c>
      <c r="Q631">
        <v>68.400000000000006</v>
      </c>
      <c r="R631">
        <v>1450</v>
      </c>
      <c r="S631">
        <v>1450</v>
      </c>
      <c r="T631">
        <v>0</v>
      </c>
      <c r="U631">
        <v>0</v>
      </c>
      <c r="V631">
        <v>1</v>
      </c>
      <c r="W631">
        <v>0</v>
      </c>
      <c r="X631">
        <v>0.85</v>
      </c>
    </row>
    <row r="632" spans="1:24" x14ac:dyDescent="0.3">
      <c r="A632" t="s">
        <v>1133</v>
      </c>
      <c r="B632" s="1">
        <v>45845</v>
      </c>
      <c r="C632" t="s">
        <v>101</v>
      </c>
      <c r="D632" t="s">
        <v>39</v>
      </c>
      <c r="E632" t="s">
        <v>40</v>
      </c>
      <c r="F632" t="s">
        <v>28</v>
      </c>
      <c r="G632" t="s">
        <v>29</v>
      </c>
      <c r="H632" t="s">
        <v>102</v>
      </c>
      <c r="I632" t="s">
        <v>442</v>
      </c>
      <c r="J632" t="s">
        <v>45</v>
      </c>
      <c r="K632" t="s">
        <v>63</v>
      </c>
      <c r="L632" t="s">
        <v>34</v>
      </c>
      <c r="M632" t="s">
        <v>94</v>
      </c>
      <c r="N632" t="s">
        <v>36</v>
      </c>
      <c r="O632">
        <v>45</v>
      </c>
      <c r="P632">
        <v>45</v>
      </c>
      <c r="Q632">
        <v>54.5</v>
      </c>
      <c r="R632">
        <v>1100</v>
      </c>
      <c r="S632">
        <v>1100</v>
      </c>
      <c r="T632">
        <v>0</v>
      </c>
      <c r="U632">
        <v>0</v>
      </c>
      <c r="V632">
        <v>1</v>
      </c>
      <c r="W632">
        <v>0</v>
      </c>
      <c r="X632">
        <v>0.85</v>
      </c>
    </row>
    <row r="633" spans="1:24" x14ac:dyDescent="0.3">
      <c r="A633" t="s">
        <v>1134</v>
      </c>
      <c r="B633" s="1">
        <v>45705</v>
      </c>
      <c r="C633" t="s">
        <v>76</v>
      </c>
      <c r="D633" t="s">
        <v>39</v>
      </c>
      <c r="E633" t="s">
        <v>68</v>
      </c>
      <c r="F633" t="s">
        <v>58</v>
      </c>
      <c r="G633" t="s">
        <v>59</v>
      </c>
      <c r="H633" t="s">
        <v>151</v>
      </c>
      <c r="I633" t="s">
        <v>1135</v>
      </c>
      <c r="J633" t="s">
        <v>62</v>
      </c>
      <c r="K633" t="s">
        <v>33</v>
      </c>
      <c r="L633" t="s">
        <v>34</v>
      </c>
      <c r="M633" t="s">
        <v>86</v>
      </c>
      <c r="N633" t="s">
        <v>36</v>
      </c>
      <c r="O633">
        <v>45</v>
      </c>
      <c r="P633">
        <v>45</v>
      </c>
      <c r="Q633">
        <v>50.5</v>
      </c>
      <c r="R633">
        <v>1100</v>
      </c>
      <c r="S633">
        <v>1100</v>
      </c>
      <c r="T633">
        <v>0</v>
      </c>
      <c r="U633">
        <v>0</v>
      </c>
      <c r="V633">
        <v>1</v>
      </c>
      <c r="W633">
        <v>0</v>
      </c>
      <c r="X633">
        <v>0.85</v>
      </c>
    </row>
    <row r="634" spans="1:24" x14ac:dyDescent="0.3">
      <c r="A634" t="s">
        <v>1136</v>
      </c>
      <c r="B634" s="1">
        <v>45965</v>
      </c>
      <c r="C634" t="s">
        <v>38</v>
      </c>
      <c r="D634" t="s">
        <v>26</v>
      </c>
      <c r="E634" t="s">
        <v>68</v>
      </c>
      <c r="F634" t="s">
        <v>58</v>
      </c>
      <c r="G634" t="s">
        <v>59</v>
      </c>
      <c r="H634" t="s">
        <v>117</v>
      </c>
      <c r="I634" t="s">
        <v>1137</v>
      </c>
      <c r="J634" t="s">
        <v>62</v>
      </c>
      <c r="K634" t="s">
        <v>70</v>
      </c>
      <c r="L634" t="s">
        <v>64</v>
      </c>
      <c r="M634" t="s">
        <v>86</v>
      </c>
      <c r="N634" t="s">
        <v>36</v>
      </c>
      <c r="O634">
        <v>30</v>
      </c>
      <c r="P634">
        <v>30</v>
      </c>
      <c r="Q634">
        <v>40</v>
      </c>
      <c r="R634">
        <v>750</v>
      </c>
      <c r="S634">
        <v>750</v>
      </c>
      <c r="T634">
        <v>0</v>
      </c>
      <c r="U634">
        <v>0</v>
      </c>
      <c r="V634">
        <v>1</v>
      </c>
      <c r="W634">
        <v>0</v>
      </c>
      <c r="X634">
        <v>0.85</v>
      </c>
    </row>
    <row r="635" spans="1:24" x14ac:dyDescent="0.3">
      <c r="A635" t="s">
        <v>1138</v>
      </c>
      <c r="B635" s="1">
        <v>45860</v>
      </c>
      <c r="C635" t="s">
        <v>101</v>
      </c>
      <c r="D635" t="s">
        <v>26</v>
      </c>
      <c r="E635" t="s">
        <v>68</v>
      </c>
      <c r="F635" t="s">
        <v>58</v>
      </c>
      <c r="G635" t="s">
        <v>59</v>
      </c>
      <c r="H635" t="s">
        <v>151</v>
      </c>
      <c r="I635" t="s">
        <v>1139</v>
      </c>
      <c r="J635" t="s">
        <v>62</v>
      </c>
      <c r="K635" t="s">
        <v>63</v>
      </c>
      <c r="L635" t="s">
        <v>64</v>
      </c>
      <c r="M635" t="s">
        <v>71</v>
      </c>
      <c r="N635" t="s">
        <v>36</v>
      </c>
      <c r="O635">
        <v>60</v>
      </c>
      <c r="P635">
        <v>60</v>
      </c>
      <c r="Q635">
        <v>73.3</v>
      </c>
      <c r="R635">
        <v>1500</v>
      </c>
      <c r="S635">
        <v>1500</v>
      </c>
      <c r="T635">
        <v>0</v>
      </c>
      <c r="U635">
        <v>0</v>
      </c>
      <c r="V635">
        <v>1</v>
      </c>
      <c r="W635">
        <v>0</v>
      </c>
      <c r="X635">
        <v>0.85</v>
      </c>
    </row>
    <row r="636" spans="1:24" x14ac:dyDescent="0.3">
      <c r="A636" t="s">
        <v>1140</v>
      </c>
      <c r="B636" s="1">
        <v>45926</v>
      </c>
      <c r="C636" t="s">
        <v>49</v>
      </c>
      <c r="D636" t="s">
        <v>82</v>
      </c>
      <c r="E636" t="s">
        <v>68</v>
      </c>
      <c r="F636" t="s">
        <v>41</v>
      </c>
      <c r="G636" t="s">
        <v>42</v>
      </c>
      <c r="H636" t="s">
        <v>89</v>
      </c>
      <c r="I636" t="s">
        <v>728</v>
      </c>
      <c r="J636" t="s">
        <v>32</v>
      </c>
      <c r="K636" t="s">
        <v>63</v>
      </c>
      <c r="L636" t="s">
        <v>64</v>
      </c>
      <c r="M636" t="s">
        <v>35</v>
      </c>
      <c r="N636" t="s">
        <v>36</v>
      </c>
      <c r="O636">
        <v>45</v>
      </c>
      <c r="P636">
        <v>45</v>
      </c>
      <c r="Q636">
        <v>50</v>
      </c>
      <c r="R636">
        <v>1000</v>
      </c>
      <c r="S636">
        <v>1000</v>
      </c>
      <c r="T636">
        <v>0</v>
      </c>
      <c r="U636">
        <v>0</v>
      </c>
      <c r="V636">
        <v>1</v>
      </c>
      <c r="W636">
        <v>0</v>
      </c>
      <c r="X636">
        <v>0.85</v>
      </c>
    </row>
    <row r="637" spans="1:24" x14ac:dyDescent="0.3">
      <c r="A637" t="s">
        <v>1141</v>
      </c>
      <c r="B637" s="1">
        <v>45754</v>
      </c>
      <c r="C637" t="s">
        <v>92</v>
      </c>
      <c r="D637" t="s">
        <v>39</v>
      </c>
      <c r="E637" t="s">
        <v>68</v>
      </c>
      <c r="F637" t="s">
        <v>58</v>
      </c>
      <c r="G637" t="s">
        <v>59</v>
      </c>
      <c r="H637" t="s">
        <v>117</v>
      </c>
      <c r="I637" t="s">
        <v>241</v>
      </c>
      <c r="J637" t="s">
        <v>99</v>
      </c>
      <c r="K637" t="s">
        <v>63</v>
      </c>
      <c r="L637" t="s">
        <v>54</v>
      </c>
      <c r="M637" t="s">
        <v>94</v>
      </c>
      <c r="N637" t="s">
        <v>36</v>
      </c>
      <c r="O637">
        <v>45</v>
      </c>
      <c r="P637">
        <v>45</v>
      </c>
      <c r="Q637">
        <v>51.8</v>
      </c>
      <c r="R637">
        <v>950</v>
      </c>
      <c r="S637">
        <v>950</v>
      </c>
      <c r="T637">
        <v>0</v>
      </c>
      <c r="U637">
        <v>0</v>
      </c>
      <c r="V637">
        <v>1</v>
      </c>
      <c r="W637">
        <v>0</v>
      </c>
      <c r="X637">
        <v>0.85</v>
      </c>
    </row>
    <row r="638" spans="1:24" x14ac:dyDescent="0.3">
      <c r="A638" t="s">
        <v>1142</v>
      </c>
      <c r="B638" s="1">
        <v>45843</v>
      </c>
      <c r="C638" t="s">
        <v>101</v>
      </c>
      <c r="D638" t="s">
        <v>88</v>
      </c>
      <c r="E638" t="s">
        <v>27</v>
      </c>
      <c r="F638" t="s">
        <v>28</v>
      </c>
      <c r="G638" t="s">
        <v>29</v>
      </c>
      <c r="H638" t="s">
        <v>30</v>
      </c>
      <c r="I638" t="s">
        <v>1143</v>
      </c>
      <c r="J638" t="s">
        <v>99</v>
      </c>
      <c r="K638" t="s">
        <v>70</v>
      </c>
      <c r="L638" t="s">
        <v>64</v>
      </c>
      <c r="M638" t="s">
        <v>86</v>
      </c>
      <c r="N638" t="s">
        <v>36</v>
      </c>
      <c r="O638">
        <v>90</v>
      </c>
      <c r="P638">
        <v>90</v>
      </c>
      <c r="Q638">
        <v>104.5</v>
      </c>
      <c r="R638">
        <v>1900</v>
      </c>
      <c r="S638">
        <v>1900</v>
      </c>
      <c r="T638">
        <v>0</v>
      </c>
      <c r="U638">
        <v>0</v>
      </c>
      <c r="V638">
        <v>1</v>
      </c>
      <c r="W638">
        <v>0</v>
      </c>
      <c r="X638">
        <v>0.85</v>
      </c>
    </row>
    <row r="639" spans="1:24" x14ac:dyDescent="0.3">
      <c r="A639" t="s">
        <v>1144</v>
      </c>
      <c r="B639" s="1">
        <v>45883</v>
      </c>
      <c r="C639" t="s">
        <v>110</v>
      </c>
      <c r="D639" t="s">
        <v>50</v>
      </c>
      <c r="E639" t="s">
        <v>40</v>
      </c>
      <c r="F639" t="s">
        <v>41</v>
      </c>
      <c r="G639" t="s">
        <v>42</v>
      </c>
      <c r="H639" t="s">
        <v>43</v>
      </c>
      <c r="I639" t="s">
        <v>827</v>
      </c>
      <c r="J639" t="s">
        <v>53</v>
      </c>
      <c r="K639" t="s">
        <v>63</v>
      </c>
      <c r="L639" t="s">
        <v>64</v>
      </c>
      <c r="M639" t="s">
        <v>65</v>
      </c>
      <c r="N639" t="s">
        <v>36</v>
      </c>
      <c r="O639">
        <v>45</v>
      </c>
      <c r="P639">
        <v>45</v>
      </c>
      <c r="Q639">
        <v>54.5</v>
      </c>
      <c r="R639">
        <v>1200</v>
      </c>
      <c r="S639">
        <v>1200</v>
      </c>
      <c r="T639">
        <v>0</v>
      </c>
      <c r="U639">
        <v>0</v>
      </c>
      <c r="V639">
        <v>1</v>
      </c>
      <c r="W639">
        <v>0</v>
      </c>
      <c r="X639">
        <v>0.85</v>
      </c>
    </row>
    <row r="640" spans="1:24" x14ac:dyDescent="0.3">
      <c r="A640" t="s">
        <v>1145</v>
      </c>
      <c r="B640" s="1">
        <v>46003</v>
      </c>
      <c r="C640" t="s">
        <v>25</v>
      </c>
      <c r="D640" t="s">
        <v>82</v>
      </c>
      <c r="E640" t="s">
        <v>40</v>
      </c>
      <c r="F640" t="s">
        <v>28</v>
      </c>
      <c r="G640" t="s">
        <v>29</v>
      </c>
      <c r="H640" t="s">
        <v>210</v>
      </c>
      <c r="I640" t="s">
        <v>360</v>
      </c>
      <c r="J640" t="s">
        <v>62</v>
      </c>
      <c r="K640" t="s">
        <v>104</v>
      </c>
      <c r="L640" t="s">
        <v>64</v>
      </c>
      <c r="M640" t="s">
        <v>86</v>
      </c>
      <c r="N640" t="s">
        <v>36</v>
      </c>
      <c r="O640">
        <v>45</v>
      </c>
      <c r="P640">
        <v>45</v>
      </c>
      <c r="Q640">
        <v>53.2</v>
      </c>
      <c r="R640">
        <v>950</v>
      </c>
      <c r="S640">
        <v>950</v>
      </c>
      <c r="T640">
        <v>0</v>
      </c>
      <c r="U640">
        <v>0</v>
      </c>
      <c r="V640">
        <v>1</v>
      </c>
      <c r="W640">
        <v>0</v>
      </c>
      <c r="X640">
        <v>0.85</v>
      </c>
    </row>
    <row r="641" spans="1:24" x14ac:dyDescent="0.3">
      <c r="A641" t="s">
        <v>1146</v>
      </c>
      <c r="B641" s="1">
        <v>45778</v>
      </c>
      <c r="C641" t="s">
        <v>128</v>
      </c>
      <c r="D641" t="s">
        <v>50</v>
      </c>
      <c r="E641" t="s">
        <v>40</v>
      </c>
      <c r="F641" t="s">
        <v>41</v>
      </c>
      <c r="G641" t="s">
        <v>42</v>
      </c>
      <c r="H641" t="s">
        <v>125</v>
      </c>
      <c r="I641" t="s">
        <v>1147</v>
      </c>
      <c r="J641" t="s">
        <v>32</v>
      </c>
      <c r="K641" t="s">
        <v>104</v>
      </c>
      <c r="L641" t="s">
        <v>54</v>
      </c>
      <c r="M641" t="s">
        <v>47</v>
      </c>
      <c r="N641" t="s">
        <v>36</v>
      </c>
      <c r="O641">
        <v>60</v>
      </c>
      <c r="P641">
        <v>60</v>
      </c>
      <c r="Q641">
        <v>77.7</v>
      </c>
      <c r="R641">
        <v>1150</v>
      </c>
      <c r="S641">
        <v>1150</v>
      </c>
      <c r="T641">
        <v>0</v>
      </c>
      <c r="U641">
        <v>0</v>
      </c>
      <c r="V641">
        <v>1</v>
      </c>
      <c r="W641">
        <v>0</v>
      </c>
      <c r="X641">
        <v>0.85</v>
      </c>
    </row>
    <row r="642" spans="1:24" x14ac:dyDescent="0.3">
      <c r="A642" t="s">
        <v>1148</v>
      </c>
      <c r="B642" s="1">
        <v>45871</v>
      </c>
      <c r="C642" t="s">
        <v>110</v>
      </c>
      <c r="D642" t="s">
        <v>88</v>
      </c>
      <c r="E642" t="s">
        <v>68</v>
      </c>
      <c r="F642" t="s">
        <v>58</v>
      </c>
      <c r="G642" t="s">
        <v>59</v>
      </c>
      <c r="H642" t="s">
        <v>117</v>
      </c>
      <c r="I642" t="s">
        <v>1149</v>
      </c>
      <c r="J642" t="s">
        <v>99</v>
      </c>
      <c r="K642" t="s">
        <v>85</v>
      </c>
      <c r="L642" t="s">
        <v>34</v>
      </c>
      <c r="M642" t="s">
        <v>71</v>
      </c>
      <c r="N642" t="s">
        <v>113</v>
      </c>
      <c r="O642">
        <v>45</v>
      </c>
      <c r="P642">
        <v>0</v>
      </c>
      <c r="Q642">
        <v>53.3</v>
      </c>
      <c r="R642">
        <v>1100</v>
      </c>
      <c r="S642">
        <v>0</v>
      </c>
      <c r="T642">
        <v>1100</v>
      </c>
      <c r="U642">
        <v>0</v>
      </c>
      <c r="V642">
        <v>0</v>
      </c>
      <c r="W642">
        <v>1</v>
      </c>
      <c r="X642">
        <v>0.85</v>
      </c>
    </row>
    <row r="643" spans="1:24" x14ac:dyDescent="0.3">
      <c r="A643" t="s">
        <v>1150</v>
      </c>
      <c r="B643" s="1">
        <v>45791</v>
      </c>
      <c r="C643" t="s">
        <v>128</v>
      </c>
      <c r="D643" t="s">
        <v>57</v>
      </c>
      <c r="E643" t="s">
        <v>27</v>
      </c>
      <c r="F643" t="s">
        <v>41</v>
      </c>
      <c r="G643" t="s">
        <v>42</v>
      </c>
      <c r="H643" t="s">
        <v>111</v>
      </c>
      <c r="I643" t="s">
        <v>407</v>
      </c>
      <c r="J643" t="s">
        <v>62</v>
      </c>
      <c r="K643" t="s">
        <v>33</v>
      </c>
      <c r="L643" t="s">
        <v>34</v>
      </c>
      <c r="M643" t="s">
        <v>86</v>
      </c>
      <c r="N643" t="s">
        <v>36</v>
      </c>
      <c r="O643">
        <v>75</v>
      </c>
      <c r="P643">
        <v>75</v>
      </c>
      <c r="Q643">
        <v>98.7</v>
      </c>
      <c r="R643">
        <v>1700</v>
      </c>
      <c r="S643">
        <v>1700</v>
      </c>
      <c r="T643">
        <v>0</v>
      </c>
      <c r="U643">
        <v>0</v>
      </c>
      <c r="V643">
        <v>1</v>
      </c>
      <c r="W643">
        <v>0</v>
      </c>
      <c r="X643">
        <v>0.85</v>
      </c>
    </row>
    <row r="644" spans="1:24" x14ac:dyDescent="0.3">
      <c r="A644" t="s">
        <v>1151</v>
      </c>
      <c r="B644" s="1">
        <v>46016</v>
      </c>
      <c r="C644" t="s">
        <v>25</v>
      </c>
      <c r="D644" t="s">
        <v>50</v>
      </c>
      <c r="E644" t="s">
        <v>68</v>
      </c>
      <c r="F644" t="s">
        <v>58</v>
      </c>
      <c r="G644" t="s">
        <v>59</v>
      </c>
      <c r="H644" t="s">
        <v>117</v>
      </c>
      <c r="I644" t="s">
        <v>1120</v>
      </c>
      <c r="J644" t="s">
        <v>53</v>
      </c>
      <c r="K644" t="s">
        <v>85</v>
      </c>
      <c r="L644" t="s">
        <v>34</v>
      </c>
      <c r="M644" t="s">
        <v>65</v>
      </c>
      <c r="N644" t="s">
        <v>153</v>
      </c>
      <c r="O644">
        <v>45</v>
      </c>
      <c r="P644">
        <v>0</v>
      </c>
      <c r="Q644">
        <v>58</v>
      </c>
      <c r="R644">
        <v>1350</v>
      </c>
      <c r="S644">
        <v>0</v>
      </c>
      <c r="T644">
        <v>0</v>
      </c>
      <c r="U644">
        <v>0</v>
      </c>
      <c r="V644">
        <v>0</v>
      </c>
      <c r="W644">
        <v>0</v>
      </c>
      <c r="X644">
        <v>0.85</v>
      </c>
    </row>
    <row r="645" spans="1:24" x14ac:dyDescent="0.3">
      <c r="A645" t="s">
        <v>1152</v>
      </c>
      <c r="B645" s="1">
        <v>45779</v>
      </c>
      <c r="C645" t="s">
        <v>128</v>
      </c>
      <c r="D645" t="s">
        <v>82</v>
      </c>
      <c r="E645" t="s">
        <v>83</v>
      </c>
      <c r="F645" t="s">
        <v>58</v>
      </c>
      <c r="G645" t="s">
        <v>59</v>
      </c>
      <c r="H645" t="s">
        <v>73</v>
      </c>
      <c r="I645" t="s">
        <v>1153</v>
      </c>
      <c r="J645" t="s">
        <v>53</v>
      </c>
      <c r="K645" t="s">
        <v>85</v>
      </c>
      <c r="L645" t="s">
        <v>64</v>
      </c>
      <c r="M645" t="s">
        <v>47</v>
      </c>
      <c r="N645" t="s">
        <v>36</v>
      </c>
      <c r="O645">
        <v>60</v>
      </c>
      <c r="P645">
        <v>60</v>
      </c>
      <c r="Q645">
        <v>72.2</v>
      </c>
      <c r="R645">
        <v>1800</v>
      </c>
      <c r="S645">
        <v>1800</v>
      </c>
      <c r="T645">
        <v>0</v>
      </c>
      <c r="U645">
        <v>0</v>
      </c>
      <c r="V645">
        <v>1</v>
      </c>
      <c r="W645">
        <v>0</v>
      </c>
      <c r="X645">
        <v>0.85</v>
      </c>
    </row>
    <row r="646" spans="1:24" x14ac:dyDescent="0.3">
      <c r="A646" t="s">
        <v>1154</v>
      </c>
      <c r="B646" s="1">
        <v>45888</v>
      </c>
      <c r="C646" t="s">
        <v>110</v>
      </c>
      <c r="D646" t="s">
        <v>26</v>
      </c>
      <c r="E646" t="s">
        <v>27</v>
      </c>
      <c r="F646" t="s">
        <v>41</v>
      </c>
      <c r="G646" t="s">
        <v>42</v>
      </c>
      <c r="H646" t="s">
        <v>111</v>
      </c>
      <c r="I646" t="s">
        <v>941</v>
      </c>
      <c r="J646" t="s">
        <v>137</v>
      </c>
      <c r="K646" t="s">
        <v>46</v>
      </c>
      <c r="L646" t="s">
        <v>78</v>
      </c>
      <c r="M646" t="s">
        <v>65</v>
      </c>
      <c r="N646" t="s">
        <v>36</v>
      </c>
      <c r="O646">
        <v>45</v>
      </c>
      <c r="P646">
        <v>45</v>
      </c>
      <c r="Q646">
        <v>54.8</v>
      </c>
      <c r="R646">
        <v>950</v>
      </c>
      <c r="S646">
        <v>950</v>
      </c>
      <c r="T646">
        <v>0</v>
      </c>
      <c r="U646">
        <v>0</v>
      </c>
      <c r="V646">
        <v>1</v>
      </c>
      <c r="W646">
        <v>0</v>
      </c>
      <c r="X646">
        <v>0.85</v>
      </c>
    </row>
    <row r="647" spans="1:24" x14ac:dyDescent="0.3">
      <c r="A647" t="s">
        <v>1155</v>
      </c>
      <c r="B647" s="1">
        <v>45901</v>
      </c>
      <c r="C647" t="s">
        <v>49</v>
      </c>
      <c r="D647" t="s">
        <v>39</v>
      </c>
      <c r="E647" t="s">
        <v>68</v>
      </c>
      <c r="F647" t="s">
        <v>58</v>
      </c>
      <c r="G647" t="s">
        <v>59</v>
      </c>
      <c r="H647" t="s">
        <v>60</v>
      </c>
      <c r="I647" t="s">
        <v>1156</v>
      </c>
      <c r="J647" t="s">
        <v>137</v>
      </c>
      <c r="K647" t="s">
        <v>33</v>
      </c>
      <c r="L647" t="s">
        <v>54</v>
      </c>
      <c r="M647" t="s">
        <v>71</v>
      </c>
      <c r="N647" t="s">
        <v>36</v>
      </c>
      <c r="O647">
        <v>60</v>
      </c>
      <c r="P647">
        <v>60</v>
      </c>
      <c r="Q647">
        <v>70</v>
      </c>
      <c r="R647">
        <v>1300</v>
      </c>
      <c r="S647">
        <v>1300</v>
      </c>
      <c r="T647">
        <v>0</v>
      </c>
      <c r="U647">
        <v>0</v>
      </c>
      <c r="V647">
        <v>1</v>
      </c>
      <c r="W647">
        <v>0</v>
      </c>
      <c r="X647">
        <v>0.85</v>
      </c>
    </row>
    <row r="648" spans="1:24" x14ac:dyDescent="0.3">
      <c r="A648" t="s">
        <v>1157</v>
      </c>
      <c r="B648" s="1">
        <v>45812</v>
      </c>
      <c r="C648" t="s">
        <v>67</v>
      </c>
      <c r="D648" t="s">
        <v>57</v>
      </c>
      <c r="E648" t="s">
        <v>27</v>
      </c>
      <c r="F648" t="s">
        <v>41</v>
      </c>
      <c r="G648" t="s">
        <v>42</v>
      </c>
      <c r="H648" t="s">
        <v>89</v>
      </c>
      <c r="I648" t="s">
        <v>694</v>
      </c>
      <c r="J648" t="s">
        <v>62</v>
      </c>
      <c r="K648" t="s">
        <v>104</v>
      </c>
      <c r="L648" t="s">
        <v>34</v>
      </c>
      <c r="M648" t="s">
        <v>94</v>
      </c>
      <c r="N648" t="s">
        <v>36</v>
      </c>
      <c r="O648">
        <v>60</v>
      </c>
      <c r="P648">
        <v>60</v>
      </c>
      <c r="Q648">
        <v>73.900000000000006</v>
      </c>
      <c r="R648">
        <v>1350</v>
      </c>
      <c r="S648">
        <v>1350</v>
      </c>
      <c r="T648">
        <v>0</v>
      </c>
      <c r="U648">
        <v>0</v>
      </c>
      <c r="V648">
        <v>1</v>
      </c>
      <c r="W648">
        <v>0</v>
      </c>
      <c r="X648">
        <v>0.85</v>
      </c>
    </row>
    <row r="649" spans="1:24" x14ac:dyDescent="0.3">
      <c r="A649" t="s">
        <v>1158</v>
      </c>
      <c r="B649" s="1">
        <v>45824</v>
      </c>
      <c r="C649" t="s">
        <v>67</v>
      </c>
      <c r="D649" t="s">
        <v>39</v>
      </c>
      <c r="E649" t="s">
        <v>68</v>
      </c>
      <c r="F649" t="s">
        <v>28</v>
      </c>
      <c r="G649" t="s">
        <v>29</v>
      </c>
      <c r="H649" t="s">
        <v>120</v>
      </c>
      <c r="I649" t="s">
        <v>1159</v>
      </c>
      <c r="J649" t="s">
        <v>137</v>
      </c>
      <c r="K649" t="s">
        <v>46</v>
      </c>
      <c r="L649" t="s">
        <v>64</v>
      </c>
      <c r="M649" t="s">
        <v>47</v>
      </c>
      <c r="N649" t="s">
        <v>95</v>
      </c>
      <c r="O649">
        <v>60</v>
      </c>
      <c r="P649">
        <v>0</v>
      </c>
      <c r="Q649">
        <v>77.2</v>
      </c>
      <c r="R649">
        <v>1250</v>
      </c>
      <c r="S649">
        <v>0</v>
      </c>
      <c r="T649">
        <v>1250</v>
      </c>
      <c r="U649">
        <v>1</v>
      </c>
      <c r="V649">
        <v>0</v>
      </c>
      <c r="W649">
        <v>0</v>
      </c>
      <c r="X649">
        <v>0.85</v>
      </c>
    </row>
    <row r="650" spans="1:24" x14ac:dyDescent="0.3">
      <c r="A650" t="s">
        <v>1160</v>
      </c>
      <c r="B650" s="1">
        <v>45754</v>
      </c>
      <c r="C650" t="s">
        <v>92</v>
      </c>
      <c r="D650" t="s">
        <v>39</v>
      </c>
      <c r="E650" t="s">
        <v>40</v>
      </c>
      <c r="F650" t="s">
        <v>58</v>
      </c>
      <c r="G650" t="s">
        <v>59</v>
      </c>
      <c r="H650" t="s">
        <v>117</v>
      </c>
      <c r="I650" t="s">
        <v>312</v>
      </c>
      <c r="J650" t="s">
        <v>53</v>
      </c>
      <c r="K650" t="s">
        <v>104</v>
      </c>
      <c r="L650" t="s">
        <v>34</v>
      </c>
      <c r="M650" t="s">
        <v>65</v>
      </c>
      <c r="N650" t="s">
        <v>36</v>
      </c>
      <c r="O650">
        <v>30</v>
      </c>
      <c r="P650">
        <v>30</v>
      </c>
      <c r="Q650">
        <v>35.1</v>
      </c>
      <c r="R650">
        <v>900</v>
      </c>
      <c r="S650">
        <v>900</v>
      </c>
      <c r="T650">
        <v>0</v>
      </c>
      <c r="U650">
        <v>0</v>
      </c>
      <c r="V650">
        <v>1</v>
      </c>
      <c r="W650">
        <v>0</v>
      </c>
      <c r="X650">
        <v>0.85</v>
      </c>
    </row>
    <row r="651" spans="1:24" x14ac:dyDescent="0.3">
      <c r="A651" t="s">
        <v>1161</v>
      </c>
      <c r="B651" s="1">
        <v>45856</v>
      </c>
      <c r="C651" t="s">
        <v>101</v>
      </c>
      <c r="D651" t="s">
        <v>82</v>
      </c>
      <c r="E651" t="s">
        <v>68</v>
      </c>
      <c r="F651" t="s">
        <v>41</v>
      </c>
      <c r="G651" t="s">
        <v>42</v>
      </c>
      <c r="H651" t="s">
        <v>125</v>
      </c>
      <c r="I651" t="s">
        <v>458</v>
      </c>
      <c r="J651" t="s">
        <v>99</v>
      </c>
      <c r="K651" t="s">
        <v>104</v>
      </c>
      <c r="L651" t="s">
        <v>34</v>
      </c>
      <c r="M651" t="s">
        <v>94</v>
      </c>
      <c r="N651" t="s">
        <v>113</v>
      </c>
      <c r="O651">
        <v>30</v>
      </c>
      <c r="P651">
        <v>0</v>
      </c>
      <c r="Q651">
        <v>37.700000000000003</v>
      </c>
      <c r="R651">
        <v>700</v>
      </c>
      <c r="S651">
        <v>0</v>
      </c>
      <c r="T651">
        <v>700</v>
      </c>
      <c r="U651">
        <v>0</v>
      </c>
      <c r="V651">
        <v>0</v>
      </c>
      <c r="W651">
        <v>1</v>
      </c>
      <c r="X651">
        <v>0.85</v>
      </c>
    </row>
    <row r="652" spans="1:24" x14ac:dyDescent="0.3">
      <c r="A652" t="s">
        <v>1162</v>
      </c>
      <c r="B652" s="1">
        <v>45922</v>
      </c>
      <c r="C652" t="s">
        <v>49</v>
      </c>
      <c r="D652" t="s">
        <v>39</v>
      </c>
      <c r="E652" t="s">
        <v>27</v>
      </c>
      <c r="F652" t="s">
        <v>28</v>
      </c>
      <c r="G652" t="s">
        <v>29</v>
      </c>
      <c r="H652" t="s">
        <v>30</v>
      </c>
      <c r="I652" t="s">
        <v>602</v>
      </c>
      <c r="J652" t="s">
        <v>99</v>
      </c>
      <c r="K652" t="s">
        <v>104</v>
      </c>
      <c r="L652" t="s">
        <v>64</v>
      </c>
      <c r="M652" t="s">
        <v>65</v>
      </c>
      <c r="N652" t="s">
        <v>95</v>
      </c>
      <c r="O652">
        <v>45</v>
      </c>
      <c r="P652">
        <v>0</v>
      </c>
      <c r="Q652">
        <v>51</v>
      </c>
      <c r="R652">
        <v>950</v>
      </c>
      <c r="S652">
        <v>0</v>
      </c>
      <c r="T652">
        <v>950</v>
      </c>
      <c r="U652">
        <v>1</v>
      </c>
      <c r="V652">
        <v>0</v>
      </c>
      <c r="W652">
        <v>0</v>
      </c>
      <c r="X652">
        <v>0.85</v>
      </c>
    </row>
    <row r="653" spans="1:24" x14ac:dyDescent="0.3">
      <c r="A653" t="s">
        <v>1163</v>
      </c>
      <c r="B653" s="1">
        <v>45765</v>
      </c>
      <c r="C653" t="s">
        <v>92</v>
      </c>
      <c r="D653" t="s">
        <v>82</v>
      </c>
      <c r="E653" t="s">
        <v>40</v>
      </c>
      <c r="F653" t="s">
        <v>58</v>
      </c>
      <c r="G653" t="s">
        <v>59</v>
      </c>
      <c r="H653" t="s">
        <v>60</v>
      </c>
      <c r="I653" t="s">
        <v>314</v>
      </c>
      <c r="J653" t="s">
        <v>45</v>
      </c>
      <c r="K653" t="s">
        <v>104</v>
      </c>
      <c r="L653" t="s">
        <v>64</v>
      </c>
      <c r="M653" t="s">
        <v>35</v>
      </c>
      <c r="N653" t="s">
        <v>36</v>
      </c>
      <c r="O653">
        <v>45</v>
      </c>
      <c r="P653">
        <v>45</v>
      </c>
      <c r="Q653">
        <v>53.7</v>
      </c>
      <c r="R653">
        <v>1300</v>
      </c>
      <c r="S653">
        <v>1300</v>
      </c>
      <c r="T653">
        <v>0</v>
      </c>
      <c r="U653">
        <v>0</v>
      </c>
      <c r="V653">
        <v>1</v>
      </c>
      <c r="W653">
        <v>0</v>
      </c>
      <c r="X653">
        <v>0.85</v>
      </c>
    </row>
    <row r="654" spans="1:24" x14ac:dyDescent="0.3">
      <c r="A654" t="s">
        <v>1164</v>
      </c>
      <c r="B654" s="1">
        <v>45800</v>
      </c>
      <c r="C654" t="s">
        <v>128</v>
      </c>
      <c r="D654" t="s">
        <v>82</v>
      </c>
      <c r="E654" t="s">
        <v>40</v>
      </c>
      <c r="F654" t="s">
        <v>58</v>
      </c>
      <c r="G654" t="s">
        <v>59</v>
      </c>
      <c r="H654" t="s">
        <v>151</v>
      </c>
      <c r="I654" t="s">
        <v>816</v>
      </c>
      <c r="J654" t="s">
        <v>45</v>
      </c>
      <c r="K654" t="s">
        <v>46</v>
      </c>
      <c r="L654" t="s">
        <v>34</v>
      </c>
      <c r="M654" t="s">
        <v>94</v>
      </c>
      <c r="N654" t="s">
        <v>36</v>
      </c>
      <c r="O654">
        <v>30</v>
      </c>
      <c r="P654">
        <v>30</v>
      </c>
      <c r="Q654">
        <v>37.299999999999997</v>
      </c>
      <c r="R654">
        <v>850</v>
      </c>
      <c r="S654">
        <v>850</v>
      </c>
      <c r="T654">
        <v>0</v>
      </c>
      <c r="U654">
        <v>0</v>
      </c>
      <c r="V654">
        <v>1</v>
      </c>
      <c r="W654">
        <v>0</v>
      </c>
      <c r="X654">
        <v>0.85</v>
      </c>
    </row>
    <row r="655" spans="1:24" x14ac:dyDescent="0.3">
      <c r="A655" t="s">
        <v>1165</v>
      </c>
      <c r="B655" s="1">
        <v>45868</v>
      </c>
      <c r="C655" t="s">
        <v>101</v>
      </c>
      <c r="D655" t="s">
        <v>57</v>
      </c>
      <c r="E655" t="s">
        <v>27</v>
      </c>
      <c r="F655" t="s">
        <v>41</v>
      </c>
      <c r="G655" t="s">
        <v>42</v>
      </c>
      <c r="H655" t="s">
        <v>43</v>
      </c>
      <c r="I655" t="s">
        <v>1166</v>
      </c>
      <c r="J655" t="s">
        <v>62</v>
      </c>
      <c r="K655" t="s">
        <v>46</v>
      </c>
      <c r="L655" t="s">
        <v>34</v>
      </c>
      <c r="M655" t="s">
        <v>47</v>
      </c>
      <c r="N655" t="s">
        <v>36</v>
      </c>
      <c r="O655">
        <v>45</v>
      </c>
      <c r="P655">
        <v>45</v>
      </c>
      <c r="Q655">
        <v>55.3</v>
      </c>
      <c r="R655">
        <v>1000</v>
      </c>
      <c r="S655">
        <v>1000</v>
      </c>
      <c r="T655">
        <v>0</v>
      </c>
      <c r="U655">
        <v>0</v>
      </c>
      <c r="V655">
        <v>1</v>
      </c>
      <c r="W655">
        <v>0</v>
      </c>
      <c r="X655">
        <v>0.85</v>
      </c>
    </row>
    <row r="656" spans="1:24" x14ac:dyDescent="0.3">
      <c r="A656" t="s">
        <v>1167</v>
      </c>
      <c r="B656" s="1">
        <v>45922</v>
      </c>
      <c r="C656" t="s">
        <v>49</v>
      </c>
      <c r="D656" t="s">
        <v>39</v>
      </c>
      <c r="E656" t="s">
        <v>83</v>
      </c>
      <c r="F656" t="s">
        <v>41</v>
      </c>
      <c r="G656" t="s">
        <v>42</v>
      </c>
      <c r="H656" t="s">
        <v>51</v>
      </c>
      <c r="I656" t="s">
        <v>1168</v>
      </c>
      <c r="J656" t="s">
        <v>32</v>
      </c>
      <c r="K656" t="s">
        <v>104</v>
      </c>
      <c r="L656" t="s">
        <v>64</v>
      </c>
      <c r="M656" t="s">
        <v>94</v>
      </c>
      <c r="N656" t="s">
        <v>36</v>
      </c>
      <c r="O656">
        <v>60</v>
      </c>
      <c r="P656">
        <v>60</v>
      </c>
      <c r="Q656">
        <v>79.3</v>
      </c>
      <c r="R656">
        <v>1350</v>
      </c>
      <c r="S656">
        <v>1350</v>
      </c>
      <c r="T656">
        <v>0</v>
      </c>
      <c r="U656">
        <v>0</v>
      </c>
      <c r="V656">
        <v>1</v>
      </c>
      <c r="W656">
        <v>0</v>
      </c>
      <c r="X656">
        <v>0.85</v>
      </c>
    </row>
    <row r="657" spans="1:24" x14ac:dyDescent="0.3">
      <c r="A657" t="s">
        <v>1169</v>
      </c>
      <c r="B657" s="1">
        <v>45957</v>
      </c>
      <c r="C657" t="s">
        <v>97</v>
      </c>
      <c r="D657" t="s">
        <v>39</v>
      </c>
      <c r="E657" t="s">
        <v>40</v>
      </c>
      <c r="F657" t="s">
        <v>28</v>
      </c>
      <c r="G657" t="s">
        <v>29</v>
      </c>
      <c r="H657" t="s">
        <v>102</v>
      </c>
      <c r="I657" t="s">
        <v>1170</v>
      </c>
      <c r="J657" t="s">
        <v>32</v>
      </c>
      <c r="K657" t="s">
        <v>104</v>
      </c>
      <c r="L657" t="s">
        <v>34</v>
      </c>
      <c r="M657" t="s">
        <v>71</v>
      </c>
      <c r="N657" t="s">
        <v>95</v>
      </c>
      <c r="O657">
        <v>45</v>
      </c>
      <c r="P657">
        <v>0</v>
      </c>
      <c r="Q657">
        <v>49.6</v>
      </c>
      <c r="R657">
        <v>950</v>
      </c>
      <c r="S657">
        <v>0</v>
      </c>
      <c r="T657">
        <v>950</v>
      </c>
      <c r="U657">
        <v>1</v>
      </c>
      <c r="V657">
        <v>0</v>
      </c>
      <c r="W657">
        <v>0</v>
      </c>
      <c r="X657">
        <v>0.85</v>
      </c>
    </row>
    <row r="658" spans="1:24" x14ac:dyDescent="0.3">
      <c r="A658" t="s">
        <v>1171</v>
      </c>
      <c r="B658" s="1">
        <v>45818</v>
      </c>
      <c r="C658" t="s">
        <v>67</v>
      </c>
      <c r="D658" t="s">
        <v>26</v>
      </c>
      <c r="E658" t="s">
        <v>68</v>
      </c>
      <c r="F658" t="s">
        <v>41</v>
      </c>
      <c r="G658" t="s">
        <v>42</v>
      </c>
      <c r="H658" t="s">
        <v>51</v>
      </c>
      <c r="I658" t="s">
        <v>679</v>
      </c>
      <c r="J658" t="s">
        <v>53</v>
      </c>
      <c r="K658" t="s">
        <v>85</v>
      </c>
      <c r="L658" t="s">
        <v>34</v>
      </c>
      <c r="M658" t="s">
        <v>94</v>
      </c>
      <c r="N658" t="s">
        <v>36</v>
      </c>
      <c r="O658">
        <v>60</v>
      </c>
      <c r="P658">
        <v>60</v>
      </c>
      <c r="Q658">
        <v>70.2</v>
      </c>
      <c r="R658">
        <v>1600</v>
      </c>
      <c r="S658">
        <v>1600</v>
      </c>
      <c r="T658">
        <v>0</v>
      </c>
      <c r="U658">
        <v>0</v>
      </c>
      <c r="V658">
        <v>1</v>
      </c>
      <c r="W658">
        <v>0</v>
      </c>
      <c r="X658">
        <v>0.85</v>
      </c>
    </row>
    <row r="659" spans="1:24" x14ac:dyDescent="0.3">
      <c r="A659" t="s">
        <v>1172</v>
      </c>
      <c r="B659" s="1">
        <v>45712</v>
      </c>
      <c r="C659" t="s">
        <v>76</v>
      </c>
      <c r="D659" t="s">
        <v>39</v>
      </c>
      <c r="E659" t="s">
        <v>68</v>
      </c>
      <c r="F659" t="s">
        <v>58</v>
      </c>
      <c r="G659" t="s">
        <v>59</v>
      </c>
      <c r="H659" t="s">
        <v>151</v>
      </c>
      <c r="I659" t="s">
        <v>992</v>
      </c>
      <c r="J659" t="s">
        <v>62</v>
      </c>
      <c r="K659" t="s">
        <v>85</v>
      </c>
      <c r="L659" t="s">
        <v>34</v>
      </c>
      <c r="M659" t="s">
        <v>94</v>
      </c>
      <c r="N659" t="s">
        <v>95</v>
      </c>
      <c r="O659">
        <v>45</v>
      </c>
      <c r="P659">
        <v>0</v>
      </c>
      <c r="Q659">
        <v>51.5</v>
      </c>
      <c r="R659">
        <v>1100</v>
      </c>
      <c r="S659">
        <v>0</v>
      </c>
      <c r="T659">
        <v>1100</v>
      </c>
      <c r="U659">
        <v>1</v>
      </c>
      <c r="V659">
        <v>0</v>
      </c>
      <c r="W659">
        <v>0</v>
      </c>
      <c r="X659">
        <v>0.85</v>
      </c>
    </row>
    <row r="660" spans="1:24" x14ac:dyDescent="0.3">
      <c r="A660" t="s">
        <v>1173</v>
      </c>
      <c r="B660" s="1">
        <v>46020</v>
      </c>
      <c r="C660" t="s">
        <v>25</v>
      </c>
      <c r="D660" t="s">
        <v>39</v>
      </c>
      <c r="E660" t="s">
        <v>40</v>
      </c>
      <c r="F660" t="s">
        <v>41</v>
      </c>
      <c r="G660" t="s">
        <v>42</v>
      </c>
      <c r="H660" t="s">
        <v>51</v>
      </c>
      <c r="I660" t="s">
        <v>873</v>
      </c>
      <c r="J660" t="s">
        <v>53</v>
      </c>
      <c r="K660" t="s">
        <v>63</v>
      </c>
      <c r="L660" t="s">
        <v>78</v>
      </c>
      <c r="M660" t="s">
        <v>71</v>
      </c>
      <c r="N660" t="s">
        <v>36</v>
      </c>
      <c r="O660">
        <v>60</v>
      </c>
      <c r="P660">
        <v>60</v>
      </c>
      <c r="Q660">
        <v>67.599999999999994</v>
      </c>
      <c r="R660">
        <v>1500</v>
      </c>
      <c r="S660">
        <v>1500</v>
      </c>
      <c r="T660">
        <v>0</v>
      </c>
      <c r="U660">
        <v>0</v>
      </c>
      <c r="V660">
        <v>1</v>
      </c>
      <c r="W660">
        <v>0</v>
      </c>
      <c r="X660">
        <v>0.85</v>
      </c>
    </row>
    <row r="661" spans="1:24" x14ac:dyDescent="0.3">
      <c r="A661" t="s">
        <v>1174</v>
      </c>
      <c r="B661" s="1">
        <v>45866</v>
      </c>
      <c r="C661" t="s">
        <v>101</v>
      </c>
      <c r="D661" t="s">
        <v>39</v>
      </c>
      <c r="E661" t="s">
        <v>68</v>
      </c>
      <c r="F661" t="s">
        <v>41</v>
      </c>
      <c r="G661" t="s">
        <v>42</v>
      </c>
      <c r="H661" t="s">
        <v>111</v>
      </c>
      <c r="I661" t="s">
        <v>1175</v>
      </c>
      <c r="J661" t="s">
        <v>45</v>
      </c>
      <c r="K661" t="s">
        <v>63</v>
      </c>
      <c r="L661" t="s">
        <v>64</v>
      </c>
      <c r="M661" t="s">
        <v>47</v>
      </c>
      <c r="N661" t="s">
        <v>36</v>
      </c>
      <c r="O661">
        <v>60</v>
      </c>
      <c r="P661">
        <v>60</v>
      </c>
      <c r="Q661">
        <v>77</v>
      </c>
      <c r="R661">
        <v>1550</v>
      </c>
      <c r="S661">
        <v>1550</v>
      </c>
      <c r="T661">
        <v>0</v>
      </c>
      <c r="U661">
        <v>0</v>
      </c>
      <c r="V661">
        <v>1</v>
      </c>
      <c r="W661">
        <v>0</v>
      </c>
      <c r="X661">
        <v>0.85</v>
      </c>
    </row>
    <row r="662" spans="1:24" x14ac:dyDescent="0.3">
      <c r="A662" t="s">
        <v>1176</v>
      </c>
      <c r="B662" s="1">
        <v>45706</v>
      </c>
      <c r="C662" t="s">
        <v>76</v>
      </c>
      <c r="D662" t="s">
        <v>26</v>
      </c>
      <c r="E662" t="s">
        <v>83</v>
      </c>
      <c r="F662" t="s">
        <v>41</v>
      </c>
      <c r="G662" t="s">
        <v>42</v>
      </c>
      <c r="H662" t="s">
        <v>89</v>
      </c>
      <c r="I662" t="s">
        <v>407</v>
      </c>
      <c r="J662" t="s">
        <v>45</v>
      </c>
      <c r="K662" t="s">
        <v>33</v>
      </c>
      <c r="L662" t="s">
        <v>34</v>
      </c>
      <c r="M662" t="s">
        <v>47</v>
      </c>
      <c r="N662" t="s">
        <v>95</v>
      </c>
      <c r="O662">
        <v>90</v>
      </c>
      <c r="P662">
        <v>0</v>
      </c>
      <c r="Q662">
        <v>100.1</v>
      </c>
      <c r="R662">
        <v>2350</v>
      </c>
      <c r="S662">
        <v>0</v>
      </c>
      <c r="T662">
        <v>2350</v>
      </c>
      <c r="U662">
        <v>1</v>
      </c>
      <c r="V662">
        <v>0</v>
      </c>
      <c r="W662">
        <v>0</v>
      </c>
      <c r="X662">
        <v>0.85</v>
      </c>
    </row>
    <row r="663" spans="1:24" x14ac:dyDescent="0.3">
      <c r="A663" t="s">
        <v>1177</v>
      </c>
      <c r="B663" s="1">
        <v>45737</v>
      </c>
      <c r="C663" t="s">
        <v>56</v>
      </c>
      <c r="D663" t="s">
        <v>82</v>
      </c>
      <c r="E663" t="s">
        <v>27</v>
      </c>
      <c r="F663" t="s">
        <v>28</v>
      </c>
      <c r="G663" t="s">
        <v>29</v>
      </c>
      <c r="H663" t="s">
        <v>30</v>
      </c>
      <c r="I663" t="s">
        <v>927</v>
      </c>
      <c r="J663" t="s">
        <v>45</v>
      </c>
      <c r="K663" t="s">
        <v>46</v>
      </c>
      <c r="L663" t="s">
        <v>78</v>
      </c>
      <c r="M663" t="s">
        <v>35</v>
      </c>
      <c r="N663" t="s">
        <v>36</v>
      </c>
      <c r="O663">
        <v>60</v>
      </c>
      <c r="P663">
        <v>60</v>
      </c>
      <c r="Q663">
        <v>71.8</v>
      </c>
      <c r="R663">
        <v>1300</v>
      </c>
      <c r="S663">
        <v>1300</v>
      </c>
      <c r="T663">
        <v>0</v>
      </c>
      <c r="U663">
        <v>0</v>
      </c>
      <c r="V663">
        <v>1</v>
      </c>
      <c r="W663">
        <v>0</v>
      </c>
      <c r="X663">
        <v>0.85</v>
      </c>
    </row>
    <row r="664" spans="1:24" x14ac:dyDescent="0.3">
      <c r="A664" t="s">
        <v>1178</v>
      </c>
      <c r="B664" s="1">
        <v>45684</v>
      </c>
      <c r="C664" t="s">
        <v>130</v>
      </c>
      <c r="D664" t="s">
        <v>39</v>
      </c>
      <c r="E664" t="s">
        <v>40</v>
      </c>
      <c r="F664" t="s">
        <v>58</v>
      </c>
      <c r="G664" t="s">
        <v>59</v>
      </c>
      <c r="H664" t="s">
        <v>60</v>
      </c>
      <c r="I664" t="s">
        <v>1179</v>
      </c>
      <c r="J664" t="s">
        <v>53</v>
      </c>
      <c r="K664" t="s">
        <v>46</v>
      </c>
      <c r="L664" t="s">
        <v>34</v>
      </c>
      <c r="M664" t="s">
        <v>35</v>
      </c>
      <c r="N664" t="s">
        <v>36</v>
      </c>
      <c r="O664">
        <v>60</v>
      </c>
      <c r="P664">
        <v>60</v>
      </c>
      <c r="Q664">
        <v>72.3</v>
      </c>
      <c r="R664">
        <v>1800</v>
      </c>
      <c r="S664">
        <v>1800</v>
      </c>
      <c r="T664">
        <v>0</v>
      </c>
      <c r="U664">
        <v>0</v>
      </c>
      <c r="V664">
        <v>1</v>
      </c>
      <c r="W664">
        <v>0</v>
      </c>
      <c r="X664">
        <v>0.85</v>
      </c>
    </row>
    <row r="665" spans="1:24" x14ac:dyDescent="0.3">
      <c r="A665" t="s">
        <v>1180</v>
      </c>
      <c r="B665" s="1">
        <v>45780</v>
      </c>
      <c r="C665" t="s">
        <v>128</v>
      </c>
      <c r="D665" t="s">
        <v>88</v>
      </c>
      <c r="E665" t="s">
        <v>68</v>
      </c>
      <c r="F665" t="s">
        <v>58</v>
      </c>
      <c r="G665" t="s">
        <v>59</v>
      </c>
      <c r="H665" t="s">
        <v>151</v>
      </c>
      <c r="I665" t="s">
        <v>1181</v>
      </c>
      <c r="J665" t="s">
        <v>137</v>
      </c>
      <c r="K665" t="s">
        <v>85</v>
      </c>
      <c r="L665" t="s">
        <v>64</v>
      </c>
      <c r="M665" t="s">
        <v>65</v>
      </c>
      <c r="N665" t="s">
        <v>95</v>
      </c>
      <c r="O665">
        <v>60</v>
      </c>
      <c r="P665">
        <v>0</v>
      </c>
      <c r="Q665">
        <v>69.2</v>
      </c>
      <c r="R665">
        <v>1500</v>
      </c>
      <c r="S665">
        <v>0</v>
      </c>
      <c r="T665">
        <v>1500</v>
      </c>
      <c r="U665">
        <v>1</v>
      </c>
      <c r="V665">
        <v>0</v>
      </c>
      <c r="W665">
        <v>0</v>
      </c>
      <c r="X665">
        <v>0.85</v>
      </c>
    </row>
    <row r="666" spans="1:24" x14ac:dyDescent="0.3">
      <c r="A666" t="s">
        <v>1182</v>
      </c>
      <c r="B666" s="1">
        <v>45894</v>
      </c>
      <c r="C666" t="s">
        <v>110</v>
      </c>
      <c r="D666" t="s">
        <v>39</v>
      </c>
      <c r="E666" t="s">
        <v>27</v>
      </c>
      <c r="F666" t="s">
        <v>28</v>
      </c>
      <c r="G666" t="s">
        <v>29</v>
      </c>
      <c r="H666" t="s">
        <v>30</v>
      </c>
      <c r="I666" t="s">
        <v>312</v>
      </c>
      <c r="J666" t="s">
        <v>137</v>
      </c>
      <c r="K666" t="s">
        <v>70</v>
      </c>
      <c r="L666" t="s">
        <v>34</v>
      </c>
      <c r="M666" t="s">
        <v>86</v>
      </c>
      <c r="N666" t="s">
        <v>36</v>
      </c>
      <c r="O666">
        <v>45</v>
      </c>
      <c r="P666">
        <v>45</v>
      </c>
      <c r="Q666">
        <v>58.6</v>
      </c>
      <c r="R666">
        <v>950</v>
      </c>
      <c r="S666">
        <v>950</v>
      </c>
      <c r="T666">
        <v>0</v>
      </c>
      <c r="U666">
        <v>0</v>
      </c>
      <c r="V666">
        <v>1</v>
      </c>
      <c r="W666">
        <v>0</v>
      </c>
      <c r="X666">
        <v>0.85</v>
      </c>
    </row>
    <row r="667" spans="1:24" x14ac:dyDescent="0.3">
      <c r="A667" t="s">
        <v>1183</v>
      </c>
      <c r="B667" s="1">
        <v>45897</v>
      </c>
      <c r="C667" t="s">
        <v>110</v>
      </c>
      <c r="D667" t="s">
        <v>50</v>
      </c>
      <c r="E667" t="s">
        <v>68</v>
      </c>
      <c r="F667" t="s">
        <v>58</v>
      </c>
      <c r="G667" t="s">
        <v>59</v>
      </c>
      <c r="H667" t="s">
        <v>73</v>
      </c>
      <c r="I667" t="s">
        <v>1184</v>
      </c>
      <c r="J667" t="s">
        <v>32</v>
      </c>
      <c r="K667" t="s">
        <v>46</v>
      </c>
      <c r="L667" t="s">
        <v>64</v>
      </c>
      <c r="M667" t="s">
        <v>71</v>
      </c>
      <c r="N667" t="s">
        <v>113</v>
      </c>
      <c r="O667">
        <v>45</v>
      </c>
      <c r="P667">
        <v>0</v>
      </c>
      <c r="Q667">
        <v>58.9</v>
      </c>
      <c r="R667">
        <v>1100</v>
      </c>
      <c r="S667">
        <v>0</v>
      </c>
      <c r="T667">
        <v>1100</v>
      </c>
      <c r="U667">
        <v>0</v>
      </c>
      <c r="V667">
        <v>0</v>
      </c>
      <c r="W667">
        <v>1</v>
      </c>
      <c r="X667">
        <v>0.85</v>
      </c>
    </row>
    <row r="668" spans="1:24" x14ac:dyDescent="0.3">
      <c r="A668" t="s">
        <v>1185</v>
      </c>
      <c r="B668" s="1">
        <v>45829</v>
      </c>
      <c r="C668" t="s">
        <v>67</v>
      </c>
      <c r="D668" t="s">
        <v>88</v>
      </c>
      <c r="E668" t="s">
        <v>40</v>
      </c>
      <c r="F668" t="s">
        <v>28</v>
      </c>
      <c r="G668" t="s">
        <v>29</v>
      </c>
      <c r="H668" t="s">
        <v>135</v>
      </c>
      <c r="I668" t="s">
        <v>74</v>
      </c>
      <c r="J668" t="s">
        <v>137</v>
      </c>
      <c r="K668" t="s">
        <v>85</v>
      </c>
      <c r="L668" t="s">
        <v>64</v>
      </c>
      <c r="M668" t="s">
        <v>86</v>
      </c>
      <c r="N668" t="s">
        <v>95</v>
      </c>
      <c r="O668">
        <v>60</v>
      </c>
      <c r="P668">
        <v>0</v>
      </c>
      <c r="Q668">
        <v>76.8</v>
      </c>
      <c r="R668">
        <v>1250</v>
      </c>
      <c r="S668">
        <v>0</v>
      </c>
      <c r="T668">
        <v>1250</v>
      </c>
      <c r="U668">
        <v>1</v>
      </c>
      <c r="V668">
        <v>0</v>
      </c>
      <c r="W668">
        <v>0</v>
      </c>
      <c r="X668">
        <v>0.85</v>
      </c>
    </row>
    <row r="669" spans="1:24" x14ac:dyDescent="0.3">
      <c r="A669" t="s">
        <v>1186</v>
      </c>
      <c r="B669" s="1">
        <v>45660</v>
      </c>
      <c r="C669" t="s">
        <v>130</v>
      </c>
      <c r="D669" t="s">
        <v>82</v>
      </c>
      <c r="E669" t="s">
        <v>40</v>
      </c>
      <c r="F669" t="s">
        <v>58</v>
      </c>
      <c r="G669" t="s">
        <v>59</v>
      </c>
      <c r="H669" t="s">
        <v>73</v>
      </c>
      <c r="I669" t="s">
        <v>1187</v>
      </c>
      <c r="J669" t="s">
        <v>32</v>
      </c>
      <c r="K669" t="s">
        <v>63</v>
      </c>
      <c r="L669" t="s">
        <v>64</v>
      </c>
      <c r="M669" t="s">
        <v>71</v>
      </c>
      <c r="N669" t="s">
        <v>36</v>
      </c>
      <c r="O669">
        <v>60</v>
      </c>
      <c r="P669">
        <v>60</v>
      </c>
      <c r="Q669">
        <v>76.3</v>
      </c>
      <c r="R669">
        <v>1500</v>
      </c>
      <c r="S669">
        <v>1500</v>
      </c>
      <c r="T669">
        <v>0</v>
      </c>
      <c r="U669">
        <v>0</v>
      </c>
      <c r="V669">
        <v>1</v>
      </c>
      <c r="W669">
        <v>0</v>
      </c>
      <c r="X669">
        <v>0.85</v>
      </c>
    </row>
    <row r="670" spans="1:24" x14ac:dyDescent="0.3">
      <c r="A670" t="s">
        <v>1188</v>
      </c>
      <c r="B670" s="1">
        <v>45756</v>
      </c>
      <c r="C670" t="s">
        <v>92</v>
      </c>
      <c r="D670" t="s">
        <v>57</v>
      </c>
      <c r="E670" t="s">
        <v>68</v>
      </c>
      <c r="F670" t="s">
        <v>28</v>
      </c>
      <c r="G670" t="s">
        <v>29</v>
      </c>
      <c r="H670" t="s">
        <v>30</v>
      </c>
      <c r="I670" t="s">
        <v>602</v>
      </c>
      <c r="J670" t="s">
        <v>62</v>
      </c>
      <c r="K670" t="s">
        <v>104</v>
      </c>
      <c r="L670" t="s">
        <v>64</v>
      </c>
      <c r="M670" t="s">
        <v>86</v>
      </c>
      <c r="N670" t="s">
        <v>36</v>
      </c>
      <c r="O670">
        <v>60</v>
      </c>
      <c r="P670">
        <v>60</v>
      </c>
      <c r="Q670">
        <v>79.2</v>
      </c>
      <c r="R670">
        <v>1250</v>
      </c>
      <c r="S670">
        <v>1250</v>
      </c>
      <c r="T670">
        <v>0</v>
      </c>
      <c r="U670">
        <v>0</v>
      </c>
      <c r="V670">
        <v>1</v>
      </c>
      <c r="W670">
        <v>0</v>
      </c>
      <c r="X670">
        <v>0.85</v>
      </c>
    </row>
    <row r="671" spans="1:24" x14ac:dyDescent="0.3">
      <c r="A671" t="s">
        <v>1189</v>
      </c>
      <c r="B671" s="1">
        <v>45897</v>
      </c>
      <c r="C671" t="s">
        <v>110</v>
      </c>
      <c r="D671" t="s">
        <v>50</v>
      </c>
      <c r="E671" t="s">
        <v>27</v>
      </c>
      <c r="F671" t="s">
        <v>28</v>
      </c>
      <c r="G671" t="s">
        <v>29</v>
      </c>
      <c r="H671" t="s">
        <v>210</v>
      </c>
      <c r="I671" t="s">
        <v>1034</v>
      </c>
      <c r="J671" t="s">
        <v>45</v>
      </c>
      <c r="K671" t="s">
        <v>85</v>
      </c>
      <c r="L671" t="s">
        <v>34</v>
      </c>
      <c r="M671" t="s">
        <v>65</v>
      </c>
      <c r="N671" t="s">
        <v>36</v>
      </c>
      <c r="O671">
        <v>75</v>
      </c>
      <c r="P671">
        <v>75</v>
      </c>
      <c r="Q671">
        <v>98.9</v>
      </c>
      <c r="R671">
        <v>1800</v>
      </c>
      <c r="S671">
        <v>1800</v>
      </c>
      <c r="T671">
        <v>0</v>
      </c>
      <c r="U671">
        <v>0</v>
      </c>
      <c r="V671">
        <v>1</v>
      </c>
      <c r="W671">
        <v>0</v>
      </c>
      <c r="X671">
        <v>0.85</v>
      </c>
    </row>
    <row r="672" spans="1:24" x14ac:dyDescent="0.3">
      <c r="A672" t="s">
        <v>1190</v>
      </c>
      <c r="B672" s="1">
        <v>45834</v>
      </c>
      <c r="C672" t="s">
        <v>67</v>
      </c>
      <c r="D672" t="s">
        <v>50</v>
      </c>
      <c r="E672" t="s">
        <v>83</v>
      </c>
      <c r="F672" t="s">
        <v>41</v>
      </c>
      <c r="G672" t="s">
        <v>42</v>
      </c>
      <c r="H672" t="s">
        <v>43</v>
      </c>
      <c r="I672" t="s">
        <v>170</v>
      </c>
      <c r="J672" t="s">
        <v>32</v>
      </c>
      <c r="K672" t="s">
        <v>46</v>
      </c>
      <c r="L672" t="s">
        <v>34</v>
      </c>
      <c r="M672" t="s">
        <v>65</v>
      </c>
      <c r="N672" t="s">
        <v>36</v>
      </c>
      <c r="O672">
        <v>45</v>
      </c>
      <c r="P672">
        <v>45</v>
      </c>
      <c r="Q672">
        <v>56.9</v>
      </c>
      <c r="R672">
        <v>1000</v>
      </c>
      <c r="S672">
        <v>1000</v>
      </c>
      <c r="T672">
        <v>0</v>
      </c>
      <c r="U672">
        <v>0</v>
      </c>
      <c r="V672">
        <v>1</v>
      </c>
      <c r="W672">
        <v>0</v>
      </c>
      <c r="X672">
        <v>0.85</v>
      </c>
    </row>
    <row r="673" spans="1:24" x14ac:dyDescent="0.3">
      <c r="A673" t="s">
        <v>1191</v>
      </c>
      <c r="B673" s="1">
        <v>45922</v>
      </c>
      <c r="C673" t="s">
        <v>49</v>
      </c>
      <c r="D673" t="s">
        <v>39</v>
      </c>
      <c r="E673" t="s">
        <v>27</v>
      </c>
      <c r="F673" t="s">
        <v>41</v>
      </c>
      <c r="G673" t="s">
        <v>42</v>
      </c>
      <c r="H673" t="s">
        <v>111</v>
      </c>
      <c r="I673" t="s">
        <v>1192</v>
      </c>
      <c r="J673" t="s">
        <v>62</v>
      </c>
      <c r="K673" t="s">
        <v>104</v>
      </c>
      <c r="L673" t="s">
        <v>34</v>
      </c>
      <c r="M673" t="s">
        <v>86</v>
      </c>
      <c r="N673" t="s">
        <v>36</v>
      </c>
      <c r="O673">
        <v>75</v>
      </c>
      <c r="P673">
        <v>75</v>
      </c>
      <c r="Q673">
        <v>99.3</v>
      </c>
      <c r="R673">
        <v>1700</v>
      </c>
      <c r="S673">
        <v>1700</v>
      </c>
      <c r="T673">
        <v>0</v>
      </c>
      <c r="U673">
        <v>0</v>
      </c>
      <c r="V673">
        <v>1</v>
      </c>
      <c r="W673">
        <v>0</v>
      </c>
      <c r="X673">
        <v>0.85</v>
      </c>
    </row>
    <row r="674" spans="1:24" x14ac:dyDescent="0.3">
      <c r="A674" t="s">
        <v>1193</v>
      </c>
      <c r="B674" s="1">
        <v>45888</v>
      </c>
      <c r="C674" t="s">
        <v>110</v>
      </c>
      <c r="D674" t="s">
        <v>26</v>
      </c>
      <c r="E674" t="s">
        <v>27</v>
      </c>
      <c r="F674" t="s">
        <v>58</v>
      </c>
      <c r="G674" t="s">
        <v>59</v>
      </c>
      <c r="H674" t="s">
        <v>73</v>
      </c>
      <c r="I674" t="s">
        <v>1194</v>
      </c>
      <c r="J674" t="s">
        <v>45</v>
      </c>
      <c r="K674" t="s">
        <v>63</v>
      </c>
      <c r="L674" t="s">
        <v>34</v>
      </c>
      <c r="M674" t="s">
        <v>65</v>
      </c>
      <c r="N674" t="s">
        <v>153</v>
      </c>
      <c r="O674">
        <v>60</v>
      </c>
      <c r="P674">
        <v>0</v>
      </c>
      <c r="Q674">
        <v>70.099999999999994</v>
      </c>
      <c r="R674">
        <v>1700</v>
      </c>
      <c r="S674">
        <v>0</v>
      </c>
      <c r="T674">
        <v>0</v>
      </c>
      <c r="U674">
        <v>0</v>
      </c>
      <c r="V674">
        <v>0</v>
      </c>
      <c r="W674">
        <v>0</v>
      </c>
      <c r="X674">
        <v>0.85</v>
      </c>
    </row>
    <row r="675" spans="1:24" x14ac:dyDescent="0.3">
      <c r="A675" t="s">
        <v>1195</v>
      </c>
      <c r="B675" s="1">
        <v>46016</v>
      </c>
      <c r="C675" t="s">
        <v>25</v>
      </c>
      <c r="D675" t="s">
        <v>50</v>
      </c>
      <c r="E675" t="s">
        <v>40</v>
      </c>
      <c r="F675" t="s">
        <v>28</v>
      </c>
      <c r="G675" t="s">
        <v>29</v>
      </c>
      <c r="H675" t="s">
        <v>102</v>
      </c>
      <c r="I675" t="s">
        <v>1196</v>
      </c>
      <c r="J675" t="s">
        <v>32</v>
      </c>
      <c r="K675" t="s">
        <v>46</v>
      </c>
      <c r="L675" t="s">
        <v>34</v>
      </c>
      <c r="M675" t="s">
        <v>86</v>
      </c>
      <c r="N675" t="s">
        <v>36</v>
      </c>
      <c r="O675">
        <v>75</v>
      </c>
      <c r="P675">
        <v>75</v>
      </c>
      <c r="Q675">
        <v>94.5</v>
      </c>
      <c r="R675">
        <v>1550</v>
      </c>
      <c r="S675">
        <v>1550</v>
      </c>
      <c r="T675">
        <v>0</v>
      </c>
      <c r="U675">
        <v>0</v>
      </c>
      <c r="V675">
        <v>1</v>
      </c>
      <c r="W675">
        <v>0</v>
      </c>
      <c r="X675">
        <v>0.85</v>
      </c>
    </row>
    <row r="676" spans="1:24" x14ac:dyDescent="0.3">
      <c r="A676" t="s">
        <v>1197</v>
      </c>
      <c r="B676" s="1">
        <v>45843</v>
      </c>
      <c r="C676" t="s">
        <v>101</v>
      </c>
      <c r="D676" t="s">
        <v>88</v>
      </c>
      <c r="E676" t="s">
        <v>40</v>
      </c>
      <c r="F676" t="s">
        <v>41</v>
      </c>
      <c r="G676" t="s">
        <v>42</v>
      </c>
      <c r="H676" t="s">
        <v>43</v>
      </c>
      <c r="I676" t="s">
        <v>1006</v>
      </c>
      <c r="J676" t="s">
        <v>53</v>
      </c>
      <c r="K676" t="s">
        <v>70</v>
      </c>
      <c r="L676" t="s">
        <v>34</v>
      </c>
      <c r="M676" t="s">
        <v>65</v>
      </c>
      <c r="N676" t="s">
        <v>36</v>
      </c>
      <c r="O676">
        <v>45</v>
      </c>
      <c r="P676">
        <v>45</v>
      </c>
      <c r="Q676">
        <v>56.5</v>
      </c>
      <c r="R676">
        <v>1200</v>
      </c>
      <c r="S676">
        <v>1200</v>
      </c>
      <c r="T676">
        <v>0</v>
      </c>
      <c r="U676">
        <v>0</v>
      </c>
      <c r="V676">
        <v>1</v>
      </c>
      <c r="W676">
        <v>0</v>
      </c>
      <c r="X676">
        <v>0.85</v>
      </c>
    </row>
    <row r="677" spans="1:24" x14ac:dyDescent="0.3">
      <c r="A677" t="s">
        <v>1198</v>
      </c>
      <c r="B677" s="1">
        <v>45658</v>
      </c>
      <c r="C677" t="s">
        <v>130</v>
      </c>
      <c r="D677" t="s">
        <v>57</v>
      </c>
      <c r="E677" t="s">
        <v>27</v>
      </c>
      <c r="F677" t="s">
        <v>58</v>
      </c>
      <c r="G677" t="s">
        <v>59</v>
      </c>
      <c r="H677" t="s">
        <v>151</v>
      </c>
      <c r="I677" t="s">
        <v>1199</v>
      </c>
      <c r="J677" t="s">
        <v>45</v>
      </c>
      <c r="K677" t="s">
        <v>85</v>
      </c>
      <c r="L677" t="s">
        <v>34</v>
      </c>
      <c r="M677" t="s">
        <v>35</v>
      </c>
      <c r="N677" t="s">
        <v>36</v>
      </c>
      <c r="O677">
        <v>60</v>
      </c>
      <c r="P677">
        <v>60</v>
      </c>
      <c r="Q677">
        <v>71.7</v>
      </c>
      <c r="R677">
        <v>1700</v>
      </c>
      <c r="S677">
        <v>1700</v>
      </c>
      <c r="T677">
        <v>0</v>
      </c>
      <c r="U677">
        <v>0</v>
      </c>
      <c r="V677">
        <v>1</v>
      </c>
      <c r="W677">
        <v>0</v>
      </c>
      <c r="X677">
        <v>0.85</v>
      </c>
    </row>
    <row r="678" spans="1:24" x14ac:dyDescent="0.3">
      <c r="A678" t="s">
        <v>1200</v>
      </c>
      <c r="B678" s="1">
        <v>45734</v>
      </c>
      <c r="C678" t="s">
        <v>56</v>
      </c>
      <c r="D678" t="s">
        <v>26</v>
      </c>
      <c r="E678" t="s">
        <v>68</v>
      </c>
      <c r="F678" t="s">
        <v>41</v>
      </c>
      <c r="G678" t="s">
        <v>42</v>
      </c>
      <c r="H678" t="s">
        <v>111</v>
      </c>
      <c r="I678" t="s">
        <v>1201</v>
      </c>
      <c r="J678" t="s">
        <v>53</v>
      </c>
      <c r="K678" t="s">
        <v>85</v>
      </c>
      <c r="L678" t="s">
        <v>34</v>
      </c>
      <c r="M678" t="s">
        <v>71</v>
      </c>
      <c r="N678" t="s">
        <v>36</v>
      </c>
      <c r="O678">
        <v>30</v>
      </c>
      <c r="P678">
        <v>30</v>
      </c>
      <c r="Q678">
        <v>38.9</v>
      </c>
      <c r="R678">
        <v>800</v>
      </c>
      <c r="S678">
        <v>800</v>
      </c>
      <c r="T678">
        <v>0</v>
      </c>
      <c r="U678">
        <v>0</v>
      </c>
      <c r="V678">
        <v>1</v>
      </c>
      <c r="W678">
        <v>0</v>
      </c>
      <c r="X678">
        <v>0.85</v>
      </c>
    </row>
    <row r="679" spans="1:24" x14ac:dyDescent="0.3">
      <c r="A679" t="s">
        <v>1202</v>
      </c>
      <c r="B679" s="1">
        <v>45713</v>
      </c>
      <c r="C679" t="s">
        <v>76</v>
      </c>
      <c r="D679" t="s">
        <v>26</v>
      </c>
      <c r="E679" t="s">
        <v>68</v>
      </c>
      <c r="F679" t="s">
        <v>41</v>
      </c>
      <c r="G679" t="s">
        <v>42</v>
      </c>
      <c r="H679" t="s">
        <v>51</v>
      </c>
      <c r="I679" t="s">
        <v>1080</v>
      </c>
      <c r="J679" t="s">
        <v>53</v>
      </c>
      <c r="K679" t="s">
        <v>85</v>
      </c>
      <c r="L679" t="s">
        <v>34</v>
      </c>
      <c r="M679" t="s">
        <v>35</v>
      </c>
      <c r="N679" t="s">
        <v>36</v>
      </c>
      <c r="O679">
        <v>75</v>
      </c>
      <c r="P679">
        <v>75</v>
      </c>
      <c r="Q679">
        <v>93.8</v>
      </c>
      <c r="R679">
        <v>2000</v>
      </c>
      <c r="S679">
        <v>2000</v>
      </c>
      <c r="T679">
        <v>0</v>
      </c>
      <c r="U679">
        <v>0</v>
      </c>
      <c r="V679">
        <v>1</v>
      </c>
      <c r="W679">
        <v>0</v>
      </c>
      <c r="X679">
        <v>0.85</v>
      </c>
    </row>
    <row r="680" spans="1:24" x14ac:dyDescent="0.3">
      <c r="A680" t="s">
        <v>1203</v>
      </c>
      <c r="B680" s="1">
        <v>45789</v>
      </c>
      <c r="C680" t="s">
        <v>128</v>
      </c>
      <c r="D680" t="s">
        <v>39</v>
      </c>
      <c r="E680" t="s">
        <v>68</v>
      </c>
      <c r="F680" t="s">
        <v>58</v>
      </c>
      <c r="G680" t="s">
        <v>59</v>
      </c>
      <c r="H680" t="s">
        <v>151</v>
      </c>
      <c r="I680" t="s">
        <v>1204</v>
      </c>
      <c r="J680" t="s">
        <v>32</v>
      </c>
      <c r="K680" t="s">
        <v>70</v>
      </c>
      <c r="L680" t="s">
        <v>34</v>
      </c>
      <c r="M680" t="s">
        <v>65</v>
      </c>
      <c r="N680" t="s">
        <v>113</v>
      </c>
      <c r="O680">
        <v>75</v>
      </c>
      <c r="P680">
        <v>0</v>
      </c>
      <c r="Q680">
        <v>87.5</v>
      </c>
      <c r="R680">
        <v>1900</v>
      </c>
      <c r="S680">
        <v>0</v>
      </c>
      <c r="T680">
        <v>1900</v>
      </c>
      <c r="U680">
        <v>0</v>
      </c>
      <c r="V680">
        <v>0</v>
      </c>
      <c r="W680">
        <v>1</v>
      </c>
      <c r="X680">
        <v>0.85</v>
      </c>
    </row>
    <row r="681" spans="1:24" x14ac:dyDescent="0.3">
      <c r="A681" t="s">
        <v>1205</v>
      </c>
      <c r="B681" s="1">
        <v>45933</v>
      </c>
      <c r="C681" t="s">
        <v>97</v>
      </c>
      <c r="D681" t="s">
        <v>82</v>
      </c>
      <c r="E681" t="s">
        <v>40</v>
      </c>
      <c r="F681" t="s">
        <v>28</v>
      </c>
      <c r="G681" t="s">
        <v>29</v>
      </c>
      <c r="H681" t="s">
        <v>135</v>
      </c>
      <c r="I681" t="s">
        <v>648</v>
      </c>
      <c r="J681" t="s">
        <v>62</v>
      </c>
      <c r="K681" t="s">
        <v>70</v>
      </c>
      <c r="L681" t="s">
        <v>64</v>
      </c>
      <c r="M681" t="s">
        <v>35</v>
      </c>
      <c r="N681" t="s">
        <v>36</v>
      </c>
      <c r="O681">
        <v>30</v>
      </c>
      <c r="P681">
        <v>30</v>
      </c>
      <c r="Q681">
        <v>37.299999999999997</v>
      </c>
      <c r="R681">
        <v>600</v>
      </c>
      <c r="S681">
        <v>600</v>
      </c>
      <c r="T681">
        <v>0</v>
      </c>
      <c r="U681">
        <v>0</v>
      </c>
      <c r="V681">
        <v>1</v>
      </c>
      <c r="W681">
        <v>0</v>
      </c>
      <c r="X681">
        <v>0.85</v>
      </c>
    </row>
    <row r="682" spans="1:24" x14ac:dyDescent="0.3">
      <c r="A682" t="s">
        <v>1206</v>
      </c>
      <c r="B682" s="1">
        <v>46014</v>
      </c>
      <c r="C682" t="s">
        <v>25</v>
      </c>
      <c r="D682" t="s">
        <v>26</v>
      </c>
      <c r="E682" t="s">
        <v>40</v>
      </c>
      <c r="F682" t="s">
        <v>58</v>
      </c>
      <c r="G682" t="s">
        <v>59</v>
      </c>
      <c r="H682" t="s">
        <v>117</v>
      </c>
      <c r="I682" t="s">
        <v>1207</v>
      </c>
      <c r="J682" t="s">
        <v>62</v>
      </c>
      <c r="K682" t="s">
        <v>85</v>
      </c>
      <c r="L682" t="s">
        <v>54</v>
      </c>
      <c r="M682" t="s">
        <v>65</v>
      </c>
      <c r="N682" t="s">
        <v>36</v>
      </c>
      <c r="O682">
        <v>45</v>
      </c>
      <c r="P682">
        <v>45</v>
      </c>
      <c r="Q682">
        <v>57.6</v>
      </c>
      <c r="R682">
        <v>950</v>
      </c>
      <c r="S682">
        <v>950</v>
      </c>
      <c r="T682">
        <v>0</v>
      </c>
      <c r="U682">
        <v>0</v>
      </c>
      <c r="V682">
        <v>1</v>
      </c>
      <c r="W682">
        <v>0</v>
      </c>
      <c r="X682">
        <v>0.85</v>
      </c>
    </row>
    <row r="683" spans="1:24" x14ac:dyDescent="0.3">
      <c r="A683" t="s">
        <v>1208</v>
      </c>
      <c r="B683" s="1">
        <v>45868</v>
      </c>
      <c r="C683" t="s">
        <v>101</v>
      </c>
      <c r="D683" t="s">
        <v>57</v>
      </c>
      <c r="E683" t="s">
        <v>68</v>
      </c>
      <c r="F683" t="s">
        <v>58</v>
      </c>
      <c r="G683" t="s">
        <v>59</v>
      </c>
      <c r="H683" t="s">
        <v>296</v>
      </c>
      <c r="I683" t="s">
        <v>1209</v>
      </c>
      <c r="J683" t="s">
        <v>62</v>
      </c>
      <c r="K683" t="s">
        <v>85</v>
      </c>
      <c r="L683" t="s">
        <v>64</v>
      </c>
      <c r="M683" t="s">
        <v>35</v>
      </c>
      <c r="N683" t="s">
        <v>36</v>
      </c>
      <c r="O683">
        <v>30</v>
      </c>
      <c r="P683">
        <v>30</v>
      </c>
      <c r="Q683">
        <v>40.4</v>
      </c>
      <c r="R683">
        <v>750</v>
      </c>
      <c r="S683">
        <v>750</v>
      </c>
      <c r="T683">
        <v>0</v>
      </c>
      <c r="U683">
        <v>0</v>
      </c>
      <c r="V683">
        <v>1</v>
      </c>
      <c r="W683">
        <v>0</v>
      </c>
      <c r="X683">
        <v>0.85</v>
      </c>
    </row>
    <row r="684" spans="1:24" x14ac:dyDescent="0.3">
      <c r="A684" t="s">
        <v>1210</v>
      </c>
      <c r="B684" s="1">
        <v>45985</v>
      </c>
      <c r="C684" t="s">
        <v>38</v>
      </c>
      <c r="D684" t="s">
        <v>39</v>
      </c>
      <c r="E684" t="s">
        <v>27</v>
      </c>
      <c r="F684" t="s">
        <v>58</v>
      </c>
      <c r="G684" t="s">
        <v>59</v>
      </c>
      <c r="H684" t="s">
        <v>73</v>
      </c>
      <c r="I684" t="s">
        <v>1211</v>
      </c>
      <c r="J684" t="s">
        <v>45</v>
      </c>
      <c r="K684" t="s">
        <v>33</v>
      </c>
      <c r="L684" t="s">
        <v>34</v>
      </c>
      <c r="M684" t="s">
        <v>47</v>
      </c>
      <c r="N684" t="s">
        <v>95</v>
      </c>
      <c r="O684">
        <v>45</v>
      </c>
      <c r="P684">
        <v>0</v>
      </c>
      <c r="Q684">
        <v>60.1</v>
      </c>
      <c r="R684">
        <v>1300</v>
      </c>
      <c r="S684">
        <v>0</v>
      </c>
      <c r="T684">
        <v>1300</v>
      </c>
      <c r="U684">
        <v>1</v>
      </c>
      <c r="V684">
        <v>0</v>
      </c>
      <c r="W684">
        <v>0</v>
      </c>
      <c r="X684">
        <v>0.85</v>
      </c>
    </row>
    <row r="685" spans="1:24" x14ac:dyDescent="0.3">
      <c r="A685" t="s">
        <v>1212</v>
      </c>
      <c r="B685" s="1">
        <v>45845</v>
      </c>
      <c r="C685" t="s">
        <v>101</v>
      </c>
      <c r="D685" t="s">
        <v>39</v>
      </c>
      <c r="E685" t="s">
        <v>68</v>
      </c>
      <c r="F685" t="s">
        <v>41</v>
      </c>
      <c r="G685" t="s">
        <v>42</v>
      </c>
      <c r="H685" t="s">
        <v>111</v>
      </c>
      <c r="I685" t="s">
        <v>77</v>
      </c>
      <c r="J685" t="s">
        <v>62</v>
      </c>
      <c r="K685" t="s">
        <v>104</v>
      </c>
      <c r="L685" t="s">
        <v>34</v>
      </c>
      <c r="M685" t="s">
        <v>35</v>
      </c>
      <c r="N685" t="s">
        <v>36</v>
      </c>
      <c r="O685">
        <v>30</v>
      </c>
      <c r="P685">
        <v>30</v>
      </c>
      <c r="Q685">
        <v>33.9</v>
      </c>
      <c r="R685">
        <v>700</v>
      </c>
      <c r="S685">
        <v>700</v>
      </c>
      <c r="T685">
        <v>0</v>
      </c>
      <c r="U685">
        <v>0</v>
      </c>
      <c r="V685">
        <v>1</v>
      </c>
      <c r="W685">
        <v>0</v>
      </c>
      <c r="X685">
        <v>0.85</v>
      </c>
    </row>
    <row r="686" spans="1:24" x14ac:dyDescent="0.3">
      <c r="A686" t="s">
        <v>1213</v>
      </c>
      <c r="B686" s="1">
        <v>45833</v>
      </c>
      <c r="C686" t="s">
        <v>67</v>
      </c>
      <c r="D686" t="s">
        <v>57</v>
      </c>
      <c r="E686" t="s">
        <v>27</v>
      </c>
      <c r="F686" t="s">
        <v>41</v>
      </c>
      <c r="G686" t="s">
        <v>42</v>
      </c>
      <c r="H686" t="s">
        <v>125</v>
      </c>
      <c r="I686" t="s">
        <v>245</v>
      </c>
      <c r="J686" t="s">
        <v>62</v>
      </c>
      <c r="K686" t="s">
        <v>63</v>
      </c>
      <c r="L686" t="s">
        <v>54</v>
      </c>
      <c r="M686" t="s">
        <v>65</v>
      </c>
      <c r="N686" t="s">
        <v>36</v>
      </c>
      <c r="O686">
        <v>60</v>
      </c>
      <c r="P686">
        <v>60</v>
      </c>
      <c r="Q686">
        <v>70.2</v>
      </c>
      <c r="R686">
        <v>1150</v>
      </c>
      <c r="S686">
        <v>1150</v>
      </c>
      <c r="T686">
        <v>0</v>
      </c>
      <c r="U686">
        <v>0</v>
      </c>
      <c r="V686">
        <v>1</v>
      </c>
      <c r="W686">
        <v>0</v>
      </c>
      <c r="X686">
        <v>0.85</v>
      </c>
    </row>
    <row r="687" spans="1:24" x14ac:dyDescent="0.3">
      <c r="A687" t="s">
        <v>1214</v>
      </c>
      <c r="B687" s="1">
        <v>45820</v>
      </c>
      <c r="C687" t="s">
        <v>67</v>
      </c>
      <c r="D687" t="s">
        <v>50</v>
      </c>
      <c r="E687" t="s">
        <v>40</v>
      </c>
      <c r="F687" t="s">
        <v>28</v>
      </c>
      <c r="G687" t="s">
        <v>29</v>
      </c>
      <c r="H687" t="s">
        <v>120</v>
      </c>
      <c r="I687" t="s">
        <v>1215</v>
      </c>
      <c r="J687" t="s">
        <v>99</v>
      </c>
      <c r="K687" t="s">
        <v>85</v>
      </c>
      <c r="L687" t="s">
        <v>34</v>
      </c>
      <c r="M687" t="s">
        <v>94</v>
      </c>
      <c r="N687" t="s">
        <v>153</v>
      </c>
      <c r="O687">
        <v>30</v>
      </c>
      <c r="P687">
        <v>0</v>
      </c>
      <c r="Q687">
        <v>34.700000000000003</v>
      </c>
      <c r="R687">
        <v>600</v>
      </c>
      <c r="S687">
        <v>0</v>
      </c>
      <c r="T687">
        <v>0</v>
      </c>
      <c r="U687">
        <v>0</v>
      </c>
      <c r="V687">
        <v>0</v>
      </c>
      <c r="W687">
        <v>0</v>
      </c>
      <c r="X687">
        <v>0.85</v>
      </c>
    </row>
    <row r="688" spans="1:24" x14ac:dyDescent="0.3">
      <c r="A688" t="s">
        <v>1216</v>
      </c>
      <c r="B688" s="1">
        <v>45717</v>
      </c>
      <c r="C688" t="s">
        <v>56</v>
      </c>
      <c r="D688" t="s">
        <v>88</v>
      </c>
      <c r="E688" t="s">
        <v>27</v>
      </c>
      <c r="F688" t="s">
        <v>58</v>
      </c>
      <c r="G688" t="s">
        <v>59</v>
      </c>
      <c r="H688" t="s">
        <v>151</v>
      </c>
      <c r="I688" t="s">
        <v>1217</v>
      </c>
      <c r="J688" t="s">
        <v>137</v>
      </c>
      <c r="K688" t="s">
        <v>70</v>
      </c>
      <c r="L688" t="s">
        <v>34</v>
      </c>
      <c r="M688" t="s">
        <v>71</v>
      </c>
      <c r="N688" t="s">
        <v>95</v>
      </c>
      <c r="O688">
        <v>90</v>
      </c>
      <c r="P688">
        <v>0</v>
      </c>
      <c r="Q688">
        <v>106.3</v>
      </c>
      <c r="R688">
        <v>2250</v>
      </c>
      <c r="S688">
        <v>0</v>
      </c>
      <c r="T688">
        <v>2250</v>
      </c>
      <c r="U688">
        <v>1</v>
      </c>
      <c r="V688">
        <v>0</v>
      </c>
      <c r="W688">
        <v>0</v>
      </c>
      <c r="X688">
        <v>0.85</v>
      </c>
    </row>
    <row r="689" spans="1:24" x14ac:dyDescent="0.3">
      <c r="A689" t="s">
        <v>1218</v>
      </c>
      <c r="B689" s="1">
        <v>45674</v>
      </c>
      <c r="C689" t="s">
        <v>130</v>
      </c>
      <c r="D689" t="s">
        <v>82</v>
      </c>
      <c r="E689" t="s">
        <v>27</v>
      </c>
      <c r="F689" t="s">
        <v>41</v>
      </c>
      <c r="G689" t="s">
        <v>42</v>
      </c>
      <c r="H689" t="s">
        <v>125</v>
      </c>
      <c r="I689" t="s">
        <v>1219</v>
      </c>
      <c r="J689" t="s">
        <v>99</v>
      </c>
      <c r="K689" t="s">
        <v>70</v>
      </c>
      <c r="L689" t="s">
        <v>64</v>
      </c>
      <c r="M689" t="s">
        <v>71</v>
      </c>
      <c r="N689" t="s">
        <v>36</v>
      </c>
      <c r="O689">
        <v>60</v>
      </c>
      <c r="P689">
        <v>60</v>
      </c>
      <c r="Q689">
        <v>80</v>
      </c>
      <c r="R689">
        <v>1350</v>
      </c>
      <c r="S689">
        <v>1350</v>
      </c>
      <c r="T689">
        <v>0</v>
      </c>
      <c r="U689">
        <v>0</v>
      </c>
      <c r="V689">
        <v>1</v>
      </c>
      <c r="W689">
        <v>0</v>
      </c>
      <c r="X689">
        <v>0.85</v>
      </c>
    </row>
    <row r="690" spans="1:24" x14ac:dyDescent="0.3">
      <c r="A690" t="s">
        <v>1220</v>
      </c>
      <c r="B690" s="1">
        <v>45740</v>
      </c>
      <c r="C690" t="s">
        <v>56</v>
      </c>
      <c r="D690" t="s">
        <v>39</v>
      </c>
      <c r="E690" t="s">
        <v>68</v>
      </c>
      <c r="F690" t="s">
        <v>28</v>
      </c>
      <c r="G690" t="s">
        <v>29</v>
      </c>
      <c r="H690" t="s">
        <v>135</v>
      </c>
      <c r="I690" t="s">
        <v>1221</v>
      </c>
      <c r="J690" t="s">
        <v>53</v>
      </c>
      <c r="K690" t="s">
        <v>104</v>
      </c>
      <c r="L690" t="s">
        <v>34</v>
      </c>
      <c r="M690" t="s">
        <v>47</v>
      </c>
      <c r="N690" t="s">
        <v>36</v>
      </c>
      <c r="O690">
        <v>60</v>
      </c>
      <c r="P690">
        <v>60</v>
      </c>
      <c r="Q690">
        <v>77.2</v>
      </c>
      <c r="R690">
        <v>1500</v>
      </c>
      <c r="S690">
        <v>1500</v>
      </c>
      <c r="T690">
        <v>0</v>
      </c>
      <c r="U690">
        <v>0</v>
      </c>
      <c r="V690">
        <v>1</v>
      </c>
      <c r="W690">
        <v>0</v>
      </c>
      <c r="X690">
        <v>0.85</v>
      </c>
    </row>
    <row r="691" spans="1:24" x14ac:dyDescent="0.3">
      <c r="A691" t="s">
        <v>1222</v>
      </c>
      <c r="B691" s="1">
        <v>45910</v>
      </c>
      <c r="C691" t="s">
        <v>49</v>
      </c>
      <c r="D691" t="s">
        <v>57</v>
      </c>
      <c r="E691" t="s">
        <v>27</v>
      </c>
      <c r="F691" t="s">
        <v>28</v>
      </c>
      <c r="G691" t="s">
        <v>29</v>
      </c>
      <c r="H691" t="s">
        <v>120</v>
      </c>
      <c r="I691" t="s">
        <v>1223</v>
      </c>
      <c r="J691" t="s">
        <v>62</v>
      </c>
      <c r="K691" t="s">
        <v>104</v>
      </c>
      <c r="L691" t="s">
        <v>34</v>
      </c>
      <c r="M691" t="s">
        <v>35</v>
      </c>
      <c r="N691" t="s">
        <v>95</v>
      </c>
      <c r="O691">
        <v>90</v>
      </c>
      <c r="P691">
        <v>0</v>
      </c>
      <c r="Q691">
        <v>117.9</v>
      </c>
      <c r="R691">
        <v>1900</v>
      </c>
      <c r="S691">
        <v>0</v>
      </c>
      <c r="T691">
        <v>1900</v>
      </c>
      <c r="U691">
        <v>1</v>
      </c>
      <c r="V691">
        <v>0</v>
      </c>
      <c r="W691">
        <v>0</v>
      </c>
      <c r="X691">
        <v>0.85</v>
      </c>
    </row>
    <row r="692" spans="1:24" x14ac:dyDescent="0.3">
      <c r="A692" t="s">
        <v>1224</v>
      </c>
      <c r="B692" s="1">
        <v>45960</v>
      </c>
      <c r="C692" t="s">
        <v>97</v>
      </c>
      <c r="D692" t="s">
        <v>50</v>
      </c>
      <c r="E692" t="s">
        <v>83</v>
      </c>
      <c r="F692" t="s">
        <v>28</v>
      </c>
      <c r="G692" t="s">
        <v>29</v>
      </c>
      <c r="H692" t="s">
        <v>102</v>
      </c>
      <c r="I692" t="s">
        <v>358</v>
      </c>
      <c r="J692" t="s">
        <v>32</v>
      </c>
      <c r="K692" t="s">
        <v>70</v>
      </c>
      <c r="L692" t="s">
        <v>54</v>
      </c>
      <c r="M692" t="s">
        <v>47</v>
      </c>
      <c r="N692" t="s">
        <v>113</v>
      </c>
      <c r="O692">
        <v>30</v>
      </c>
      <c r="P692">
        <v>0</v>
      </c>
      <c r="Q692">
        <v>37.9</v>
      </c>
      <c r="R692">
        <v>550</v>
      </c>
      <c r="S692">
        <v>0</v>
      </c>
      <c r="T692">
        <v>550</v>
      </c>
      <c r="U692">
        <v>0</v>
      </c>
      <c r="V692">
        <v>0</v>
      </c>
      <c r="W692">
        <v>1</v>
      </c>
      <c r="X692">
        <v>0.85</v>
      </c>
    </row>
    <row r="693" spans="1:24" x14ac:dyDescent="0.3">
      <c r="A693" t="s">
        <v>1225</v>
      </c>
      <c r="B693" s="1">
        <v>45664</v>
      </c>
      <c r="C693" t="s">
        <v>130</v>
      </c>
      <c r="D693" t="s">
        <v>26</v>
      </c>
      <c r="E693" t="s">
        <v>40</v>
      </c>
      <c r="F693" t="s">
        <v>58</v>
      </c>
      <c r="G693" t="s">
        <v>59</v>
      </c>
      <c r="H693" t="s">
        <v>117</v>
      </c>
      <c r="I693" t="s">
        <v>330</v>
      </c>
      <c r="J693" t="s">
        <v>62</v>
      </c>
      <c r="K693" t="s">
        <v>33</v>
      </c>
      <c r="L693" t="s">
        <v>78</v>
      </c>
      <c r="M693" t="s">
        <v>86</v>
      </c>
      <c r="N693" t="s">
        <v>36</v>
      </c>
      <c r="O693">
        <v>75</v>
      </c>
      <c r="P693">
        <v>75</v>
      </c>
      <c r="Q693">
        <v>97.5</v>
      </c>
      <c r="R693">
        <v>1700</v>
      </c>
      <c r="S693">
        <v>1700</v>
      </c>
      <c r="T693">
        <v>0</v>
      </c>
      <c r="U693">
        <v>0</v>
      </c>
      <c r="V693">
        <v>1</v>
      </c>
      <c r="W693">
        <v>0</v>
      </c>
      <c r="X693">
        <v>0.85</v>
      </c>
    </row>
    <row r="694" spans="1:24" x14ac:dyDescent="0.3">
      <c r="A694" t="s">
        <v>1226</v>
      </c>
      <c r="B694" s="1">
        <v>45682</v>
      </c>
      <c r="C694" t="s">
        <v>130</v>
      </c>
      <c r="D694" t="s">
        <v>88</v>
      </c>
      <c r="E694" t="s">
        <v>68</v>
      </c>
      <c r="F694" t="s">
        <v>41</v>
      </c>
      <c r="G694" t="s">
        <v>42</v>
      </c>
      <c r="H694" t="s">
        <v>125</v>
      </c>
      <c r="I694" t="s">
        <v>694</v>
      </c>
      <c r="J694" t="s">
        <v>62</v>
      </c>
      <c r="K694" t="s">
        <v>70</v>
      </c>
      <c r="L694" t="s">
        <v>64</v>
      </c>
      <c r="M694" t="s">
        <v>86</v>
      </c>
      <c r="N694" t="s">
        <v>95</v>
      </c>
      <c r="O694">
        <v>60</v>
      </c>
      <c r="P694">
        <v>0</v>
      </c>
      <c r="Q694">
        <v>80.900000000000006</v>
      </c>
      <c r="R694">
        <v>1350</v>
      </c>
      <c r="S694">
        <v>0</v>
      </c>
      <c r="T694">
        <v>1350</v>
      </c>
      <c r="U694">
        <v>1</v>
      </c>
      <c r="V694">
        <v>0</v>
      </c>
      <c r="W694">
        <v>0</v>
      </c>
      <c r="X694">
        <v>0.85</v>
      </c>
    </row>
    <row r="695" spans="1:24" x14ac:dyDescent="0.3">
      <c r="A695" t="s">
        <v>1227</v>
      </c>
      <c r="B695" s="1">
        <v>45686</v>
      </c>
      <c r="C695" t="s">
        <v>130</v>
      </c>
      <c r="D695" t="s">
        <v>57</v>
      </c>
      <c r="E695" t="s">
        <v>27</v>
      </c>
      <c r="F695" t="s">
        <v>28</v>
      </c>
      <c r="G695" t="s">
        <v>29</v>
      </c>
      <c r="H695" t="s">
        <v>135</v>
      </c>
      <c r="I695" t="s">
        <v>379</v>
      </c>
      <c r="J695" t="s">
        <v>99</v>
      </c>
      <c r="K695" t="s">
        <v>46</v>
      </c>
      <c r="L695" t="s">
        <v>34</v>
      </c>
      <c r="M695" t="s">
        <v>35</v>
      </c>
      <c r="N695" t="s">
        <v>36</v>
      </c>
      <c r="O695">
        <v>45</v>
      </c>
      <c r="P695">
        <v>45</v>
      </c>
      <c r="Q695">
        <v>53.5</v>
      </c>
      <c r="R695">
        <v>950</v>
      </c>
      <c r="S695">
        <v>950</v>
      </c>
      <c r="T695">
        <v>0</v>
      </c>
      <c r="U695">
        <v>0</v>
      </c>
      <c r="V695">
        <v>1</v>
      </c>
      <c r="W695">
        <v>0</v>
      </c>
      <c r="X695">
        <v>0.85</v>
      </c>
    </row>
    <row r="696" spans="1:24" x14ac:dyDescent="0.3">
      <c r="A696" t="s">
        <v>1228</v>
      </c>
      <c r="B696" s="1">
        <v>45668</v>
      </c>
      <c r="C696" t="s">
        <v>130</v>
      </c>
      <c r="D696" t="s">
        <v>88</v>
      </c>
      <c r="E696" t="s">
        <v>27</v>
      </c>
      <c r="F696" t="s">
        <v>58</v>
      </c>
      <c r="G696" t="s">
        <v>59</v>
      </c>
      <c r="H696" t="s">
        <v>117</v>
      </c>
      <c r="I696" t="s">
        <v>1229</v>
      </c>
      <c r="J696" t="s">
        <v>62</v>
      </c>
      <c r="K696" t="s">
        <v>33</v>
      </c>
      <c r="L696" t="s">
        <v>64</v>
      </c>
      <c r="M696" t="s">
        <v>35</v>
      </c>
      <c r="N696" t="s">
        <v>36</v>
      </c>
      <c r="O696">
        <v>60</v>
      </c>
      <c r="P696">
        <v>60</v>
      </c>
      <c r="Q696">
        <v>67.900000000000006</v>
      </c>
      <c r="R696">
        <v>1500</v>
      </c>
      <c r="S696">
        <v>1500</v>
      </c>
      <c r="T696">
        <v>0</v>
      </c>
      <c r="U696">
        <v>0</v>
      </c>
      <c r="V696">
        <v>1</v>
      </c>
      <c r="W696">
        <v>0</v>
      </c>
      <c r="X696">
        <v>0.85</v>
      </c>
    </row>
    <row r="697" spans="1:24" x14ac:dyDescent="0.3">
      <c r="A697" t="s">
        <v>1230</v>
      </c>
      <c r="B697" s="1">
        <v>45898</v>
      </c>
      <c r="C697" t="s">
        <v>110</v>
      </c>
      <c r="D697" t="s">
        <v>82</v>
      </c>
      <c r="E697" t="s">
        <v>83</v>
      </c>
      <c r="F697" t="s">
        <v>58</v>
      </c>
      <c r="G697" t="s">
        <v>59</v>
      </c>
      <c r="H697" t="s">
        <v>117</v>
      </c>
      <c r="I697" t="s">
        <v>1201</v>
      </c>
      <c r="J697" t="s">
        <v>62</v>
      </c>
      <c r="K697" t="s">
        <v>70</v>
      </c>
      <c r="L697" t="s">
        <v>64</v>
      </c>
      <c r="M697" t="s">
        <v>86</v>
      </c>
      <c r="N697" t="s">
        <v>36</v>
      </c>
      <c r="O697">
        <v>45</v>
      </c>
      <c r="P697">
        <v>45</v>
      </c>
      <c r="Q697">
        <v>53.8</v>
      </c>
      <c r="R697">
        <v>1100</v>
      </c>
      <c r="S697">
        <v>1100</v>
      </c>
      <c r="T697">
        <v>0</v>
      </c>
      <c r="U697">
        <v>0</v>
      </c>
      <c r="V697">
        <v>1</v>
      </c>
      <c r="W697">
        <v>0</v>
      </c>
      <c r="X697">
        <v>0.85</v>
      </c>
    </row>
    <row r="698" spans="1:24" x14ac:dyDescent="0.3">
      <c r="A698" t="s">
        <v>1231</v>
      </c>
      <c r="B698" s="1">
        <v>45974</v>
      </c>
      <c r="C698" t="s">
        <v>38</v>
      </c>
      <c r="D698" t="s">
        <v>50</v>
      </c>
      <c r="E698" t="s">
        <v>68</v>
      </c>
      <c r="F698" t="s">
        <v>28</v>
      </c>
      <c r="G698" t="s">
        <v>29</v>
      </c>
      <c r="H698" t="s">
        <v>135</v>
      </c>
      <c r="I698" t="s">
        <v>1232</v>
      </c>
      <c r="J698" t="s">
        <v>99</v>
      </c>
      <c r="K698" t="s">
        <v>33</v>
      </c>
      <c r="L698" t="s">
        <v>54</v>
      </c>
      <c r="M698" t="s">
        <v>71</v>
      </c>
      <c r="N698" t="s">
        <v>36</v>
      </c>
      <c r="O698">
        <v>30</v>
      </c>
      <c r="P698">
        <v>30</v>
      </c>
      <c r="Q698">
        <v>32.6</v>
      </c>
      <c r="R698">
        <v>550</v>
      </c>
      <c r="S698">
        <v>550</v>
      </c>
      <c r="T698">
        <v>0</v>
      </c>
      <c r="U698">
        <v>0</v>
      </c>
      <c r="V698">
        <v>1</v>
      </c>
      <c r="W698">
        <v>0</v>
      </c>
      <c r="X698">
        <v>0.85</v>
      </c>
    </row>
    <row r="699" spans="1:24" x14ac:dyDescent="0.3">
      <c r="A699" t="s">
        <v>1233</v>
      </c>
      <c r="B699" s="1">
        <v>45991</v>
      </c>
      <c r="C699" t="s">
        <v>38</v>
      </c>
      <c r="D699" t="s">
        <v>287</v>
      </c>
      <c r="E699" t="s">
        <v>68</v>
      </c>
      <c r="F699" t="s">
        <v>41</v>
      </c>
      <c r="G699" t="s">
        <v>42</v>
      </c>
      <c r="H699" t="s">
        <v>125</v>
      </c>
      <c r="I699" t="s">
        <v>551</v>
      </c>
      <c r="J699" t="s">
        <v>45</v>
      </c>
      <c r="K699" t="s">
        <v>46</v>
      </c>
      <c r="L699" t="s">
        <v>64</v>
      </c>
      <c r="M699" t="s">
        <v>71</v>
      </c>
      <c r="N699" t="s">
        <v>36</v>
      </c>
      <c r="O699">
        <v>45</v>
      </c>
      <c r="P699">
        <v>45</v>
      </c>
      <c r="Q699">
        <v>53.4</v>
      </c>
      <c r="R699">
        <v>1150</v>
      </c>
      <c r="S699">
        <v>1150</v>
      </c>
      <c r="T699">
        <v>0</v>
      </c>
      <c r="U699">
        <v>0</v>
      </c>
      <c r="V699">
        <v>1</v>
      </c>
      <c r="W699">
        <v>0</v>
      </c>
      <c r="X699">
        <v>0.85</v>
      </c>
    </row>
    <row r="700" spans="1:24" x14ac:dyDescent="0.3">
      <c r="A700" t="s">
        <v>1234</v>
      </c>
      <c r="B700" s="1">
        <v>45716</v>
      </c>
      <c r="C700" t="s">
        <v>76</v>
      </c>
      <c r="D700" t="s">
        <v>82</v>
      </c>
      <c r="E700" t="s">
        <v>83</v>
      </c>
      <c r="F700" t="s">
        <v>58</v>
      </c>
      <c r="G700" t="s">
        <v>59</v>
      </c>
      <c r="H700" t="s">
        <v>151</v>
      </c>
      <c r="I700" t="s">
        <v>613</v>
      </c>
      <c r="J700" t="s">
        <v>62</v>
      </c>
      <c r="K700" t="s">
        <v>63</v>
      </c>
      <c r="L700" t="s">
        <v>34</v>
      </c>
      <c r="M700" t="s">
        <v>35</v>
      </c>
      <c r="N700" t="s">
        <v>95</v>
      </c>
      <c r="O700">
        <v>60</v>
      </c>
      <c r="P700">
        <v>0</v>
      </c>
      <c r="Q700">
        <v>68.2</v>
      </c>
      <c r="R700">
        <v>1500</v>
      </c>
      <c r="S700">
        <v>0</v>
      </c>
      <c r="T700">
        <v>1500</v>
      </c>
      <c r="U700">
        <v>1</v>
      </c>
      <c r="V700">
        <v>0</v>
      </c>
      <c r="W700">
        <v>0</v>
      </c>
      <c r="X700">
        <v>0.85</v>
      </c>
    </row>
    <row r="701" spans="1:24" x14ac:dyDescent="0.3">
      <c r="A701" t="s">
        <v>1235</v>
      </c>
      <c r="B701" s="1">
        <v>45832</v>
      </c>
      <c r="C701" t="s">
        <v>67</v>
      </c>
      <c r="D701" t="s">
        <v>26</v>
      </c>
      <c r="E701" t="s">
        <v>27</v>
      </c>
      <c r="F701" t="s">
        <v>28</v>
      </c>
      <c r="G701" t="s">
        <v>29</v>
      </c>
      <c r="H701" t="s">
        <v>135</v>
      </c>
      <c r="I701" t="s">
        <v>372</v>
      </c>
      <c r="J701" t="s">
        <v>137</v>
      </c>
      <c r="K701" t="s">
        <v>70</v>
      </c>
      <c r="L701" t="s">
        <v>34</v>
      </c>
      <c r="M701" t="s">
        <v>47</v>
      </c>
      <c r="N701" t="s">
        <v>36</v>
      </c>
      <c r="O701">
        <v>60</v>
      </c>
      <c r="P701">
        <v>60</v>
      </c>
      <c r="Q701">
        <v>81</v>
      </c>
      <c r="R701">
        <v>1250</v>
      </c>
      <c r="S701">
        <v>1250</v>
      </c>
      <c r="T701">
        <v>0</v>
      </c>
      <c r="U701">
        <v>0</v>
      </c>
      <c r="V701">
        <v>1</v>
      </c>
      <c r="W701">
        <v>0</v>
      </c>
      <c r="X701">
        <v>0.85</v>
      </c>
    </row>
    <row r="702" spans="1:24" x14ac:dyDescent="0.3">
      <c r="A702" t="s">
        <v>1236</v>
      </c>
      <c r="B702" s="1">
        <v>45738</v>
      </c>
      <c r="C702" t="s">
        <v>56</v>
      </c>
      <c r="D702" t="s">
        <v>88</v>
      </c>
      <c r="E702" t="s">
        <v>83</v>
      </c>
      <c r="F702" t="s">
        <v>28</v>
      </c>
      <c r="G702" t="s">
        <v>29</v>
      </c>
      <c r="H702" t="s">
        <v>135</v>
      </c>
      <c r="I702" t="s">
        <v>528</v>
      </c>
      <c r="J702" t="s">
        <v>45</v>
      </c>
      <c r="K702" t="s">
        <v>70</v>
      </c>
      <c r="L702" t="s">
        <v>64</v>
      </c>
      <c r="M702" t="s">
        <v>65</v>
      </c>
      <c r="N702" t="s">
        <v>36</v>
      </c>
      <c r="O702">
        <v>60</v>
      </c>
      <c r="P702">
        <v>60</v>
      </c>
      <c r="Q702">
        <v>76.8</v>
      </c>
      <c r="R702">
        <v>1450</v>
      </c>
      <c r="S702">
        <v>1450</v>
      </c>
      <c r="T702">
        <v>0</v>
      </c>
      <c r="U702">
        <v>0</v>
      </c>
      <c r="V702">
        <v>1</v>
      </c>
      <c r="W702">
        <v>0</v>
      </c>
      <c r="X702">
        <v>0.85</v>
      </c>
    </row>
    <row r="703" spans="1:24" x14ac:dyDescent="0.3">
      <c r="A703" t="s">
        <v>1237</v>
      </c>
      <c r="B703" s="1">
        <v>45889</v>
      </c>
      <c r="C703" t="s">
        <v>110</v>
      </c>
      <c r="D703" t="s">
        <v>57</v>
      </c>
      <c r="E703" t="s">
        <v>68</v>
      </c>
      <c r="F703" t="s">
        <v>41</v>
      </c>
      <c r="G703" t="s">
        <v>42</v>
      </c>
      <c r="H703" t="s">
        <v>125</v>
      </c>
      <c r="I703" t="s">
        <v>560</v>
      </c>
      <c r="J703" t="s">
        <v>62</v>
      </c>
      <c r="K703" t="s">
        <v>104</v>
      </c>
      <c r="L703" t="s">
        <v>64</v>
      </c>
      <c r="M703" t="s">
        <v>65</v>
      </c>
      <c r="N703" t="s">
        <v>113</v>
      </c>
      <c r="O703">
        <v>45</v>
      </c>
      <c r="P703">
        <v>0</v>
      </c>
      <c r="Q703">
        <v>56.7</v>
      </c>
      <c r="R703">
        <v>1000</v>
      </c>
      <c r="S703">
        <v>0</v>
      </c>
      <c r="T703">
        <v>1000</v>
      </c>
      <c r="U703">
        <v>0</v>
      </c>
      <c r="V703">
        <v>0</v>
      </c>
      <c r="W703">
        <v>1</v>
      </c>
      <c r="X703">
        <v>0.85</v>
      </c>
    </row>
    <row r="704" spans="1:24" x14ac:dyDescent="0.3">
      <c r="A704" t="s">
        <v>1238</v>
      </c>
      <c r="B704" s="1">
        <v>45777</v>
      </c>
      <c r="C704" t="s">
        <v>92</v>
      </c>
      <c r="D704" t="s">
        <v>57</v>
      </c>
      <c r="E704" t="s">
        <v>40</v>
      </c>
      <c r="F704" t="s">
        <v>28</v>
      </c>
      <c r="G704" t="s">
        <v>29</v>
      </c>
      <c r="H704" t="s">
        <v>102</v>
      </c>
      <c r="I704" t="s">
        <v>694</v>
      </c>
      <c r="J704" t="s">
        <v>45</v>
      </c>
      <c r="K704" t="s">
        <v>63</v>
      </c>
      <c r="L704" t="s">
        <v>78</v>
      </c>
      <c r="M704" t="s">
        <v>94</v>
      </c>
      <c r="N704" t="s">
        <v>36</v>
      </c>
      <c r="O704">
        <v>30</v>
      </c>
      <c r="P704">
        <v>30</v>
      </c>
      <c r="Q704">
        <v>39.4</v>
      </c>
      <c r="R704">
        <v>650</v>
      </c>
      <c r="S704">
        <v>650</v>
      </c>
      <c r="T704">
        <v>0</v>
      </c>
      <c r="U704">
        <v>0</v>
      </c>
      <c r="V704">
        <v>1</v>
      </c>
      <c r="W704">
        <v>0</v>
      </c>
      <c r="X704">
        <v>0.85</v>
      </c>
    </row>
    <row r="705" spans="1:24" x14ac:dyDescent="0.3">
      <c r="A705" t="s">
        <v>1239</v>
      </c>
      <c r="B705" s="1">
        <v>45664</v>
      </c>
      <c r="C705" t="s">
        <v>130</v>
      </c>
      <c r="D705" t="s">
        <v>26</v>
      </c>
      <c r="E705" t="s">
        <v>27</v>
      </c>
      <c r="F705" t="s">
        <v>41</v>
      </c>
      <c r="G705" t="s">
        <v>42</v>
      </c>
      <c r="H705" t="s">
        <v>125</v>
      </c>
      <c r="I705" t="s">
        <v>1240</v>
      </c>
      <c r="J705" t="s">
        <v>45</v>
      </c>
      <c r="K705" t="s">
        <v>33</v>
      </c>
      <c r="L705" t="s">
        <v>54</v>
      </c>
      <c r="M705" t="s">
        <v>71</v>
      </c>
      <c r="N705" t="s">
        <v>36</v>
      </c>
      <c r="O705">
        <v>45</v>
      </c>
      <c r="P705">
        <v>45</v>
      </c>
      <c r="Q705">
        <v>50.9</v>
      </c>
      <c r="R705">
        <v>1000</v>
      </c>
      <c r="S705">
        <v>1000</v>
      </c>
      <c r="T705">
        <v>0</v>
      </c>
      <c r="U705">
        <v>0</v>
      </c>
      <c r="V705">
        <v>1</v>
      </c>
      <c r="W705">
        <v>0</v>
      </c>
      <c r="X705">
        <v>0.85</v>
      </c>
    </row>
    <row r="706" spans="1:24" x14ac:dyDescent="0.3">
      <c r="A706" t="s">
        <v>1241</v>
      </c>
      <c r="B706" s="1">
        <v>45992</v>
      </c>
      <c r="C706" t="s">
        <v>25</v>
      </c>
      <c r="D706" t="s">
        <v>39</v>
      </c>
      <c r="E706" t="s">
        <v>68</v>
      </c>
      <c r="F706" t="s">
        <v>58</v>
      </c>
      <c r="G706" t="s">
        <v>59</v>
      </c>
      <c r="H706" t="s">
        <v>60</v>
      </c>
      <c r="I706" t="s">
        <v>1105</v>
      </c>
      <c r="J706" t="s">
        <v>32</v>
      </c>
      <c r="K706" t="s">
        <v>63</v>
      </c>
      <c r="L706" t="s">
        <v>34</v>
      </c>
      <c r="M706" t="s">
        <v>35</v>
      </c>
      <c r="N706" t="s">
        <v>36</v>
      </c>
      <c r="O706">
        <v>75</v>
      </c>
      <c r="P706">
        <v>75</v>
      </c>
      <c r="Q706">
        <v>83.8</v>
      </c>
      <c r="R706">
        <v>1900</v>
      </c>
      <c r="S706">
        <v>1900</v>
      </c>
      <c r="T706">
        <v>0</v>
      </c>
      <c r="U706">
        <v>0</v>
      </c>
      <c r="V706">
        <v>1</v>
      </c>
      <c r="W706">
        <v>0</v>
      </c>
      <c r="X706">
        <v>0.85</v>
      </c>
    </row>
    <row r="707" spans="1:24" x14ac:dyDescent="0.3">
      <c r="A707" t="s">
        <v>1242</v>
      </c>
      <c r="B707" s="1">
        <v>46014</v>
      </c>
      <c r="C707" t="s">
        <v>25</v>
      </c>
      <c r="D707" t="s">
        <v>26</v>
      </c>
      <c r="E707" t="s">
        <v>83</v>
      </c>
      <c r="F707" t="s">
        <v>58</v>
      </c>
      <c r="G707" t="s">
        <v>59</v>
      </c>
      <c r="H707" t="s">
        <v>296</v>
      </c>
      <c r="I707" t="s">
        <v>103</v>
      </c>
      <c r="J707" t="s">
        <v>62</v>
      </c>
      <c r="K707" t="s">
        <v>63</v>
      </c>
      <c r="L707" t="s">
        <v>34</v>
      </c>
      <c r="M707" t="s">
        <v>94</v>
      </c>
      <c r="N707" t="s">
        <v>95</v>
      </c>
      <c r="O707">
        <v>30</v>
      </c>
      <c r="P707">
        <v>0</v>
      </c>
      <c r="Q707">
        <v>32.6</v>
      </c>
      <c r="R707">
        <v>750</v>
      </c>
      <c r="S707">
        <v>0</v>
      </c>
      <c r="T707">
        <v>750</v>
      </c>
      <c r="U707">
        <v>1</v>
      </c>
      <c r="V707">
        <v>0</v>
      </c>
      <c r="W707">
        <v>0</v>
      </c>
      <c r="X707">
        <v>0.85</v>
      </c>
    </row>
    <row r="708" spans="1:24" x14ac:dyDescent="0.3">
      <c r="A708" t="s">
        <v>1243</v>
      </c>
      <c r="B708" s="1">
        <v>46016</v>
      </c>
      <c r="C708" t="s">
        <v>25</v>
      </c>
      <c r="D708" t="s">
        <v>50</v>
      </c>
      <c r="E708" t="s">
        <v>83</v>
      </c>
      <c r="F708" t="s">
        <v>41</v>
      </c>
      <c r="G708" t="s">
        <v>42</v>
      </c>
      <c r="H708" t="s">
        <v>51</v>
      </c>
      <c r="I708" t="s">
        <v>1095</v>
      </c>
      <c r="J708" t="s">
        <v>137</v>
      </c>
      <c r="K708" t="s">
        <v>33</v>
      </c>
      <c r="L708" t="s">
        <v>64</v>
      </c>
      <c r="M708" t="s">
        <v>35</v>
      </c>
      <c r="N708" t="s">
        <v>36</v>
      </c>
      <c r="O708">
        <v>45</v>
      </c>
      <c r="P708">
        <v>45</v>
      </c>
      <c r="Q708">
        <v>51.4</v>
      </c>
      <c r="R708">
        <v>1000</v>
      </c>
      <c r="S708">
        <v>1000</v>
      </c>
      <c r="T708">
        <v>0</v>
      </c>
      <c r="U708">
        <v>0</v>
      </c>
      <c r="V708">
        <v>1</v>
      </c>
      <c r="W708">
        <v>0</v>
      </c>
      <c r="X708">
        <v>0.85</v>
      </c>
    </row>
    <row r="709" spans="1:24" x14ac:dyDescent="0.3">
      <c r="A709" t="s">
        <v>1244</v>
      </c>
      <c r="B709" s="1">
        <v>45832</v>
      </c>
      <c r="C709" t="s">
        <v>67</v>
      </c>
      <c r="D709" t="s">
        <v>26</v>
      </c>
      <c r="E709" t="s">
        <v>40</v>
      </c>
      <c r="F709" t="s">
        <v>58</v>
      </c>
      <c r="G709" t="s">
        <v>59</v>
      </c>
      <c r="H709" t="s">
        <v>151</v>
      </c>
      <c r="I709" t="s">
        <v>626</v>
      </c>
      <c r="J709" t="s">
        <v>45</v>
      </c>
      <c r="K709" t="s">
        <v>70</v>
      </c>
      <c r="L709" t="s">
        <v>64</v>
      </c>
      <c r="M709" t="s">
        <v>47</v>
      </c>
      <c r="N709" t="s">
        <v>36</v>
      </c>
      <c r="O709">
        <v>90</v>
      </c>
      <c r="P709">
        <v>90</v>
      </c>
      <c r="Q709">
        <v>114.8</v>
      </c>
      <c r="R709">
        <v>2600</v>
      </c>
      <c r="S709">
        <v>2600</v>
      </c>
      <c r="T709">
        <v>0</v>
      </c>
      <c r="U709">
        <v>0</v>
      </c>
      <c r="V709">
        <v>1</v>
      </c>
      <c r="W709">
        <v>0</v>
      </c>
      <c r="X709">
        <v>0.85</v>
      </c>
    </row>
    <row r="710" spans="1:24" x14ac:dyDescent="0.3">
      <c r="A710" t="s">
        <v>1245</v>
      </c>
      <c r="B710" s="1">
        <v>45668</v>
      </c>
      <c r="C710" t="s">
        <v>130</v>
      </c>
      <c r="D710" t="s">
        <v>88</v>
      </c>
      <c r="E710" t="s">
        <v>68</v>
      </c>
      <c r="F710" t="s">
        <v>28</v>
      </c>
      <c r="G710" t="s">
        <v>29</v>
      </c>
      <c r="H710" t="s">
        <v>210</v>
      </c>
      <c r="I710" t="s">
        <v>265</v>
      </c>
      <c r="J710" t="s">
        <v>137</v>
      </c>
      <c r="K710" t="s">
        <v>46</v>
      </c>
      <c r="L710" t="s">
        <v>64</v>
      </c>
      <c r="M710" t="s">
        <v>71</v>
      </c>
      <c r="N710" t="s">
        <v>36</v>
      </c>
      <c r="O710">
        <v>60</v>
      </c>
      <c r="P710">
        <v>60</v>
      </c>
      <c r="Q710">
        <v>72.599999999999994</v>
      </c>
      <c r="R710">
        <v>1250</v>
      </c>
      <c r="S710">
        <v>1250</v>
      </c>
      <c r="T710">
        <v>0</v>
      </c>
      <c r="U710">
        <v>0</v>
      </c>
      <c r="V710">
        <v>1</v>
      </c>
      <c r="W710">
        <v>0</v>
      </c>
      <c r="X710">
        <v>0.85</v>
      </c>
    </row>
    <row r="711" spans="1:24" x14ac:dyDescent="0.3">
      <c r="A711" t="s">
        <v>1246</v>
      </c>
      <c r="B711" s="1">
        <v>45912</v>
      </c>
      <c r="C711" t="s">
        <v>49</v>
      </c>
      <c r="D711" t="s">
        <v>82</v>
      </c>
      <c r="E711" t="s">
        <v>40</v>
      </c>
      <c r="F711" t="s">
        <v>58</v>
      </c>
      <c r="G711" t="s">
        <v>59</v>
      </c>
      <c r="H711" t="s">
        <v>117</v>
      </c>
      <c r="I711" t="s">
        <v>1030</v>
      </c>
      <c r="J711" t="s">
        <v>45</v>
      </c>
      <c r="K711" t="s">
        <v>70</v>
      </c>
      <c r="L711" t="s">
        <v>64</v>
      </c>
      <c r="M711" t="s">
        <v>86</v>
      </c>
      <c r="N711" t="s">
        <v>36</v>
      </c>
      <c r="O711">
        <v>30</v>
      </c>
      <c r="P711">
        <v>30</v>
      </c>
      <c r="Q711">
        <v>38.4</v>
      </c>
      <c r="R711">
        <v>850</v>
      </c>
      <c r="S711">
        <v>850</v>
      </c>
      <c r="T711">
        <v>0</v>
      </c>
      <c r="U711">
        <v>0</v>
      </c>
      <c r="V711">
        <v>1</v>
      </c>
      <c r="W711">
        <v>0</v>
      </c>
      <c r="X711">
        <v>0.85</v>
      </c>
    </row>
    <row r="712" spans="1:24" x14ac:dyDescent="0.3">
      <c r="A712" t="s">
        <v>1247</v>
      </c>
      <c r="B712" s="1">
        <v>45756</v>
      </c>
      <c r="C712" t="s">
        <v>92</v>
      </c>
      <c r="D712" t="s">
        <v>57</v>
      </c>
      <c r="E712" t="s">
        <v>40</v>
      </c>
      <c r="F712" t="s">
        <v>28</v>
      </c>
      <c r="G712" t="s">
        <v>29</v>
      </c>
      <c r="H712" t="s">
        <v>135</v>
      </c>
      <c r="I712" t="s">
        <v>1207</v>
      </c>
      <c r="J712" t="s">
        <v>45</v>
      </c>
      <c r="K712" t="s">
        <v>85</v>
      </c>
      <c r="L712" t="s">
        <v>78</v>
      </c>
      <c r="M712" t="s">
        <v>71</v>
      </c>
      <c r="N712" t="s">
        <v>36</v>
      </c>
      <c r="O712">
        <v>30</v>
      </c>
      <c r="P712">
        <v>30</v>
      </c>
      <c r="Q712">
        <v>33.1</v>
      </c>
      <c r="R712">
        <v>650</v>
      </c>
      <c r="S712">
        <v>650</v>
      </c>
      <c r="T712">
        <v>0</v>
      </c>
      <c r="U712">
        <v>0</v>
      </c>
      <c r="V712">
        <v>1</v>
      </c>
      <c r="W712">
        <v>0</v>
      </c>
      <c r="X712">
        <v>0.85</v>
      </c>
    </row>
    <row r="713" spans="1:24" x14ac:dyDescent="0.3">
      <c r="A713" t="s">
        <v>1248</v>
      </c>
      <c r="B713" s="1">
        <v>45720</v>
      </c>
      <c r="C713" t="s">
        <v>56</v>
      </c>
      <c r="D713" t="s">
        <v>26</v>
      </c>
      <c r="E713" t="s">
        <v>83</v>
      </c>
      <c r="F713" t="s">
        <v>58</v>
      </c>
      <c r="G713" t="s">
        <v>59</v>
      </c>
      <c r="H713" t="s">
        <v>296</v>
      </c>
      <c r="I713" t="s">
        <v>1249</v>
      </c>
      <c r="J713" t="s">
        <v>99</v>
      </c>
      <c r="K713" t="s">
        <v>104</v>
      </c>
      <c r="L713" t="s">
        <v>64</v>
      </c>
      <c r="M713" t="s">
        <v>35</v>
      </c>
      <c r="N713" t="s">
        <v>36</v>
      </c>
      <c r="O713">
        <v>60</v>
      </c>
      <c r="P713">
        <v>60</v>
      </c>
      <c r="Q713">
        <v>75.400000000000006</v>
      </c>
      <c r="R713">
        <v>1500</v>
      </c>
      <c r="S713">
        <v>1500</v>
      </c>
      <c r="T713">
        <v>0</v>
      </c>
      <c r="U713">
        <v>0</v>
      </c>
      <c r="V713">
        <v>1</v>
      </c>
      <c r="W713">
        <v>0</v>
      </c>
      <c r="X713">
        <v>0.85</v>
      </c>
    </row>
    <row r="714" spans="1:24" x14ac:dyDescent="0.3">
      <c r="A714" t="s">
        <v>1250</v>
      </c>
      <c r="B714" s="1">
        <v>45902</v>
      </c>
      <c r="C714" t="s">
        <v>49</v>
      </c>
      <c r="D714" t="s">
        <v>26</v>
      </c>
      <c r="E714" t="s">
        <v>68</v>
      </c>
      <c r="F714" t="s">
        <v>58</v>
      </c>
      <c r="G714" t="s">
        <v>59</v>
      </c>
      <c r="H714" t="s">
        <v>60</v>
      </c>
      <c r="I714" t="s">
        <v>1251</v>
      </c>
      <c r="J714" t="s">
        <v>53</v>
      </c>
      <c r="K714" t="s">
        <v>70</v>
      </c>
      <c r="L714" t="s">
        <v>64</v>
      </c>
      <c r="M714" t="s">
        <v>35</v>
      </c>
      <c r="N714" t="s">
        <v>36</v>
      </c>
      <c r="O714">
        <v>30</v>
      </c>
      <c r="P714">
        <v>30</v>
      </c>
      <c r="Q714">
        <v>39.200000000000003</v>
      </c>
      <c r="R714">
        <v>900</v>
      </c>
      <c r="S714">
        <v>900</v>
      </c>
      <c r="T714">
        <v>0</v>
      </c>
      <c r="U714">
        <v>0</v>
      </c>
      <c r="V714">
        <v>1</v>
      </c>
      <c r="W714">
        <v>0</v>
      </c>
      <c r="X714">
        <v>0.85</v>
      </c>
    </row>
    <row r="715" spans="1:24" x14ac:dyDescent="0.3">
      <c r="A715" t="s">
        <v>1252</v>
      </c>
      <c r="B715" s="1">
        <v>45722</v>
      </c>
      <c r="C715" t="s">
        <v>56</v>
      </c>
      <c r="D715" t="s">
        <v>50</v>
      </c>
      <c r="E715" t="s">
        <v>68</v>
      </c>
      <c r="F715" t="s">
        <v>28</v>
      </c>
      <c r="G715" t="s">
        <v>29</v>
      </c>
      <c r="H715" t="s">
        <v>135</v>
      </c>
      <c r="I715" t="s">
        <v>1253</v>
      </c>
      <c r="J715" t="s">
        <v>53</v>
      </c>
      <c r="K715" t="s">
        <v>46</v>
      </c>
      <c r="L715" t="s">
        <v>64</v>
      </c>
      <c r="M715" t="s">
        <v>86</v>
      </c>
      <c r="N715" t="s">
        <v>36</v>
      </c>
      <c r="O715">
        <v>60</v>
      </c>
      <c r="P715">
        <v>60</v>
      </c>
      <c r="Q715">
        <v>76.2</v>
      </c>
      <c r="R715">
        <v>1500</v>
      </c>
      <c r="S715">
        <v>1500</v>
      </c>
      <c r="T715">
        <v>0</v>
      </c>
      <c r="U715">
        <v>0</v>
      </c>
      <c r="V715">
        <v>1</v>
      </c>
      <c r="W715">
        <v>0</v>
      </c>
      <c r="X715">
        <v>0.85</v>
      </c>
    </row>
    <row r="716" spans="1:24" x14ac:dyDescent="0.3">
      <c r="A716" t="s">
        <v>1254</v>
      </c>
      <c r="B716" s="1">
        <v>45824</v>
      </c>
      <c r="C716" t="s">
        <v>67</v>
      </c>
      <c r="D716" t="s">
        <v>39</v>
      </c>
      <c r="E716" t="s">
        <v>68</v>
      </c>
      <c r="F716" t="s">
        <v>58</v>
      </c>
      <c r="G716" t="s">
        <v>59</v>
      </c>
      <c r="H716" t="s">
        <v>73</v>
      </c>
      <c r="I716" t="s">
        <v>762</v>
      </c>
      <c r="J716" t="s">
        <v>53</v>
      </c>
      <c r="K716" t="s">
        <v>104</v>
      </c>
      <c r="L716" t="s">
        <v>34</v>
      </c>
      <c r="M716" t="s">
        <v>71</v>
      </c>
      <c r="N716" t="s">
        <v>95</v>
      </c>
      <c r="O716">
        <v>60</v>
      </c>
      <c r="P716">
        <v>0</v>
      </c>
      <c r="Q716">
        <v>69.400000000000006</v>
      </c>
      <c r="R716">
        <v>1800</v>
      </c>
      <c r="S716">
        <v>0</v>
      </c>
      <c r="T716">
        <v>1800</v>
      </c>
      <c r="U716">
        <v>1</v>
      </c>
      <c r="V716">
        <v>0</v>
      </c>
      <c r="W716">
        <v>0</v>
      </c>
      <c r="X716">
        <v>0.85</v>
      </c>
    </row>
    <row r="717" spans="1:24" x14ac:dyDescent="0.3">
      <c r="A717" t="s">
        <v>1255</v>
      </c>
      <c r="B717" s="1">
        <v>45974</v>
      </c>
      <c r="C717" t="s">
        <v>38</v>
      </c>
      <c r="D717" t="s">
        <v>50</v>
      </c>
      <c r="E717" t="s">
        <v>27</v>
      </c>
      <c r="F717" t="s">
        <v>41</v>
      </c>
      <c r="G717" t="s">
        <v>42</v>
      </c>
      <c r="H717" t="s">
        <v>125</v>
      </c>
      <c r="I717" t="s">
        <v>914</v>
      </c>
      <c r="J717" t="s">
        <v>137</v>
      </c>
      <c r="K717" t="s">
        <v>33</v>
      </c>
      <c r="L717" t="s">
        <v>54</v>
      </c>
      <c r="M717" t="s">
        <v>86</v>
      </c>
      <c r="N717" t="s">
        <v>36</v>
      </c>
      <c r="O717">
        <v>60</v>
      </c>
      <c r="P717">
        <v>60</v>
      </c>
      <c r="Q717">
        <v>78.8</v>
      </c>
      <c r="R717">
        <v>1150</v>
      </c>
      <c r="S717">
        <v>1150</v>
      </c>
      <c r="T717">
        <v>0</v>
      </c>
      <c r="U717">
        <v>0</v>
      </c>
      <c r="V717">
        <v>1</v>
      </c>
      <c r="W717">
        <v>0</v>
      </c>
      <c r="X717">
        <v>0.85</v>
      </c>
    </row>
    <row r="718" spans="1:24" x14ac:dyDescent="0.3">
      <c r="A718" t="s">
        <v>1256</v>
      </c>
      <c r="B718" s="1">
        <v>45890</v>
      </c>
      <c r="C718" t="s">
        <v>110</v>
      </c>
      <c r="D718" t="s">
        <v>50</v>
      </c>
      <c r="E718" t="s">
        <v>68</v>
      </c>
      <c r="F718" t="s">
        <v>58</v>
      </c>
      <c r="G718" t="s">
        <v>59</v>
      </c>
      <c r="H718" t="s">
        <v>117</v>
      </c>
      <c r="I718" t="s">
        <v>1257</v>
      </c>
      <c r="J718" t="s">
        <v>62</v>
      </c>
      <c r="K718" t="s">
        <v>46</v>
      </c>
      <c r="L718" t="s">
        <v>64</v>
      </c>
      <c r="M718" t="s">
        <v>94</v>
      </c>
      <c r="N718" t="s">
        <v>36</v>
      </c>
      <c r="O718">
        <v>45</v>
      </c>
      <c r="P718">
        <v>45</v>
      </c>
      <c r="Q718">
        <v>51.2</v>
      </c>
      <c r="R718">
        <v>1100</v>
      </c>
      <c r="S718">
        <v>1100</v>
      </c>
      <c r="T718">
        <v>0</v>
      </c>
      <c r="U718">
        <v>0</v>
      </c>
      <c r="V718">
        <v>1</v>
      </c>
      <c r="W718">
        <v>0</v>
      </c>
      <c r="X718">
        <v>0.85</v>
      </c>
    </row>
    <row r="719" spans="1:24" x14ac:dyDescent="0.3">
      <c r="A719" t="s">
        <v>1258</v>
      </c>
      <c r="B719" s="1">
        <v>45782</v>
      </c>
      <c r="C719" t="s">
        <v>128</v>
      </c>
      <c r="D719" t="s">
        <v>39</v>
      </c>
      <c r="E719" t="s">
        <v>27</v>
      </c>
      <c r="F719" t="s">
        <v>41</v>
      </c>
      <c r="G719" t="s">
        <v>42</v>
      </c>
      <c r="H719" t="s">
        <v>111</v>
      </c>
      <c r="I719" t="s">
        <v>1259</v>
      </c>
      <c r="J719" t="s">
        <v>45</v>
      </c>
      <c r="K719" t="s">
        <v>63</v>
      </c>
      <c r="L719" t="s">
        <v>34</v>
      </c>
      <c r="M719" t="s">
        <v>65</v>
      </c>
      <c r="N719" t="s">
        <v>36</v>
      </c>
      <c r="O719">
        <v>60</v>
      </c>
      <c r="P719">
        <v>60</v>
      </c>
      <c r="Q719">
        <v>70</v>
      </c>
      <c r="R719">
        <v>1550</v>
      </c>
      <c r="S719">
        <v>1550</v>
      </c>
      <c r="T719">
        <v>0</v>
      </c>
      <c r="U719">
        <v>0</v>
      </c>
      <c r="V719">
        <v>1</v>
      </c>
      <c r="W719">
        <v>0</v>
      </c>
      <c r="X719">
        <v>0.85</v>
      </c>
    </row>
    <row r="720" spans="1:24" x14ac:dyDescent="0.3">
      <c r="A720" t="s">
        <v>1260</v>
      </c>
      <c r="B720" s="1">
        <v>45948</v>
      </c>
      <c r="C720" t="s">
        <v>97</v>
      </c>
      <c r="D720" t="s">
        <v>88</v>
      </c>
      <c r="E720" t="s">
        <v>83</v>
      </c>
      <c r="F720" t="s">
        <v>28</v>
      </c>
      <c r="G720" t="s">
        <v>29</v>
      </c>
      <c r="H720" t="s">
        <v>120</v>
      </c>
      <c r="I720" t="s">
        <v>1261</v>
      </c>
      <c r="J720" t="s">
        <v>53</v>
      </c>
      <c r="K720" t="s">
        <v>85</v>
      </c>
      <c r="L720" t="s">
        <v>34</v>
      </c>
      <c r="M720" t="s">
        <v>65</v>
      </c>
      <c r="N720" t="s">
        <v>36</v>
      </c>
      <c r="O720">
        <v>45</v>
      </c>
      <c r="P720">
        <v>45</v>
      </c>
      <c r="Q720">
        <v>51.2</v>
      </c>
      <c r="R720">
        <v>1100</v>
      </c>
      <c r="S720">
        <v>1100</v>
      </c>
      <c r="T720">
        <v>0</v>
      </c>
      <c r="U720">
        <v>0</v>
      </c>
      <c r="V720">
        <v>1</v>
      </c>
      <c r="W720">
        <v>0</v>
      </c>
      <c r="X720">
        <v>0.85</v>
      </c>
    </row>
    <row r="721" spans="1:24" x14ac:dyDescent="0.3">
      <c r="A721" t="s">
        <v>1262</v>
      </c>
      <c r="B721" s="1">
        <v>45757</v>
      </c>
      <c r="C721" t="s">
        <v>92</v>
      </c>
      <c r="D721" t="s">
        <v>50</v>
      </c>
      <c r="E721" t="s">
        <v>40</v>
      </c>
      <c r="F721" t="s">
        <v>41</v>
      </c>
      <c r="G721" t="s">
        <v>42</v>
      </c>
      <c r="H721" t="s">
        <v>43</v>
      </c>
      <c r="I721" t="s">
        <v>1263</v>
      </c>
      <c r="J721" t="s">
        <v>99</v>
      </c>
      <c r="K721" t="s">
        <v>46</v>
      </c>
      <c r="L721" t="s">
        <v>34</v>
      </c>
      <c r="M721" t="s">
        <v>47</v>
      </c>
      <c r="N721" t="s">
        <v>36</v>
      </c>
      <c r="O721">
        <v>30</v>
      </c>
      <c r="P721">
        <v>30</v>
      </c>
      <c r="Q721">
        <v>35.5</v>
      </c>
      <c r="R721">
        <v>700</v>
      </c>
      <c r="S721">
        <v>700</v>
      </c>
      <c r="T721">
        <v>0</v>
      </c>
      <c r="U721">
        <v>0</v>
      </c>
      <c r="V721">
        <v>1</v>
      </c>
      <c r="W721">
        <v>0</v>
      </c>
      <c r="X721">
        <v>0.85</v>
      </c>
    </row>
    <row r="722" spans="1:24" x14ac:dyDescent="0.3">
      <c r="A722" t="s">
        <v>1264</v>
      </c>
      <c r="B722" s="1">
        <v>45679</v>
      </c>
      <c r="C722" t="s">
        <v>130</v>
      </c>
      <c r="D722" t="s">
        <v>57</v>
      </c>
      <c r="E722" t="s">
        <v>68</v>
      </c>
      <c r="F722" t="s">
        <v>58</v>
      </c>
      <c r="G722" t="s">
        <v>59</v>
      </c>
      <c r="H722" t="s">
        <v>296</v>
      </c>
      <c r="I722" t="s">
        <v>397</v>
      </c>
      <c r="J722" t="s">
        <v>32</v>
      </c>
      <c r="K722" t="s">
        <v>33</v>
      </c>
      <c r="L722" t="s">
        <v>34</v>
      </c>
      <c r="M722" t="s">
        <v>65</v>
      </c>
      <c r="N722" t="s">
        <v>36</v>
      </c>
      <c r="O722">
        <v>75</v>
      </c>
      <c r="P722">
        <v>75</v>
      </c>
      <c r="Q722">
        <v>83.5</v>
      </c>
      <c r="R722">
        <v>1900</v>
      </c>
      <c r="S722">
        <v>1900</v>
      </c>
      <c r="T722">
        <v>0</v>
      </c>
      <c r="U722">
        <v>0</v>
      </c>
      <c r="V722">
        <v>1</v>
      </c>
      <c r="W722">
        <v>0</v>
      </c>
      <c r="X722">
        <v>0.85</v>
      </c>
    </row>
    <row r="723" spans="1:24" x14ac:dyDescent="0.3">
      <c r="A723" t="s">
        <v>1265</v>
      </c>
      <c r="B723" s="1">
        <v>45813</v>
      </c>
      <c r="C723" t="s">
        <v>67</v>
      </c>
      <c r="D723" t="s">
        <v>50</v>
      </c>
      <c r="E723" t="s">
        <v>40</v>
      </c>
      <c r="F723" t="s">
        <v>28</v>
      </c>
      <c r="G723" t="s">
        <v>29</v>
      </c>
      <c r="H723" t="s">
        <v>120</v>
      </c>
      <c r="I723" t="s">
        <v>645</v>
      </c>
      <c r="J723" t="s">
        <v>62</v>
      </c>
      <c r="K723" t="s">
        <v>104</v>
      </c>
      <c r="L723" t="s">
        <v>34</v>
      </c>
      <c r="M723" t="s">
        <v>35</v>
      </c>
      <c r="N723" t="s">
        <v>36</v>
      </c>
      <c r="O723">
        <v>45</v>
      </c>
      <c r="P723">
        <v>45</v>
      </c>
      <c r="Q723">
        <v>55.6</v>
      </c>
      <c r="R723">
        <v>950</v>
      </c>
      <c r="S723">
        <v>950</v>
      </c>
      <c r="T723">
        <v>0</v>
      </c>
      <c r="U723">
        <v>0</v>
      </c>
      <c r="V723">
        <v>1</v>
      </c>
      <c r="W723">
        <v>0</v>
      </c>
      <c r="X723">
        <v>0.85</v>
      </c>
    </row>
    <row r="724" spans="1:24" x14ac:dyDescent="0.3">
      <c r="A724" t="s">
        <v>1266</v>
      </c>
      <c r="B724" s="1">
        <v>45727</v>
      </c>
      <c r="C724" t="s">
        <v>56</v>
      </c>
      <c r="D724" t="s">
        <v>26</v>
      </c>
      <c r="E724" t="s">
        <v>83</v>
      </c>
      <c r="F724" t="s">
        <v>28</v>
      </c>
      <c r="G724" t="s">
        <v>29</v>
      </c>
      <c r="H724" t="s">
        <v>120</v>
      </c>
      <c r="I724" t="s">
        <v>106</v>
      </c>
      <c r="J724" t="s">
        <v>99</v>
      </c>
      <c r="K724" t="s">
        <v>63</v>
      </c>
      <c r="L724" t="s">
        <v>34</v>
      </c>
      <c r="M724" t="s">
        <v>86</v>
      </c>
      <c r="N724" t="s">
        <v>36</v>
      </c>
      <c r="O724">
        <v>60</v>
      </c>
      <c r="P724">
        <v>60</v>
      </c>
      <c r="Q724">
        <v>66.599999999999994</v>
      </c>
      <c r="R724">
        <v>1250</v>
      </c>
      <c r="S724">
        <v>1250</v>
      </c>
      <c r="T724">
        <v>0</v>
      </c>
      <c r="U724">
        <v>0</v>
      </c>
      <c r="V724">
        <v>1</v>
      </c>
      <c r="W724">
        <v>0</v>
      </c>
      <c r="X724">
        <v>0.85</v>
      </c>
    </row>
    <row r="725" spans="1:24" x14ac:dyDescent="0.3">
      <c r="A725" t="s">
        <v>1267</v>
      </c>
      <c r="B725" s="1">
        <v>45999</v>
      </c>
      <c r="C725" t="s">
        <v>25</v>
      </c>
      <c r="D725" t="s">
        <v>39</v>
      </c>
      <c r="E725" t="s">
        <v>40</v>
      </c>
      <c r="F725" t="s">
        <v>58</v>
      </c>
      <c r="G725" t="s">
        <v>59</v>
      </c>
      <c r="H725" t="s">
        <v>296</v>
      </c>
      <c r="I725" t="s">
        <v>1268</v>
      </c>
      <c r="J725" t="s">
        <v>45</v>
      </c>
      <c r="K725" t="s">
        <v>33</v>
      </c>
      <c r="L725" t="s">
        <v>34</v>
      </c>
      <c r="M725" t="s">
        <v>35</v>
      </c>
      <c r="N725" t="s">
        <v>36</v>
      </c>
      <c r="O725">
        <v>45</v>
      </c>
      <c r="P725">
        <v>45</v>
      </c>
      <c r="Q725">
        <v>50.2</v>
      </c>
      <c r="R725">
        <v>1300</v>
      </c>
      <c r="S725">
        <v>1300</v>
      </c>
      <c r="T725">
        <v>0</v>
      </c>
      <c r="U725">
        <v>0</v>
      </c>
      <c r="V725">
        <v>1</v>
      </c>
      <c r="W725">
        <v>0</v>
      </c>
      <c r="X725">
        <v>0.85</v>
      </c>
    </row>
    <row r="726" spans="1:24" x14ac:dyDescent="0.3">
      <c r="A726" t="s">
        <v>1269</v>
      </c>
      <c r="B726" s="1">
        <v>45670</v>
      </c>
      <c r="C726" t="s">
        <v>130</v>
      </c>
      <c r="D726" t="s">
        <v>39</v>
      </c>
      <c r="E726" t="s">
        <v>40</v>
      </c>
      <c r="F726" t="s">
        <v>41</v>
      </c>
      <c r="G726" t="s">
        <v>42</v>
      </c>
      <c r="H726" t="s">
        <v>111</v>
      </c>
      <c r="I726" t="s">
        <v>1124</v>
      </c>
      <c r="J726" t="s">
        <v>99</v>
      </c>
      <c r="K726" t="s">
        <v>46</v>
      </c>
      <c r="L726" t="s">
        <v>34</v>
      </c>
      <c r="M726" t="s">
        <v>35</v>
      </c>
      <c r="N726" t="s">
        <v>36</v>
      </c>
      <c r="O726">
        <v>30</v>
      </c>
      <c r="P726">
        <v>30</v>
      </c>
      <c r="Q726">
        <v>36.200000000000003</v>
      </c>
      <c r="R726">
        <v>700</v>
      </c>
      <c r="S726">
        <v>700</v>
      </c>
      <c r="T726">
        <v>0</v>
      </c>
      <c r="U726">
        <v>0</v>
      </c>
      <c r="V726">
        <v>1</v>
      </c>
      <c r="W726">
        <v>0</v>
      </c>
      <c r="X726">
        <v>0.85</v>
      </c>
    </row>
    <row r="727" spans="1:24" x14ac:dyDescent="0.3">
      <c r="A727" t="s">
        <v>1270</v>
      </c>
      <c r="B727" s="1">
        <v>45835</v>
      </c>
      <c r="C727" t="s">
        <v>67</v>
      </c>
      <c r="D727" t="s">
        <v>82</v>
      </c>
      <c r="E727" t="s">
        <v>27</v>
      </c>
      <c r="F727" t="s">
        <v>28</v>
      </c>
      <c r="G727" t="s">
        <v>29</v>
      </c>
      <c r="H727" t="s">
        <v>120</v>
      </c>
      <c r="I727" t="s">
        <v>484</v>
      </c>
      <c r="J727" t="s">
        <v>62</v>
      </c>
      <c r="K727" t="s">
        <v>70</v>
      </c>
      <c r="L727" t="s">
        <v>78</v>
      </c>
      <c r="M727" t="s">
        <v>65</v>
      </c>
      <c r="N727" t="s">
        <v>36</v>
      </c>
      <c r="O727">
        <v>45</v>
      </c>
      <c r="P727">
        <v>45</v>
      </c>
      <c r="Q727">
        <v>60.3</v>
      </c>
      <c r="R727">
        <v>850</v>
      </c>
      <c r="S727">
        <v>850</v>
      </c>
      <c r="T727">
        <v>0</v>
      </c>
      <c r="U727">
        <v>0</v>
      </c>
      <c r="V727">
        <v>1</v>
      </c>
      <c r="W727">
        <v>0</v>
      </c>
      <c r="X727">
        <v>0.85</v>
      </c>
    </row>
    <row r="728" spans="1:24" x14ac:dyDescent="0.3">
      <c r="A728" t="s">
        <v>1271</v>
      </c>
      <c r="B728" s="1">
        <v>45761</v>
      </c>
      <c r="C728" t="s">
        <v>92</v>
      </c>
      <c r="D728" t="s">
        <v>39</v>
      </c>
      <c r="E728" t="s">
        <v>68</v>
      </c>
      <c r="F728" t="s">
        <v>41</v>
      </c>
      <c r="G728" t="s">
        <v>42</v>
      </c>
      <c r="H728" t="s">
        <v>111</v>
      </c>
      <c r="I728" t="s">
        <v>1272</v>
      </c>
      <c r="J728" t="s">
        <v>99</v>
      </c>
      <c r="K728" t="s">
        <v>63</v>
      </c>
      <c r="L728" t="s">
        <v>34</v>
      </c>
      <c r="M728" t="s">
        <v>86</v>
      </c>
      <c r="N728" t="s">
        <v>95</v>
      </c>
      <c r="O728">
        <v>60</v>
      </c>
      <c r="P728">
        <v>0</v>
      </c>
      <c r="Q728">
        <v>76.5</v>
      </c>
      <c r="R728">
        <v>1350</v>
      </c>
      <c r="S728">
        <v>0</v>
      </c>
      <c r="T728">
        <v>1350</v>
      </c>
      <c r="U728">
        <v>1</v>
      </c>
      <c r="V728">
        <v>0</v>
      </c>
      <c r="W728">
        <v>0</v>
      </c>
      <c r="X728">
        <v>0.85</v>
      </c>
    </row>
    <row r="729" spans="1:24" x14ac:dyDescent="0.3">
      <c r="A729" t="s">
        <v>1273</v>
      </c>
      <c r="B729" s="1">
        <v>45971</v>
      </c>
      <c r="C729" t="s">
        <v>38</v>
      </c>
      <c r="D729" t="s">
        <v>39</v>
      </c>
      <c r="E729" t="s">
        <v>83</v>
      </c>
      <c r="F729" t="s">
        <v>41</v>
      </c>
      <c r="G729" t="s">
        <v>42</v>
      </c>
      <c r="H729" t="s">
        <v>125</v>
      </c>
      <c r="I729" t="s">
        <v>1274</v>
      </c>
      <c r="J729" t="s">
        <v>137</v>
      </c>
      <c r="K729" t="s">
        <v>104</v>
      </c>
      <c r="L729" t="s">
        <v>34</v>
      </c>
      <c r="M729" t="s">
        <v>35</v>
      </c>
      <c r="N729" t="s">
        <v>36</v>
      </c>
      <c r="O729">
        <v>45</v>
      </c>
      <c r="P729">
        <v>45</v>
      </c>
      <c r="Q729">
        <v>59.6</v>
      </c>
      <c r="R729">
        <v>1000</v>
      </c>
      <c r="S729">
        <v>1000</v>
      </c>
      <c r="T729">
        <v>0</v>
      </c>
      <c r="U729">
        <v>0</v>
      </c>
      <c r="V729">
        <v>1</v>
      </c>
      <c r="W729">
        <v>0</v>
      </c>
      <c r="X729">
        <v>0.85</v>
      </c>
    </row>
    <row r="730" spans="1:24" x14ac:dyDescent="0.3">
      <c r="A730" t="s">
        <v>1275</v>
      </c>
      <c r="B730" s="1">
        <v>45810</v>
      </c>
      <c r="C730" t="s">
        <v>67</v>
      </c>
      <c r="D730" t="s">
        <v>39</v>
      </c>
      <c r="E730" t="s">
        <v>68</v>
      </c>
      <c r="F730" t="s">
        <v>41</v>
      </c>
      <c r="G730" t="s">
        <v>42</v>
      </c>
      <c r="H730" t="s">
        <v>51</v>
      </c>
      <c r="I730" t="s">
        <v>517</v>
      </c>
      <c r="J730" t="s">
        <v>99</v>
      </c>
      <c r="K730" t="s">
        <v>104</v>
      </c>
      <c r="L730" t="s">
        <v>64</v>
      </c>
      <c r="M730" t="s">
        <v>65</v>
      </c>
      <c r="N730" t="s">
        <v>36</v>
      </c>
      <c r="O730">
        <v>45</v>
      </c>
      <c r="P730">
        <v>45</v>
      </c>
      <c r="Q730">
        <v>55.3</v>
      </c>
      <c r="R730">
        <v>1000</v>
      </c>
      <c r="S730">
        <v>1000</v>
      </c>
      <c r="T730">
        <v>0</v>
      </c>
      <c r="U730">
        <v>0</v>
      </c>
      <c r="V730">
        <v>1</v>
      </c>
      <c r="W730">
        <v>0</v>
      </c>
      <c r="X730">
        <v>0.85</v>
      </c>
    </row>
    <row r="731" spans="1:24" x14ac:dyDescent="0.3">
      <c r="A731" t="s">
        <v>1276</v>
      </c>
      <c r="B731" s="1">
        <v>45852</v>
      </c>
      <c r="C731" t="s">
        <v>101</v>
      </c>
      <c r="D731" t="s">
        <v>39</v>
      </c>
      <c r="E731" t="s">
        <v>27</v>
      </c>
      <c r="F731" t="s">
        <v>58</v>
      </c>
      <c r="G731" t="s">
        <v>59</v>
      </c>
      <c r="H731" t="s">
        <v>296</v>
      </c>
      <c r="I731" t="s">
        <v>544</v>
      </c>
      <c r="J731" t="s">
        <v>53</v>
      </c>
      <c r="K731" t="s">
        <v>70</v>
      </c>
      <c r="L731" t="s">
        <v>34</v>
      </c>
      <c r="M731" t="s">
        <v>35</v>
      </c>
      <c r="N731" t="s">
        <v>36</v>
      </c>
      <c r="O731">
        <v>60</v>
      </c>
      <c r="P731">
        <v>60</v>
      </c>
      <c r="Q731">
        <v>72</v>
      </c>
      <c r="R731">
        <v>1800</v>
      </c>
      <c r="S731">
        <v>1800</v>
      </c>
      <c r="T731">
        <v>0</v>
      </c>
      <c r="U731">
        <v>0</v>
      </c>
      <c r="V731">
        <v>1</v>
      </c>
      <c r="W731">
        <v>0</v>
      </c>
      <c r="X731">
        <v>0.85</v>
      </c>
    </row>
    <row r="732" spans="1:24" x14ac:dyDescent="0.3">
      <c r="A732" t="s">
        <v>1277</v>
      </c>
      <c r="B732" s="1">
        <v>45726</v>
      </c>
      <c r="C732" t="s">
        <v>56</v>
      </c>
      <c r="D732" t="s">
        <v>39</v>
      </c>
      <c r="E732" t="s">
        <v>27</v>
      </c>
      <c r="F732" t="s">
        <v>28</v>
      </c>
      <c r="G732" t="s">
        <v>29</v>
      </c>
      <c r="H732" t="s">
        <v>135</v>
      </c>
      <c r="I732" t="s">
        <v>420</v>
      </c>
      <c r="J732" t="s">
        <v>53</v>
      </c>
      <c r="K732" t="s">
        <v>85</v>
      </c>
      <c r="L732" t="s">
        <v>34</v>
      </c>
      <c r="M732" t="s">
        <v>94</v>
      </c>
      <c r="N732" t="s">
        <v>36</v>
      </c>
      <c r="O732">
        <v>90</v>
      </c>
      <c r="P732">
        <v>90</v>
      </c>
      <c r="Q732">
        <v>114.5</v>
      </c>
      <c r="R732">
        <v>2250</v>
      </c>
      <c r="S732">
        <v>2250</v>
      </c>
      <c r="T732">
        <v>0</v>
      </c>
      <c r="U732">
        <v>0</v>
      </c>
      <c r="V732">
        <v>1</v>
      </c>
      <c r="W732">
        <v>0</v>
      </c>
      <c r="X732">
        <v>0.85</v>
      </c>
    </row>
    <row r="733" spans="1:24" x14ac:dyDescent="0.3">
      <c r="A733" t="s">
        <v>1278</v>
      </c>
      <c r="B733" s="1">
        <v>45810</v>
      </c>
      <c r="C733" t="s">
        <v>67</v>
      </c>
      <c r="D733" t="s">
        <v>39</v>
      </c>
      <c r="E733" t="s">
        <v>27</v>
      </c>
      <c r="F733" t="s">
        <v>58</v>
      </c>
      <c r="G733" t="s">
        <v>59</v>
      </c>
      <c r="H733" t="s">
        <v>151</v>
      </c>
      <c r="I733" t="s">
        <v>486</v>
      </c>
      <c r="J733" t="s">
        <v>45</v>
      </c>
      <c r="K733" t="s">
        <v>63</v>
      </c>
      <c r="L733" t="s">
        <v>34</v>
      </c>
      <c r="M733" t="s">
        <v>65</v>
      </c>
      <c r="N733" t="s">
        <v>95</v>
      </c>
      <c r="O733">
        <v>60</v>
      </c>
      <c r="P733">
        <v>0</v>
      </c>
      <c r="Q733">
        <v>70.7</v>
      </c>
      <c r="R733">
        <v>1700</v>
      </c>
      <c r="S733">
        <v>0</v>
      </c>
      <c r="T733">
        <v>1700</v>
      </c>
      <c r="U733">
        <v>1</v>
      </c>
      <c r="V733">
        <v>0</v>
      </c>
      <c r="W733">
        <v>0</v>
      </c>
      <c r="X733">
        <v>0.85</v>
      </c>
    </row>
    <row r="734" spans="1:24" x14ac:dyDescent="0.3">
      <c r="A734" t="s">
        <v>1279</v>
      </c>
      <c r="B734" s="1">
        <v>45964</v>
      </c>
      <c r="C734" t="s">
        <v>38</v>
      </c>
      <c r="D734" t="s">
        <v>39</v>
      </c>
      <c r="E734" t="s">
        <v>27</v>
      </c>
      <c r="F734" t="s">
        <v>28</v>
      </c>
      <c r="G734" t="s">
        <v>29</v>
      </c>
      <c r="H734" t="s">
        <v>135</v>
      </c>
      <c r="I734" t="s">
        <v>1223</v>
      </c>
      <c r="J734" t="s">
        <v>137</v>
      </c>
      <c r="K734" t="s">
        <v>70</v>
      </c>
      <c r="L734" t="s">
        <v>54</v>
      </c>
      <c r="M734" t="s">
        <v>47</v>
      </c>
      <c r="N734" t="s">
        <v>153</v>
      </c>
      <c r="O734">
        <v>60</v>
      </c>
      <c r="P734">
        <v>0</v>
      </c>
      <c r="Q734">
        <v>75.599999999999994</v>
      </c>
      <c r="R734">
        <v>1050</v>
      </c>
      <c r="S734">
        <v>0</v>
      </c>
      <c r="T734">
        <v>0</v>
      </c>
      <c r="U734">
        <v>0</v>
      </c>
      <c r="V734">
        <v>0</v>
      </c>
      <c r="W734">
        <v>0</v>
      </c>
      <c r="X734">
        <v>0.85</v>
      </c>
    </row>
    <row r="735" spans="1:24" x14ac:dyDescent="0.3">
      <c r="A735" t="s">
        <v>1280</v>
      </c>
      <c r="B735" s="1">
        <v>45923</v>
      </c>
      <c r="C735" t="s">
        <v>49</v>
      </c>
      <c r="D735" t="s">
        <v>26</v>
      </c>
      <c r="E735" t="s">
        <v>83</v>
      </c>
      <c r="F735" t="s">
        <v>58</v>
      </c>
      <c r="G735" t="s">
        <v>59</v>
      </c>
      <c r="H735" t="s">
        <v>117</v>
      </c>
      <c r="I735" t="s">
        <v>551</v>
      </c>
      <c r="J735" t="s">
        <v>62</v>
      </c>
      <c r="K735" t="s">
        <v>85</v>
      </c>
      <c r="L735" t="s">
        <v>64</v>
      </c>
      <c r="M735" t="s">
        <v>47</v>
      </c>
      <c r="N735" t="s">
        <v>36</v>
      </c>
      <c r="O735">
        <v>60</v>
      </c>
      <c r="P735">
        <v>60</v>
      </c>
      <c r="Q735">
        <v>68</v>
      </c>
      <c r="R735">
        <v>1500</v>
      </c>
      <c r="S735">
        <v>1500</v>
      </c>
      <c r="T735">
        <v>0</v>
      </c>
      <c r="U735">
        <v>0</v>
      </c>
      <c r="V735">
        <v>1</v>
      </c>
      <c r="W735">
        <v>0</v>
      </c>
      <c r="X735">
        <v>0.85</v>
      </c>
    </row>
    <row r="736" spans="1:24" x14ac:dyDescent="0.3">
      <c r="A736" t="s">
        <v>1281</v>
      </c>
      <c r="B736" s="1">
        <v>45922</v>
      </c>
      <c r="C736" t="s">
        <v>49</v>
      </c>
      <c r="D736" t="s">
        <v>39</v>
      </c>
      <c r="E736" t="s">
        <v>40</v>
      </c>
      <c r="F736" t="s">
        <v>58</v>
      </c>
      <c r="G736" t="s">
        <v>59</v>
      </c>
      <c r="H736" t="s">
        <v>296</v>
      </c>
      <c r="I736" t="s">
        <v>243</v>
      </c>
      <c r="J736" t="s">
        <v>62</v>
      </c>
      <c r="K736" t="s">
        <v>33</v>
      </c>
      <c r="L736" t="s">
        <v>64</v>
      </c>
      <c r="M736" t="s">
        <v>94</v>
      </c>
      <c r="N736" t="s">
        <v>36</v>
      </c>
      <c r="O736">
        <v>45</v>
      </c>
      <c r="P736">
        <v>45</v>
      </c>
      <c r="Q736">
        <v>57.4</v>
      </c>
      <c r="R736">
        <v>1100</v>
      </c>
      <c r="S736">
        <v>1100</v>
      </c>
      <c r="T736">
        <v>0</v>
      </c>
      <c r="U736">
        <v>0</v>
      </c>
      <c r="V736">
        <v>1</v>
      </c>
      <c r="W736">
        <v>0</v>
      </c>
      <c r="X736">
        <v>0.85</v>
      </c>
    </row>
    <row r="737" spans="1:24" x14ac:dyDescent="0.3">
      <c r="A737" t="s">
        <v>1282</v>
      </c>
      <c r="B737" s="1">
        <v>45874</v>
      </c>
      <c r="C737" t="s">
        <v>110</v>
      </c>
      <c r="D737" t="s">
        <v>26</v>
      </c>
      <c r="E737" t="s">
        <v>40</v>
      </c>
      <c r="F737" t="s">
        <v>58</v>
      </c>
      <c r="G737" t="s">
        <v>59</v>
      </c>
      <c r="H737" t="s">
        <v>296</v>
      </c>
      <c r="I737" t="s">
        <v>1283</v>
      </c>
      <c r="J737" t="s">
        <v>62</v>
      </c>
      <c r="K737" t="s">
        <v>104</v>
      </c>
      <c r="L737" t="s">
        <v>34</v>
      </c>
      <c r="M737" t="s">
        <v>65</v>
      </c>
      <c r="N737" t="s">
        <v>36</v>
      </c>
      <c r="O737">
        <v>60</v>
      </c>
      <c r="P737">
        <v>60</v>
      </c>
      <c r="Q737">
        <v>77.599999999999994</v>
      </c>
      <c r="R737">
        <v>1500</v>
      </c>
      <c r="S737">
        <v>1500</v>
      </c>
      <c r="T737">
        <v>0</v>
      </c>
      <c r="U737">
        <v>0</v>
      </c>
      <c r="V737">
        <v>1</v>
      </c>
      <c r="W737">
        <v>0</v>
      </c>
      <c r="X737">
        <v>0.85</v>
      </c>
    </row>
    <row r="738" spans="1:24" x14ac:dyDescent="0.3">
      <c r="A738" t="s">
        <v>1284</v>
      </c>
      <c r="B738" s="1">
        <v>45929</v>
      </c>
      <c r="C738" t="s">
        <v>49</v>
      </c>
      <c r="D738" t="s">
        <v>39</v>
      </c>
      <c r="E738" t="s">
        <v>83</v>
      </c>
      <c r="F738" t="s">
        <v>58</v>
      </c>
      <c r="G738" t="s">
        <v>59</v>
      </c>
      <c r="H738" t="s">
        <v>296</v>
      </c>
      <c r="I738" t="s">
        <v>281</v>
      </c>
      <c r="J738" t="s">
        <v>45</v>
      </c>
      <c r="K738" t="s">
        <v>33</v>
      </c>
      <c r="L738" t="s">
        <v>34</v>
      </c>
      <c r="M738" t="s">
        <v>35</v>
      </c>
      <c r="N738" t="s">
        <v>95</v>
      </c>
      <c r="O738">
        <v>60</v>
      </c>
      <c r="P738">
        <v>0</v>
      </c>
      <c r="Q738">
        <v>77.8</v>
      </c>
      <c r="R738">
        <v>1700</v>
      </c>
      <c r="S738">
        <v>0</v>
      </c>
      <c r="T738">
        <v>1700</v>
      </c>
      <c r="U738">
        <v>1</v>
      </c>
      <c r="V738">
        <v>0</v>
      </c>
      <c r="W738">
        <v>0</v>
      </c>
      <c r="X738">
        <v>0.85</v>
      </c>
    </row>
    <row r="739" spans="1:24" x14ac:dyDescent="0.3">
      <c r="A739" t="s">
        <v>1285</v>
      </c>
      <c r="B739" s="1">
        <v>45888</v>
      </c>
      <c r="C739" t="s">
        <v>110</v>
      </c>
      <c r="D739" t="s">
        <v>26</v>
      </c>
      <c r="E739" t="s">
        <v>27</v>
      </c>
      <c r="F739" t="s">
        <v>58</v>
      </c>
      <c r="G739" t="s">
        <v>59</v>
      </c>
      <c r="H739" t="s">
        <v>296</v>
      </c>
      <c r="I739" t="s">
        <v>1286</v>
      </c>
      <c r="J739" t="s">
        <v>45</v>
      </c>
      <c r="K739" t="s">
        <v>33</v>
      </c>
      <c r="L739" t="s">
        <v>34</v>
      </c>
      <c r="M739" t="s">
        <v>47</v>
      </c>
      <c r="N739" t="s">
        <v>36</v>
      </c>
      <c r="O739">
        <v>30</v>
      </c>
      <c r="P739">
        <v>30</v>
      </c>
      <c r="Q739">
        <v>39.200000000000003</v>
      </c>
      <c r="R739">
        <v>850</v>
      </c>
      <c r="S739">
        <v>850</v>
      </c>
      <c r="T739">
        <v>0</v>
      </c>
      <c r="U739">
        <v>0</v>
      </c>
      <c r="V739">
        <v>1</v>
      </c>
      <c r="W739">
        <v>0</v>
      </c>
      <c r="X739">
        <v>0.85</v>
      </c>
    </row>
    <row r="740" spans="1:24" x14ac:dyDescent="0.3">
      <c r="A740" t="s">
        <v>1287</v>
      </c>
      <c r="B740" s="1">
        <v>45881</v>
      </c>
      <c r="C740" t="s">
        <v>110</v>
      </c>
      <c r="D740" t="s">
        <v>26</v>
      </c>
      <c r="E740" t="s">
        <v>83</v>
      </c>
      <c r="F740" t="s">
        <v>58</v>
      </c>
      <c r="G740" t="s">
        <v>59</v>
      </c>
      <c r="H740" t="s">
        <v>60</v>
      </c>
      <c r="I740" t="s">
        <v>741</v>
      </c>
      <c r="J740" t="s">
        <v>62</v>
      </c>
      <c r="K740" t="s">
        <v>63</v>
      </c>
      <c r="L740" t="s">
        <v>34</v>
      </c>
      <c r="M740" t="s">
        <v>71</v>
      </c>
      <c r="N740" t="s">
        <v>36</v>
      </c>
      <c r="O740">
        <v>45</v>
      </c>
      <c r="P740">
        <v>45</v>
      </c>
      <c r="Q740">
        <v>56.6</v>
      </c>
      <c r="R740">
        <v>1100</v>
      </c>
      <c r="S740">
        <v>1100</v>
      </c>
      <c r="T740">
        <v>0</v>
      </c>
      <c r="U740">
        <v>0</v>
      </c>
      <c r="V740">
        <v>1</v>
      </c>
      <c r="W740">
        <v>0</v>
      </c>
      <c r="X740">
        <v>0.85</v>
      </c>
    </row>
    <row r="741" spans="1:24" x14ac:dyDescent="0.3">
      <c r="A741" t="s">
        <v>1288</v>
      </c>
      <c r="B741" s="1">
        <v>45901</v>
      </c>
      <c r="C741" t="s">
        <v>49</v>
      </c>
      <c r="D741" t="s">
        <v>39</v>
      </c>
      <c r="E741" t="s">
        <v>83</v>
      </c>
      <c r="F741" t="s">
        <v>28</v>
      </c>
      <c r="G741" t="s">
        <v>29</v>
      </c>
      <c r="H741" t="s">
        <v>102</v>
      </c>
      <c r="I741" t="s">
        <v>1289</v>
      </c>
      <c r="J741" t="s">
        <v>62</v>
      </c>
      <c r="K741" t="s">
        <v>63</v>
      </c>
      <c r="L741" t="s">
        <v>34</v>
      </c>
      <c r="M741" t="s">
        <v>94</v>
      </c>
      <c r="N741" t="s">
        <v>36</v>
      </c>
      <c r="O741">
        <v>75</v>
      </c>
      <c r="P741">
        <v>75</v>
      </c>
      <c r="Q741">
        <v>100.8</v>
      </c>
      <c r="R741">
        <v>1550</v>
      </c>
      <c r="S741">
        <v>1550</v>
      </c>
      <c r="T741">
        <v>0</v>
      </c>
      <c r="U741">
        <v>0</v>
      </c>
      <c r="V741">
        <v>1</v>
      </c>
      <c r="W741">
        <v>0</v>
      </c>
      <c r="X741">
        <v>0.85</v>
      </c>
    </row>
    <row r="742" spans="1:24" x14ac:dyDescent="0.3">
      <c r="A742" t="s">
        <v>1290</v>
      </c>
      <c r="B742" s="1">
        <v>45798</v>
      </c>
      <c r="C742" t="s">
        <v>128</v>
      </c>
      <c r="D742" t="s">
        <v>57</v>
      </c>
      <c r="E742" t="s">
        <v>68</v>
      </c>
      <c r="F742" t="s">
        <v>58</v>
      </c>
      <c r="G742" t="s">
        <v>59</v>
      </c>
      <c r="H742" t="s">
        <v>151</v>
      </c>
      <c r="I742" t="s">
        <v>251</v>
      </c>
      <c r="J742" t="s">
        <v>99</v>
      </c>
      <c r="K742" t="s">
        <v>33</v>
      </c>
      <c r="L742" t="s">
        <v>34</v>
      </c>
      <c r="M742" t="s">
        <v>71</v>
      </c>
      <c r="N742" t="s">
        <v>36</v>
      </c>
      <c r="O742">
        <v>45</v>
      </c>
      <c r="P742">
        <v>45</v>
      </c>
      <c r="Q742">
        <v>53.9</v>
      </c>
      <c r="R742">
        <v>1100</v>
      </c>
      <c r="S742">
        <v>1100</v>
      </c>
      <c r="T742">
        <v>0</v>
      </c>
      <c r="U742">
        <v>0</v>
      </c>
      <c r="V742">
        <v>1</v>
      </c>
      <c r="W742">
        <v>0</v>
      </c>
      <c r="X742">
        <v>0.85</v>
      </c>
    </row>
    <row r="743" spans="1:24" x14ac:dyDescent="0.3">
      <c r="A743" t="s">
        <v>1291</v>
      </c>
      <c r="B743" s="1">
        <v>45864</v>
      </c>
      <c r="C743" t="s">
        <v>101</v>
      </c>
      <c r="D743" t="s">
        <v>88</v>
      </c>
      <c r="E743" t="s">
        <v>68</v>
      </c>
      <c r="F743" t="s">
        <v>58</v>
      </c>
      <c r="G743" t="s">
        <v>59</v>
      </c>
      <c r="H743" t="s">
        <v>117</v>
      </c>
      <c r="I743" t="s">
        <v>418</v>
      </c>
      <c r="J743" t="s">
        <v>32</v>
      </c>
      <c r="K743" t="s">
        <v>70</v>
      </c>
      <c r="L743" t="s">
        <v>34</v>
      </c>
      <c r="M743" t="s">
        <v>35</v>
      </c>
      <c r="N743" t="s">
        <v>95</v>
      </c>
      <c r="O743">
        <v>30</v>
      </c>
      <c r="P743">
        <v>0</v>
      </c>
      <c r="Q743">
        <v>38.5</v>
      </c>
      <c r="R743">
        <v>750</v>
      </c>
      <c r="S743">
        <v>0</v>
      </c>
      <c r="T743">
        <v>750</v>
      </c>
      <c r="U743">
        <v>1</v>
      </c>
      <c r="V743">
        <v>0</v>
      </c>
      <c r="W743">
        <v>0</v>
      </c>
      <c r="X743">
        <v>0.85</v>
      </c>
    </row>
    <row r="744" spans="1:24" x14ac:dyDescent="0.3">
      <c r="A744" t="s">
        <v>1292</v>
      </c>
      <c r="B744" s="1">
        <v>46011</v>
      </c>
      <c r="C744" t="s">
        <v>25</v>
      </c>
      <c r="D744" t="s">
        <v>88</v>
      </c>
      <c r="E744" t="s">
        <v>27</v>
      </c>
      <c r="F744" t="s">
        <v>58</v>
      </c>
      <c r="G744" t="s">
        <v>59</v>
      </c>
      <c r="H744" t="s">
        <v>60</v>
      </c>
      <c r="I744" t="s">
        <v>1293</v>
      </c>
      <c r="J744" t="s">
        <v>62</v>
      </c>
      <c r="K744" t="s">
        <v>46</v>
      </c>
      <c r="L744" t="s">
        <v>34</v>
      </c>
      <c r="M744" t="s">
        <v>35</v>
      </c>
      <c r="N744" t="s">
        <v>36</v>
      </c>
      <c r="O744">
        <v>30</v>
      </c>
      <c r="P744">
        <v>30</v>
      </c>
      <c r="Q744">
        <v>40.200000000000003</v>
      </c>
      <c r="R744">
        <v>750</v>
      </c>
      <c r="S744">
        <v>750</v>
      </c>
      <c r="T744">
        <v>0</v>
      </c>
      <c r="U744">
        <v>0</v>
      </c>
      <c r="V744">
        <v>1</v>
      </c>
      <c r="W744">
        <v>0</v>
      </c>
      <c r="X744">
        <v>0.85</v>
      </c>
    </row>
    <row r="745" spans="1:24" x14ac:dyDescent="0.3">
      <c r="A745" t="s">
        <v>1294</v>
      </c>
      <c r="B745" s="1">
        <v>45712</v>
      </c>
      <c r="C745" t="s">
        <v>76</v>
      </c>
      <c r="D745" t="s">
        <v>39</v>
      </c>
      <c r="E745" t="s">
        <v>27</v>
      </c>
      <c r="F745" t="s">
        <v>58</v>
      </c>
      <c r="G745" t="s">
        <v>59</v>
      </c>
      <c r="H745" t="s">
        <v>117</v>
      </c>
      <c r="I745" t="s">
        <v>643</v>
      </c>
      <c r="J745" t="s">
        <v>32</v>
      </c>
      <c r="K745" t="s">
        <v>104</v>
      </c>
      <c r="L745" t="s">
        <v>64</v>
      </c>
      <c r="M745" t="s">
        <v>94</v>
      </c>
      <c r="N745" t="s">
        <v>36</v>
      </c>
      <c r="O745">
        <v>60</v>
      </c>
      <c r="P745">
        <v>60</v>
      </c>
      <c r="Q745">
        <v>75.5</v>
      </c>
      <c r="R745">
        <v>1500</v>
      </c>
      <c r="S745">
        <v>1500</v>
      </c>
      <c r="T745">
        <v>0</v>
      </c>
      <c r="U745">
        <v>0</v>
      </c>
      <c r="V745">
        <v>1</v>
      </c>
      <c r="W745">
        <v>0</v>
      </c>
      <c r="X745">
        <v>0.85</v>
      </c>
    </row>
    <row r="746" spans="1:24" x14ac:dyDescent="0.3">
      <c r="A746" t="s">
        <v>1295</v>
      </c>
      <c r="B746" s="1">
        <v>45866</v>
      </c>
      <c r="C746" t="s">
        <v>101</v>
      </c>
      <c r="D746" t="s">
        <v>39</v>
      </c>
      <c r="E746" t="s">
        <v>27</v>
      </c>
      <c r="F746" t="s">
        <v>28</v>
      </c>
      <c r="G746" t="s">
        <v>29</v>
      </c>
      <c r="H746" t="s">
        <v>135</v>
      </c>
      <c r="I746" t="s">
        <v>1194</v>
      </c>
      <c r="J746" t="s">
        <v>62</v>
      </c>
      <c r="K746" t="s">
        <v>63</v>
      </c>
      <c r="L746" t="s">
        <v>64</v>
      </c>
      <c r="M746" t="s">
        <v>86</v>
      </c>
      <c r="N746" t="s">
        <v>36</v>
      </c>
      <c r="O746">
        <v>45</v>
      </c>
      <c r="P746">
        <v>45</v>
      </c>
      <c r="Q746">
        <v>49.7</v>
      </c>
      <c r="R746">
        <v>950</v>
      </c>
      <c r="S746">
        <v>950</v>
      </c>
      <c r="T746">
        <v>0</v>
      </c>
      <c r="U746">
        <v>0</v>
      </c>
      <c r="V746">
        <v>1</v>
      </c>
      <c r="W746">
        <v>0</v>
      </c>
      <c r="X746">
        <v>0.85</v>
      </c>
    </row>
    <row r="747" spans="1:24" x14ac:dyDescent="0.3">
      <c r="A747" t="s">
        <v>1296</v>
      </c>
      <c r="B747" s="1">
        <v>45843</v>
      </c>
      <c r="C747" t="s">
        <v>101</v>
      </c>
      <c r="D747" t="s">
        <v>88</v>
      </c>
      <c r="E747" t="s">
        <v>68</v>
      </c>
      <c r="F747" t="s">
        <v>58</v>
      </c>
      <c r="G747" t="s">
        <v>59</v>
      </c>
      <c r="H747" t="s">
        <v>151</v>
      </c>
      <c r="I747" t="s">
        <v>707</v>
      </c>
      <c r="J747" t="s">
        <v>62</v>
      </c>
      <c r="K747" t="s">
        <v>70</v>
      </c>
      <c r="L747" t="s">
        <v>64</v>
      </c>
      <c r="M747" t="s">
        <v>86</v>
      </c>
      <c r="N747" t="s">
        <v>36</v>
      </c>
      <c r="O747">
        <v>60</v>
      </c>
      <c r="P747">
        <v>60</v>
      </c>
      <c r="Q747">
        <v>68</v>
      </c>
      <c r="R747">
        <v>1500</v>
      </c>
      <c r="S747">
        <v>1500</v>
      </c>
      <c r="T747">
        <v>0</v>
      </c>
      <c r="U747">
        <v>0</v>
      </c>
      <c r="V747">
        <v>1</v>
      </c>
      <c r="W747">
        <v>0</v>
      </c>
      <c r="X747">
        <v>0.85</v>
      </c>
    </row>
    <row r="748" spans="1:24" x14ac:dyDescent="0.3">
      <c r="A748" t="s">
        <v>1297</v>
      </c>
      <c r="B748" s="1">
        <v>45901</v>
      </c>
      <c r="C748" t="s">
        <v>49</v>
      </c>
      <c r="D748" t="s">
        <v>39</v>
      </c>
      <c r="E748" t="s">
        <v>27</v>
      </c>
      <c r="F748" t="s">
        <v>41</v>
      </c>
      <c r="G748" t="s">
        <v>42</v>
      </c>
      <c r="H748" t="s">
        <v>111</v>
      </c>
      <c r="I748" t="s">
        <v>269</v>
      </c>
      <c r="J748" t="s">
        <v>53</v>
      </c>
      <c r="K748" t="s">
        <v>85</v>
      </c>
      <c r="L748" t="s">
        <v>64</v>
      </c>
      <c r="M748" t="s">
        <v>94</v>
      </c>
      <c r="N748" t="s">
        <v>36</v>
      </c>
      <c r="O748">
        <v>60</v>
      </c>
      <c r="P748">
        <v>60</v>
      </c>
      <c r="Q748">
        <v>73.599999999999994</v>
      </c>
      <c r="R748">
        <v>1600</v>
      </c>
      <c r="S748">
        <v>1600</v>
      </c>
      <c r="T748">
        <v>0</v>
      </c>
      <c r="U748">
        <v>0</v>
      </c>
      <c r="V748">
        <v>1</v>
      </c>
      <c r="W748">
        <v>0</v>
      </c>
      <c r="X748">
        <v>0.85</v>
      </c>
    </row>
    <row r="749" spans="1:24" x14ac:dyDescent="0.3">
      <c r="A749" t="s">
        <v>1298</v>
      </c>
      <c r="B749" s="1">
        <v>45970</v>
      </c>
      <c r="C749" t="s">
        <v>38</v>
      </c>
      <c r="D749" t="s">
        <v>287</v>
      </c>
      <c r="E749" t="s">
        <v>68</v>
      </c>
      <c r="F749" t="s">
        <v>28</v>
      </c>
      <c r="G749" t="s">
        <v>29</v>
      </c>
      <c r="H749" t="s">
        <v>102</v>
      </c>
      <c r="I749" t="s">
        <v>1299</v>
      </c>
      <c r="J749" t="s">
        <v>45</v>
      </c>
      <c r="K749" t="s">
        <v>46</v>
      </c>
      <c r="L749" t="s">
        <v>34</v>
      </c>
      <c r="M749" t="s">
        <v>47</v>
      </c>
      <c r="N749" t="s">
        <v>36</v>
      </c>
      <c r="O749">
        <v>45</v>
      </c>
      <c r="P749">
        <v>45</v>
      </c>
      <c r="Q749">
        <v>49.6</v>
      </c>
      <c r="R749">
        <v>1100</v>
      </c>
      <c r="S749">
        <v>1100</v>
      </c>
      <c r="T749">
        <v>0</v>
      </c>
      <c r="U749">
        <v>0</v>
      </c>
      <c r="V749">
        <v>1</v>
      </c>
      <c r="W749">
        <v>0</v>
      </c>
      <c r="X749">
        <v>0.85</v>
      </c>
    </row>
    <row r="750" spans="1:24" x14ac:dyDescent="0.3">
      <c r="A750" t="s">
        <v>1300</v>
      </c>
      <c r="B750" s="1">
        <v>45853</v>
      </c>
      <c r="C750" t="s">
        <v>101</v>
      </c>
      <c r="D750" t="s">
        <v>26</v>
      </c>
      <c r="E750" t="s">
        <v>83</v>
      </c>
      <c r="F750" t="s">
        <v>41</v>
      </c>
      <c r="G750" t="s">
        <v>42</v>
      </c>
      <c r="H750" t="s">
        <v>51</v>
      </c>
      <c r="I750" t="s">
        <v>906</v>
      </c>
      <c r="J750" t="s">
        <v>62</v>
      </c>
      <c r="K750" t="s">
        <v>46</v>
      </c>
      <c r="L750" t="s">
        <v>78</v>
      </c>
      <c r="M750" t="s">
        <v>94</v>
      </c>
      <c r="N750" t="s">
        <v>36</v>
      </c>
      <c r="O750">
        <v>60</v>
      </c>
      <c r="P750">
        <v>60</v>
      </c>
      <c r="Q750">
        <v>66.400000000000006</v>
      </c>
      <c r="R750">
        <v>1250</v>
      </c>
      <c r="S750">
        <v>1250</v>
      </c>
      <c r="T750">
        <v>0</v>
      </c>
      <c r="U750">
        <v>0</v>
      </c>
      <c r="V750">
        <v>1</v>
      </c>
      <c r="W750">
        <v>0</v>
      </c>
      <c r="X750">
        <v>0.85</v>
      </c>
    </row>
    <row r="751" spans="1:24" x14ac:dyDescent="0.3">
      <c r="A751" t="s">
        <v>1301</v>
      </c>
      <c r="B751" s="1">
        <v>45685</v>
      </c>
      <c r="C751" t="s">
        <v>130</v>
      </c>
      <c r="D751" t="s">
        <v>26</v>
      </c>
      <c r="E751" t="s">
        <v>27</v>
      </c>
      <c r="F751" t="s">
        <v>28</v>
      </c>
      <c r="G751" t="s">
        <v>29</v>
      </c>
      <c r="H751" t="s">
        <v>135</v>
      </c>
      <c r="I751" t="s">
        <v>692</v>
      </c>
      <c r="J751" t="s">
        <v>62</v>
      </c>
      <c r="K751" t="s">
        <v>85</v>
      </c>
      <c r="L751" t="s">
        <v>64</v>
      </c>
      <c r="M751" t="s">
        <v>35</v>
      </c>
      <c r="N751" t="s">
        <v>36</v>
      </c>
      <c r="O751">
        <v>45</v>
      </c>
      <c r="P751">
        <v>45</v>
      </c>
      <c r="Q751">
        <v>58.8</v>
      </c>
      <c r="R751">
        <v>950</v>
      </c>
      <c r="S751">
        <v>950</v>
      </c>
      <c r="T751">
        <v>0</v>
      </c>
      <c r="U751">
        <v>0</v>
      </c>
      <c r="V751">
        <v>1</v>
      </c>
      <c r="W751">
        <v>0</v>
      </c>
      <c r="X751">
        <v>0.85</v>
      </c>
    </row>
    <row r="752" spans="1:24" x14ac:dyDescent="0.3">
      <c r="A752" t="s">
        <v>1302</v>
      </c>
      <c r="B752" s="1">
        <v>45890</v>
      </c>
      <c r="C752" t="s">
        <v>110</v>
      </c>
      <c r="D752" t="s">
        <v>50</v>
      </c>
      <c r="E752" t="s">
        <v>83</v>
      </c>
      <c r="F752" t="s">
        <v>28</v>
      </c>
      <c r="G752" t="s">
        <v>29</v>
      </c>
      <c r="H752" t="s">
        <v>30</v>
      </c>
      <c r="I752" t="s">
        <v>1112</v>
      </c>
      <c r="J752" t="s">
        <v>62</v>
      </c>
      <c r="K752" t="s">
        <v>70</v>
      </c>
      <c r="L752" t="s">
        <v>78</v>
      </c>
      <c r="M752" t="s">
        <v>65</v>
      </c>
      <c r="N752" t="s">
        <v>36</v>
      </c>
      <c r="O752">
        <v>45</v>
      </c>
      <c r="P752">
        <v>45</v>
      </c>
      <c r="Q752">
        <v>52.8</v>
      </c>
      <c r="R752">
        <v>850</v>
      </c>
      <c r="S752">
        <v>850</v>
      </c>
      <c r="T752">
        <v>0</v>
      </c>
      <c r="U752">
        <v>0</v>
      </c>
      <c r="V752">
        <v>1</v>
      </c>
      <c r="W752">
        <v>0</v>
      </c>
      <c r="X752">
        <v>0.85</v>
      </c>
    </row>
    <row r="753" spans="1:24" x14ac:dyDescent="0.3">
      <c r="A753" t="s">
        <v>1303</v>
      </c>
      <c r="B753" s="1">
        <v>45903</v>
      </c>
      <c r="C753" t="s">
        <v>49</v>
      </c>
      <c r="D753" t="s">
        <v>57</v>
      </c>
      <c r="E753" t="s">
        <v>27</v>
      </c>
      <c r="F753" t="s">
        <v>58</v>
      </c>
      <c r="G753" t="s">
        <v>59</v>
      </c>
      <c r="H753" t="s">
        <v>73</v>
      </c>
      <c r="I753" t="s">
        <v>517</v>
      </c>
      <c r="J753" t="s">
        <v>62</v>
      </c>
      <c r="K753" t="s">
        <v>63</v>
      </c>
      <c r="L753" t="s">
        <v>54</v>
      </c>
      <c r="M753" t="s">
        <v>86</v>
      </c>
      <c r="N753" t="s">
        <v>36</v>
      </c>
      <c r="O753">
        <v>60</v>
      </c>
      <c r="P753">
        <v>60</v>
      </c>
      <c r="Q753">
        <v>73.8</v>
      </c>
      <c r="R753">
        <v>1300</v>
      </c>
      <c r="S753">
        <v>1300</v>
      </c>
      <c r="T753">
        <v>0</v>
      </c>
      <c r="U753">
        <v>0</v>
      </c>
      <c r="V753">
        <v>1</v>
      </c>
      <c r="W753">
        <v>0</v>
      </c>
      <c r="X753">
        <v>0.85</v>
      </c>
    </row>
    <row r="754" spans="1:24" x14ac:dyDescent="0.3">
      <c r="A754" t="s">
        <v>1304</v>
      </c>
      <c r="B754" s="1">
        <v>45847</v>
      </c>
      <c r="C754" t="s">
        <v>101</v>
      </c>
      <c r="D754" t="s">
        <v>57</v>
      </c>
      <c r="E754" t="s">
        <v>68</v>
      </c>
      <c r="F754" t="s">
        <v>41</v>
      </c>
      <c r="G754" t="s">
        <v>42</v>
      </c>
      <c r="H754" t="s">
        <v>43</v>
      </c>
      <c r="I754" t="s">
        <v>1305</v>
      </c>
      <c r="J754" t="s">
        <v>62</v>
      </c>
      <c r="K754" t="s">
        <v>104</v>
      </c>
      <c r="L754" t="s">
        <v>34</v>
      </c>
      <c r="M754" t="s">
        <v>71</v>
      </c>
      <c r="N754" t="s">
        <v>36</v>
      </c>
      <c r="O754">
        <v>60</v>
      </c>
      <c r="P754">
        <v>60</v>
      </c>
      <c r="Q754">
        <v>70.2</v>
      </c>
      <c r="R754">
        <v>1350</v>
      </c>
      <c r="S754">
        <v>1350</v>
      </c>
      <c r="T754">
        <v>0</v>
      </c>
      <c r="U754">
        <v>0</v>
      </c>
      <c r="V754">
        <v>1</v>
      </c>
      <c r="W754">
        <v>0</v>
      </c>
      <c r="X754">
        <v>0.85</v>
      </c>
    </row>
    <row r="755" spans="1:24" x14ac:dyDescent="0.3">
      <c r="A755" t="s">
        <v>1306</v>
      </c>
      <c r="B755" s="1">
        <v>45901</v>
      </c>
      <c r="C755" t="s">
        <v>49</v>
      </c>
      <c r="D755" t="s">
        <v>39</v>
      </c>
      <c r="E755" t="s">
        <v>83</v>
      </c>
      <c r="F755" t="s">
        <v>41</v>
      </c>
      <c r="G755" t="s">
        <v>42</v>
      </c>
      <c r="H755" t="s">
        <v>89</v>
      </c>
      <c r="I755" t="s">
        <v>471</v>
      </c>
      <c r="J755" t="s">
        <v>32</v>
      </c>
      <c r="K755" t="s">
        <v>85</v>
      </c>
      <c r="L755" t="s">
        <v>64</v>
      </c>
      <c r="M755" t="s">
        <v>71</v>
      </c>
      <c r="N755" t="s">
        <v>36</v>
      </c>
      <c r="O755">
        <v>45</v>
      </c>
      <c r="P755">
        <v>45</v>
      </c>
      <c r="Q755">
        <v>51</v>
      </c>
      <c r="R755">
        <v>1000</v>
      </c>
      <c r="S755">
        <v>1000</v>
      </c>
      <c r="T755">
        <v>0</v>
      </c>
      <c r="U755">
        <v>0</v>
      </c>
      <c r="V755">
        <v>1</v>
      </c>
      <c r="W755">
        <v>0</v>
      </c>
      <c r="X755">
        <v>0.85</v>
      </c>
    </row>
    <row r="756" spans="1:24" x14ac:dyDescent="0.3">
      <c r="A756" t="s">
        <v>1307</v>
      </c>
      <c r="B756" s="1">
        <v>45860</v>
      </c>
      <c r="C756" t="s">
        <v>101</v>
      </c>
      <c r="D756" t="s">
        <v>26</v>
      </c>
      <c r="E756" t="s">
        <v>83</v>
      </c>
      <c r="F756" t="s">
        <v>41</v>
      </c>
      <c r="G756" t="s">
        <v>42</v>
      </c>
      <c r="H756" t="s">
        <v>125</v>
      </c>
      <c r="I756" t="s">
        <v>971</v>
      </c>
      <c r="J756" t="s">
        <v>32</v>
      </c>
      <c r="K756" t="s">
        <v>104</v>
      </c>
      <c r="L756" t="s">
        <v>34</v>
      </c>
      <c r="M756" t="s">
        <v>47</v>
      </c>
      <c r="N756" t="s">
        <v>36</v>
      </c>
      <c r="O756">
        <v>30</v>
      </c>
      <c r="P756">
        <v>30</v>
      </c>
      <c r="Q756">
        <v>32.700000000000003</v>
      </c>
      <c r="R756">
        <v>700</v>
      </c>
      <c r="S756">
        <v>700</v>
      </c>
      <c r="T756">
        <v>0</v>
      </c>
      <c r="U756">
        <v>0</v>
      </c>
      <c r="V756">
        <v>1</v>
      </c>
      <c r="W756">
        <v>0</v>
      </c>
      <c r="X756">
        <v>0.85</v>
      </c>
    </row>
    <row r="757" spans="1:24" x14ac:dyDescent="0.3">
      <c r="A757" t="s">
        <v>1308</v>
      </c>
      <c r="B757" s="1">
        <v>46021</v>
      </c>
      <c r="C757" t="s">
        <v>25</v>
      </c>
      <c r="D757" t="s">
        <v>26</v>
      </c>
      <c r="E757" t="s">
        <v>83</v>
      </c>
      <c r="F757" t="s">
        <v>58</v>
      </c>
      <c r="G757" t="s">
        <v>59</v>
      </c>
      <c r="H757" t="s">
        <v>117</v>
      </c>
      <c r="I757" t="s">
        <v>471</v>
      </c>
      <c r="J757" t="s">
        <v>137</v>
      </c>
      <c r="K757" t="s">
        <v>70</v>
      </c>
      <c r="L757" t="s">
        <v>64</v>
      </c>
      <c r="M757" t="s">
        <v>47</v>
      </c>
      <c r="N757" t="s">
        <v>36</v>
      </c>
      <c r="O757">
        <v>30</v>
      </c>
      <c r="P757">
        <v>30</v>
      </c>
      <c r="Q757">
        <v>38.799999999999997</v>
      </c>
      <c r="R757">
        <v>750</v>
      </c>
      <c r="S757">
        <v>750</v>
      </c>
      <c r="T757">
        <v>0</v>
      </c>
      <c r="U757">
        <v>0</v>
      </c>
      <c r="V757">
        <v>1</v>
      </c>
      <c r="W757">
        <v>0</v>
      </c>
      <c r="X757">
        <v>0.85</v>
      </c>
    </row>
    <row r="758" spans="1:24" x14ac:dyDescent="0.3">
      <c r="A758" t="s">
        <v>1309</v>
      </c>
      <c r="B758" s="1">
        <v>45884</v>
      </c>
      <c r="C758" t="s">
        <v>110</v>
      </c>
      <c r="D758" t="s">
        <v>82</v>
      </c>
      <c r="E758" t="s">
        <v>27</v>
      </c>
      <c r="F758" t="s">
        <v>58</v>
      </c>
      <c r="G758" t="s">
        <v>59</v>
      </c>
      <c r="H758" t="s">
        <v>296</v>
      </c>
      <c r="I758" t="s">
        <v>163</v>
      </c>
      <c r="J758" t="s">
        <v>53</v>
      </c>
      <c r="K758" t="s">
        <v>46</v>
      </c>
      <c r="L758" t="s">
        <v>78</v>
      </c>
      <c r="M758" t="s">
        <v>35</v>
      </c>
      <c r="N758" t="s">
        <v>95</v>
      </c>
      <c r="O758">
        <v>45</v>
      </c>
      <c r="P758">
        <v>0</v>
      </c>
      <c r="Q758">
        <v>58.7</v>
      </c>
      <c r="R758">
        <v>1250</v>
      </c>
      <c r="S758">
        <v>0</v>
      </c>
      <c r="T758">
        <v>1250</v>
      </c>
      <c r="U758">
        <v>1</v>
      </c>
      <c r="V758">
        <v>0</v>
      </c>
      <c r="W758">
        <v>0</v>
      </c>
      <c r="X758">
        <v>0.85</v>
      </c>
    </row>
    <row r="759" spans="1:24" x14ac:dyDescent="0.3">
      <c r="A759" t="s">
        <v>1310</v>
      </c>
      <c r="B759" s="1">
        <v>45840</v>
      </c>
      <c r="C759" t="s">
        <v>101</v>
      </c>
      <c r="D759" t="s">
        <v>57</v>
      </c>
      <c r="E759" t="s">
        <v>68</v>
      </c>
      <c r="F759" t="s">
        <v>41</v>
      </c>
      <c r="G759" t="s">
        <v>42</v>
      </c>
      <c r="H759" t="s">
        <v>111</v>
      </c>
      <c r="I759" t="s">
        <v>1311</v>
      </c>
      <c r="J759" t="s">
        <v>45</v>
      </c>
      <c r="K759" t="s">
        <v>70</v>
      </c>
      <c r="L759" t="s">
        <v>34</v>
      </c>
      <c r="M759" t="s">
        <v>86</v>
      </c>
      <c r="N759" t="s">
        <v>36</v>
      </c>
      <c r="O759">
        <v>90</v>
      </c>
      <c r="P759">
        <v>90</v>
      </c>
      <c r="Q759">
        <v>119.9</v>
      </c>
      <c r="R759">
        <v>2350</v>
      </c>
      <c r="S759">
        <v>2350</v>
      </c>
      <c r="T759">
        <v>0</v>
      </c>
      <c r="U759">
        <v>0</v>
      </c>
      <c r="V759">
        <v>1</v>
      </c>
      <c r="W759">
        <v>0</v>
      </c>
      <c r="X759">
        <v>0.85</v>
      </c>
    </row>
    <row r="760" spans="1:24" x14ac:dyDescent="0.3">
      <c r="A760" t="s">
        <v>1312</v>
      </c>
      <c r="B760" s="1">
        <v>45953</v>
      </c>
      <c r="C760" t="s">
        <v>97</v>
      </c>
      <c r="D760" t="s">
        <v>50</v>
      </c>
      <c r="E760" t="s">
        <v>40</v>
      </c>
      <c r="F760" t="s">
        <v>41</v>
      </c>
      <c r="G760" t="s">
        <v>42</v>
      </c>
      <c r="H760" t="s">
        <v>51</v>
      </c>
      <c r="I760" t="s">
        <v>1175</v>
      </c>
      <c r="J760" t="s">
        <v>32</v>
      </c>
      <c r="K760" t="s">
        <v>70</v>
      </c>
      <c r="L760" t="s">
        <v>78</v>
      </c>
      <c r="M760" t="s">
        <v>65</v>
      </c>
      <c r="N760" t="s">
        <v>36</v>
      </c>
      <c r="O760">
        <v>60</v>
      </c>
      <c r="P760">
        <v>60</v>
      </c>
      <c r="Q760">
        <v>80.5</v>
      </c>
      <c r="R760">
        <v>1250</v>
      </c>
      <c r="S760">
        <v>1250</v>
      </c>
      <c r="T760">
        <v>0</v>
      </c>
      <c r="U760">
        <v>0</v>
      </c>
      <c r="V760">
        <v>1</v>
      </c>
      <c r="W760">
        <v>0</v>
      </c>
      <c r="X760">
        <v>0.85</v>
      </c>
    </row>
    <row r="761" spans="1:24" x14ac:dyDescent="0.3">
      <c r="A761" t="s">
        <v>1313</v>
      </c>
      <c r="B761" s="1">
        <v>45950</v>
      </c>
      <c r="C761" t="s">
        <v>97</v>
      </c>
      <c r="D761" t="s">
        <v>39</v>
      </c>
      <c r="E761" t="s">
        <v>40</v>
      </c>
      <c r="F761" t="s">
        <v>41</v>
      </c>
      <c r="G761" t="s">
        <v>42</v>
      </c>
      <c r="H761" t="s">
        <v>125</v>
      </c>
      <c r="I761" t="s">
        <v>192</v>
      </c>
      <c r="J761" t="s">
        <v>45</v>
      </c>
      <c r="K761" t="s">
        <v>33</v>
      </c>
      <c r="L761" t="s">
        <v>64</v>
      </c>
      <c r="M761" t="s">
        <v>71</v>
      </c>
      <c r="N761" t="s">
        <v>36</v>
      </c>
      <c r="O761">
        <v>45</v>
      </c>
      <c r="P761">
        <v>45</v>
      </c>
      <c r="Q761">
        <v>53.1</v>
      </c>
      <c r="R761">
        <v>1150</v>
      </c>
      <c r="S761">
        <v>1150</v>
      </c>
      <c r="T761">
        <v>0</v>
      </c>
      <c r="U761">
        <v>0</v>
      </c>
      <c r="V761">
        <v>1</v>
      </c>
      <c r="W761">
        <v>0</v>
      </c>
      <c r="X761">
        <v>0.85</v>
      </c>
    </row>
    <row r="762" spans="1:24" x14ac:dyDescent="0.3">
      <c r="A762" t="s">
        <v>1314</v>
      </c>
      <c r="B762" s="1">
        <v>45761</v>
      </c>
      <c r="C762" t="s">
        <v>92</v>
      </c>
      <c r="D762" t="s">
        <v>39</v>
      </c>
      <c r="E762" t="s">
        <v>83</v>
      </c>
      <c r="F762" t="s">
        <v>28</v>
      </c>
      <c r="G762" t="s">
        <v>29</v>
      </c>
      <c r="H762" t="s">
        <v>210</v>
      </c>
      <c r="I762" t="s">
        <v>507</v>
      </c>
      <c r="J762" t="s">
        <v>45</v>
      </c>
      <c r="K762" t="s">
        <v>63</v>
      </c>
      <c r="L762" t="s">
        <v>34</v>
      </c>
      <c r="M762" t="s">
        <v>65</v>
      </c>
      <c r="N762" t="s">
        <v>36</v>
      </c>
      <c r="O762">
        <v>75</v>
      </c>
      <c r="P762">
        <v>75</v>
      </c>
      <c r="Q762">
        <v>86</v>
      </c>
      <c r="R762">
        <v>1800</v>
      </c>
      <c r="S762">
        <v>1800</v>
      </c>
      <c r="T762">
        <v>0</v>
      </c>
      <c r="U762">
        <v>0</v>
      </c>
      <c r="V762">
        <v>1</v>
      </c>
      <c r="W762">
        <v>0</v>
      </c>
      <c r="X762">
        <v>0.85</v>
      </c>
    </row>
    <row r="763" spans="1:24" x14ac:dyDescent="0.3">
      <c r="A763" t="s">
        <v>1315</v>
      </c>
      <c r="B763" s="1">
        <v>45675</v>
      </c>
      <c r="C763" t="s">
        <v>130</v>
      </c>
      <c r="D763" t="s">
        <v>88</v>
      </c>
      <c r="E763" t="s">
        <v>68</v>
      </c>
      <c r="F763" t="s">
        <v>41</v>
      </c>
      <c r="G763" t="s">
        <v>42</v>
      </c>
      <c r="H763" t="s">
        <v>89</v>
      </c>
      <c r="I763" t="s">
        <v>1316</v>
      </c>
      <c r="J763" t="s">
        <v>62</v>
      </c>
      <c r="K763" t="s">
        <v>104</v>
      </c>
      <c r="L763" t="s">
        <v>34</v>
      </c>
      <c r="M763" t="s">
        <v>47</v>
      </c>
      <c r="N763" t="s">
        <v>36</v>
      </c>
      <c r="O763">
        <v>45</v>
      </c>
      <c r="P763">
        <v>45</v>
      </c>
      <c r="Q763">
        <v>56.6</v>
      </c>
      <c r="R763">
        <v>1000</v>
      </c>
      <c r="S763">
        <v>1000</v>
      </c>
      <c r="T763">
        <v>0</v>
      </c>
      <c r="U763">
        <v>0</v>
      </c>
      <c r="V763">
        <v>1</v>
      </c>
      <c r="W763">
        <v>0</v>
      </c>
      <c r="X763">
        <v>0.85</v>
      </c>
    </row>
    <row r="764" spans="1:24" x14ac:dyDescent="0.3">
      <c r="A764" t="s">
        <v>1317</v>
      </c>
      <c r="B764" s="1">
        <v>45678</v>
      </c>
      <c r="C764" t="s">
        <v>130</v>
      </c>
      <c r="D764" t="s">
        <v>26</v>
      </c>
      <c r="E764" t="s">
        <v>40</v>
      </c>
      <c r="F764" t="s">
        <v>28</v>
      </c>
      <c r="G764" t="s">
        <v>29</v>
      </c>
      <c r="H764" t="s">
        <v>30</v>
      </c>
      <c r="I764" t="s">
        <v>163</v>
      </c>
      <c r="J764" t="s">
        <v>45</v>
      </c>
      <c r="K764" t="s">
        <v>85</v>
      </c>
      <c r="L764" t="s">
        <v>34</v>
      </c>
      <c r="M764" t="s">
        <v>65</v>
      </c>
      <c r="N764" t="s">
        <v>36</v>
      </c>
      <c r="O764">
        <v>60</v>
      </c>
      <c r="P764">
        <v>60</v>
      </c>
      <c r="Q764">
        <v>75.8</v>
      </c>
      <c r="R764">
        <v>1450</v>
      </c>
      <c r="S764">
        <v>1450</v>
      </c>
      <c r="T764">
        <v>0</v>
      </c>
      <c r="U764">
        <v>0</v>
      </c>
      <c r="V764">
        <v>1</v>
      </c>
      <c r="W764">
        <v>0</v>
      </c>
      <c r="X764">
        <v>0.85</v>
      </c>
    </row>
    <row r="765" spans="1:24" x14ac:dyDescent="0.3">
      <c r="A765" t="s">
        <v>1318</v>
      </c>
      <c r="B765" s="1">
        <v>45896</v>
      </c>
      <c r="C765" t="s">
        <v>110</v>
      </c>
      <c r="D765" t="s">
        <v>57</v>
      </c>
      <c r="E765" t="s">
        <v>40</v>
      </c>
      <c r="F765" t="s">
        <v>28</v>
      </c>
      <c r="G765" t="s">
        <v>29</v>
      </c>
      <c r="H765" t="s">
        <v>120</v>
      </c>
      <c r="I765" t="s">
        <v>1319</v>
      </c>
      <c r="J765" t="s">
        <v>62</v>
      </c>
      <c r="K765" t="s">
        <v>33</v>
      </c>
      <c r="L765" t="s">
        <v>34</v>
      </c>
      <c r="M765" t="s">
        <v>35</v>
      </c>
      <c r="N765" t="s">
        <v>95</v>
      </c>
      <c r="O765">
        <v>45</v>
      </c>
      <c r="P765">
        <v>0</v>
      </c>
      <c r="Q765">
        <v>56.7</v>
      </c>
      <c r="R765">
        <v>950</v>
      </c>
      <c r="S765">
        <v>0</v>
      </c>
      <c r="T765">
        <v>950</v>
      </c>
      <c r="U765">
        <v>1</v>
      </c>
      <c r="V765">
        <v>0</v>
      </c>
      <c r="W765">
        <v>0</v>
      </c>
      <c r="X765">
        <v>0.85</v>
      </c>
    </row>
    <row r="766" spans="1:24" x14ac:dyDescent="0.3">
      <c r="A766" t="s">
        <v>1320</v>
      </c>
      <c r="B766" s="1">
        <v>45924</v>
      </c>
      <c r="C766" t="s">
        <v>49</v>
      </c>
      <c r="D766" t="s">
        <v>57</v>
      </c>
      <c r="E766" t="s">
        <v>27</v>
      </c>
      <c r="F766" t="s">
        <v>58</v>
      </c>
      <c r="G766" t="s">
        <v>59</v>
      </c>
      <c r="H766" t="s">
        <v>60</v>
      </c>
      <c r="I766" t="s">
        <v>90</v>
      </c>
      <c r="J766" t="s">
        <v>62</v>
      </c>
      <c r="K766" t="s">
        <v>70</v>
      </c>
      <c r="L766" t="s">
        <v>54</v>
      </c>
      <c r="M766" t="s">
        <v>94</v>
      </c>
      <c r="N766" t="s">
        <v>36</v>
      </c>
      <c r="O766">
        <v>60</v>
      </c>
      <c r="P766">
        <v>60</v>
      </c>
      <c r="Q766">
        <v>71.2</v>
      </c>
      <c r="R766">
        <v>1300</v>
      </c>
      <c r="S766">
        <v>1300</v>
      </c>
      <c r="T766">
        <v>0</v>
      </c>
      <c r="U766">
        <v>0</v>
      </c>
      <c r="V766">
        <v>1</v>
      </c>
      <c r="W766">
        <v>0</v>
      </c>
      <c r="X766">
        <v>0.85</v>
      </c>
    </row>
    <row r="767" spans="1:24" x14ac:dyDescent="0.3">
      <c r="A767" t="s">
        <v>1321</v>
      </c>
      <c r="B767" s="1">
        <v>45670</v>
      </c>
      <c r="C767" t="s">
        <v>130</v>
      </c>
      <c r="D767" t="s">
        <v>39</v>
      </c>
      <c r="E767" t="s">
        <v>83</v>
      </c>
      <c r="F767" t="s">
        <v>28</v>
      </c>
      <c r="G767" t="s">
        <v>29</v>
      </c>
      <c r="H767" t="s">
        <v>135</v>
      </c>
      <c r="I767" t="s">
        <v>1322</v>
      </c>
      <c r="J767" t="s">
        <v>45</v>
      </c>
      <c r="K767" t="s">
        <v>104</v>
      </c>
      <c r="L767" t="s">
        <v>64</v>
      </c>
      <c r="M767" t="s">
        <v>47</v>
      </c>
      <c r="N767" t="s">
        <v>95</v>
      </c>
      <c r="O767">
        <v>45</v>
      </c>
      <c r="P767">
        <v>0</v>
      </c>
      <c r="Q767">
        <v>53.3</v>
      </c>
      <c r="R767">
        <v>1100</v>
      </c>
      <c r="S767">
        <v>0</v>
      </c>
      <c r="T767">
        <v>1100</v>
      </c>
      <c r="U767">
        <v>1</v>
      </c>
      <c r="V767">
        <v>0</v>
      </c>
      <c r="W767">
        <v>0</v>
      </c>
      <c r="X767">
        <v>0.85</v>
      </c>
    </row>
    <row r="768" spans="1:24" x14ac:dyDescent="0.3">
      <c r="A768" t="s">
        <v>1323</v>
      </c>
      <c r="B768" s="1">
        <v>45691</v>
      </c>
      <c r="C768" t="s">
        <v>76</v>
      </c>
      <c r="D768" t="s">
        <v>39</v>
      </c>
      <c r="E768" t="s">
        <v>40</v>
      </c>
      <c r="F768" t="s">
        <v>28</v>
      </c>
      <c r="G768" t="s">
        <v>29</v>
      </c>
      <c r="H768" t="s">
        <v>30</v>
      </c>
      <c r="I768" t="s">
        <v>707</v>
      </c>
      <c r="J768" t="s">
        <v>53</v>
      </c>
      <c r="K768" t="s">
        <v>85</v>
      </c>
      <c r="L768" t="s">
        <v>64</v>
      </c>
      <c r="M768" t="s">
        <v>47</v>
      </c>
      <c r="N768" t="s">
        <v>36</v>
      </c>
      <c r="O768">
        <v>75</v>
      </c>
      <c r="P768">
        <v>75</v>
      </c>
      <c r="Q768">
        <v>99.3</v>
      </c>
      <c r="R768">
        <v>1900</v>
      </c>
      <c r="S768">
        <v>1900</v>
      </c>
      <c r="T768">
        <v>0</v>
      </c>
      <c r="U768">
        <v>0</v>
      </c>
      <c r="V768">
        <v>1</v>
      </c>
      <c r="W768">
        <v>0</v>
      </c>
      <c r="X768">
        <v>0.85</v>
      </c>
    </row>
    <row r="769" spans="1:24" x14ac:dyDescent="0.3">
      <c r="A769" t="s">
        <v>1324</v>
      </c>
      <c r="B769" s="1">
        <v>45933</v>
      </c>
      <c r="C769" t="s">
        <v>97</v>
      </c>
      <c r="D769" t="s">
        <v>82</v>
      </c>
      <c r="E769" t="s">
        <v>83</v>
      </c>
      <c r="F769" t="s">
        <v>58</v>
      </c>
      <c r="G769" t="s">
        <v>59</v>
      </c>
      <c r="H769" t="s">
        <v>73</v>
      </c>
      <c r="I769" t="s">
        <v>1194</v>
      </c>
      <c r="J769" t="s">
        <v>62</v>
      </c>
      <c r="K769" t="s">
        <v>85</v>
      </c>
      <c r="L769" t="s">
        <v>64</v>
      </c>
      <c r="M769" t="s">
        <v>94</v>
      </c>
      <c r="N769" t="s">
        <v>36</v>
      </c>
      <c r="O769">
        <v>90</v>
      </c>
      <c r="P769">
        <v>90</v>
      </c>
      <c r="Q769">
        <v>113.2</v>
      </c>
      <c r="R769">
        <v>2250</v>
      </c>
      <c r="S769">
        <v>2250</v>
      </c>
      <c r="T769">
        <v>0</v>
      </c>
      <c r="U769">
        <v>0</v>
      </c>
      <c r="V769">
        <v>1</v>
      </c>
      <c r="W769">
        <v>0</v>
      </c>
      <c r="X769">
        <v>0.85</v>
      </c>
    </row>
    <row r="770" spans="1:24" x14ac:dyDescent="0.3">
      <c r="A770" t="s">
        <v>1325</v>
      </c>
      <c r="B770" s="1">
        <v>45978</v>
      </c>
      <c r="C770" t="s">
        <v>38</v>
      </c>
      <c r="D770" t="s">
        <v>39</v>
      </c>
      <c r="E770" t="s">
        <v>83</v>
      </c>
      <c r="F770" t="s">
        <v>41</v>
      </c>
      <c r="G770" t="s">
        <v>42</v>
      </c>
      <c r="H770" t="s">
        <v>125</v>
      </c>
      <c r="I770" t="s">
        <v>112</v>
      </c>
      <c r="J770" t="s">
        <v>62</v>
      </c>
      <c r="K770" t="s">
        <v>33</v>
      </c>
      <c r="L770" t="s">
        <v>34</v>
      </c>
      <c r="M770" t="s">
        <v>71</v>
      </c>
      <c r="N770" t="s">
        <v>36</v>
      </c>
      <c r="O770">
        <v>60</v>
      </c>
      <c r="P770">
        <v>60</v>
      </c>
      <c r="Q770">
        <v>68.3</v>
      </c>
      <c r="R770">
        <v>1350</v>
      </c>
      <c r="S770">
        <v>1350</v>
      </c>
      <c r="T770">
        <v>0</v>
      </c>
      <c r="U770">
        <v>0</v>
      </c>
      <c r="V770">
        <v>1</v>
      </c>
      <c r="W770">
        <v>0</v>
      </c>
      <c r="X770">
        <v>0.85</v>
      </c>
    </row>
    <row r="771" spans="1:24" x14ac:dyDescent="0.3">
      <c r="A771" t="s">
        <v>1326</v>
      </c>
      <c r="B771" s="1">
        <v>45918</v>
      </c>
      <c r="C771" t="s">
        <v>49</v>
      </c>
      <c r="D771" t="s">
        <v>50</v>
      </c>
      <c r="E771" t="s">
        <v>83</v>
      </c>
      <c r="F771" t="s">
        <v>41</v>
      </c>
      <c r="G771" t="s">
        <v>42</v>
      </c>
      <c r="H771" t="s">
        <v>111</v>
      </c>
      <c r="I771" t="s">
        <v>1327</v>
      </c>
      <c r="J771" t="s">
        <v>62</v>
      </c>
      <c r="K771" t="s">
        <v>33</v>
      </c>
      <c r="L771" t="s">
        <v>64</v>
      </c>
      <c r="M771" t="s">
        <v>65</v>
      </c>
      <c r="N771" t="s">
        <v>153</v>
      </c>
      <c r="O771">
        <v>90</v>
      </c>
      <c r="P771">
        <v>0</v>
      </c>
      <c r="Q771">
        <v>109.4</v>
      </c>
      <c r="R771">
        <v>2000</v>
      </c>
      <c r="S771">
        <v>0</v>
      </c>
      <c r="T771">
        <v>0</v>
      </c>
      <c r="U771">
        <v>0</v>
      </c>
      <c r="V771">
        <v>0</v>
      </c>
      <c r="W771">
        <v>0</v>
      </c>
      <c r="X771">
        <v>0.85</v>
      </c>
    </row>
    <row r="772" spans="1:24" x14ac:dyDescent="0.3">
      <c r="A772" t="s">
        <v>1328</v>
      </c>
      <c r="B772" s="1">
        <v>45831</v>
      </c>
      <c r="C772" t="s">
        <v>67</v>
      </c>
      <c r="D772" t="s">
        <v>39</v>
      </c>
      <c r="E772" t="s">
        <v>68</v>
      </c>
      <c r="F772" t="s">
        <v>41</v>
      </c>
      <c r="G772" t="s">
        <v>42</v>
      </c>
      <c r="H772" t="s">
        <v>111</v>
      </c>
      <c r="I772" t="s">
        <v>1329</v>
      </c>
      <c r="J772" t="s">
        <v>53</v>
      </c>
      <c r="K772" t="s">
        <v>46</v>
      </c>
      <c r="L772" t="s">
        <v>64</v>
      </c>
      <c r="M772" t="s">
        <v>86</v>
      </c>
      <c r="N772" t="s">
        <v>36</v>
      </c>
      <c r="O772">
        <v>45</v>
      </c>
      <c r="P772">
        <v>45</v>
      </c>
      <c r="Q772">
        <v>58</v>
      </c>
      <c r="R772">
        <v>1200</v>
      </c>
      <c r="S772">
        <v>1200</v>
      </c>
      <c r="T772">
        <v>0</v>
      </c>
      <c r="U772">
        <v>0</v>
      </c>
      <c r="V772">
        <v>1</v>
      </c>
      <c r="W772">
        <v>0</v>
      </c>
      <c r="X772">
        <v>0.85</v>
      </c>
    </row>
    <row r="773" spans="1:24" x14ac:dyDescent="0.3">
      <c r="A773" t="s">
        <v>1330</v>
      </c>
      <c r="B773" s="1">
        <v>45775</v>
      </c>
      <c r="C773" t="s">
        <v>92</v>
      </c>
      <c r="D773" t="s">
        <v>39</v>
      </c>
      <c r="E773" t="s">
        <v>40</v>
      </c>
      <c r="F773" t="s">
        <v>41</v>
      </c>
      <c r="G773" t="s">
        <v>42</v>
      </c>
      <c r="H773" t="s">
        <v>51</v>
      </c>
      <c r="I773" t="s">
        <v>468</v>
      </c>
      <c r="J773" t="s">
        <v>62</v>
      </c>
      <c r="K773" t="s">
        <v>70</v>
      </c>
      <c r="L773" t="s">
        <v>34</v>
      </c>
      <c r="M773" t="s">
        <v>65</v>
      </c>
      <c r="N773" t="s">
        <v>36</v>
      </c>
      <c r="O773">
        <v>30</v>
      </c>
      <c r="P773">
        <v>30</v>
      </c>
      <c r="Q773">
        <v>39</v>
      </c>
      <c r="R773">
        <v>700</v>
      </c>
      <c r="S773">
        <v>700</v>
      </c>
      <c r="T773">
        <v>0</v>
      </c>
      <c r="U773">
        <v>0</v>
      </c>
      <c r="V773">
        <v>1</v>
      </c>
      <c r="W773">
        <v>0</v>
      </c>
      <c r="X773">
        <v>0.85</v>
      </c>
    </row>
    <row r="774" spans="1:24" x14ac:dyDescent="0.3">
      <c r="A774" t="s">
        <v>1331</v>
      </c>
      <c r="B774" s="1">
        <v>45962</v>
      </c>
      <c r="C774" t="s">
        <v>38</v>
      </c>
      <c r="D774" t="s">
        <v>88</v>
      </c>
      <c r="E774" t="s">
        <v>40</v>
      </c>
      <c r="F774" t="s">
        <v>41</v>
      </c>
      <c r="G774" t="s">
        <v>42</v>
      </c>
      <c r="H774" t="s">
        <v>125</v>
      </c>
      <c r="I774" t="s">
        <v>1332</v>
      </c>
      <c r="J774" t="s">
        <v>45</v>
      </c>
      <c r="K774" t="s">
        <v>33</v>
      </c>
      <c r="L774" t="s">
        <v>64</v>
      </c>
      <c r="M774" t="s">
        <v>94</v>
      </c>
      <c r="N774" t="s">
        <v>95</v>
      </c>
      <c r="O774">
        <v>60</v>
      </c>
      <c r="P774">
        <v>0</v>
      </c>
      <c r="Q774">
        <v>73</v>
      </c>
      <c r="R774">
        <v>1550</v>
      </c>
      <c r="S774">
        <v>0</v>
      </c>
      <c r="T774">
        <v>1550</v>
      </c>
      <c r="U774">
        <v>1</v>
      </c>
      <c r="V774">
        <v>0</v>
      </c>
      <c r="W774">
        <v>0</v>
      </c>
      <c r="X774">
        <v>0.85</v>
      </c>
    </row>
    <row r="775" spans="1:24" x14ac:dyDescent="0.3">
      <c r="A775" t="s">
        <v>1333</v>
      </c>
      <c r="B775" s="1">
        <v>45994</v>
      </c>
      <c r="C775" t="s">
        <v>25</v>
      </c>
      <c r="D775" t="s">
        <v>57</v>
      </c>
      <c r="E775" t="s">
        <v>40</v>
      </c>
      <c r="F775" t="s">
        <v>58</v>
      </c>
      <c r="G775" t="s">
        <v>59</v>
      </c>
      <c r="H775" t="s">
        <v>151</v>
      </c>
      <c r="I775" t="s">
        <v>198</v>
      </c>
      <c r="J775" t="s">
        <v>62</v>
      </c>
      <c r="K775" t="s">
        <v>63</v>
      </c>
      <c r="L775" t="s">
        <v>34</v>
      </c>
      <c r="M775" t="s">
        <v>86</v>
      </c>
      <c r="N775" t="s">
        <v>36</v>
      </c>
      <c r="O775">
        <v>45</v>
      </c>
      <c r="P775">
        <v>45</v>
      </c>
      <c r="Q775">
        <v>57</v>
      </c>
      <c r="R775">
        <v>1100</v>
      </c>
      <c r="S775">
        <v>1100</v>
      </c>
      <c r="T775">
        <v>0</v>
      </c>
      <c r="U775">
        <v>0</v>
      </c>
      <c r="V775">
        <v>1</v>
      </c>
      <c r="W775">
        <v>0</v>
      </c>
      <c r="X775">
        <v>0.85</v>
      </c>
    </row>
    <row r="776" spans="1:24" x14ac:dyDescent="0.3">
      <c r="A776" t="s">
        <v>1334</v>
      </c>
      <c r="B776" s="1">
        <v>45979</v>
      </c>
      <c r="C776" t="s">
        <v>38</v>
      </c>
      <c r="D776" t="s">
        <v>26</v>
      </c>
      <c r="E776" t="s">
        <v>68</v>
      </c>
      <c r="F776" t="s">
        <v>41</v>
      </c>
      <c r="G776" t="s">
        <v>42</v>
      </c>
      <c r="H776" t="s">
        <v>43</v>
      </c>
      <c r="I776" t="s">
        <v>526</v>
      </c>
      <c r="J776" t="s">
        <v>53</v>
      </c>
      <c r="K776" t="s">
        <v>46</v>
      </c>
      <c r="L776" t="s">
        <v>64</v>
      </c>
      <c r="M776" t="s">
        <v>65</v>
      </c>
      <c r="N776" t="s">
        <v>36</v>
      </c>
      <c r="O776">
        <v>60</v>
      </c>
      <c r="P776">
        <v>60</v>
      </c>
      <c r="Q776">
        <v>72.5</v>
      </c>
      <c r="R776">
        <v>1600</v>
      </c>
      <c r="S776">
        <v>1600</v>
      </c>
      <c r="T776">
        <v>0</v>
      </c>
      <c r="U776">
        <v>0</v>
      </c>
      <c r="V776">
        <v>1</v>
      </c>
      <c r="W776">
        <v>0</v>
      </c>
      <c r="X776">
        <v>0.85</v>
      </c>
    </row>
    <row r="777" spans="1:24" x14ac:dyDescent="0.3">
      <c r="A777" t="s">
        <v>1335</v>
      </c>
      <c r="B777" s="1">
        <v>45905</v>
      </c>
      <c r="C777" t="s">
        <v>49</v>
      </c>
      <c r="D777" t="s">
        <v>82</v>
      </c>
      <c r="E777" t="s">
        <v>83</v>
      </c>
      <c r="F777" t="s">
        <v>58</v>
      </c>
      <c r="G777" t="s">
        <v>59</v>
      </c>
      <c r="H777" t="s">
        <v>117</v>
      </c>
      <c r="I777" t="s">
        <v>1006</v>
      </c>
      <c r="J777" t="s">
        <v>62</v>
      </c>
      <c r="K777" t="s">
        <v>33</v>
      </c>
      <c r="L777" t="s">
        <v>34</v>
      </c>
      <c r="M777" t="s">
        <v>47</v>
      </c>
      <c r="N777" t="s">
        <v>36</v>
      </c>
      <c r="O777">
        <v>30</v>
      </c>
      <c r="P777">
        <v>30</v>
      </c>
      <c r="Q777">
        <v>38.1</v>
      </c>
      <c r="R777">
        <v>750</v>
      </c>
      <c r="S777">
        <v>750</v>
      </c>
      <c r="T777">
        <v>0</v>
      </c>
      <c r="U777">
        <v>0</v>
      </c>
      <c r="V777">
        <v>1</v>
      </c>
      <c r="W777">
        <v>0</v>
      </c>
      <c r="X777">
        <v>0.85</v>
      </c>
    </row>
    <row r="778" spans="1:24" x14ac:dyDescent="0.3">
      <c r="A778" t="s">
        <v>1336</v>
      </c>
      <c r="B778" s="1">
        <v>45805</v>
      </c>
      <c r="C778" t="s">
        <v>128</v>
      </c>
      <c r="D778" t="s">
        <v>57</v>
      </c>
      <c r="E778" t="s">
        <v>83</v>
      </c>
      <c r="F778" t="s">
        <v>58</v>
      </c>
      <c r="G778" t="s">
        <v>59</v>
      </c>
      <c r="H778" t="s">
        <v>117</v>
      </c>
      <c r="I778" t="s">
        <v>1283</v>
      </c>
      <c r="J778" t="s">
        <v>99</v>
      </c>
      <c r="K778" t="s">
        <v>63</v>
      </c>
      <c r="L778" t="s">
        <v>64</v>
      </c>
      <c r="M778" t="s">
        <v>47</v>
      </c>
      <c r="N778" t="s">
        <v>36</v>
      </c>
      <c r="O778">
        <v>60</v>
      </c>
      <c r="P778">
        <v>60</v>
      </c>
      <c r="Q778">
        <v>74.3</v>
      </c>
      <c r="R778">
        <v>1500</v>
      </c>
      <c r="S778">
        <v>1500</v>
      </c>
      <c r="T778">
        <v>0</v>
      </c>
      <c r="U778">
        <v>0</v>
      </c>
      <c r="V778">
        <v>1</v>
      </c>
      <c r="W778">
        <v>0</v>
      </c>
      <c r="X778">
        <v>0.85</v>
      </c>
    </row>
    <row r="779" spans="1:24" x14ac:dyDescent="0.3">
      <c r="A779" t="s">
        <v>1337</v>
      </c>
      <c r="B779" s="1">
        <v>45948</v>
      </c>
      <c r="C779" t="s">
        <v>97</v>
      </c>
      <c r="D779" t="s">
        <v>88</v>
      </c>
      <c r="E779" t="s">
        <v>83</v>
      </c>
      <c r="F779" t="s">
        <v>41</v>
      </c>
      <c r="G779" t="s">
        <v>42</v>
      </c>
      <c r="H779" t="s">
        <v>125</v>
      </c>
      <c r="I779" t="s">
        <v>984</v>
      </c>
      <c r="J779" t="s">
        <v>32</v>
      </c>
      <c r="K779" t="s">
        <v>104</v>
      </c>
      <c r="L779" t="s">
        <v>34</v>
      </c>
      <c r="M779" t="s">
        <v>47</v>
      </c>
      <c r="N779" t="s">
        <v>36</v>
      </c>
      <c r="O779">
        <v>60</v>
      </c>
      <c r="P779">
        <v>60</v>
      </c>
      <c r="Q779">
        <v>75.5</v>
      </c>
      <c r="R779">
        <v>1350</v>
      </c>
      <c r="S779">
        <v>1350</v>
      </c>
      <c r="T779">
        <v>0</v>
      </c>
      <c r="U779">
        <v>0</v>
      </c>
      <c r="V779">
        <v>1</v>
      </c>
      <c r="W779">
        <v>0</v>
      </c>
      <c r="X779">
        <v>0.85</v>
      </c>
    </row>
    <row r="780" spans="1:24" x14ac:dyDescent="0.3">
      <c r="A780" t="s">
        <v>1338</v>
      </c>
      <c r="B780" s="1">
        <v>45726</v>
      </c>
      <c r="C780" t="s">
        <v>56</v>
      </c>
      <c r="D780" t="s">
        <v>39</v>
      </c>
      <c r="E780" t="s">
        <v>83</v>
      </c>
      <c r="F780" t="s">
        <v>28</v>
      </c>
      <c r="G780" t="s">
        <v>29</v>
      </c>
      <c r="H780" t="s">
        <v>135</v>
      </c>
      <c r="I780" t="s">
        <v>172</v>
      </c>
      <c r="J780" t="s">
        <v>45</v>
      </c>
      <c r="K780" t="s">
        <v>63</v>
      </c>
      <c r="L780" t="s">
        <v>54</v>
      </c>
      <c r="M780" t="s">
        <v>47</v>
      </c>
      <c r="N780" t="s">
        <v>36</v>
      </c>
      <c r="O780">
        <v>45</v>
      </c>
      <c r="P780">
        <v>45</v>
      </c>
      <c r="Q780">
        <v>60.7</v>
      </c>
      <c r="R780">
        <v>900</v>
      </c>
      <c r="S780">
        <v>900</v>
      </c>
      <c r="T780">
        <v>0</v>
      </c>
      <c r="U780">
        <v>0</v>
      </c>
      <c r="V780">
        <v>1</v>
      </c>
      <c r="W780">
        <v>0</v>
      </c>
      <c r="X780">
        <v>0.85</v>
      </c>
    </row>
    <row r="781" spans="1:24" x14ac:dyDescent="0.3">
      <c r="A781" t="s">
        <v>1339</v>
      </c>
      <c r="B781" s="1">
        <v>45723</v>
      </c>
      <c r="C781" t="s">
        <v>56</v>
      </c>
      <c r="D781" t="s">
        <v>82</v>
      </c>
      <c r="E781" t="s">
        <v>83</v>
      </c>
      <c r="F781" t="s">
        <v>28</v>
      </c>
      <c r="G781" t="s">
        <v>29</v>
      </c>
      <c r="H781" t="s">
        <v>135</v>
      </c>
      <c r="I781" t="s">
        <v>468</v>
      </c>
      <c r="J781" t="s">
        <v>32</v>
      </c>
      <c r="K781" t="s">
        <v>46</v>
      </c>
      <c r="L781" t="s">
        <v>64</v>
      </c>
      <c r="M781" t="s">
        <v>71</v>
      </c>
      <c r="N781" t="s">
        <v>36</v>
      </c>
      <c r="O781">
        <v>45</v>
      </c>
      <c r="P781">
        <v>45</v>
      </c>
      <c r="Q781">
        <v>49.6</v>
      </c>
      <c r="R781">
        <v>950</v>
      </c>
      <c r="S781">
        <v>950</v>
      </c>
      <c r="T781">
        <v>0</v>
      </c>
      <c r="U781">
        <v>0</v>
      </c>
      <c r="V781">
        <v>1</v>
      </c>
      <c r="W781">
        <v>0</v>
      </c>
      <c r="X781">
        <v>0.85</v>
      </c>
    </row>
    <row r="782" spans="1:24" x14ac:dyDescent="0.3">
      <c r="A782" t="s">
        <v>1340</v>
      </c>
      <c r="B782" s="1">
        <v>45817</v>
      </c>
      <c r="C782" t="s">
        <v>67</v>
      </c>
      <c r="D782" t="s">
        <v>39</v>
      </c>
      <c r="E782" t="s">
        <v>83</v>
      </c>
      <c r="F782" t="s">
        <v>58</v>
      </c>
      <c r="G782" t="s">
        <v>59</v>
      </c>
      <c r="H782" t="s">
        <v>60</v>
      </c>
      <c r="I782" t="s">
        <v>1341</v>
      </c>
      <c r="J782" t="s">
        <v>32</v>
      </c>
      <c r="K782" t="s">
        <v>63</v>
      </c>
      <c r="L782" t="s">
        <v>34</v>
      </c>
      <c r="M782" t="s">
        <v>71</v>
      </c>
      <c r="N782" t="s">
        <v>113</v>
      </c>
      <c r="O782">
        <v>45</v>
      </c>
      <c r="P782">
        <v>0</v>
      </c>
      <c r="Q782">
        <v>49.5</v>
      </c>
      <c r="R782">
        <v>1100</v>
      </c>
      <c r="S782">
        <v>0</v>
      </c>
      <c r="T782">
        <v>1100</v>
      </c>
      <c r="U782">
        <v>0</v>
      </c>
      <c r="V782">
        <v>0</v>
      </c>
      <c r="W782">
        <v>1</v>
      </c>
      <c r="X782">
        <v>0.85</v>
      </c>
    </row>
    <row r="783" spans="1:24" x14ac:dyDescent="0.3">
      <c r="A783" t="s">
        <v>1342</v>
      </c>
      <c r="B783" s="1">
        <v>45932</v>
      </c>
      <c r="C783" t="s">
        <v>97</v>
      </c>
      <c r="D783" t="s">
        <v>50</v>
      </c>
      <c r="E783" t="s">
        <v>83</v>
      </c>
      <c r="F783" t="s">
        <v>28</v>
      </c>
      <c r="G783" t="s">
        <v>29</v>
      </c>
      <c r="H783" t="s">
        <v>30</v>
      </c>
      <c r="I783" t="s">
        <v>1229</v>
      </c>
      <c r="J783" t="s">
        <v>137</v>
      </c>
      <c r="K783" t="s">
        <v>33</v>
      </c>
      <c r="L783" t="s">
        <v>64</v>
      </c>
      <c r="M783" t="s">
        <v>94</v>
      </c>
      <c r="N783" t="s">
        <v>36</v>
      </c>
      <c r="O783">
        <v>60</v>
      </c>
      <c r="P783">
        <v>60</v>
      </c>
      <c r="Q783">
        <v>74.099999999999994</v>
      </c>
      <c r="R783">
        <v>1250</v>
      </c>
      <c r="S783">
        <v>1250</v>
      </c>
      <c r="T783">
        <v>0</v>
      </c>
      <c r="U783">
        <v>0</v>
      </c>
      <c r="V783">
        <v>1</v>
      </c>
      <c r="W783">
        <v>0</v>
      </c>
      <c r="X783">
        <v>0.85</v>
      </c>
    </row>
    <row r="784" spans="1:24" x14ac:dyDescent="0.3">
      <c r="A784" t="s">
        <v>1343</v>
      </c>
      <c r="B784" s="1">
        <v>45852</v>
      </c>
      <c r="C784" t="s">
        <v>101</v>
      </c>
      <c r="D784" t="s">
        <v>39</v>
      </c>
      <c r="E784" t="s">
        <v>68</v>
      </c>
      <c r="F784" t="s">
        <v>58</v>
      </c>
      <c r="G784" t="s">
        <v>59</v>
      </c>
      <c r="H784" t="s">
        <v>117</v>
      </c>
      <c r="I784" t="s">
        <v>846</v>
      </c>
      <c r="J784" t="s">
        <v>53</v>
      </c>
      <c r="K784" t="s">
        <v>85</v>
      </c>
      <c r="L784" t="s">
        <v>34</v>
      </c>
      <c r="M784" t="s">
        <v>47</v>
      </c>
      <c r="N784" t="s">
        <v>36</v>
      </c>
      <c r="O784">
        <v>60</v>
      </c>
      <c r="P784">
        <v>60</v>
      </c>
      <c r="Q784">
        <v>77.3</v>
      </c>
      <c r="R784">
        <v>1800</v>
      </c>
      <c r="S784">
        <v>1800</v>
      </c>
      <c r="T784">
        <v>0</v>
      </c>
      <c r="U784">
        <v>0</v>
      </c>
      <c r="V784">
        <v>1</v>
      </c>
      <c r="W784">
        <v>0</v>
      </c>
      <c r="X784">
        <v>0.85</v>
      </c>
    </row>
    <row r="785" spans="1:24" x14ac:dyDescent="0.3">
      <c r="A785" t="s">
        <v>1344</v>
      </c>
      <c r="B785" s="1">
        <v>45843</v>
      </c>
      <c r="C785" t="s">
        <v>101</v>
      </c>
      <c r="D785" t="s">
        <v>88</v>
      </c>
      <c r="E785" t="s">
        <v>83</v>
      </c>
      <c r="F785" t="s">
        <v>58</v>
      </c>
      <c r="G785" t="s">
        <v>59</v>
      </c>
      <c r="H785" t="s">
        <v>117</v>
      </c>
      <c r="I785" t="s">
        <v>1345</v>
      </c>
      <c r="J785" t="s">
        <v>99</v>
      </c>
      <c r="K785" t="s">
        <v>46</v>
      </c>
      <c r="L785" t="s">
        <v>34</v>
      </c>
      <c r="M785" t="s">
        <v>35</v>
      </c>
      <c r="N785" t="s">
        <v>36</v>
      </c>
      <c r="O785">
        <v>75</v>
      </c>
      <c r="P785">
        <v>75</v>
      </c>
      <c r="Q785">
        <v>92.3</v>
      </c>
      <c r="R785">
        <v>1900</v>
      </c>
      <c r="S785">
        <v>1900</v>
      </c>
      <c r="T785">
        <v>0</v>
      </c>
      <c r="U785">
        <v>0</v>
      </c>
      <c r="V785">
        <v>1</v>
      </c>
      <c r="W785">
        <v>0</v>
      </c>
      <c r="X785">
        <v>0.85</v>
      </c>
    </row>
    <row r="786" spans="1:24" x14ac:dyDescent="0.3">
      <c r="A786" t="s">
        <v>1346</v>
      </c>
      <c r="B786" s="1">
        <v>45975</v>
      </c>
      <c r="C786" t="s">
        <v>38</v>
      </c>
      <c r="D786" t="s">
        <v>82</v>
      </c>
      <c r="E786" t="s">
        <v>68</v>
      </c>
      <c r="F786" t="s">
        <v>41</v>
      </c>
      <c r="G786" t="s">
        <v>42</v>
      </c>
      <c r="H786" t="s">
        <v>125</v>
      </c>
      <c r="I786" t="s">
        <v>1347</v>
      </c>
      <c r="J786" t="s">
        <v>137</v>
      </c>
      <c r="K786" t="s">
        <v>46</v>
      </c>
      <c r="L786" t="s">
        <v>34</v>
      </c>
      <c r="M786" t="s">
        <v>47</v>
      </c>
      <c r="N786" t="s">
        <v>36</v>
      </c>
      <c r="O786">
        <v>60</v>
      </c>
      <c r="P786">
        <v>60</v>
      </c>
      <c r="Q786">
        <v>78.099999999999994</v>
      </c>
      <c r="R786">
        <v>1350</v>
      </c>
      <c r="S786">
        <v>1350</v>
      </c>
      <c r="T786">
        <v>0</v>
      </c>
      <c r="U786">
        <v>0</v>
      </c>
      <c r="V786">
        <v>1</v>
      </c>
      <c r="W786">
        <v>0</v>
      </c>
      <c r="X786">
        <v>0.85</v>
      </c>
    </row>
    <row r="787" spans="1:24" x14ac:dyDescent="0.3">
      <c r="A787" t="s">
        <v>1348</v>
      </c>
      <c r="B787" s="1">
        <v>45765</v>
      </c>
      <c r="C787" t="s">
        <v>92</v>
      </c>
      <c r="D787" t="s">
        <v>82</v>
      </c>
      <c r="E787" t="s">
        <v>83</v>
      </c>
      <c r="F787" t="s">
        <v>41</v>
      </c>
      <c r="G787" t="s">
        <v>42</v>
      </c>
      <c r="H787" t="s">
        <v>111</v>
      </c>
      <c r="I787" t="s">
        <v>992</v>
      </c>
      <c r="J787" t="s">
        <v>32</v>
      </c>
      <c r="K787" t="s">
        <v>104</v>
      </c>
      <c r="L787" t="s">
        <v>34</v>
      </c>
      <c r="M787" t="s">
        <v>94</v>
      </c>
      <c r="N787" t="s">
        <v>36</v>
      </c>
      <c r="O787">
        <v>45</v>
      </c>
      <c r="P787">
        <v>45</v>
      </c>
      <c r="Q787">
        <v>60</v>
      </c>
      <c r="R787">
        <v>1000</v>
      </c>
      <c r="S787">
        <v>1000</v>
      </c>
      <c r="T787">
        <v>0</v>
      </c>
      <c r="U787">
        <v>0</v>
      </c>
      <c r="V787">
        <v>1</v>
      </c>
      <c r="W787">
        <v>0</v>
      </c>
      <c r="X787">
        <v>0.85</v>
      </c>
    </row>
    <row r="788" spans="1:24" x14ac:dyDescent="0.3">
      <c r="A788" t="s">
        <v>1349</v>
      </c>
      <c r="B788" s="1">
        <v>45818</v>
      </c>
      <c r="C788" t="s">
        <v>67</v>
      </c>
      <c r="D788" t="s">
        <v>26</v>
      </c>
      <c r="E788" t="s">
        <v>83</v>
      </c>
      <c r="F788" t="s">
        <v>28</v>
      </c>
      <c r="G788" t="s">
        <v>29</v>
      </c>
      <c r="H788" t="s">
        <v>210</v>
      </c>
      <c r="I788" t="s">
        <v>464</v>
      </c>
      <c r="J788" t="s">
        <v>99</v>
      </c>
      <c r="K788" t="s">
        <v>46</v>
      </c>
      <c r="L788" t="s">
        <v>64</v>
      </c>
      <c r="M788" t="s">
        <v>94</v>
      </c>
      <c r="N788" t="s">
        <v>36</v>
      </c>
      <c r="O788">
        <v>60</v>
      </c>
      <c r="P788">
        <v>60</v>
      </c>
      <c r="Q788">
        <v>80.5</v>
      </c>
      <c r="R788">
        <v>1250</v>
      </c>
      <c r="S788">
        <v>1250</v>
      </c>
      <c r="T788">
        <v>0</v>
      </c>
      <c r="U788">
        <v>0</v>
      </c>
      <c r="V788">
        <v>1</v>
      </c>
      <c r="W788">
        <v>0</v>
      </c>
      <c r="X788">
        <v>0.85</v>
      </c>
    </row>
    <row r="789" spans="1:24" x14ac:dyDescent="0.3">
      <c r="A789" t="s">
        <v>1350</v>
      </c>
      <c r="B789" s="1">
        <v>45838</v>
      </c>
      <c r="C789" t="s">
        <v>67</v>
      </c>
      <c r="D789" t="s">
        <v>39</v>
      </c>
      <c r="E789" t="s">
        <v>40</v>
      </c>
      <c r="F789" t="s">
        <v>41</v>
      </c>
      <c r="G789" t="s">
        <v>42</v>
      </c>
      <c r="H789" t="s">
        <v>125</v>
      </c>
      <c r="I789" t="s">
        <v>409</v>
      </c>
      <c r="J789" t="s">
        <v>99</v>
      </c>
      <c r="K789" t="s">
        <v>63</v>
      </c>
      <c r="L789" t="s">
        <v>34</v>
      </c>
      <c r="M789" t="s">
        <v>86</v>
      </c>
      <c r="N789" t="s">
        <v>36</v>
      </c>
      <c r="O789">
        <v>60</v>
      </c>
      <c r="P789">
        <v>60</v>
      </c>
      <c r="Q789">
        <v>70.400000000000006</v>
      </c>
      <c r="R789">
        <v>1350</v>
      </c>
      <c r="S789">
        <v>1350</v>
      </c>
      <c r="T789">
        <v>0</v>
      </c>
      <c r="U789">
        <v>0</v>
      </c>
      <c r="V789">
        <v>1</v>
      </c>
      <c r="W789">
        <v>0</v>
      </c>
      <c r="X789">
        <v>0.85</v>
      </c>
    </row>
    <row r="790" spans="1:24" x14ac:dyDescent="0.3">
      <c r="A790" t="s">
        <v>1351</v>
      </c>
      <c r="B790" s="1">
        <v>45705</v>
      </c>
      <c r="C790" t="s">
        <v>76</v>
      </c>
      <c r="D790" t="s">
        <v>39</v>
      </c>
      <c r="E790" t="s">
        <v>27</v>
      </c>
      <c r="F790" t="s">
        <v>28</v>
      </c>
      <c r="G790" t="s">
        <v>29</v>
      </c>
      <c r="H790" t="s">
        <v>30</v>
      </c>
      <c r="I790" t="s">
        <v>566</v>
      </c>
      <c r="J790" t="s">
        <v>53</v>
      </c>
      <c r="K790" t="s">
        <v>70</v>
      </c>
      <c r="L790" t="s">
        <v>34</v>
      </c>
      <c r="M790" t="s">
        <v>65</v>
      </c>
      <c r="N790" t="s">
        <v>36</v>
      </c>
      <c r="O790">
        <v>60</v>
      </c>
      <c r="P790">
        <v>60</v>
      </c>
      <c r="Q790">
        <v>71.2</v>
      </c>
      <c r="R790">
        <v>1500</v>
      </c>
      <c r="S790">
        <v>1500</v>
      </c>
      <c r="T790">
        <v>0</v>
      </c>
      <c r="U790">
        <v>0</v>
      </c>
      <c r="V790">
        <v>1</v>
      </c>
      <c r="W790">
        <v>0</v>
      </c>
      <c r="X790">
        <v>0.85</v>
      </c>
    </row>
    <row r="791" spans="1:24" x14ac:dyDescent="0.3">
      <c r="A791" t="s">
        <v>1352</v>
      </c>
      <c r="B791" s="1">
        <v>45922</v>
      </c>
      <c r="C791" t="s">
        <v>49</v>
      </c>
      <c r="D791" t="s">
        <v>39</v>
      </c>
      <c r="E791" t="s">
        <v>83</v>
      </c>
      <c r="F791" t="s">
        <v>28</v>
      </c>
      <c r="G791" t="s">
        <v>29</v>
      </c>
      <c r="H791" t="s">
        <v>120</v>
      </c>
      <c r="I791" t="s">
        <v>249</v>
      </c>
      <c r="J791" t="s">
        <v>62</v>
      </c>
      <c r="K791" t="s">
        <v>33</v>
      </c>
      <c r="L791" t="s">
        <v>34</v>
      </c>
      <c r="M791" t="s">
        <v>35</v>
      </c>
      <c r="N791" t="s">
        <v>36</v>
      </c>
      <c r="O791">
        <v>45</v>
      </c>
      <c r="P791">
        <v>45</v>
      </c>
      <c r="Q791">
        <v>50.8</v>
      </c>
      <c r="R791">
        <v>950</v>
      </c>
      <c r="S791">
        <v>950</v>
      </c>
      <c r="T791">
        <v>0</v>
      </c>
      <c r="U791">
        <v>0</v>
      </c>
      <c r="V791">
        <v>1</v>
      </c>
      <c r="W791">
        <v>0</v>
      </c>
      <c r="X791">
        <v>0.85</v>
      </c>
    </row>
    <row r="792" spans="1:24" x14ac:dyDescent="0.3">
      <c r="A792" t="s">
        <v>1353</v>
      </c>
      <c r="B792" s="1">
        <v>46021</v>
      </c>
      <c r="C792" t="s">
        <v>25</v>
      </c>
      <c r="D792" t="s">
        <v>26</v>
      </c>
      <c r="E792" t="s">
        <v>68</v>
      </c>
      <c r="F792" t="s">
        <v>58</v>
      </c>
      <c r="G792" t="s">
        <v>59</v>
      </c>
      <c r="H792" t="s">
        <v>151</v>
      </c>
      <c r="I792" t="s">
        <v>147</v>
      </c>
      <c r="J792" t="s">
        <v>32</v>
      </c>
      <c r="K792" t="s">
        <v>85</v>
      </c>
      <c r="L792" t="s">
        <v>54</v>
      </c>
      <c r="M792" t="s">
        <v>71</v>
      </c>
      <c r="N792" t="s">
        <v>36</v>
      </c>
      <c r="O792">
        <v>60</v>
      </c>
      <c r="P792">
        <v>60</v>
      </c>
      <c r="Q792">
        <v>69.400000000000006</v>
      </c>
      <c r="R792">
        <v>1300</v>
      </c>
      <c r="S792">
        <v>1300</v>
      </c>
      <c r="T792">
        <v>0</v>
      </c>
      <c r="U792">
        <v>0</v>
      </c>
      <c r="V792">
        <v>1</v>
      </c>
      <c r="W792">
        <v>0</v>
      </c>
      <c r="X792">
        <v>0.85</v>
      </c>
    </row>
    <row r="793" spans="1:24" x14ac:dyDescent="0.3">
      <c r="A793" t="s">
        <v>1354</v>
      </c>
      <c r="B793" s="1">
        <v>45693</v>
      </c>
      <c r="C793" t="s">
        <v>76</v>
      </c>
      <c r="D793" t="s">
        <v>57</v>
      </c>
      <c r="E793" t="s">
        <v>40</v>
      </c>
      <c r="F793" t="s">
        <v>58</v>
      </c>
      <c r="G793" t="s">
        <v>59</v>
      </c>
      <c r="H793" t="s">
        <v>73</v>
      </c>
      <c r="I793" t="s">
        <v>1355</v>
      </c>
      <c r="J793" t="s">
        <v>62</v>
      </c>
      <c r="K793" t="s">
        <v>85</v>
      </c>
      <c r="L793" t="s">
        <v>54</v>
      </c>
      <c r="M793" t="s">
        <v>65</v>
      </c>
      <c r="N793" t="s">
        <v>36</v>
      </c>
      <c r="O793">
        <v>60</v>
      </c>
      <c r="P793">
        <v>60</v>
      </c>
      <c r="Q793">
        <v>71.400000000000006</v>
      </c>
      <c r="R793">
        <v>1300</v>
      </c>
      <c r="S793">
        <v>1300</v>
      </c>
      <c r="T793">
        <v>0</v>
      </c>
      <c r="U793">
        <v>0</v>
      </c>
      <c r="V793">
        <v>1</v>
      </c>
      <c r="W793">
        <v>0</v>
      </c>
      <c r="X793">
        <v>0.85</v>
      </c>
    </row>
    <row r="794" spans="1:24" x14ac:dyDescent="0.3">
      <c r="A794" t="s">
        <v>1356</v>
      </c>
      <c r="B794" s="1">
        <v>45894</v>
      </c>
      <c r="C794" t="s">
        <v>110</v>
      </c>
      <c r="D794" t="s">
        <v>39</v>
      </c>
      <c r="E794" t="s">
        <v>27</v>
      </c>
      <c r="F794" t="s">
        <v>41</v>
      </c>
      <c r="G794" t="s">
        <v>42</v>
      </c>
      <c r="H794" t="s">
        <v>51</v>
      </c>
      <c r="I794" t="s">
        <v>161</v>
      </c>
      <c r="J794" t="s">
        <v>32</v>
      </c>
      <c r="K794" t="s">
        <v>33</v>
      </c>
      <c r="L794" t="s">
        <v>34</v>
      </c>
      <c r="M794" t="s">
        <v>47</v>
      </c>
      <c r="N794" t="s">
        <v>36</v>
      </c>
      <c r="O794">
        <v>60</v>
      </c>
      <c r="P794">
        <v>60</v>
      </c>
      <c r="Q794">
        <v>67</v>
      </c>
      <c r="R794">
        <v>1350</v>
      </c>
      <c r="S794">
        <v>1350</v>
      </c>
      <c r="T794">
        <v>0</v>
      </c>
      <c r="U794">
        <v>0</v>
      </c>
      <c r="V794">
        <v>1</v>
      </c>
      <c r="W794">
        <v>0</v>
      </c>
      <c r="X794">
        <v>0.85</v>
      </c>
    </row>
    <row r="795" spans="1:24" x14ac:dyDescent="0.3">
      <c r="A795" t="s">
        <v>1357</v>
      </c>
      <c r="B795" s="1">
        <v>45741</v>
      </c>
      <c r="C795" t="s">
        <v>56</v>
      </c>
      <c r="D795" t="s">
        <v>26</v>
      </c>
      <c r="E795" t="s">
        <v>40</v>
      </c>
      <c r="F795" t="s">
        <v>41</v>
      </c>
      <c r="G795" t="s">
        <v>42</v>
      </c>
      <c r="H795" t="s">
        <v>125</v>
      </c>
      <c r="I795" t="s">
        <v>639</v>
      </c>
      <c r="J795" t="s">
        <v>53</v>
      </c>
      <c r="K795" t="s">
        <v>33</v>
      </c>
      <c r="L795" t="s">
        <v>78</v>
      </c>
      <c r="M795" t="s">
        <v>47</v>
      </c>
      <c r="N795" t="s">
        <v>36</v>
      </c>
      <c r="O795">
        <v>60</v>
      </c>
      <c r="P795">
        <v>60</v>
      </c>
      <c r="Q795">
        <v>70.400000000000006</v>
      </c>
      <c r="R795">
        <v>1500</v>
      </c>
      <c r="S795">
        <v>1500</v>
      </c>
      <c r="T795">
        <v>0</v>
      </c>
      <c r="U795">
        <v>0</v>
      </c>
      <c r="V795">
        <v>1</v>
      </c>
      <c r="W795">
        <v>0</v>
      </c>
      <c r="X795">
        <v>0.85</v>
      </c>
    </row>
    <row r="796" spans="1:24" x14ac:dyDescent="0.3">
      <c r="A796" t="s">
        <v>1358</v>
      </c>
      <c r="B796" s="1">
        <v>45722</v>
      </c>
      <c r="C796" t="s">
        <v>56</v>
      </c>
      <c r="D796" t="s">
        <v>50</v>
      </c>
      <c r="E796" t="s">
        <v>83</v>
      </c>
      <c r="F796" t="s">
        <v>28</v>
      </c>
      <c r="G796" t="s">
        <v>29</v>
      </c>
      <c r="H796" t="s">
        <v>210</v>
      </c>
      <c r="I796" t="s">
        <v>1359</v>
      </c>
      <c r="J796" t="s">
        <v>53</v>
      </c>
      <c r="K796" t="s">
        <v>46</v>
      </c>
      <c r="L796" t="s">
        <v>34</v>
      </c>
      <c r="M796" t="s">
        <v>71</v>
      </c>
      <c r="N796" t="s">
        <v>95</v>
      </c>
      <c r="O796">
        <v>75</v>
      </c>
      <c r="P796">
        <v>0</v>
      </c>
      <c r="Q796">
        <v>89.6</v>
      </c>
      <c r="R796">
        <v>1900</v>
      </c>
      <c r="S796">
        <v>0</v>
      </c>
      <c r="T796">
        <v>1900</v>
      </c>
      <c r="U796">
        <v>1</v>
      </c>
      <c r="V796">
        <v>0</v>
      </c>
      <c r="W796">
        <v>0</v>
      </c>
      <c r="X796">
        <v>0.85</v>
      </c>
    </row>
    <row r="797" spans="1:24" x14ac:dyDescent="0.3">
      <c r="A797" t="s">
        <v>1360</v>
      </c>
      <c r="B797" s="1">
        <v>45822</v>
      </c>
      <c r="C797" t="s">
        <v>67</v>
      </c>
      <c r="D797" t="s">
        <v>88</v>
      </c>
      <c r="E797" t="s">
        <v>68</v>
      </c>
      <c r="F797" t="s">
        <v>58</v>
      </c>
      <c r="G797" t="s">
        <v>59</v>
      </c>
      <c r="H797" t="s">
        <v>73</v>
      </c>
      <c r="I797" t="s">
        <v>1361</v>
      </c>
      <c r="J797" t="s">
        <v>53</v>
      </c>
      <c r="K797" t="s">
        <v>46</v>
      </c>
      <c r="L797" t="s">
        <v>34</v>
      </c>
      <c r="M797" t="s">
        <v>94</v>
      </c>
      <c r="N797" t="s">
        <v>95</v>
      </c>
      <c r="O797">
        <v>60</v>
      </c>
      <c r="P797">
        <v>0</v>
      </c>
      <c r="Q797">
        <v>76.599999999999994</v>
      </c>
      <c r="R797">
        <v>1800</v>
      </c>
      <c r="S797">
        <v>0</v>
      </c>
      <c r="T797">
        <v>1800</v>
      </c>
      <c r="U797">
        <v>1</v>
      </c>
      <c r="V797">
        <v>0</v>
      </c>
      <c r="W797">
        <v>0</v>
      </c>
      <c r="X797">
        <v>0.85</v>
      </c>
    </row>
    <row r="798" spans="1:24" x14ac:dyDescent="0.3">
      <c r="A798" t="s">
        <v>1362</v>
      </c>
      <c r="B798" s="1">
        <v>45915</v>
      </c>
      <c r="C798" t="s">
        <v>49</v>
      </c>
      <c r="D798" t="s">
        <v>39</v>
      </c>
      <c r="E798" t="s">
        <v>83</v>
      </c>
      <c r="F798" t="s">
        <v>28</v>
      </c>
      <c r="G798" t="s">
        <v>29</v>
      </c>
      <c r="H798" t="s">
        <v>135</v>
      </c>
      <c r="I798" t="s">
        <v>914</v>
      </c>
      <c r="J798" t="s">
        <v>137</v>
      </c>
      <c r="K798" t="s">
        <v>85</v>
      </c>
      <c r="L798" t="s">
        <v>34</v>
      </c>
      <c r="M798" t="s">
        <v>71</v>
      </c>
      <c r="N798" t="s">
        <v>113</v>
      </c>
      <c r="O798">
        <v>60</v>
      </c>
      <c r="P798">
        <v>0</v>
      </c>
      <c r="Q798">
        <v>79.7</v>
      </c>
      <c r="R798">
        <v>1250</v>
      </c>
      <c r="S798">
        <v>0</v>
      </c>
      <c r="T798">
        <v>1250</v>
      </c>
      <c r="U798">
        <v>0</v>
      </c>
      <c r="V798">
        <v>0</v>
      </c>
      <c r="W798">
        <v>1</v>
      </c>
      <c r="X798">
        <v>0.85</v>
      </c>
    </row>
    <row r="799" spans="1:24" x14ac:dyDescent="0.3">
      <c r="A799" t="s">
        <v>1363</v>
      </c>
      <c r="B799" s="1">
        <v>45825</v>
      </c>
      <c r="C799" t="s">
        <v>67</v>
      </c>
      <c r="D799" t="s">
        <v>26</v>
      </c>
      <c r="E799" t="s">
        <v>68</v>
      </c>
      <c r="F799" t="s">
        <v>41</v>
      </c>
      <c r="G799" t="s">
        <v>42</v>
      </c>
      <c r="H799" t="s">
        <v>51</v>
      </c>
      <c r="I799" t="s">
        <v>1364</v>
      </c>
      <c r="J799" t="s">
        <v>62</v>
      </c>
      <c r="K799" t="s">
        <v>104</v>
      </c>
      <c r="L799" t="s">
        <v>34</v>
      </c>
      <c r="M799" t="s">
        <v>47</v>
      </c>
      <c r="N799" t="s">
        <v>113</v>
      </c>
      <c r="O799">
        <v>45</v>
      </c>
      <c r="P799">
        <v>0</v>
      </c>
      <c r="Q799">
        <v>53.8</v>
      </c>
      <c r="R799">
        <v>1000</v>
      </c>
      <c r="S799">
        <v>0</v>
      </c>
      <c r="T799">
        <v>1000</v>
      </c>
      <c r="U799">
        <v>0</v>
      </c>
      <c r="V799">
        <v>0</v>
      </c>
      <c r="W799">
        <v>1</v>
      </c>
      <c r="X799">
        <v>0.85</v>
      </c>
    </row>
    <row r="800" spans="1:24" x14ac:dyDescent="0.3">
      <c r="A800" t="s">
        <v>1365</v>
      </c>
      <c r="B800" s="1">
        <v>45737</v>
      </c>
      <c r="C800" t="s">
        <v>56</v>
      </c>
      <c r="D800" t="s">
        <v>82</v>
      </c>
      <c r="E800" t="s">
        <v>27</v>
      </c>
      <c r="F800" t="s">
        <v>41</v>
      </c>
      <c r="G800" t="s">
        <v>42</v>
      </c>
      <c r="H800" t="s">
        <v>111</v>
      </c>
      <c r="I800" t="s">
        <v>310</v>
      </c>
      <c r="J800" t="s">
        <v>137</v>
      </c>
      <c r="K800" t="s">
        <v>46</v>
      </c>
      <c r="L800" t="s">
        <v>54</v>
      </c>
      <c r="M800" t="s">
        <v>65</v>
      </c>
      <c r="N800" t="s">
        <v>36</v>
      </c>
      <c r="O800">
        <v>45</v>
      </c>
      <c r="P800">
        <v>45</v>
      </c>
      <c r="Q800">
        <v>52.6</v>
      </c>
      <c r="R800">
        <v>850</v>
      </c>
      <c r="S800">
        <v>850</v>
      </c>
      <c r="T800">
        <v>0</v>
      </c>
      <c r="U800">
        <v>0</v>
      </c>
      <c r="V800">
        <v>1</v>
      </c>
      <c r="W800">
        <v>0</v>
      </c>
      <c r="X800">
        <v>0.85</v>
      </c>
    </row>
    <row r="801" spans="1:24" x14ac:dyDescent="0.3">
      <c r="A801" t="s">
        <v>1366</v>
      </c>
      <c r="B801" s="1">
        <v>45672</v>
      </c>
      <c r="C801" t="s">
        <v>130</v>
      </c>
      <c r="D801" t="s">
        <v>57</v>
      </c>
      <c r="E801" t="s">
        <v>27</v>
      </c>
      <c r="F801" t="s">
        <v>28</v>
      </c>
      <c r="G801" t="s">
        <v>29</v>
      </c>
      <c r="H801" t="s">
        <v>135</v>
      </c>
      <c r="I801" t="s">
        <v>1105</v>
      </c>
      <c r="J801" t="s">
        <v>137</v>
      </c>
      <c r="K801" t="s">
        <v>33</v>
      </c>
      <c r="L801" t="s">
        <v>34</v>
      </c>
      <c r="M801" t="s">
        <v>65</v>
      </c>
      <c r="N801" t="s">
        <v>36</v>
      </c>
      <c r="O801">
        <v>90</v>
      </c>
      <c r="P801">
        <v>90</v>
      </c>
      <c r="Q801">
        <v>112.9</v>
      </c>
      <c r="R801">
        <v>1900</v>
      </c>
      <c r="S801">
        <v>1900</v>
      </c>
      <c r="T801">
        <v>0</v>
      </c>
      <c r="U801">
        <v>0</v>
      </c>
      <c r="V801">
        <v>1</v>
      </c>
      <c r="W801">
        <v>0</v>
      </c>
      <c r="X801">
        <v>0.85</v>
      </c>
    </row>
    <row r="802" spans="1:24" x14ac:dyDescent="0.3">
      <c r="A802" t="s">
        <v>1367</v>
      </c>
      <c r="B802" s="1">
        <v>46018</v>
      </c>
      <c r="C802" t="s">
        <v>25</v>
      </c>
      <c r="D802" t="s">
        <v>88</v>
      </c>
      <c r="E802" t="s">
        <v>83</v>
      </c>
      <c r="F802" t="s">
        <v>28</v>
      </c>
      <c r="G802" t="s">
        <v>29</v>
      </c>
      <c r="H802" t="s">
        <v>135</v>
      </c>
      <c r="I802" t="s">
        <v>1368</v>
      </c>
      <c r="J802" t="s">
        <v>137</v>
      </c>
      <c r="K802" t="s">
        <v>104</v>
      </c>
      <c r="L802" t="s">
        <v>34</v>
      </c>
      <c r="M802" t="s">
        <v>71</v>
      </c>
      <c r="N802" t="s">
        <v>36</v>
      </c>
      <c r="O802">
        <v>30</v>
      </c>
      <c r="P802">
        <v>30</v>
      </c>
      <c r="Q802">
        <v>38</v>
      </c>
      <c r="R802">
        <v>600</v>
      </c>
      <c r="S802">
        <v>600</v>
      </c>
      <c r="T802">
        <v>0</v>
      </c>
      <c r="U802">
        <v>0</v>
      </c>
      <c r="V802">
        <v>1</v>
      </c>
      <c r="W802">
        <v>0</v>
      </c>
      <c r="X802">
        <v>0.85</v>
      </c>
    </row>
    <row r="803" spans="1:24" x14ac:dyDescent="0.3">
      <c r="A803" t="s">
        <v>1369</v>
      </c>
      <c r="B803" s="1">
        <v>46002</v>
      </c>
      <c r="C803" t="s">
        <v>25</v>
      </c>
      <c r="D803" t="s">
        <v>50</v>
      </c>
      <c r="E803" t="s">
        <v>83</v>
      </c>
      <c r="F803" t="s">
        <v>28</v>
      </c>
      <c r="G803" t="s">
        <v>29</v>
      </c>
      <c r="H803" t="s">
        <v>210</v>
      </c>
      <c r="I803" t="s">
        <v>811</v>
      </c>
      <c r="J803" t="s">
        <v>62</v>
      </c>
      <c r="K803" t="s">
        <v>46</v>
      </c>
      <c r="L803" t="s">
        <v>34</v>
      </c>
      <c r="M803" t="s">
        <v>94</v>
      </c>
      <c r="N803" t="s">
        <v>95</v>
      </c>
      <c r="O803">
        <v>60</v>
      </c>
      <c r="P803">
        <v>0</v>
      </c>
      <c r="Q803">
        <v>73.099999999999994</v>
      </c>
      <c r="R803">
        <v>1250</v>
      </c>
      <c r="S803">
        <v>0</v>
      </c>
      <c r="T803">
        <v>1250</v>
      </c>
      <c r="U803">
        <v>1</v>
      </c>
      <c r="V803">
        <v>0</v>
      </c>
      <c r="W803">
        <v>0</v>
      </c>
      <c r="X803">
        <v>0.85</v>
      </c>
    </row>
    <row r="804" spans="1:24" x14ac:dyDescent="0.3">
      <c r="A804" t="s">
        <v>1370</v>
      </c>
      <c r="B804" s="1">
        <v>45906</v>
      </c>
      <c r="C804" t="s">
        <v>49</v>
      </c>
      <c r="D804" t="s">
        <v>88</v>
      </c>
      <c r="E804" t="s">
        <v>27</v>
      </c>
      <c r="F804" t="s">
        <v>28</v>
      </c>
      <c r="G804" t="s">
        <v>29</v>
      </c>
      <c r="H804" t="s">
        <v>120</v>
      </c>
      <c r="I804" t="s">
        <v>984</v>
      </c>
      <c r="J804" t="s">
        <v>53</v>
      </c>
      <c r="K804" t="s">
        <v>46</v>
      </c>
      <c r="L804" t="s">
        <v>54</v>
      </c>
      <c r="M804" t="s">
        <v>35</v>
      </c>
      <c r="N804" t="s">
        <v>36</v>
      </c>
      <c r="O804">
        <v>90</v>
      </c>
      <c r="P804">
        <v>90</v>
      </c>
      <c r="Q804">
        <v>111.7</v>
      </c>
      <c r="R804">
        <v>1900</v>
      </c>
      <c r="S804">
        <v>1900</v>
      </c>
      <c r="T804">
        <v>0</v>
      </c>
      <c r="U804">
        <v>0</v>
      </c>
      <c r="V804">
        <v>1</v>
      </c>
      <c r="W804">
        <v>0</v>
      </c>
      <c r="X804">
        <v>0.85</v>
      </c>
    </row>
    <row r="805" spans="1:24" x14ac:dyDescent="0.3">
      <c r="A805" t="s">
        <v>1371</v>
      </c>
      <c r="B805" s="1">
        <v>45747</v>
      </c>
      <c r="C805" t="s">
        <v>56</v>
      </c>
      <c r="D805" t="s">
        <v>39</v>
      </c>
      <c r="E805" t="s">
        <v>27</v>
      </c>
      <c r="F805" t="s">
        <v>41</v>
      </c>
      <c r="G805" t="s">
        <v>42</v>
      </c>
      <c r="H805" t="s">
        <v>111</v>
      </c>
      <c r="I805" t="s">
        <v>854</v>
      </c>
      <c r="J805" t="s">
        <v>62</v>
      </c>
      <c r="K805" t="s">
        <v>63</v>
      </c>
      <c r="L805" t="s">
        <v>34</v>
      </c>
      <c r="M805" t="s">
        <v>65</v>
      </c>
      <c r="N805" t="s">
        <v>36</v>
      </c>
      <c r="O805">
        <v>60</v>
      </c>
      <c r="P805">
        <v>60</v>
      </c>
      <c r="Q805">
        <v>72.3</v>
      </c>
      <c r="R805">
        <v>1350</v>
      </c>
      <c r="S805">
        <v>1350</v>
      </c>
      <c r="T805">
        <v>0</v>
      </c>
      <c r="U805">
        <v>0</v>
      </c>
      <c r="V805">
        <v>1</v>
      </c>
      <c r="W805">
        <v>0</v>
      </c>
      <c r="X805">
        <v>0.85</v>
      </c>
    </row>
    <row r="806" spans="1:24" x14ac:dyDescent="0.3">
      <c r="A806" t="s">
        <v>1372</v>
      </c>
      <c r="B806" s="1">
        <v>45940</v>
      </c>
      <c r="C806" t="s">
        <v>97</v>
      </c>
      <c r="D806" t="s">
        <v>82</v>
      </c>
      <c r="E806" t="s">
        <v>68</v>
      </c>
      <c r="F806" t="s">
        <v>58</v>
      </c>
      <c r="G806" t="s">
        <v>59</v>
      </c>
      <c r="H806" t="s">
        <v>117</v>
      </c>
      <c r="I806" t="s">
        <v>1373</v>
      </c>
      <c r="J806" t="s">
        <v>99</v>
      </c>
      <c r="K806" t="s">
        <v>33</v>
      </c>
      <c r="L806" t="s">
        <v>34</v>
      </c>
      <c r="M806" t="s">
        <v>47</v>
      </c>
      <c r="N806" t="s">
        <v>36</v>
      </c>
      <c r="O806">
        <v>30</v>
      </c>
      <c r="P806">
        <v>30</v>
      </c>
      <c r="Q806">
        <v>40.200000000000003</v>
      </c>
      <c r="R806">
        <v>750</v>
      </c>
      <c r="S806">
        <v>750</v>
      </c>
      <c r="T806">
        <v>0</v>
      </c>
      <c r="U806">
        <v>0</v>
      </c>
      <c r="V806">
        <v>1</v>
      </c>
      <c r="W806">
        <v>0</v>
      </c>
      <c r="X806">
        <v>0.85</v>
      </c>
    </row>
    <row r="807" spans="1:24" x14ac:dyDescent="0.3">
      <c r="A807" t="s">
        <v>1374</v>
      </c>
      <c r="B807" s="1">
        <v>45938</v>
      </c>
      <c r="C807" t="s">
        <v>97</v>
      </c>
      <c r="D807" t="s">
        <v>57</v>
      </c>
      <c r="E807" t="s">
        <v>40</v>
      </c>
      <c r="F807" t="s">
        <v>41</v>
      </c>
      <c r="G807" t="s">
        <v>42</v>
      </c>
      <c r="H807" t="s">
        <v>43</v>
      </c>
      <c r="I807" t="s">
        <v>715</v>
      </c>
      <c r="J807" t="s">
        <v>99</v>
      </c>
      <c r="K807" t="s">
        <v>63</v>
      </c>
      <c r="L807" t="s">
        <v>34</v>
      </c>
      <c r="M807" t="s">
        <v>65</v>
      </c>
      <c r="N807" t="s">
        <v>36</v>
      </c>
      <c r="O807">
        <v>90</v>
      </c>
      <c r="P807">
        <v>90</v>
      </c>
      <c r="Q807">
        <v>106.8</v>
      </c>
      <c r="R807">
        <v>2000</v>
      </c>
      <c r="S807">
        <v>2000</v>
      </c>
      <c r="T807">
        <v>0</v>
      </c>
      <c r="U807">
        <v>0</v>
      </c>
      <c r="V807">
        <v>1</v>
      </c>
      <c r="W807">
        <v>0</v>
      </c>
      <c r="X807">
        <v>0.85</v>
      </c>
    </row>
    <row r="808" spans="1:24" x14ac:dyDescent="0.3">
      <c r="A808" t="s">
        <v>1375</v>
      </c>
      <c r="B808" s="1">
        <v>45735</v>
      </c>
      <c r="C808" t="s">
        <v>56</v>
      </c>
      <c r="D808" t="s">
        <v>57</v>
      </c>
      <c r="E808" t="s">
        <v>68</v>
      </c>
      <c r="F808" t="s">
        <v>28</v>
      </c>
      <c r="G808" t="s">
        <v>29</v>
      </c>
      <c r="H808" t="s">
        <v>210</v>
      </c>
      <c r="I808" t="s">
        <v>1376</v>
      </c>
      <c r="J808" t="s">
        <v>99</v>
      </c>
      <c r="K808" t="s">
        <v>63</v>
      </c>
      <c r="L808" t="s">
        <v>78</v>
      </c>
      <c r="M808" t="s">
        <v>86</v>
      </c>
      <c r="N808" t="s">
        <v>36</v>
      </c>
      <c r="O808">
        <v>60</v>
      </c>
      <c r="P808">
        <v>60</v>
      </c>
      <c r="Q808">
        <v>74.8</v>
      </c>
      <c r="R808">
        <v>1150</v>
      </c>
      <c r="S808">
        <v>1150</v>
      </c>
      <c r="T808">
        <v>0</v>
      </c>
      <c r="U808">
        <v>0</v>
      </c>
      <c r="V808">
        <v>1</v>
      </c>
      <c r="W808">
        <v>0</v>
      </c>
      <c r="X808">
        <v>0.85</v>
      </c>
    </row>
    <row r="809" spans="1:24" x14ac:dyDescent="0.3">
      <c r="A809" t="s">
        <v>1377</v>
      </c>
      <c r="B809" s="1">
        <v>45959</v>
      </c>
      <c r="C809" t="s">
        <v>97</v>
      </c>
      <c r="D809" t="s">
        <v>57</v>
      </c>
      <c r="E809" t="s">
        <v>40</v>
      </c>
      <c r="F809" t="s">
        <v>41</v>
      </c>
      <c r="G809" t="s">
        <v>42</v>
      </c>
      <c r="H809" t="s">
        <v>51</v>
      </c>
      <c r="I809" t="s">
        <v>503</v>
      </c>
      <c r="J809" t="s">
        <v>99</v>
      </c>
      <c r="K809" t="s">
        <v>46</v>
      </c>
      <c r="L809" t="s">
        <v>64</v>
      </c>
      <c r="M809" t="s">
        <v>65</v>
      </c>
      <c r="N809" t="s">
        <v>36</v>
      </c>
      <c r="O809">
        <v>60</v>
      </c>
      <c r="P809">
        <v>60</v>
      </c>
      <c r="Q809">
        <v>68.099999999999994</v>
      </c>
      <c r="R809">
        <v>1350</v>
      </c>
      <c r="S809">
        <v>1350</v>
      </c>
      <c r="T809">
        <v>0</v>
      </c>
      <c r="U809">
        <v>0</v>
      </c>
      <c r="V809">
        <v>1</v>
      </c>
      <c r="W809">
        <v>0</v>
      </c>
      <c r="X809">
        <v>0.85</v>
      </c>
    </row>
    <row r="810" spans="1:24" x14ac:dyDescent="0.3">
      <c r="A810" t="s">
        <v>1378</v>
      </c>
      <c r="B810" s="1">
        <v>45741</v>
      </c>
      <c r="C810" t="s">
        <v>56</v>
      </c>
      <c r="D810" t="s">
        <v>26</v>
      </c>
      <c r="E810" t="s">
        <v>40</v>
      </c>
      <c r="F810" t="s">
        <v>28</v>
      </c>
      <c r="G810" t="s">
        <v>29</v>
      </c>
      <c r="H810" t="s">
        <v>135</v>
      </c>
      <c r="I810" t="s">
        <v>393</v>
      </c>
      <c r="J810" t="s">
        <v>62</v>
      </c>
      <c r="K810" t="s">
        <v>63</v>
      </c>
      <c r="L810" t="s">
        <v>34</v>
      </c>
      <c r="M810" t="s">
        <v>65</v>
      </c>
      <c r="N810" t="s">
        <v>95</v>
      </c>
      <c r="O810">
        <v>60</v>
      </c>
      <c r="P810">
        <v>0</v>
      </c>
      <c r="Q810">
        <v>78.8</v>
      </c>
      <c r="R810">
        <v>1250</v>
      </c>
      <c r="S810">
        <v>0</v>
      </c>
      <c r="T810">
        <v>1250</v>
      </c>
      <c r="U810">
        <v>1</v>
      </c>
      <c r="V810">
        <v>0</v>
      </c>
      <c r="W810">
        <v>0</v>
      </c>
      <c r="X810">
        <v>0.85</v>
      </c>
    </row>
    <row r="811" spans="1:24" x14ac:dyDescent="0.3">
      <c r="A811" t="s">
        <v>1379</v>
      </c>
      <c r="B811" s="1">
        <v>46013</v>
      </c>
      <c r="C811" t="s">
        <v>25</v>
      </c>
      <c r="D811" t="s">
        <v>39</v>
      </c>
      <c r="E811" t="s">
        <v>68</v>
      </c>
      <c r="F811" t="s">
        <v>41</v>
      </c>
      <c r="G811" t="s">
        <v>42</v>
      </c>
      <c r="H811" t="s">
        <v>51</v>
      </c>
      <c r="I811" t="s">
        <v>182</v>
      </c>
      <c r="J811" t="s">
        <v>62</v>
      </c>
      <c r="K811" t="s">
        <v>104</v>
      </c>
      <c r="L811" t="s">
        <v>34</v>
      </c>
      <c r="M811" t="s">
        <v>94</v>
      </c>
      <c r="N811" t="s">
        <v>95</v>
      </c>
      <c r="O811">
        <v>60</v>
      </c>
      <c r="P811">
        <v>0</v>
      </c>
      <c r="Q811">
        <v>72.400000000000006</v>
      </c>
      <c r="R811">
        <v>1350</v>
      </c>
      <c r="S811">
        <v>0</v>
      </c>
      <c r="T811">
        <v>1350</v>
      </c>
      <c r="U811">
        <v>1</v>
      </c>
      <c r="V811">
        <v>0</v>
      </c>
      <c r="W811">
        <v>0</v>
      </c>
      <c r="X811">
        <v>0.85</v>
      </c>
    </row>
    <row r="812" spans="1:24" x14ac:dyDescent="0.3">
      <c r="A812" t="s">
        <v>1380</v>
      </c>
      <c r="B812" s="1">
        <v>45756</v>
      </c>
      <c r="C812" t="s">
        <v>92</v>
      </c>
      <c r="D812" t="s">
        <v>57</v>
      </c>
      <c r="E812" t="s">
        <v>27</v>
      </c>
      <c r="F812" t="s">
        <v>28</v>
      </c>
      <c r="G812" t="s">
        <v>29</v>
      </c>
      <c r="H812" t="s">
        <v>210</v>
      </c>
      <c r="I812" t="s">
        <v>166</v>
      </c>
      <c r="J812" t="s">
        <v>137</v>
      </c>
      <c r="K812" t="s">
        <v>63</v>
      </c>
      <c r="L812" t="s">
        <v>64</v>
      </c>
      <c r="M812" t="s">
        <v>86</v>
      </c>
      <c r="N812" t="s">
        <v>95</v>
      </c>
      <c r="O812">
        <v>45</v>
      </c>
      <c r="P812">
        <v>0</v>
      </c>
      <c r="Q812">
        <v>52.8</v>
      </c>
      <c r="R812">
        <v>950</v>
      </c>
      <c r="S812">
        <v>0</v>
      </c>
      <c r="T812">
        <v>950</v>
      </c>
      <c r="U812">
        <v>1</v>
      </c>
      <c r="V812">
        <v>0</v>
      </c>
      <c r="W812">
        <v>0</v>
      </c>
      <c r="X812">
        <v>0.85</v>
      </c>
    </row>
    <row r="813" spans="1:24" x14ac:dyDescent="0.3">
      <c r="A813" t="s">
        <v>1381</v>
      </c>
      <c r="B813" s="1">
        <v>45933</v>
      </c>
      <c r="C813" t="s">
        <v>97</v>
      </c>
      <c r="D813" t="s">
        <v>82</v>
      </c>
      <c r="E813" t="s">
        <v>83</v>
      </c>
      <c r="F813" t="s">
        <v>58</v>
      </c>
      <c r="G813" t="s">
        <v>59</v>
      </c>
      <c r="H813" t="s">
        <v>60</v>
      </c>
      <c r="I813" t="s">
        <v>694</v>
      </c>
      <c r="J813" t="s">
        <v>99</v>
      </c>
      <c r="K813" t="s">
        <v>85</v>
      </c>
      <c r="L813" t="s">
        <v>54</v>
      </c>
      <c r="M813" t="s">
        <v>86</v>
      </c>
      <c r="N813" t="s">
        <v>36</v>
      </c>
      <c r="O813">
        <v>45</v>
      </c>
      <c r="P813">
        <v>45</v>
      </c>
      <c r="Q813">
        <v>51.6</v>
      </c>
      <c r="R813">
        <v>950</v>
      </c>
      <c r="S813">
        <v>950</v>
      </c>
      <c r="T813">
        <v>0</v>
      </c>
      <c r="U813">
        <v>0</v>
      </c>
      <c r="V813">
        <v>1</v>
      </c>
      <c r="W813">
        <v>0</v>
      </c>
      <c r="X813">
        <v>0.85</v>
      </c>
    </row>
    <row r="814" spans="1:24" x14ac:dyDescent="0.3">
      <c r="A814" t="s">
        <v>1382</v>
      </c>
      <c r="B814" s="1">
        <v>45696</v>
      </c>
      <c r="C814" t="s">
        <v>76</v>
      </c>
      <c r="D814" t="s">
        <v>88</v>
      </c>
      <c r="E814" t="s">
        <v>40</v>
      </c>
      <c r="F814" t="s">
        <v>28</v>
      </c>
      <c r="G814" t="s">
        <v>29</v>
      </c>
      <c r="H814" t="s">
        <v>135</v>
      </c>
      <c r="I814" t="s">
        <v>1283</v>
      </c>
      <c r="J814" t="s">
        <v>62</v>
      </c>
      <c r="K814" t="s">
        <v>46</v>
      </c>
      <c r="L814" t="s">
        <v>34</v>
      </c>
      <c r="M814" t="s">
        <v>71</v>
      </c>
      <c r="N814" t="s">
        <v>36</v>
      </c>
      <c r="O814">
        <v>45</v>
      </c>
      <c r="P814">
        <v>45</v>
      </c>
      <c r="Q814">
        <v>56</v>
      </c>
      <c r="R814">
        <v>950</v>
      </c>
      <c r="S814">
        <v>950</v>
      </c>
      <c r="T814">
        <v>0</v>
      </c>
      <c r="U814">
        <v>0</v>
      </c>
      <c r="V814">
        <v>1</v>
      </c>
      <c r="W814">
        <v>0</v>
      </c>
      <c r="X814">
        <v>0.85</v>
      </c>
    </row>
    <row r="815" spans="1:24" x14ac:dyDescent="0.3">
      <c r="A815" t="s">
        <v>1383</v>
      </c>
      <c r="B815" s="1">
        <v>45990</v>
      </c>
      <c r="C815" t="s">
        <v>38</v>
      </c>
      <c r="D815" t="s">
        <v>88</v>
      </c>
      <c r="E815" t="s">
        <v>40</v>
      </c>
      <c r="F815" t="s">
        <v>41</v>
      </c>
      <c r="G815" t="s">
        <v>42</v>
      </c>
      <c r="H815" t="s">
        <v>43</v>
      </c>
      <c r="I815" t="s">
        <v>407</v>
      </c>
      <c r="J815" t="s">
        <v>62</v>
      </c>
      <c r="K815" t="s">
        <v>70</v>
      </c>
      <c r="L815" t="s">
        <v>54</v>
      </c>
      <c r="M815" t="s">
        <v>35</v>
      </c>
      <c r="N815" t="s">
        <v>36</v>
      </c>
      <c r="O815">
        <v>60</v>
      </c>
      <c r="P815">
        <v>60</v>
      </c>
      <c r="Q815">
        <v>66.3</v>
      </c>
      <c r="R815">
        <v>1150</v>
      </c>
      <c r="S815">
        <v>1150</v>
      </c>
      <c r="T815">
        <v>0</v>
      </c>
      <c r="U815">
        <v>0</v>
      </c>
      <c r="V815">
        <v>1</v>
      </c>
      <c r="W815">
        <v>0</v>
      </c>
      <c r="X815">
        <v>0.85</v>
      </c>
    </row>
    <row r="816" spans="1:24" x14ac:dyDescent="0.3">
      <c r="A816" t="s">
        <v>1384</v>
      </c>
      <c r="B816" s="1">
        <v>45797</v>
      </c>
      <c r="C816" t="s">
        <v>128</v>
      </c>
      <c r="D816" t="s">
        <v>26</v>
      </c>
      <c r="E816" t="s">
        <v>27</v>
      </c>
      <c r="F816" t="s">
        <v>58</v>
      </c>
      <c r="G816" t="s">
        <v>59</v>
      </c>
      <c r="H816" t="s">
        <v>117</v>
      </c>
      <c r="I816" t="s">
        <v>1385</v>
      </c>
      <c r="J816" t="s">
        <v>32</v>
      </c>
      <c r="K816" t="s">
        <v>46</v>
      </c>
      <c r="L816" t="s">
        <v>34</v>
      </c>
      <c r="M816" t="s">
        <v>65</v>
      </c>
      <c r="N816" t="s">
        <v>36</v>
      </c>
      <c r="O816">
        <v>45</v>
      </c>
      <c r="P816">
        <v>45</v>
      </c>
      <c r="Q816">
        <v>53.8</v>
      </c>
      <c r="R816">
        <v>1100</v>
      </c>
      <c r="S816">
        <v>1100</v>
      </c>
      <c r="T816">
        <v>0</v>
      </c>
      <c r="U816">
        <v>0</v>
      </c>
      <c r="V816">
        <v>1</v>
      </c>
      <c r="W816">
        <v>0</v>
      </c>
      <c r="X816">
        <v>0.85</v>
      </c>
    </row>
    <row r="817" spans="1:24" x14ac:dyDescent="0.3">
      <c r="A817" t="s">
        <v>1386</v>
      </c>
      <c r="B817" s="1">
        <v>45693</v>
      </c>
      <c r="C817" t="s">
        <v>76</v>
      </c>
      <c r="D817" t="s">
        <v>57</v>
      </c>
      <c r="E817" t="s">
        <v>68</v>
      </c>
      <c r="F817" t="s">
        <v>41</v>
      </c>
      <c r="G817" t="s">
        <v>42</v>
      </c>
      <c r="H817" t="s">
        <v>111</v>
      </c>
      <c r="I817" t="s">
        <v>941</v>
      </c>
      <c r="J817" t="s">
        <v>53</v>
      </c>
      <c r="K817" t="s">
        <v>104</v>
      </c>
      <c r="L817" t="s">
        <v>78</v>
      </c>
      <c r="M817" t="s">
        <v>71</v>
      </c>
      <c r="N817" t="s">
        <v>36</v>
      </c>
      <c r="O817">
        <v>45</v>
      </c>
      <c r="P817">
        <v>45</v>
      </c>
      <c r="Q817">
        <v>51.6</v>
      </c>
      <c r="R817">
        <v>1100</v>
      </c>
      <c r="S817">
        <v>1100</v>
      </c>
      <c r="T817">
        <v>0</v>
      </c>
      <c r="U817">
        <v>0</v>
      </c>
      <c r="V817">
        <v>1</v>
      </c>
      <c r="W817">
        <v>0</v>
      </c>
      <c r="X817">
        <v>0.85</v>
      </c>
    </row>
    <row r="818" spans="1:24" x14ac:dyDescent="0.3">
      <c r="A818" t="s">
        <v>1387</v>
      </c>
      <c r="B818" s="1">
        <v>46005</v>
      </c>
      <c r="C818" t="s">
        <v>25</v>
      </c>
      <c r="D818" t="s">
        <v>287</v>
      </c>
      <c r="E818" t="s">
        <v>40</v>
      </c>
      <c r="F818" t="s">
        <v>58</v>
      </c>
      <c r="G818" t="s">
        <v>59</v>
      </c>
      <c r="H818" t="s">
        <v>60</v>
      </c>
      <c r="I818" t="s">
        <v>701</v>
      </c>
      <c r="J818" t="s">
        <v>62</v>
      </c>
      <c r="K818" t="s">
        <v>46</v>
      </c>
      <c r="L818" t="s">
        <v>34</v>
      </c>
      <c r="M818" t="s">
        <v>65</v>
      </c>
      <c r="N818" t="s">
        <v>36</v>
      </c>
      <c r="O818">
        <v>60</v>
      </c>
      <c r="P818">
        <v>60</v>
      </c>
      <c r="Q818">
        <v>77.099999999999994</v>
      </c>
      <c r="R818">
        <v>1500</v>
      </c>
      <c r="S818">
        <v>1500</v>
      </c>
      <c r="T818">
        <v>0</v>
      </c>
      <c r="U818">
        <v>0</v>
      </c>
      <c r="V818">
        <v>1</v>
      </c>
      <c r="W818">
        <v>0</v>
      </c>
      <c r="X818">
        <v>0.85</v>
      </c>
    </row>
    <row r="819" spans="1:24" x14ac:dyDescent="0.3">
      <c r="A819" t="s">
        <v>1388</v>
      </c>
      <c r="B819" s="1">
        <v>45933</v>
      </c>
      <c r="C819" t="s">
        <v>97</v>
      </c>
      <c r="D819" t="s">
        <v>82</v>
      </c>
      <c r="E819" t="s">
        <v>27</v>
      </c>
      <c r="F819" t="s">
        <v>41</v>
      </c>
      <c r="G819" t="s">
        <v>42</v>
      </c>
      <c r="H819" t="s">
        <v>89</v>
      </c>
      <c r="I819" t="s">
        <v>544</v>
      </c>
      <c r="J819" t="s">
        <v>62</v>
      </c>
      <c r="K819" t="s">
        <v>46</v>
      </c>
      <c r="L819" t="s">
        <v>64</v>
      </c>
      <c r="M819" t="s">
        <v>47</v>
      </c>
      <c r="N819" t="s">
        <v>113</v>
      </c>
      <c r="O819">
        <v>60</v>
      </c>
      <c r="P819">
        <v>0</v>
      </c>
      <c r="Q819">
        <v>71.400000000000006</v>
      </c>
      <c r="R819">
        <v>1350</v>
      </c>
      <c r="S819">
        <v>0</v>
      </c>
      <c r="T819">
        <v>1350</v>
      </c>
      <c r="U819">
        <v>0</v>
      </c>
      <c r="V819">
        <v>0</v>
      </c>
      <c r="W819">
        <v>1</v>
      </c>
      <c r="X819">
        <v>0.85</v>
      </c>
    </row>
    <row r="820" spans="1:24" x14ac:dyDescent="0.3">
      <c r="A820" t="s">
        <v>1389</v>
      </c>
      <c r="B820" s="1">
        <v>45733</v>
      </c>
      <c r="C820" t="s">
        <v>56</v>
      </c>
      <c r="D820" t="s">
        <v>39</v>
      </c>
      <c r="E820" t="s">
        <v>68</v>
      </c>
      <c r="F820" t="s">
        <v>41</v>
      </c>
      <c r="G820" t="s">
        <v>42</v>
      </c>
      <c r="H820" t="s">
        <v>89</v>
      </c>
      <c r="I820" t="s">
        <v>468</v>
      </c>
      <c r="J820" t="s">
        <v>62</v>
      </c>
      <c r="K820" t="s">
        <v>85</v>
      </c>
      <c r="L820" t="s">
        <v>64</v>
      </c>
      <c r="M820" t="s">
        <v>94</v>
      </c>
      <c r="N820" t="s">
        <v>113</v>
      </c>
      <c r="O820">
        <v>30</v>
      </c>
      <c r="P820">
        <v>0</v>
      </c>
      <c r="Q820">
        <v>38.5</v>
      </c>
      <c r="R820">
        <v>700</v>
      </c>
      <c r="S820">
        <v>0</v>
      </c>
      <c r="T820">
        <v>700</v>
      </c>
      <c r="U820">
        <v>0</v>
      </c>
      <c r="V820">
        <v>0</v>
      </c>
      <c r="W820">
        <v>1</v>
      </c>
      <c r="X820">
        <v>0.85</v>
      </c>
    </row>
    <row r="821" spans="1:24" x14ac:dyDescent="0.3">
      <c r="A821" t="s">
        <v>1390</v>
      </c>
      <c r="B821" s="1">
        <v>45724</v>
      </c>
      <c r="C821" t="s">
        <v>56</v>
      </c>
      <c r="D821" t="s">
        <v>88</v>
      </c>
      <c r="E821" t="s">
        <v>27</v>
      </c>
      <c r="F821" t="s">
        <v>28</v>
      </c>
      <c r="G821" t="s">
        <v>29</v>
      </c>
      <c r="H821" t="s">
        <v>210</v>
      </c>
      <c r="I821" t="s">
        <v>1126</v>
      </c>
      <c r="J821" t="s">
        <v>53</v>
      </c>
      <c r="K821" t="s">
        <v>70</v>
      </c>
      <c r="L821" t="s">
        <v>34</v>
      </c>
      <c r="M821" t="s">
        <v>35</v>
      </c>
      <c r="N821" t="s">
        <v>36</v>
      </c>
      <c r="O821">
        <v>60</v>
      </c>
      <c r="P821">
        <v>60</v>
      </c>
      <c r="Q821">
        <v>80.900000000000006</v>
      </c>
      <c r="R821">
        <v>1500</v>
      </c>
      <c r="S821">
        <v>1500</v>
      </c>
      <c r="T821">
        <v>0</v>
      </c>
      <c r="U821">
        <v>0</v>
      </c>
      <c r="V821">
        <v>1</v>
      </c>
      <c r="W821">
        <v>0</v>
      </c>
      <c r="X821">
        <v>0.85</v>
      </c>
    </row>
    <row r="822" spans="1:24" x14ac:dyDescent="0.3">
      <c r="A822" t="s">
        <v>1391</v>
      </c>
      <c r="B822" s="1">
        <v>45674</v>
      </c>
      <c r="C822" t="s">
        <v>130</v>
      </c>
      <c r="D822" t="s">
        <v>82</v>
      </c>
      <c r="E822" t="s">
        <v>68</v>
      </c>
      <c r="F822" t="s">
        <v>58</v>
      </c>
      <c r="G822" t="s">
        <v>59</v>
      </c>
      <c r="H822" t="s">
        <v>296</v>
      </c>
      <c r="I822" t="s">
        <v>304</v>
      </c>
      <c r="J822" t="s">
        <v>32</v>
      </c>
      <c r="K822" t="s">
        <v>70</v>
      </c>
      <c r="L822" t="s">
        <v>64</v>
      </c>
      <c r="M822" t="s">
        <v>71</v>
      </c>
      <c r="N822" t="s">
        <v>36</v>
      </c>
      <c r="O822">
        <v>75</v>
      </c>
      <c r="P822">
        <v>75</v>
      </c>
      <c r="Q822">
        <v>93.8</v>
      </c>
      <c r="R822">
        <v>1900</v>
      </c>
      <c r="S822">
        <v>1900</v>
      </c>
      <c r="T822">
        <v>0</v>
      </c>
      <c r="U822">
        <v>0</v>
      </c>
      <c r="V822">
        <v>1</v>
      </c>
      <c r="W822">
        <v>0</v>
      </c>
      <c r="X822">
        <v>0.85</v>
      </c>
    </row>
    <row r="823" spans="1:24" x14ac:dyDescent="0.3">
      <c r="A823" t="s">
        <v>1392</v>
      </c>
      <c r="B823" s="1">
        <v>45675</v>
      </c>
      <c r="C823" t="s">
        <v>130</v>
      </c>
      <c r="D823" t="s">
        <v>88</v>
      </c>
      <c r="E823" t="s">
        <v>68</v>
      </c>
      <c r="F823" t="s">
        <v>28</v>
      </c>
      <c r="G823" t="s">
        <v>29</v>
      </c>
      <c r="H823" t="s">
        <v>135</v>
      </c>
      <c r="I823" t="s">
        <v>1393</v>
      </c>
      <c r="J823" t="s">
        <v>62</v>
      </c>
      <c r="K823" t="s">
        <v>63</v>
      </c>
      <c r="L823" t="s">
        <v>78</v>
      </c>
      <c r="M823" t="s">
        <v>86</v>
      </c>
      <c r="N823" t="s">
        <v>113</v>
      </c>
      <c r="O823">
        <v>45</v>
      </c>
      <c r="P823">
        <v>0</v>
      </c>
      <c r="Q823">
        <v>55.3</v>
      </c>
      <c r="R823">
        <v>850</v>
      </c>
      <c r="S823">
        <v>0</v>
      </c>
      <c r="T823">
        <v>850</v>
      </c>
      <c r="U823">
        <v>0</v>
      </c>
      <c r="V823">
        <v>0</v>
      </c>
      <c r="W823">
        <v>1</v>
      </c>
      <c r="X823">
        <v>0.85</v>
      </c>
    </row>
    <row r="824" spans="1:24" x14ac:dyDescent="0.3">
      <c r="A824" t="s">
        <v>1394</v>
      </c>
      <c r="B824" s="1">
        <v>46022</v>
      </c>
      <c r="C824" t="s">
        <v>25</v>
      </c>
      <c r="D824" t="s">
        <v>57</v>
      </c>
      <c r="E824" t="s">
        <v>27</v>
      </c>
      <c r="F824" t="s">
        <v>58</v>
      </c>
      <c r="G824" t="s">
        <v>59</v>
      </c>
      <c r="H824" t="s">
        <v>151</v>
      </c>
      <c r="I824" t="s">
        <v>350</v>
      </c>
      <c r="J824" t="s">
        <v>137</v>
      </c>
      <c r="K824" t="s">
        <v>33</v>
      </c>
      <c r="L824" t="s">
        <v>34</v>
      </c>
      <c r="M824" t="s">
        <v>94</v>
      </c>
      <c r="N824" t="s">
        <v>36</v>
      </c>
      <c r="O824">
        <v>60</v>
      </c>
      <c r="P824">
        <v>60</v>
      </c>
      <c r="Q824">
        <v>75</v>
      </c>
      <c r="R824">
        <v>1500</v>
      </c>
      <c r="S824">
        <v>1500</v>
      </c>
      <c r="T824">
        <v>0</v>
      </c>
      <c r="U824">
        <v>0</v>
      </c>
      <c r="V824">
        <v>1</v>
      </c>
      <c r="W824">
        <v>0</v>
      </c>
      <c r="X824">
        <v>0.85</v>
      </c>
    </row>
    <row r="825" spans="1:24" x14ac:dyDescent="0.3">
      <c r="A825" t="s">
        <v>1395</v>
      </c>
      <c r="B825" s="1">
        <v>46008</v>
      </c>
      <c r="C825" t="s">
        <v>25</v>
      </c>
      <c r="D825" t="s">
        <v>57</v>
      </c>
      <c r="E825" t="s">
        <v>27</v>
      </c>
      <c r="F825" t="s">
        <v>41</v>
      </c>
      <c r="G825" t="s">
        <v>42</v>
      </c>
      <c r="H825" t="s">
        <v>125</v>
      </c>
      <c r="I825" t="s">
        <v>505</v>
      </c>
      <c r="J825" t="s">
        <v>62</v>
      </c>
      <c r="K825" t="s">
        <v>33</v>
      </c>
      <c r="L825" t="s">
        <v>54</v>
      </c>
      <c r="M825" t="s">
        <v>71</v>
      </c>
      <c r="N825" t="s">
        <v>36</v>
      </c>
      <c r="O825">
        <v>45</v>
      </c>
      <c r="P825">
        <v>45</v>
      </c>
      <c r="Q825">
        <v>50.1</v>
      </c>
      <c r="R825">
        <v>850</v>
      </c>
      <c r="S825">
        <v>850</v>
      </c>
      <c r="T825">
        <v>0</v>
      </c>
      <c r="U825">
        <v>0</v>
      </c>
      <c r="V825">
        <v>1</v>
      </c>
      <c r="W825">
        <v>0</v>
      </c>
      <c r="X825">
        <v>0.85</v>
      </c>
    </row>
    <row r="826" spans="1:24" x14ac:dyDescent="0.3">
      <c r="A826" t="s">
        <v>1396</v>
      </c>
      <c r="B826" s="1">
        <v>45917</v>
      </c>
      <c r="C826" t="s">
        <v>49</v>
      </c>
      <c r="D826" t="s">
        <v>57</v>
      </c>
      <c r="E826" t="s">
        <v>83</v>
      </c>
      <c r="F826" t="s">
        <v>58</v>
      </c>
      <c r="G826" t="s">
        <v>59</v>
      </c>
      <c r="H826" t="s">
        <v>60</v>
      </c>
      <c r="I826" t="s">
        <v>168</v>
      </c>
      <c r="J826" t="s">
        <v>62</v>
      </c>
      <c r="K826" t="s">
        <v>33</v>
      </c>
      <c r="L826" t="s">
        <v>64</v>
      </c>
      <c r="M826" t="s">
        <v>35</v>
      </c>
      <c r="N826" t="s">
        <v>36</v>
      </c>
      <c r="O826">
        <v>60</v>
      </c>
      <c r="P826">
        <v>60</v>
      </c>
      <c r="Q826">
        <v>70.7</v>
      </c>
      <c r="R826">
        <v>1500</v>
      </c>
      <c r="S826">
        <v>1500</v>
      </c>
      <c r="T826">
        <v>0</v>
      </c>
      <c r="U826">
        <v>0</v>
      </c>
      <c r="V826">
        <v>1</v>
      </c>
      <c r="W826">
        <v>0</v>
      </c>
      <c r="X826">
        <v>0.85</v>
      </c>
    </row>
    <row r="827" spans="1:24" x14ac:dyDescent="0.3">
      <c r="A827" t="s">
        <v>1397</v>
      </c>
      <c r="B827" s="1">
        <v>45990</v>
      </c>
      <c r="C827" t="s">
        <v>38</v>
      </c>
      <c r="D827" t="s">
        <v>88</v>
      </c>
      <c r="E827" t="s">
        <v>83</v>
      </c>
      <c r="F827" t="s">
        <v>58</v>
      </c>
      <c r="G827" t="s">
        <v>59</v>
      </c>
      <c r="H827" t="s">
        <v>60</v>
      </c>
      <c r="I827" t="s">
        <v>190</v>
      </c>
      <c r="J827" t="s">
        <v>32</v>
      </c>
      <c r="K827" t="s">
        <v>70</v>
      </c>
      <c r="L827" t="s">
        <v>64</v>
      </c>
      <c r="M827" t="s">
        <v>65</v>
      </c>
      <c r="N827" t="s">
        <v>95</v>
      </c>
      <c r="O827">
        <v>60</v>
      </c>
      <c r="P827">
        <v>0</v>
      </c>
      <c r="Q827">
        <v>71.099999999999994</v>
      </c>
      <c r="R827">
        <v>1500</v>
      </c>
      <c r="S827">
        <v>0</v>
      </c>
      <c r="T827">
        <v>1500</v>
      </c>
      <c r="U827">
        <v>1</v>
      </c>
      <c r="V827">
        <v>0</v>
      </c>
      <c r="W827">
        <v>0</v>
      </c>
      <c r="X827">
        <v>0.85</v>
      </c>
    </row>
    <row r="828" spans="1:24" x14ac:dyDescent="0.3">
      <c r="A828" t="s">
        <v>1398</v>
      </c>
      <c r="B828" s="1">
        <v>45869</v>
      </c>
      <c r="C828" t="s">
        <v>101</v>
      </c>
      <c r="D828" t="s">
        <v>50</v>
      </c>
      <c r="E828" t="s">
        <v>40</v>
      </c>
      <c r="F828" t="s">
        <v>28</v>
      </c>
      <c r="G828" t="s">
        <v>29</v>
      </c>
      <c r="H828" t="s">
        <v>102</v>
      </c>
      <c r="I828" t="s">
        <v>690</v>
      </c>
      <c r="J828" t="s">
        <v>32</v>
      </c>
      <c r="K828" t="s">
        <v>33</v>
      </c>
      <c r="L828" t="s">
        <v>64</v>
      </c>
      <c r="M828" t="s">
        <v>35</v>
      </c>
      <c r="N828" t="s">
        <v>36</v>
      </c>
      <c r="O828">
        <v>30</v>
      </c>
      <c r="P828">
        <v>30</v>
      </c>
      <c r="Q828">
        <v>33.799999999999997</v>
      </c>
      <c r="R828">
        <v>600</v>
      </c>
      <c r="S828">
        <v>600</v>
      </c>
      <c r="T828">
        <v>0</v>
      </c>
      <c r="U828">
        <v>0</v>
      </c>
      <c r="V828">
        <v>1</v>
      </c>
      <c r="W828">
        <v>0</v>
      </c>
      <c r="X828">
        <v>0.85</v>
      </c>
    </row>
    <row r="829" spans="1:24" x14ac:dyDescent="0.3">
      <c r="A829" t="s">
        <v>1399</v>
      </c>
      <c r="B829" s="1">
        <v>45710</v>
      </c>
      <c r="C829" t="s">
        <v>76</v>
      </c>
      <c r="D829" t="s">
        <v>88</v>
      </c>
      <c r="E829" t="s">
        <v>27</v>
      </c>
      <c r="F829" t="s">
        <v>41</v>
      </c>
      <c r="G829" t="s">
        <v>42</v>
      </c>
      <c r="H829" t="s">
        <v>125</v>
      </c>
      <c r="I829" t="s">
        <v>1114</v>
      </c>
      <c r="J829" t="s">
        <v>62</v>
      </c>
      <c r="K829" t="s">
        <v>33</v>
      </c>
      <c r="L829" t="s">
        <v>54</v>
      </c>
      <c r="M829" t="s">
        <v>47</v>
      </c>
      <c r="N829" t="s">
        <v>36</v>
      </c>
      <c r="O829">
        <v>60</v>
      </c>
      <c r="P829">
        <v>60</v>
      </c>
      <c r="Q829">
        <v>65.7</v>
      </c>
      <c r="R829">
        <v>1150</v>
      </c>
      <c r="S829">
        <v>1150</v>
      </c>
      <c r="T829">
        <v>0</v>
      </c>
      <c r="U829">
        <v>0</v>
      </c>
      <c r="V829">
        <v>1</v>
      </c>
      <c r="W829">
        <v>0</v>
      </c>
      <c r="X829">
        <v>0.85</v>
      </c>
    </row>
    <row r="830" spans="1:24" x14ac:dyDescent="0.3">
      <c r="A830" t="s">
        <v>1400</v>
      </c>
      <c r="B830" s="1">
        <v>45964</v>
      </c>
      <c r="C830" t="s">
        <v>38</v>
      </c>
      <c r="D830" t="s">
        <v>39</v>
      </c>
      <c r="E830" t="s">
        <v>27</v>
      </c>
      <c r="F830" t="s">
        <v>41</v>
      </c>
      <c r="G830" t="s">
        <v>42</v>
      </c>
      <c r="H830" t="s">
        <v>51</v>
      </c>
      <c r="I830" t="s">
        <v>1201</v>
      </c>
      <c r="J830" t="s">
        <v>45</v>
      </c>
      <c r="K830" t="s">
        <v>70</v>
      </c>
      <c r="L830" t="s">
        <v>78</v>
      </c>
      <c r="M830" t="s">
        <v>47</v>
      </c>
      <c r="N830" t="s">
        <v>36</v>
      </c>
      <c r="O830">
        <v>45</v>
      </c>
      <c r="P830">
        <v>45</v>
      </c>
      <c r="Q830">
        <v>50</v>
      </c>
      <c r="R830">
        <v>1050</v>
      </c>
      <c r="S830">
        <v>1050</v>
      </c>
      <c r="T830">
        <v>0</v>
      </c>
      <c r="U830">
        <v>0</v>
      </c>
      <c r="V830">
        <v>1</v>
      </c>
      <c r="W830">
        <v>0</v>
      </c>
      <c r="X830">
        <v>0.85</v>
      </c>
    </row>
    <row r="831" spans="1:24" x14ac:dyDescent="0.3">
      <c r="A831" t="s">
        <v>1401</v>
      </c>
      <c r="B831" s="1">
        <v>45904</v>
      </c>
      <c r="C831" t="s">
        <v>49</v>
      </c>
      <c r="D831" t="s">
        <v>50</v>
      </c>
      <c r="E831" t="s">
        <v>68</v>
      </c>
      <c r="F831" t="s">
        <v>41</v>
      </c>
      <c r="G831" t="s">
        <v>42</v>
      </c>
      <c r="H831" t="s">
        <v>43</v>
      </c>
      <c r="I831" t="s">
        <v>537</v>
      </c>
      <c r="J831" t="s">
        <v>53</v>
      </c>
      <c r="K831" t="s">
        <v>46</v>
      </c>
      <c r="L831" t="s">
        <v>64</v>
      </c>
      <c r="M831" t="s">
        <v>35</v>
      </c>
      <c r="N831" t="s">
        <v>36</v>
      </c>
      <c r="O831">
        <v>60</v>
      </c>
      <c r="P831">
        <v>60</v>
      </c>
      <c r="Q831">
        <v>77.599999999999994</v>
      </c>
      <c r="R831">
        <v>1600</v>
      </c>
      <c r="S831">
        <v>1600</v>
      </c>
      <c r="T831">
        <v>0</v>
      </c>
      <c r="U831">
        <v>0</v>
      </c>
      <c r="V831">
        <v>1</v>
      </c>
      <c r="W831">
        <v>0</v>
      </c>
      <c r="X831">
        <v>0.85</v>
      </c>
    </row>
    <row r="832" spans="1:24" x14ac:dyDescent="0.3">
      <c r="A832" t="s">
        <v>1402</v>
      </c>
      <c r="B832" s="1">
        <v>45776</v>
      </c>
      <c r="C832" t="s">
        <v>92</v>
      </c>
      <c r="D832" t="s">
        <v>26</v>
      </c>
      <c r="E832" t="s">
        <v>68</v>
      </c>
      <c r="F832" t="s">
        <v>58</v>
      </c>
      <c r="G832" t="s">
        <v>59</v>
      </c>
      <c r="H832" t="s">
        <v>60</v>
      </c>
      <c r="I832" t="s">
        <v>1403</v>
      </c>
      <c r="J832" t="s">
        <v>45</v>
      </c>
      <c r="K832" t="s">
        <v>46</v>
      </c>
      <c r="L832" t="s">
        <v>34</v>
      </c>
      <c r="M832" t="s">
        <v>94</v>
      </c>
      <c r="N832" t="s">
        <v>36</v>
      </c>
      <c r="O832">
        <v>45</v>
      </c>
      <c r="P832">
        <v>45</v>
      </c>
      <c r="Q832">
        <v>58.4</v>
      </c>
      <c r="R832">
        <v>1300</v>
      </c>
      <c r="S832">
        <v>1300</v>
      </c>
      <c r="T832">
        <v>0</v>
      </c>
      <c r="U832">
        <v>0</v>
      </c>
      <c r="V832">
        <v>1</v>
      </c>
      <c r="W832">
        <v>0</v>
      </c>
      <c r="X832">
        <v>0.85</v>
      </c>
    </row>
    <row r="833" spans="1:24" x14ac:dyDescent="0.3">
      <c r="A833" t="s">
        <v>1404</v>
      </c>
      <c r="B833" s="1">
        <v>45688</v>
      </c>
      <c r="C833" t="s">
        <v>130</v>
      </c>
      <c r="D833" t="s">
        <v>82</v>
      </c>
      <c r="E833" t="s">
        <v>27</v>
      </c>
      <c r="F833" t="s">
        <v>41</v>
      </c>
      <c r="G833" t="s">
        <v>42</v>
      </c>
      <c r="H833" t="s">
        <v>111</v>
      </c>
      <c r="I833" t="s">
        <v>986</v>
      </c>
      <c r="J833" t="s">
        <v>62</v>
      </c>
      <c r="K833" t="s">
        <v>33</v>
      </c>
      <c r="L833" t="s">
        <v>78</v>
      </c>
      <c r="M833" t="s">
        <v>65</v>
      </c>
      <c r="N833" t="s">
        <v>36</v>
      </c>
      <c r="O833">
        <v>60</v>
      </c>
      <c r="P833">
        <v>60</v>
      </c>
      <c r="Q833">
        <v>80.400000000000006</v>
      </c>
      <c r="R833">
        <v>1250</v>
      </c>
      <c r="S833">
        <v>1250</v>
      </c>
      <c r="T833">
        <v>0</v>
      </c>
      <c r="U833">
        <v>0</v>
      </c>
      <c r="V833">
        <v>1</v>
      </c>
      <c r="W833">
        <v>0</v>
      </c>
      <c r="X833">
        <v>0.85</v>
      </c>
    </row>
    <row r="834" spans="1:24" x14ac:dyDescent="0.3">
      <c r="A834" t="s">
        <v>1405</v>
      </c>
      <c r="B834" s="1">
        <v>45926</v>
      </c>
      <c r="C834" t="s">
        <v>49</v>
      </c>
      <c r="D834" t="s">
        <v>82</v>
      </c>
      <c r="E834" t="s">
        <v>68</v>
      </c>
      <c r="F834" t="s">
        <v>58</v>
      </c>
      <c r="G834" t="s">
        <v>59</v>
      </c>
      <c r="H834" t="s">
        <v>151</v>
      </c>
      <c r="I834" t="s">
        <v>147</v>
      </c>
      <c r="J834" t="s">
        <v>99</v>
      </c>
      <c r="K834" t="s">
        <v>104</v>
      </c>
      <c r="L834" t="s">
        <v>54</v>
      </c>
      <c r="M834" t="s">
        <v>94</v>
      </c>
      <c r="N834" t="s">
        <v>36</v>
      </c>
      <c r="O834">
        <v>45</v>
      </c>
      <c r="P834">
        <v>45</v>
      </c>
      <c r="Q834">
        <v>50.2</v>
      </c>
      <c r="R834">
        <v>950</v>
      </c>
      <c r="S834">
        <v>950</v>
      </c>
      <c r="T834">
        <v>0</v>
      </c>
      <c r="U834">
        <v>0</v>
      </c>
      <c r="V834">
        <v>1</v>
      </c>
      <c r="W834">
        <v>0</v>
      </c>
      <c r="X834">
        <v>0.85</v>
      </c>
    </row>
    <row r="835" spans="1:24" x14ac:dyDescent="0.3">
      <c r="A835" t="s">
        <v>1406</v>
      </c>
      <c r="B835" s="1">
        <v>45927</v>
      </c>
      <c r="C835" t="s">
        <v>49</v>
      </c>
      <c r="D835" t="s">
        <v>88</v>
      </c>
      <c r="E835" t="s">
        <v>83</v>
      </c>
      <c r="F835" t="s">
        <v>58</v>
      </c>
      <c r="G835" t="s">
        <v>59</v>
      </c>
      <c r="H835" t="s">
        <v>60</v>
      </c>
      <c r="I835" t="s">
        <v>770</v>
      </c>
      <c r="J835" t="s">
        <v>137</v>
      </c>
      <c r="K835" t="s">
        <v>33</v>
      </c>
      <c r="L835" t="s">
        <v>34</v>
      </c>
      <c r="M835" t="s">
        <v>35</v>
      </c>
      <c r="N835" t="s">
        <v>95</v>
      </c>
      <c r="O835">
        <v>60</v>
      </c>
      <c r="P835">
        <v>0</v>
      </c>
      <c r="Q835">
        <v>66.900000000000006</v>
      </c>
      <c r="R835">
        <v>1500</v>
      </c>
      <c r="S835">
        <v>0</v>
      </c>
      <c r="T835">
        <v>1500</v>
      </c>
      <c r="U835">
        <v>1</v>
      </c>
      <c r="V835">
        <v>0</v>
      </c>
      <c r="W835">
        <v>0</v>
      </c>
      <c r="X835">
        <v>0.85</v>
      </c>
    </row>
    <row r="836" spans="1:24" x14ac:dyDescent="0.3">
      <c r="A836" t="s">
        <v>1407</v>
      </c>
      <c r="B836" s="1">
        <v>45810</v>
      </c>
      <c r="C836" t="s">
        <v>67</v>
      </c>
      <c r="D836" t="s">
        <v>39</v>
      </c>
      <c r="E836" t="s">
        <v>27</v>
      </c>
      <c r="F836" t="s">
        <v>58</v>
      </c>
      <c r="G836" t="s">
        <v>59</v>
      </c>
      <c r="H836" t="s">
        <v>151</v>
      </c>
      <c r="I836" t="s">
        <v>166</v>
      </c>
      <c r="J836" t="s">
        <v>45</v>
      </c>
      <c r="K836" t="s">
        <v>85</v>
      </c>
      <c r="L836" t="s">
        <v>34</v>
      </c>
      <c r="M836" t="s">
        <v>35</v>
      </c>
      <c r="N836" t="s">
        <v>36</v>
      </c>
      <c r="O836">
        <v>60</v>
      </c>
      <c r="P836">
        <v>60</v>
      </c>
      <c r="Q836">
        <v>69.7</v>
      </c>
      <c r="R836">
        <v>1700</v>
      </c>
      <c r="S836">
        <v>1700</v>
      </c>
      <c r="T836">
        <v>0</v>
      </c>
      <c r="U836">
        <v>0</v>
      </c>
      <c r="V836">
        <v>1</v>
      </c>
      <c r="W836">
        <v>0</v>
      </c>
      <c r="X836">
        <v>0.85</v>
      </c>
    </row>
    <row r="837" spans="1:24" x14ac:dyDescent="0.3">
      <c r="A837" t="s">
        <v>1408</v>
      </c>
      <c r="B837" s="1">
        <v>45698</v>
      </c>
      <c r="C837" t="s">
        <v>76</v>
      </c>
      <c r="D837" t="s">
        <v>39</v>
      </c>
      <c r="E837" t="s">
        <v>27</v>
      </c>
      <c r="F837" t="s">
        <v>58</v>
      </c>
      <c r="G837" t="s">
        <v>59</v>
      </c>
      <c r="H837" t="s">
        <v>60</v>
      </c>
      <c r="I837" t="s">
        <v>854</v>
      </c>
      <c r="J837" t="s">
        <v>62</v>
      </c>
      <c r="K837" t="s">
        <v>104</v>
      </c>
      <c r="L837" t="s">
        <v>64</v>
      </c>
      <c r="M837" t="s">
        <v>86</v>
      </c>
      <c r="N837" t="s">
        <v>36</v>
      </c>
      <c r="O837">
        <v>60</v>
      </c>
      <c r="P837">
        <v>60</v>
      </c>
      <c r="Q837">
        <v>72.7</v>
      </c>
      <c r="R837">
        <v>1500</v>
      </c>
      <c r="S837">
        <v>1500</v>
      </c>
      <c r="T837">
        <v>0</v>
      </c>
      <c r="U837">
        <v>0</v>
      </c>
      <c r="V837">
        <v>1</v>
      </c>
      <c r="W837">
        <v>0</v>
      </c>
      <c r="X837">
        <v>0.85</v>
      </c>
    </row>
    <row r="838" spans="1:24" x14ac:dyDescent="0.3">
      <c r="A838" t="s">
        <v>1409</v>
      </c>
      <c r="B838" s="1">
        <v>45927</v>
      </c>
      <c r="C838" t="s">
        <v>49</v>
      </c>
      <c r="D838" t="s">
        <v>88</v>
      </c>
      <c r="E838" t="s">
        <v>40</v>
      </c>
      <c r="F838" t="s">
        <v>28</v>
      </c>
      <c r="G838" t="s">
        <v>29</v>
      </c>
      <c r="H838" t="s">
        <v>30</v>
      </c>
      <c r="I838" t="s">
        <v>449</v>
      </c>
      <c r="J838" t="s">
        <v>45</v>
      </c>
      <c r="K838" t="s">
        <v>33</v>
      </c>
      <c r="L838" t="s">
        <v>34</v>
      </c>
      <c r="M838" t="s">
        <v>47</v>
      </c>
      <c r="N838" t="s">
        <v>95</v>
      </c>
      <c r="O838">
        <v>45</v>
      </c>
      <c r="P838">
        <v>0</v>
      </c>
      <c r="Q838">
        <v>56.2</v>
      </c>
      <c r="R838">
        <v>1100</v>
      </c>
      <c r="S838">
        <v>0</v>
      </c>
      <c r="T838">
        <v>1100</v>
      </c>
      <c r="U838">
        <v>1</v>
      </c>
      <c r="V838">
        <v>0</v>
      </c>
      <c r="W838">
        <v>0</v>
      </c>
      <c r="X838">
        <v>0.85</v>
      </c>
    </row>
    <row r="839" spans="1:24" x14ac:dyDescent="0.3">
      <c r="A839" t="s">
        <v>1410</v>
      </c>
      <c r="B839" s="1">
        <v>45735</v>
      </c>
      <c r="C839" t="s">
        <v>56</v>
      </c>
      <c r="D839" t="s">
        <v>57</v>
      </c>
      <c r="E839" t="s">
        <v>40</v>
      </c>
      <c r="F839" t="s">
        <v>28</v>
      </c>
      <c r="G839" t="s">
        <v>29</v>
      </c>
      <c r="H839" t="s">
        <v>210</v>
      </c>
      <c r="I839" t="s">
        <v>1411</v>
      </c>
      <c r="J839" t="s">
        <v>45</v>
      </c>
      <c r="K839" t="s">
        <v>85</v>
      </c>
      <c r="L839" t="s">
        <v>64</v>
      </c>
      <c r="M839" t="s">
        <v>71</v>
      </c>
      <c r="N839" t="s">
        <v>36</v>
      </c>
      <c r="O839">
        <v>45</v>
      </c>
      <c r="P839">
        <v>45</v>
      </c>
      <c r="Q839">
        <v>51.4</v>
      </c>
      <c r="R839">
        <v>1100</v>
      </c>
      <c r="S839">
        <v>1100</v>
      </c>
      <c r="T839">
        <v>0</v>
      </c>
      <c r="U839">
        <v>0</v>
      </c>
      <c r="V839">
        <v>1</v>
      </c>
      <c r="W839">
        <v>0</v>
      </c>
      <c r="X839">
        <v>0.85</v>
      </c>
    </row>
    <row r="840" spans="1:24" x14ac:dyDescent="0.3">
      <c r="A840" t="s">
        <v>1412</v>
      </c>
      <c r="B840" s="1">
        <v>45945</v>
      </c>
      <c r="C840" t="s">
        <v>97</v>
      </c>
      <c r="D840" t="s">
        <v>57</v>
      </c>
      <c r="E840" t="s">
        <v>68</v>
      </c>
      <c r="F840" t="s">
        <v>58</v>
      </c>
      <c r="G840" t="s">
        <v>59</v>
      </c>
      <c r="H840" t="s">
        <v>60</v>
      </c>
      <c r="I840" t="s">
        <v>999</v>
      </c>
      <c r="J840" t="s">
        <v>62</v>
      </c>
      <c r="K840" t="s">
        <v>33</v>
      </c>
      <c r="L840" t="s">
        <v>34</v>
      </c>
      <c r="M840" t="s">
        <v>86</v>
      </c>
      <c r="N840" t="s">
        <v>36</v>
      </c>
      <c r="O840">
        <v>30</v>
      </c>
      <c r="P840">
        <v>30</v>
      </c>
      <c r="Q840">
        <v>38.5</v>
      </c>
      <c r="R840">
        <v>750</v>
      </c>
      <c r="S840">
        <v>750</v>
      </c>
      <c r="T840">
        <v>0</v>
      </c>
      <c r="U840">
        <v>0</v>
      </c>
      <c r="V840">
        <v>1</v>
      </c>
      <c r="W840">
        <v>0</v>
      </c>
      <c r="X840">
        <v>0.85</v>
      </c>
    </row>
    <row r="841" spans="1:24" x14ac:dyDescent="0.3">
      <c r="A841" t="s">
        <v>1413</v>
      </c>
      <c r="B841" s="1">
        <v>45923</v>
      </c>
      <c r="C841" t="s">
        <v>49</v>
      </c>
      <c r="D841" t="s">
        <v>26</v>
      </c>
      <c r="E841" t="s">
        <v>83</v>
      </c>
      <c r="F841" t="s">
        <v>58</v>
      </c>
      <c r="G841" t="s">
        <v>59</v>
      </c>
      <c r="H841" t="s">
        <v>117</v>
      </c>
      <c r="I841" t="s">
        <v>1414</v>
      </c>
      <c r="J841" t="s">
        <v>99</v>
      </c>
      <c r="K841" t="s">
        <v>63</v>
      </c>
      <c r="L841" t="s">
        <v>64</v>
      </c>
      <c r="M841" t="s">
        <v>65</v>
      </c>
      <c r="N841" t="s">
        <v>36</v>
      </c>
      <c r="O841">
        <v>60</v>
      </c>
      <c r="P841">
        <v>60</v>
      </c>
      <c r="Q841">
        <v>69.7</v>
      </c>
      <c r="R841">
        <v>1500</v>
      </c>
      <c r="S841">
        <v>1500</v>
      </c>
      <c r="T841">
        <v>0</v>
      </c>
      <c r="U841">
        <v>0</v>
      </c>
      <c r="V841">
        <v>1</v>
      </c>
      <c r="W841">
        <v>0</v>
      </c>
      <c r="X841">
        <v>0.85</v>
      </c>
    </row>
    <row r="842" spans="1:24" x14ac:dyDescent="0.3">
      <c r="A842" t="s">
        <v>1415</v>
      </c>
      <c r="B842" s="1">
        <v>45996</v>
      </c>
      <c r="C842" t="s">
        <v>25</v>
      </c>
      <c r="D842" t="s">
        <v>82</v>
      </c>
      <c r="E842" t="s">
        <v>40</v>
      </c>
      <c r="F842" t="s">
        <v>58</v>
      </c>
      <c r="G842" t="s">
        <v>59</v>
      </c>
      <c r="H842" t="s">
        <v>296</v>
      </c>
      <c r="I842" t="s">
        <v>887</v>
      </c>
      <c r="J842" t="s">
        <v>53</v>
      </c>
      <c r="K842" t="s">
        <v>46</v>
      </c>
      <c r="L842" t="s">
        <v>64</v>
      </c>
      <c r="M842" t="s">
        <v>94</v>
      </c>
      <c r="N842" t="s">
        <v>36</v>
      </c>
      <c r="O842">
        <v>60</v>
      </c>
      <c r="P842">
        <v>60</v>
      </c>
      <c r="Q842">
        <v>75.599999999999994</v>
      </c>
      <c r="R842">
        <v>1800</v>
      </c>
      <c r="S842">
        <v>1800</v>
      </c>
      <c r="T842">
        <v>0</v>
      </c>
      <c r="U842">
        <v>0</v>
      </c>
      <c r="V842">
        <v>1</v>
      </c>
      <c r="W842">
        <v>0</v>
      </c>
      <c r="X842">
        <v>0.85</v>
      </c>
    </row>
    <row r="843" spans="1:24" x14ac:dyDescent="0.3">
      <c r="A843" t="s">
        <v>1416</v>
      </c>
      <c r="B843" s="1">
        <v>45821</v>
      </c>
      <c r="C843" t="s">
        <v>67</v>
      </c>
      <c r="D843" t="s">
        <v>82</v>
      </c>
      <c r="E843" t="s">
        <v>40</v>
      </c>
      <c r="F843" t="s">
        <v>41</v>
      </c>
      <c r="G843" t="s">
        <v>42</v>
      </c>
      <c r="H843" t="s">
        <v>89</v>
      </c>
      <c r="I843" t="s">
        <v>1329</v>
      </c>
      <c r="J843" t="s">
        <v>32</v>
      </c>
      <c r="K843" t="s">
        <v>63</v>
      </c>
      <c r="L843" t="s">
        <v>64</v>
      </c>
      <c r="M843" t="s">
        <v>94</v>
      </c>
      <c r="N843" t="s">
        <v>36</v>
      </c>
      <c r="O843">
        <v>60</v>
      </c>
      <c r="P843">
        <v>60</v>
      </c>
      <c r="Q843">
        <v>75.599999999999994</v>
      </c>
      <c r="R843">
        <v>1350</v>
      </c>
      <c r="S843">
        <v>1350</v>
      </c>
      <c r="T843">
        <v>0</v>
      </c>
      <c r="U843">
        <v>0</v>
      </c>
      <c r="V843">
        <v>1</v>
      </c>
      <c r="W843">
        <v>0</v>
      </c>
      <c r="X843">
        <v>0.85</v>
      </c>
    </row>
    <row r="844" spans="1:24" x14ac:dyDescent="0.3">
      <c r="A844" t="s">
        <v>1417</v>
      </c>
      <c r="B844" s="1">
        <v>45892</v>
      </c>
      <c r="C844" t="s">
        <v>110</v>
      </c>
      <c r="D844" t="s">
        <v>88</v>
      </c>
      <c r="E844" t="s">
        <v>27</v>
      </c>
      <c r="F844" t="s">
        <v>41</v>
      </c>
      <c r="G844" t="s">
        <v>42</v>
      </c>
      <c r="H844" t="s">
        <v>111</v>
      </c>
      <c r="I844" t="s">
        <v>477</v>
      </c>
      <c r="J844" t="s">
        <v>62</v>
      </c>
      <c r="K844" t="s">
        <v>33</v>
      </c>
      <c r="L844" t="s">
        <v>34</v>
      </c>
      <c r="M844" t="s">
        <v>71</v>
      </c>
      <c r="N844" t="s">
        <v>113</v>
      </c>
      <c r="O844">
        <v>45</v>
      </c>
      <c r="P844">
        <v>0</v>
      </c>
      <c r="Q844">
        <v>50.2</v>
      </c>
      <c r="R844">
        <v>1000</v>
      </c>
      <c r="S844">
        <v>0</v>
      </c>
      <c r="T844">
        <v>1000</v>
      </c>
      <c r="U844">
        <v>0</v>
      </c>
      <c r="V844">
        <v>0</v>
      </c>
      <c r="W844">
        <v>1</v>
      </c>
      <c r="X844">
        <v>0.85</v>
      </c>
    </row>
    <row r="845" spans="1:24" x14ac:dyDescent="0.3">
      <c r="A845" t="s">
        <v>1418</v>
      </c>
      <c r="B845" s="1">
        <v>45762</v>
      </c>
      <c r="C845" t="s">
        <v>92</v>
      </c>
      <c r="D845" t="s">
        <v>26</v>
      </c>
      <c r="E845" t="s">
        <v>27</v>
      </c>
      <c r="F845" t="s">
        <v>28</v>
      </c>
      <c r="G845" t="s">
        <v>29</v>
      </c>
      <c r="H845" t="s">
        <v>102</v>
      </c>
      <c r="I845" t="s">
        <v>131</v>
      </c>
      <c r="J845" t="s">
        <v>62</v>
      </c>
      <c r="K845" t="s">
        <v>104</v>
      </c>
      <c r="L845" t="s">
        <v>78</v>
      </c>
      <c r="M845" t="s">
        <v>86</v>
      </c>
      <c r="N845" t="s">
        <v>36</v>
      </c>
      <c r="O845">
        <v>60</v>
      </c>
      <c r="P845">
        <v>60</v>
      </c>
      <c r="Q845">
        <v>65.5</v>
      </c>
      <c r="R845">
        <v>1150</v>
      </c>
      <c r="S845">
        <v>1150</v>
      </c>
      <c r="T845">
        <v>0</v>
      </c>
      <c r="U845">
        <v>0</v>
      </c>
      <c r="V845">
        <v>1</v>
      </c>
      <c r="W845">
        <v>0</v>
      </c>
      <c r="X845">
        <v>0.85</v>
      </c>
    </row>
    <row r="846" spans="1:24" x14ac:dyDescent="0.3">
      <c r="A846" t="s">
        <v>1419</v>
      </c>
      <c r="B846" s="1">
        <v>46021</v>
      </c>
      <c r="C846" t="s">
        <v>25</v>
      </c>
      <c r="D846" t="s">
        <v>26</v>
      </c>
      <c r="E846" t="s">
        <v>27</v>
      </c>
      <c r="F846" t="s">
        <v>41</v>
      </c>
      <c r="G846" t="s">
        <v>42</v>
      </c>
      <c r="H846" t="s">
        <v>89</v>
      </c>
      <c r="I846" t="s">
        <v>1420</v>
      </c>
      <c r="J846" t="s">
        <v>32</v>
      </c>
      <c r="K846" t="s">
        <v>46</v>
      </c>
      <c r="L846" t="s">
        <v>78</v>
      </c>
      <c r="M846" t="s">
        <v>47</v>
      </c>
      <c r="N846" t="s">
        <v>36</v>
      </c>
      <c r="O846">
        <v>90</v>
      </c>
      <c r="P846">
        <v>90</v>
      </c>
      <c r="Q846">
        <v>107</v>
      </c>
      <c r="R846">
        <v>1850</v>
      </c>
      <c r="S846">
        <v>1850</v>
      </c>
      <c r="T846">
        <v>0</v>
      </c>
      <c r="U846">
        <v>0</v>
      </c>
      <c r="V846">
        <v>1</v>
      </c>
      <c r="W846">
        <v>0</v>
      </c>
      <c r="X846">
        <v>0.85</v>
      </c>
    </row>
    <row r="847" spans="1:24" x14ac:dyDescent="0.3">
      <c r="A847" t="s">
        <v>1421</v>
      </c>
      <c r="B847" s="1">
        <v>45775</v>
      </c>
      <c r="C847" t="s">
        <v>92</v>
      </c>
      <c r="D847" t="s">
        <v>39</v>
      </c>
      <c r="E847" t="s">
        <v>68</v>
      </c>
      <c r="F847" t="s">
        <v>41</v>
      </c>
      <c r="G847" t="s">
        <v>42</v>
      </c>
      <c r="H847" t="s">
        <v>51</v>
      </c>
      <c r="I847" t="s">
        <v>377</v>
      </c>
      <c r="J847" t="s">
        <v>99</v>
      </c>
      <c r="K847" t="s">
        <v>63</v>
      </c>
      <c r="L847" t="s">
        <v>34</v>
      </c>
      <c r="M847" t="s">
        <v>47</v>
      </c>
      <c r="N847" t="s">
        <v>36</v>
      </c>
      <c r="O847">
        <v>30</v>
      </c>
      <c r="P847">
        <v>30</v>
      </c>
      <c r="Q847">
        <v>35</v>
      </c>
      <c r="R847">
        <v>700</v>
      </c>
      <c r="S847">
        <v>700</v>
      </c>
      <c r="T847">
        <v>0</v>
      </c>
      <c r="U847">
        <v>0</v>
      </c>
      <c r="V847">
        <v>1</v>
      </c>
      <c r="W847">
        <v>0</v>
      </c>
      <c r="X847">
        <v>0.85</v>
      </c>
    </row>
    <row r="848" spans="1:24" x14ac:dyDescent="0.3">
      <c r="A848" t="s">
        <v>1422</v>
      </c>
      <c r="B848" s="1">
        <v>45752</v>
      </c>
      <c r="C848" t="s">
        <v>92</v>
      </c>
      <c r="D848" t="s">
        <v>88</v>
      </c>
      <c r="E848" t="s">
        <v>68</v>
      </c>
      <c r="F848" t="s">
        <v>28</v>
      </c>
      <c r="G848" t="s">
        <v>29</v>
      </c>
      <c r="H848" t="s">
        <v>135</v>
      </c>
      <c r="I848" t="s">
        <v>982</v>
      </c>
      <c r="J848" t="s">
        <v>62</v>
      </c>
      <c r="K848" t="s">
        <v>85</v>
      </c>
      <c r="L848" t="s">
        <v>64</v>
      </c>
      <c r="M848" t="s">
        <v>86</v>
      </c>
      <c r="N848" t="s">
        <v>36</v>
      </c>
      <c r="O848">
        <v>60</v>
      </c>
      <c r="P848">
        <v>60</v>
      </c>
      <c r="Q848">
        <v>79.900000000000006</v>
      </c>
      <c r="R848">
        <v>1250</v>
      </c>
      <c r="S848">
        <v>1250</v>
      </c>
      <c r="T848">
        <v>0</v>
      </c>
      <c r="U848">
        <v>0</v>
      </c>
      <c r="V848">
        <v>1</v>
      </c>
      <c r="W848">
        <v>0</v>
      </c>
      <c r="X848">
        <v>0.85</v>
      </c>
    </row>
    <row r="849" spans="1:24" x14ac:dyDescent="0.3">
      <c r="A849" t="s">
        <v>1423</v>
      </c>
      <c r="B849" s="1">
        <v>45839</v>
      </c>
      <c r="C849" t="s">
        <v>101</v>
      </c>
      <c r="D849" t="s">
        <v>26</v>
      </c>
      <c r="E849" t="s">
        <v>68</v>
      </c>
      <c r="F849" t="s">
        <v>41</v>
      </c>
      <c r="G849" t="s">
        <v>42</v>
      </c>
      <c r="H849" t="s">
        <v>43</v>
      </c>
      <c r="I849" t="s">
        <v>699</v>
      </c>
      <c r="J849" t="s">
        <v>45</v>
      </c>
      <c r="K849" t="s">
        <v>33</v>
      </c>
      <c r="L849" t="s">
        <v>64</v>
      </c>
      <c r="M849" t="s">
        <v>35</v>
      </c>
      <c r="N849" t="s">
        <v>36</v>
      </c>
      <c r="O849">
        <v>90</v>
      </c>
      <c r="P849">
        <v>90</v>
      </c>
      <c r="Q849">
        <v>98.6</v>
      </c>
      <c r="R849">
        <v>2350</v>
      </c>
      <c r="S849">
        <v>2350</v>
      </c>
      <c r="T849">
        <v>0</v>
      </c>
      <c r="U849">
        <v>0</v>
      </c>
      <c r="V849">
        <v>1</v>
      </c>
      <c r="W849">
        <v>0</v>
      </c>
      <c r="X849">
        <v>0.85</v>
      </c>
    </row>
    <row r="850" spans="1:24" x14ac:dyDescent="0.3">
      <c r="A850" t="s">
        <v>1424</v>
      </c>
      <c r="B850" s="1">
        <v>45997</v>
      </c>
      <c r="C850" t="s">
        <v>25</v>
      </c>
      <c r="D850" t="s">
        <v>88</v>
      </c>
      <c r="E850" t="s">
        <v>27</v>
      </c>
      <c r="F850" t="s">
        <v>41</v>
      </c>
      <c r="G850" t="s">
        <v>42</v>
      </c>
      <c r="H850" t="s">
        <v>43</v>
      </c>
      <c r="I850" t="s">
        <v>1074</v>
      </c>
      <c r="J850" t="s">
        <v>45</v>
      </c>
      <c r="K850" t="s">
        <v>104</v>
      </c>
      <c r="L850" t="s">
        <v>64</v>
      </c>
      <c r="M850" t="s">
        <v>65</v>
      </c>
      <c r="N850" t="s">
        <v>113</v>
      </c>
      <c r="O850">
        <v>30</v>
      </c>
      <c r="P850">
        <v>0</v>
      </c>
      <c r="Q850">
        <v>34.200000000000003</v>
      </c>
      <c r="R850">
        <v>800</v>
      </c>
      <c r="S850">
        <v>0</v>
      </c>
      <c r="T850">
        <v>800</v>
      </c>
      <c r="U850">
        <v>0</v>
      </c>
      <c r="V850">
        <v>0</v>
      </c>
      <c r="W850">
        <v>1</v>
      </c>
      <c r="X850">
        <v>0.85</v>
      </c>
    </row>
    <row r="851" spans="1:24" x14ac:dyDescent="0.3">
      <c r="A851" t="s">
        <v>1425</v>
      </c>
      <c r="B851" s="1">
        <v>45936</v>
      </c>
      <c r="C851" t="s">
        <v>97</v>
      </c>
      <c r="D851" t="s">
        <v>39</v>
      </c>
      <c r="E851" t="s">
        <v>40</v>
      </c>
      <c r="F851" t="s">
        <v>41</v>
      </c>
      <c r="G851" t="s">
        <v>42</v>
      </c>
      <c r="H851" t="s">
        <v>111</v>
      </c>
      <c r="I851" t="s">
        <v>1411</v>
      </c>
      <c r="J851" t="s">
        <v>99</v>
      </c>
      <c r="K851" t="s">
        <v>63</v>
      </c>
      <c r="L851" t="s">
        <v>34</v>
      </c>
      <c r="M851" t="s">
        <v>65</v>
      </c>
      <c r="N851" t="s">
        <v>36</v>
      </c>
      <c r="O851">
        <v>60</v>
      </c>
      <c r="P851">
        <v>60</v>
      </c>
      <c r="Q851">
        <v>68.7</v>
      </c>
      <c r="R851">
        <v>1350</v>
      </c>
      <c r="S851">
        <v>1350</v>
      </c>
      <c r="T851">
        <v>0</v>
      </c>
      <c r="U851">
        <v>0</v>
      </c>
      <c r="V851">
        <v>1</v>
      </c>
      <c r="W851">
        <v>0</v>
      </c>
      <c r="X851">
        <v>0.85</v>
      </c>
    </row>
    <row r="852" spans="1:24" x14ac:dyDescent="0.3">
      <c r="A852" t="s">
        <v>1426</v>
      </c>
      <c r="B852" s="1">
        <v>45866</v>
      </c>
      <c r="C852" t="s">
        <v>101</v>
      </c>
      <c r="D852" t="s">
        <v>39</v>
      </c>
      <c r="E852" t="s">
        <v>40</v>
      </c>
      <c r="F852" t="s">
        <v>41</v>
      </c>
      <c r="G852" t="s">
        <v>42</v>
      </c>
      <c r="H852" t="s">
        <v>111</v>
      </c>
      <c r="I852" t="s">
        <v>379</v>
      </c>
      <c r="J852" t="s">
        <v>62</v>
      </c>
      <c r="K852" t="s">
        <v>104</v>
      </c>
      <c r="L852" t="s">
        <v>34</v>
      </c>
      <c r="M852" t="s">
        <v>65</v>
      </c>
      <c r="N852" t="s">
        <v>36</v>
      </c>
      <c r="O852">
        <v>60</v>
      </c>
      <c r="P852">
        <v>60</v>
      </c>
      <c r="Q852">
        <v>68.7</v>
      </c>
      <c r="R852">
        <v>1350</v>
      </c>
      <c r="S852">
        <v>1350</v>
      </c>
      <c r="T852">
        <v>0</v>
      </c>
      <c r="U852">
        <v>0</v>
      </c>
      <c r="V852">
        <v>1</v>
      </c>
      <c r="W852">
        <v>0</v>
      </c>
      <c r="X852">
        <v>0.85</v>
      </c>
    </row>
    <row r="853" spans="1:24" x14ac:dyDescent="0.3">
      <c r="A853" t="s">
        <v>1427</v>
      </c>
      <c r="B853" s="1">
        <v>45916</v>
      </c>
      <c r="C853" t="s">
        <v>49</v>
      </c>
      <c r="D853" t="s">
        <v>26</v>
      </c>
      <c r="E853" t="s">
        <v>40</v>
      </c>
      <c r="F853" t="s">
        <v>58</v>
      </c>
      <c r="G853" t="s">
        <v>59</v>
      </c>
      <c r="H853" t="s">
        <v>296</v>
      </c>
      <c r="I853" t="s">
        <v>1272</v>
      </c>
      <c r="J853" t="s">
        <v>62</v>
      </c>
      <c r="K853" t="s">
        <v>85</v>
      </c>
      <c r="L853" t="s">
        <v>34</v>
      </c>
      <c r="M853" t="s">
        <v>86</v>
      </c>
      <c r="N853" t="s">
        <v>36</v>
      </c>
      <c r="O853">
        <v>90</v>
      </c>
      <c r="P853">
        <v>90</v>
      </c>
      <c r="Q853">
        <v>110.2</v>
      </c>
      <c r="R853">
        <v>2250</v>
      </c>
      <c r="S853">
        <v>2250</v>
      </c>
      <c r="T853">
        <v>0</v>
      </c>
      <c r="U853">
        <v>0</v>
      </c>
      <c r="V853">
        <v>1</v>
      </c>
      <c r="W853">
        <v>0</v>
      </c>
      <c r="X853">
        <v>0.85</v>
      </c>
    </row>
    <row r="854" spans="1:24" x14ac:dyDescent="0.3">
      <c r="A854" t="s">
        <v>1428</v>
      </c>
      <c r="B854" s="1">
        <v>45925</v>
      </c>
      <c r="C854" t="s">
        <v>49</v>
      </c>
      <c r="D854" t="s">
        <v>50</v>
      </c>
      <c r="E854" t="s">
        <v>27</v>
      </c>
      <c r="F854" t="s">
        <v>41</v>
      </c>
      <c r="G854" t="s">
        <v>42</v>
      </c>
      <c r="H854" t="s">
        <v>111</v>
      </c>
      <c r="I854" t="s">
        <v>115</v>
      </c>
      <c r="J854" t="s">
        <v>62</v>
      </c>
      <c r="K854" t="s">
        <v>104</v>
      </c>
      <c r="L854" t="s">
        <v>34</v>
      </c>
      <c r="M854" t="s">
        <v>65</v>
      </c>
      <c r="N854" t="s">
        <v>36</v>
      </c>
      <c r="O854">
        <v>60</v>
      </c>
      <c r="P854">
        <v>60</v>
      </c>
      <c r="Q854">
        <v>66.8</v>
      </c>
      <c r="R854">
        <v>1350</v>
      </c>
      <c r="S854">
        <v>1350</v>
      </c>
      <c r="T854">
        <v>0</v>
      </c>
      <c r="U854">
        <v>0</v>
      </c>
      <c r="V854">
        <v>1</v>
      </c>
      <c r="W854">
        <v>0</v>
      </c>
      <c r="X854">
        <v>0.85</v>
      </c>
    </row>
    <row r="855" spans="1:24" x14ac:dyDescent="0.3">
      <c r="A855" t="s">
        <v>1429</v>
      </c>
      <c r="B855" s="1">
        <v>45824</v>
      </c>
      <c r="C855" t="s">
        <v>67</v>
      </c>
      <c r="D855" t="s">
        <v>39</v>
      </c>
      <c r="E855" t="s">
        <v>27</v>
      </c>
      <c r="F855" t="s">
        <v>58</v>
      </c>
      <c r="G855" t="s">
        <v>59</v>
      </c>
      <c r="H855" t="s">
        <v>151</v>
      </c>
      <c r="I855" t="s">
        <v>1430</v>
      </c>
      <c r="J855" t="s">
        <v>137</v>
      </c>
      <c r="K855" t="s">
        <v>63</v>
      </c>
      <c r="L855" t="s">
        <v>64</v>
      </c>
      <c r="M855" t="s">
        <v>65</v>
      </c>
      <c r="N855" t="s">
        <v>36</v>
      </c>
      <c r="O855">
        <v>60</v>
      </c>
      <c r="P855">
        <v>60</v>
      </c>
      <c r="Q855">
        <v>70.900000000000006</v>
      </c>
      <c r="R855">
        <v>1500</v>
      </c>
      <c r="S855">
        <v>1500</v>
      </c>
      <c r="T855">
        <v>0</v>
      </c>
      <c r="U855">
        <v>0</v>
      </c>
      <c r="V855">
        <v>1</v>
      </c>
      <c r="W855">
        <v>0</v>
      </c>
      <c r="X855">
        <v>0.85</v>
      </c>
    </row>
    <row r="856" spans="1:24" x14ac:dyDescent="0.3">
      <c r="A856" t="s">
        <v>1431</v>
      </c>
      <c r="B856" s="1">
        <v>45848</v>
      </c>
      <c r="C856" t="s">
        <v>101</v>
      </c>
      <c r="D856" t="s">
        <v>50</v>
      </c>
      <c r="E856" t="s">
        <v>27</v>
      </c>
      <c r="F856" t="s">
        <v>28</v>
      </c>
      <c r="G856" t="s">
        <v>29</v>
      </c>
      <c r="H856" t="s">
        <v>210</v>
      </c>
      <c r="I856" t="s">
        <v>106</v>
      </c>
      <c r="J856" t="s">
        <v>45</v>
      </c>
      <c r="K856" t="s">
        <v>46</v>
      </c>
      <c r="L856" t="s">
        <v>34</v>
      </c>
      <c r="M856" t="s">
        <v>47</v>
      </c>
      <c r="N856" t="s">
        <v>95</v>
      </c>
      <c r="O856">
        <v>45</v>
      </c>
      <c r="P856">
        <v>0</v>
      </c>
      <c r="Q856">
        <v>51.1</v>
      </c>
      <c r="R856">
        <v>1100</v>
      </c>
      <c r="S856">
        <v>0</v>
      </c>
      <c r="T856">
        <v>1100</v>
      </c>
      <c r="U856">
        <v>1</v>
      </c>
      <c r="V856">
        <v>0</v>
      </c>
      <c r="W856">
        <v>0</v>
      </c>
      <c r="X856">
        <v>0.85</v>
      </c>
    </row>
    <row r="857" spans="1:24" x14ac:dyDescent="0.3">
      <c r="A857" t="s">
        <v>1432</v>
      </c>
      <c r="B857" s="1">
        <v>45875</v>
      </c>
      <c r="C857" t="s">
        <v>110</v>
      </c>
      <c r="D857" t="s">
        <v>57</v>
      </c>
      <c r="E857" t="s">
        <v>40</v>
      </c>
      <c r="F857" t="s">
        <v>58</v>
      </c>
      <c r="G857" t="s">
        <v>59</v>
      </c>
      <c r="H857" t="s">
        <v>296</v>
      </c>
      <c r="I857" t="s">
        <v>677</v>
      </c>
      <c r="J857" t="s">
        <v>53</v>
      </c>
      <c r="K857" t="s">
        <v>85</v>
      </c>
      <c r="L857" t="s">
        <v>34</v>
      </c>
      <c r="M857" t="s">
        <v>86</v>
      </c>
      <c r="N857" t="s">
        <v>36</v>
      </c>
      <c r="O857">
        <v>45</v>
      </c>
      <c r="P857">
        <v>45</v>
      </c>
      <c r="Q857">
        <v>55.2</v>
      </c>
      <c r="R857">
        <v>1350</v>
      </c>
      <c r="S857">
        <v>1350</v>
      </c>
      <c r="T857">
        <v>0</v>
      </c>
      <c r="U857">
        <v>0</v>
      </c>
      <c r="V857">
        <v>1</v>
      </c>
      <c r="W857">
        <v>0</v>
      </c>
      <c r="X857">
        <v>0.85</v>
      </c>
    </row>
    <row r="858" spans="1:24" x14ac:dyDescent="0.3">
      <c r="A858" t="s">
        <v>1433</v>
      </c>
      <c r="B858" s="1">
        <v>45882</v>
      </c>
      <c r="C858" t="s">
        <v>110</v>
      </c>
      <c r="D858" t="s">
        <v>57</v>
      </c>
      <c r="E858" t="s">
        <v>40</v>
      </c>
      <c r="F858" t="s">
        <v>41</v>
      </c>
      <c r="G858" t="s">
        <v>42</v>
      </c>
      <c r="H858" t="s">
        <v>111</v>
      </c>
      <c r="I858" t="s">
        <v>1434</v>
      </c>
      <c r="J858" t="s">
        <v>32</v>
      </c>
      <c r="K858" t="s">
        <v>70</v>
      </c>
      <c r="L858" t="s">
        <v>34</v>
      </c>
      <c r="M858" t="s">
        <v>94</v>
      </c>
      <c r="N858" t="s">
        <v>95</v>
      </c>
      <c r="O858">
        <v>60</v>
      </c>
      <c r="P858">
        <v>0</v>
      </c>
      <c r="Q858">
        <v>73.599999999999994</v>
      </c>
      <c r="R858">
        <v>1350</v>
      </c>
      <c r="S858">
        <v>0</v>
      </c>
      <c r="T858">
        <v>1350</v>
      </c>
      <c r="U858">
        <v>1</v>
      </c>
      <c r="V858">
        <v>0</v>
      </c>
      <c r="W858">
        <v>0</v>
      </c>
      <c r="X858">
        <v>0.85</v>
      </c>
    </row>
    <row r="859" spans="1:24" x14ac:dyDescent="0.3">
      <c r="A859" t="s">
        <v>1435</v>
      </c>
      <c r="B859" s="1">
        <v>45784</v>
      </c>
      <c r="C859" t="s">
        <v>128</v>
      </c>
      <c r="D859" t="s">
        <v>57</v>
      </c>
      <c r="E859" t="s">
        <v>68</v>
      </c>
      <c r="F859" t="s">
        <v>28</v>
      </c>
      <c r="G859" t="s">
        <v>29</v>
      </c>
      <c r="H859" t="s">
        <v>210</v>
      </c>
      <c r="I859" t="s">
        <v>1196</v>
      </c>
      <c r="J859" t="s">
        <v>62</v>
      </c>
      <c r="K859" t="s">
        <v>70</v>
      </c>
      <c r="L859" t="s">
        <v>34</v>
      </c>
      <c r="M859" t="s">
        <v>35</v>
      </c>
      <c r="N859" t="s">
        <v>36</v>
      </c>
      <c r="O859">
        <v>60</v>
      </c>
      <c r="P859">
        <v>60</v>
      </c>
      <c r="Q859">
        <v>66.8</v>
      </c>
      <c r="R859">
        <v>1250</v>
      </c>
      <c r="S859">
        <v>1250</v>
      </c>
      <c r="T859">
        <v>0</v>
      </c>
      <c r="U859">
        <v>0</v>
      </c>
      <c r="V859">
        <v>1</v>
      </c>
      <c r="W859">
        <v>0</v>
      </c>
      <c r="X859">
        <v>0.85</v>
      </c>
    </row>
    <row r="860" spans="1:24" x14ac:dyDescent="0.3">
      <c r="A860" t="s">
        <v>1436</v>
      </c>
      <c r="B860" s="1">
        <v>45843</v>
      </c>
      <c r="C860" t="s">
        <v>101</v>
      </c>
      <c r="D860" t="s">
        <v>88</v>
      </c>
      <c r="E860" t="s">
        <v>83</v>
      </c>
      <c r="F860" t="s">
        <v>58</v>
      </c>
      <c r="G860" t="s">
        <v>59</v>
      </c>
      <c r="H860" t="s">
        <v>117</v>
      </c>
      <c r="I860" t="s">
        <v>1437</v>
      </c>
      <c r="J860" t="s">
        <v>32</v>
      </c>
      <c r="K860" t="s">
        <v>33</v>
      </c>
      <c r="L860" t="s">
        <v>34</v>
      </c>
      <c r="M860" t="s">
        <v>65</v>
      </c>
      <c r="N860" t="s">
        <v>95</v>
      </c>
      <c r="O860">
        <v>45</v>
      </c>
      <c r="P860">
        <v>0</v>
      </c>
      <c r="Q860">
        <v>50.7</v>
      </c>
      <c r="R860">
        <v>1100</v>
      </c>
      <c r="S860">
        <v>0</v>
      </c>
      <c r="T860">
        <v>1100</v>
      </c>
      <c r="U860">
        <v>1</v>
      </c>
      <c r="V860">
        <v>0</v>
      </c>
      <c r="W860">
        <v>0</v>
      </c>
      <c r="X860">
        <v>0.85</v>
      </c>
    </row>
    <row r="861" spans="1:24" x14ac:dyDescent="0.3">
      <c r="A861" t="s">
        <v>1438</v>
      </c>
      <c r="B861" s="1">
        <v>45750</v>
      </c>
      <c r="C861" t="s">
        <v>92</v>
      </c>
      <c r="D861" t="s">
        <v>50</v>
      </c>
      <c r="E861" t="s">
        <v>68</v>
      </c>
      <c r="F861" t="s">
        <v>58</v>
      </c>
      <c r="G861" t="s">
        <v>59</v>
      </c>
      <c r="H861" t="s">
        <v>151</v>
      </c>
      <c r="I861" t="s">
        <v>1439</v>
      </c>
      <c r="J861" t="s">
        <v>32</v>
      </c>
      <c r="K861" t="s">
        <v>70</v>
      </c>
      <c r="L861" t="s">
        <v>34</v>
      </c>
      <c r="M861" t="s">
        <v>35</v>
      </c>
      <c r="N861" t="s">
        <v>36</v>
      </c>
      <c r="O861">
        <v>60</v>
      </c>
      <c r="P861">
        <v>60</v>
      </c>
      <c r="Q861">
        <v>71.400000000000006</v>
      </c>
      <c r="R861">
        <v>1500</v>
      </c>
      <c r="S861">
        <v>1500</v>
      </c>
      <c r="T861">
        <v>0</v>
      </c>
      <c r="U861">
        <v>0</v>
      </c>
      <c r="V861">
        <v>1</v>
      </c>
      <c r="W861">
        <v>0</v>
      </c>
      <c r="X861">
        <v>0.85</v>
      </c>
    </row>
    <row r="862" spans="1:24" x14ac:dyDescent="0.3">
      <c r="A862" t="s">
        <v>1440</v>
      </c>
      <c r="B862" s="1">
        <v>45670</v>
      </c>
      <c r="C862" t="s">
        <v>130</v>
      </c>
      <c r="D862" t="s">
        <v>39</v>
      </c>
      <c r="E862" t="s">
        <v>83</v>
      </c>
      <c r="F862" t="s">
        <v>58</v>
      </c>
      <c r="G862" t="s">
        <v>59</v>
      </c>
      <c r="H862" t="s">
        <v>296</v>
      </c>
      <c r="I862" t="s">
        <v>1441</v>
      </c>
      <c r="J862" t="s">
        <v>62</v>
      </c>
      <c r="K862" t="s">
        <v>85</v>
      </c>
      <c r="L862" t="s">
        <v>34</v>
      </c>
      <c r="M862" t="s">
        <v>65</v>
      </c>
      <c r="N862" t="s">
        <v>36</v>
      </c>
      <c r="O862">
        <v>45</v>
      </c>
      <c r="P862">
        <v>45</v>
      </c>
      <c r="Q862">
        <v>49.5</v>
      </c>
      <c r="R862">
        <v>1100</v>
      </c>
      <c r="S862">
        <v>1100</v>
      </c>
      <c r="T862">
        <v>0</v>
      </c>
      <c r="U862">
        <v>0</v>
      </c>
      <c r="V862">
        <v>1</v>
      </c>
      <c r="W862">
        <v>0</v>
      </c>
      <c r="X862">
        <v>0.85</v>
      </c>
    </row>
    <row r="863" spans="1:24" x14ac:dyDescent="0.3">
      <c r="A863" t="s">
        <v>1442</v>
      </c>
      <c r="B863" s="1">
        <v>45898</v>
      </c>
      <c r="C863" t="s">
        <v>110</v>
      </c>
      <c r="D863" t="s">
        <v>82</v>
      </c>
      <c r="E863" t="s">
        <v>40</v>
      </c>
      <c r="F863" t="s">
        <v>58</v>
      </c>
      <c r="G863" t="s">
        <v>59</v>
      </c>
      <c r="H863" t="s">
        <v>117</v>
      </c>
      <c r="I863" t="s">
        <v>994</v>
      </c>
      <c r="J863" t="s">
        <v>99</v>
      </c>
      <c r="K863" t="s">
        <v>46</v>
      </c>
      <c r="L863" t="s">
        <v>34</v>
      </c>
      <c r="M863" t="s">
        <v>94</v>
      </c>
      <c r="N863" t="s">
        <v>36</v>
      </c>
      <c r="O863">
        <v>75</v>
      </c>
      <c r="P863">
        <v>75</v>
      </c>
      <c r="Q863">
        <v>94.2</v>
      </c>
      <c r="R863">
        <v>1900</v>
      </c>
      <c r="S863">
        <v>1900</v>
      </c>
      <c r="T863">
        <v>0</v>
      </c>
      <c r="U863">
        <v>0</v>
      </c>
      <c r="V863">
        <v>1</v>
      </c>
      <c r="W863">
        <v>0</v>
      </c>
      <c r="X863">
        <v>0.85</v>
      </c>
    </row>
    <row r="864" spans="1:24" x14ac:dyDescent="0.3">
      <c r="A864" t="s">
        <v>1443</v>
      </c>
      <c r="B864" s="1">
        <v>45783</v>
      </c>
      <c r="C864" t="s">
        <v>128</v>
      </c>
      <c r="D864" t="s">
        <v>26</v>
      </c>
      <c r="E864" t="s">
        <v>40</v>
      </c>
      <c r="F864" t="s">
        <v>28</v>
      </c>
      <c r="G864" t="s">
        <v>29</v>
      </c>
      <c r="H864" t="s">
        <v>135</v>
      </c>
      <c r="I864" t="s">
        <v>923</v>
      </c>
      <c r="J864" t="s">
        <v>32</v>
      </c>
      <c r="K864" t="s">
        <v>63</v>
      </c>
      <c r="L864" t="s">
        <v>78</v>
      </c>
      <c r="M864" t="s">
        <v>65</v>
      </c>
      <c r="N864" t="s">
        <v>36</v>
      </c>
      <c r="O864">
        <v>45</v>
      </c>
      <c r="P864">
        <v>45</v>
      </c>
      <c r="Q864">
        <v>51.8</v>
      </c>
      <c r="R864">
        <v>850</v>
      </c>
      <c r="S864">
        <v>850</v>
      </c>
      <c r="T864">
        <v>0</v>
      </c>
      <c r="U864">
        <v>0</v>
      </c>
      <c r="V864">
        <v>1</v>
      </c>
      <c r="W864">
        <v>0</v>
      </c>
      <c r="X864">
        <v>0.85</v>
      </c>
    </row>
    <row r="865" spans="1:24" x14ac:dyDescent="0.3">
      <c r="A865" t="s">
        <v>1444</v>
      </c>
      <c r="B865" s="1">
        <v>45706</v>
      </c>
      <c r="C865" t="s">
        <v>76</v>
      </c>
      <c r="D865" t="s">
        <v>26</v>
      </c>
      <c r="E865" t="s">
        <v>68</v>
      </c>
      <c r="F865" t="s">
        <v>28</v>
      </c>
      <c r="G865" t="s">
        <v>29</v>
      </c>
      <c r="H865" t="s">
        <v>210</v>
      </c>
      <c r="I865" t="s">
        <v>163</v>
      </c>
      <c r="J865" t="s">
        <v>45</v>
      </c>
      <c r="K865" t="s">
        <v>85</v>
      </c>
      <c r="L865" t="s">
        <v>54</v>
      </c>
      <c r="M865" t="s">
        <v>35</v>
      </c>
      <c r="N865" t="s">
        <v>95</v>
      </c>
      <c r="O865">
        <v>60</v>
      </c>
      <c r="P865">
        <v>0</v>
      </c>
      <c r="Q865">
        <v>73.8</v>
      </c>
      <c r="R865">
        <v>1200</v>
      </c>
      <c r="S865">
        <v>0</v>
      </c>
      <c r="T865">
        <v>1200</v>
      </c>
      <c r="U865">
        <v>1</v>
      </c>
      <c r="V865">
        <v>0</v>
      </c>
      <c r="W865">
        <v>0</v>
      </c>
      <c r="X865">
        <v>0.85</v>
      </c>
    </row>
    <row r="866" spans="1:24" x14ac:dyDescent="0.3">
      <c r="A866" t="s">
        <v>1445</v>
      </c>
      <c r="B866" s="1">
        <v>45918</v>
      </c>
      <c r="C866" t="s">
        <v>49</v>
      </c>
      <c r="D866" t="s">
        <v>50</v>
      </c>
      <c r="E866" t="s">
        <v>40</v>
      </c>
      <c r="F866" t="s">
        <v>58</v>
      </c>
      <c r="G866" t="s">
        <v>59</v>
      </c>
      <c r="H866" t="s">
        <v>151</v>
      </c>
      <c r="I866" t="s">
        <v>1446</v>
      </c>
      <c r="J866" t="s">
        <v>53</v>
      </c>
      <c r="K866" t="s">
        <v>63</v>
      </c>
      <c r="L866" t="s">
        <v>34</v>
      </c>
      <c r="M866" t="s">
        <v>86</v>
      </c>
      <c r="N866" t="s">
        <v>36</v>
      </c>
      <c r="O866">
        <v>90</v>
      </c>
      <c r="P866">
        <v>90</v>
      </c>
      <c r="Q866">
        <v>111.5</v>
      </c>
      <c r="R866">
        <v>2700</v>
      </c>
      <c r="S866">
        <v>2700</v>
      </c>
      <c r="T866">
        <v>0</v>
      </c>
      <c r="U866">
        <v>0</v>
      </c>
      <c r="V866">
        <v>1</v>
      </c>
      <c r="W866">
        <v>0</v>
      </c>
      <c r="X866">
        <v>0.85</v>
      </c>
    </row>
    <row r="867" spans="1:24" x14ac:dyDescent="0.3">
      <c r="A867" t="s">
        <v>1447</v>
      </c>
      <c r="B867" s="1">
        <v>45925</v>
      </c>
      <c r="C867" t="s">
        <v>49</v>
      </c>
      <c r="D867" t="s">
        <v>50</v>
      </c>
      <c r="E867" t="s">
        <v>27</v>
      </c>
      <c r="F867" t="s">
        <v>58</v>
      </c>
      <c r="G867" t="s">
        <v>59</v>
      </c>
      <c r="H867" t="s">
        <v>151</v>
      </c>
      <c r="I867" t="s">
        <v>1448</v>
      </c>
      <c r="J867" t="s">
        <v>32</v>
      </c>
      <c r="K867" t="s">
        <v>33</v>
      </c>
      <c r="L867" t="s">
        <v>34</v>
      </c>
      <c r="M867" t="s">
        <v>47</v>
      </c>
      <c r="N867" t="s">
        <v>113</v>
      </c>
      <c r="O867">
        <v>45</v>
      </c>
      <c r="P867">
        <v>0</v>
      </c>
      <c r="Q867">
        <v>55.5</v>
      </c>
      <c r="R867">
        <v>1100</v>
      </c>
      <c r="S867">
        <v>0</v>
      </c>
      <c r="T867">
        <v>1100</v>
      </c>
      <c r="U867">
        <v>0</v>
      </c>
      <c r="V867">
        <v>0</v>
      </c>
      <c r="W867">
        <v>1</v>
      </c>
      <c r="X867">
        <v>0.85</v>
      </c>
    </row>
    <row r="868" spans="1:24" x14ac:dyDescent="0.3">
      <c r="A868" t="s">
        <v>1449</v>
      </c>
      <c r="B868" s="1">
        <v>45878</v>
      </c>
      <c r="C868" t="s">
        <v>110</v>
      </c>
      <c r="D868" t="s">
        <v>88</v>
      </c>
      <c r="E868" t="s">
        <v>68</v>
      </c>
      <c r="F868" t="s">
        <v>28</v>
      </c>
      <c r="G868" t="s">
        <v>29</v>
      </c>
      <c r="H868" t="s">
        <v>120</v>
      </c>
      <c r="I868" t="s">
        <v>1450</v>
      </c>
      <c r="J868" t="s">
        <v>45</v>
      </c>
      <c r="K868" t="s">
        <v>85</v>
      </c>
      <c r="L868" t="s">
        <v>34</v>
      </c>
      <c r="M868" t="s">
        <v>65</v>
      </c>
      <c r="N868" t="s">
        <v>95</v>
      </c>
      <c r="O868">
        <v>60</v>
      </c>
      <c r="P868">
        <v>0</v>
      </c>
      <c r="Q868">
        <v>66.099999999999994</v>
      </c>
      <c r="R868">
        <v>1450</v>
      </c>
      <c r="S868">
        <v>0</v>
      </c>
      <c r="T868">
        <v>1450</v>
      </c>
      <c r="U868">
        <v>1</v>
      </c>
      <c r="V868">
        <v>0</v>
      </c>
      <c r="W868">
        <v>0</v>
      </c>
      <c r="X868">
        <v>0.85</v>
      </c>
    </row>
    <row r="869" spans="1:24" x14ac:dyDescent="0.3">
      <c r="A869" t="s">
        <v>1451</v>
      </c>
      <c r="B869" s="1">
        <v>45735</v>
      </c>
      <c r="C869" t="s">
        <v>56</v>
      </c>
      <c r="D869" t="s">
        <v>57</v>
      </c>
      <c r="E869" t="s">
        <v>83</v>
      </c>
      <c r="F869" t="s">
        <v>58</v>
      </c>
      <c r="G869" t="s">
        <v>59</v>
      </c>
      <c r="H869" t="s">
        <v>296</v>
      </c>
      <c r="I869" t="s">
        <v>326</v>
      </c>
      <c r="J869" t="s">
        <v>53</v>
      </c>
      <c r="K869" t="s">
        <v>63</v>
      </c>
      <c r="L869" t="s">
        <v>64</v>
      </c>
      <c r="M869" t="s">
        <v>71</v>
      </c>
      <c r="N869" t="s">
        <v>95</v>
      </c>
      <c r="O869">
        <v>60</v>
      </c>
      <c r="P869">
        <v>0</v>
      </c>
      <c r="Q869">
        <v>68</v>
      </c>
      <c r="R869">
        <v>1800</v>
      </c>
      <c r="S869">
        <v>0</v>
      </c>
      <c r="T869">
        <v>1800</v>
      </c>
      <c r="U869">
        <v>1</v>
      </c>
      <c r="V869">
        <v>0</v>
      </c>
      <c r="W869">
        <v>0</v>
      </c>
      <c r="X869">
        <v>0.85</v>
      </c>
    </row>
    <row r="870" spans="1:24" x14ac:dyDescent="0.3">
      <c r="A870" t="s">
        <v>1452</v>
      </c>
      <c r="B870" s="1">
        <v>45930</v>
      </c>
      <c r="C870" t="s">
        <v>49</v>
      </c>
      <c r="D870" t="s">
        <v>26</v>
      </c>
      <c r="E870" t="s">
        <v>83</v>
      </c>
      <c r="F870" t="s">
        <v>58</v>
      </c>
      <c r="G870" t="s">
        <v>59</v>
      </c>
      <c r="H870" t="s">
        <v>117</v>
      </c>
      <c r="I870" t="s">
        <v>1453</v>
      </c>
      <c r="J870" t="s">
        <v>53</v>
      </c>
      <c r="K870" t="s">
        <v>85</v>
      </c>
      <c r="L870" t="s">
        <v>64</v>
      </c>
      <c r="M870" t="s">
        <v>94</v>
      </c>
      <c r="N870" t="s">
        <v>36</v>
      </c>
      <c r="O870">
        <v>75</v>
      </c>
      <c r="P870">
        <v>75</v>
      </c>
      <c r="Q870">
        <v>87.1</v>
      </c>
      <c r="R870">
        <v>2250</v>
      </c>
      <c r="S870">
        <v>2250</v>
      </c>
      <c r="T870">
        <v>0</v>
      </c>
      <c r="U870">
        <v>0</v>
      </c>
      <c r="V870">
        <v>1</v>
      </c>
      <c r="W870">
        <v>0</v>
      </c>
      <c r="X870">
        <v>0.85</v>
      </c>
    </row>
    <row r="871" spans="1:24" x14ac:dyDescent="0.3">
      <c r="A871" t="s">
        <v>1454</v>
      </c>
      <c r="B871" s="1">
        <v>45761</v>
      </c>
      <c r="C871" t="s">
        <v>92</v>
      </c>
      <c r="D871" t="s">
        <v>39</v>
      </c>
      <c r="E871" t="s">
        <v>27</v>
      </c>
      <c r="F871" t="s">
        <v>41</v>
      </c>
      <c r="G871" t="s">
        <v>42</v>
      </c>
      <c r="H871" t="s">
        <v>43</v>
      </c>
      <c r="I871" t="s">
        <v>362</v>
      </c>
      <c r="J871" t="s">
        <v>62</v>
      </c>
      <c r="K871" t="s">
        <v>85</v>
      </c>
      <c r="L871" t="s">
        <v>34</v>
      </c>
      <c r="M871" t="s">
        <v>35</v>
      </c>
      <c r="N871" t="s">
        <v>36</v>
      </c>
      <c r="O871">
        <v>45</v>
      </c>
      <c r="P871">
        <v>45</v>
      </c>
      <c r="Q871">
        <v>55.4</v>
      </c>
      <c r="R871">
        <v>1000</v>
      </c>
      <c r="S871">
        <v>1000</v>
      </c>
      <c r="T871">
        <v>0</v>
      </c>
      <c r="U871">
        <v>0</v>
      </c>
      <c r="V871">
        <v>1</v>
      </c>
      <c r="W871">
        <v>0</v>
      </c>
      <c r="X871">
        <v>0.85</v>
      </c>
    </row>
    <row r="872" spans="1:24" x14ac:dyDescent="0.3">
      <c r="A872" t="s">
        <v>1455</v>
      </c>
      <c r="B872" s="1">
        <v>45796</v>
      </c>
      <c r="C872" t="s">
        <v>128</v>
      </c>
      <c r="D872" t="s">
        <v>39</v>
      </c>
      <c r="E872" t="s">
        <v>83</v>
      </c>
      <c r="F872" t="s">
        <v>41</v>
      </c>
      <c r="G872" t="s">
        <v>42</v>
      </c>
      <c r="H872" t="s">
        <v>43</v>
      </c>
      <c r="I872" t="s">
        <v>1034</v>
      </c>
      <c r="J872" t="s">
        <v>53</v>
      </c>
      <c r="K872" t="s">
        <v>46</v>
      </c>
      <c r="L872" t="s">
        <v>34</v>
      </c>
      <c r="M872" t="s">
        <v>47</v>
      </c>
      <c r="N872" t="s">
        <v>153</v>
      </c>
      <c r="O872">
        <v>60</v>
      </c>
      <c r="P872">
        <v>0</v>
      </c>
      <c r="Q872">
        <v>79.599999999999994</v>
      </c>
      <c r="R872">
        <v>1600</v>
      </c>
      <c r="S872">
        <v>0</v>
      </c>
      <c r="T872">
        <v>0</v>
      </c>
      <c r="U872">
        <v>0</v>
      </c>
      <c r="V872">
        <v>0</v>
      </c>
      <c r="W872">
        <v>0</v>
      </c>
      <c r="X872">
        <v>0.85</v>
      </c>
    </row>
    <row r="873" spans="1:24" x14ac:dyDescent="0.3">
      <c r="A873" t="s">
        <v>1456</v>
      </c>
      <c r="B873" s="1">
        <v>45938</v>
      </c>
      <c r="C873" t="s">
        <v>97</v>
      </c>
      <c r="D873" t="s">
        <v>57</v>
      </c>
      <c r="E873" t="s">
        <v>83</v>
      </c>
      <c r="F873" t="s">
        <v>41</v>
      </c>
      <c r="G873" t="s">
        <v>42</v>
      </c>
      <c r="H873" t="s">
        <v>125</v>
      </c>
      <c r="I873" t="s">
        <v>1457</v>
      </c>
      <c r="J873" t="s">
        <v>32</v>
      </c>
      <c r="K873" t="s">
        <v>104</v>
      </c>
      <c r="L873" t="s">
        <v>78</v>
      </c>
      <c r="M873" t="s">
        <v>65</v>
      </c>
      <c r="N873" t="s">
        <v>36</v>
      </c>
      <c r="O873">
        <v>45</v>
      </c>
      <c r="P873">
        <v>45</v>
      </c>
      <c r="Q873">
        <v>58.8</v>
      </c>
      <c r="R873">
        <v>950</v>
      </c>
      <c r="S873">
        <v>950</v>
      </c>
      <c r="T873">
        <v>0</v>
      </c>
      <c r="U873">
        <v>0</v>
      </c>
      <c r="V873">
        <v>1</v>
      </c>
      <c r="W873">
        <v>0</v>
      </c>
      <c r="X873">
        <v>0.85</v>
      </c>
    </row>
    <row r="874" spans="1:24" x14ac:dyDescent="0.3">
      <c r="A874" t="s">
        <v>1458</v>
      </c>
      <c r="B874" s="1">
        <v>46021</v>
      </c>
      <c r="C874" t="s">
        <v>25</v>
      </c>
      <c r="D874" t="s">
        <v>26</v>
      </c>
      <c r="E874" t="s">
        <v>40</v>
      </c>
      <c r="F874" t="s">
        <v>41</v>
      </c>
      <c r="G874" t="s">
        <v>42</v>
      </c>
      <c r="H874" t="s">
        <v>43</v>
      </c>
      <c r="I874" t="s">
        <v>1223</v>
      </c>
      <c r="J874" t="s">
        <v>32</v>
      </c>
      <c r="K874" t="s">
        <v>104</v>
      </c>
      <c r="L874" t="s">
        <v>34</v>
      </c>
      <c r="M874" t="s">
        <v>71</v>
      </c>
      <c r="N874" t="s">
        <v>113</v>
      </c>
      <c r="O874">
        <v>45</v>
      </c>
      <c r="P874">
        <v>0</v>
      </c>
      <c r="Q874">
        <v>53.1</v>
      </c>
      <c r="R874">
        <v>1000</v>
      </c>
      <c r="S874">
        <v>0</v>
      </c>
      <c r="T874">
        <v>1000</v>
      </c>
      <c r="U874">
        <v>0</v>
      </c>
      <c r="V874">
        <v>0</v>
      </c>
      <c r="W874">
        <v>1</v>
      </c>
      <c r="X874">
        <v>0.85</v>
      </c>
    </row>
    <row r="875" spans="1:24" x14ac:dyDescent="0.3">
      <c r="A875" t="s">
        <v>1459</v>
      </c>
      <c r="B875" s="1">
        <v>45978</v>
      </c>
      <c r="C875" t="s">
        <v>38</v>
      </c>
      <c r="D875" t="s">
        <v>39</v>
      </c>
      <c r="E875" t="s">
        <v>83</v>
      </c>
      <c r="F875" t="s">
        <v>41</v>
      </c>
      <c r="G875" t="s">
        <v>42</v>
      </c>
      <c r="H875" t="s">
        <v>111</v>
      </c>
      <c r="I875" t="s">
        <v>1460</v>
      </c>
      <c r="J875" t="s">
        <v>137</v>
      </c>
      <c r="K875" t="s">
        <v>85</v>
      </c>
      <c r="L875" t="s">
        <v>34</v>
      </c>
      <c r="M875" t="s">
        <v>94</v>
      </c>
      <c r="N875" t="s">
        <v>36</v>
      </c>
      <c r="O875">
        <v>60</v>
      </c>
      <c r="P875">
        <v>60</v>
      </c>
      <c r="Q875">
        <v>80.900000000000006</v>
      </c>
      <c r="R875">
        <v>1350</v>
      </c>
      <c r="S875">
        <v>1350</v>
      </c>
      <c r="T875">
        <v>0</v>
      </c>
      <c r="U875">
        <v>0</v>
      </c>
      <c r="V875">
        <v>1</v>
      </c>
      <c r="W875">
        <v>0</v>
      </c>
      <c r="X875">
        <v>0.85</v>
      </c>
    </row>
    <row r="876" spans="1:24" x14ac:dyDescent="0.3">
      <c r="A876" t="s">
        <v>1461</v>
      </c>
      <c r="B876" s="1">
        <v>45908</v>
      </c>
      <c r="C876" t="s">
        <v>49</v>
      </c>
      <c r="D876" t="s">
        <v>39</v>
      </c>
      <c r="E876" t="s">
        <v>40</v>
      </c>
      <c r="F876" t="s">
        <v>28</v>
      </c>
      <c r="G876" t="s">
        <v>29</v>
      </c>
      <c r="H876" t="s">
        <v>102</v>
      </c>
      <c r="I876" t="s">
        <v>1462</v>
      </c>
      <c r="J876" t="s">
        <v>53</v>
      </c>
      <c r="K876" t="s">
        <v>70</v>
      </c>
      <c r="L876" t="s">
        <v>64</v>
      </c>
      <c r="M876" t="s">
        <v>86</v>
      </c>
      <c r="N876" t="s">
        <v>36</v>
      </c>
      <c r="O876">
        <v>45</v>
      </c>
      <c r="P876">
        <v>45</v>
      </c>
      <c r="Q876">
        <v>50.3</v>
      </c>
      <c r="R876">
        <v>1100</v>
      </c>
      <c r="S876">
        <v>1100</v>
      </c>
      <c r="T876">
        <v>0</v>
      </c>
      <c r="U876">
        <v>0</v>
      </c>
      <c r="V876">
        <v>1</v>
      </c>
      <c r="W876">
        <v>0</v>
      </c>
      <c r="X876">
        <v>0.85</v>
      </c>
    </row>
    <row r="877" spans="1:24" x14ac:dyDescent="0.3">
      <c r="A877" t="s">
        <v>1463</v>
      </c>
      <c r="B877" s="1">
        <v>45960</v>
      </c>
      <c r="C877" t="s">
        <v>97</v>
      </c>
      <c r="D877" t="s">
        <v>50</v>
      </c>
      <c r="E877" t="s">
        <v>40</v>
      </c>
      <c r="F877" t="s">
        <v>41</v>
      </c>
      <c r="G877" t="s">
        <v>42</v>
      </c>
      <c r="H877" t="s">
        <v>43</v>
      </c>
      <c r="I877" t="s">
        <v>277</v>
      </c>
      <c r="J877" t="s">
        <v>45</v>
      </c>
      <c r="K877" t="s">
        <v>46</v>
      </c>
      <c r="L877" t="s">
        <v>64</v>
      </c>
      <c r="M877" t="s">
        <v>94</v>
      </c>
      <c r="N877" t="s">
        <v>36</v>
      </c>
      <c r="O877">
        <v>60</v>
      </c>
      <c r="P877">
        <v>60</v>
      </c>
      <c r="Q877">
        <v>78.900000000000006</v>
      </c>
      <c r="R877">
        <v>1550</v>
      </c>
      <c r="S877">
        <v>1550</v>
      </c>
      <c r="T877">
        <v>0</v>
      </c>
      <c r="U877">
        <v>0</v>
      </c>
      <c r="V877">
        <v>1</v>
      </c>
      <c r="W877">
        <v>0</v>
      </c>
      <c r="X877">
        <v>0.85</v>
      </c>
    </row>
    <row r="878" spans="1:24" x14ac:dyDescent="0.3">
      <c r="A878" t="s">
        <v>1464</v>
      </c>
      <c r="B878" s="1">
        <v>45890</v>
      </c>
      <c r="C878" t="s">
        <v>110</v>
      </c>
      <c r="D878" t="s">
        <v>50</v>
      </c>
      <c r="E878" t="s">
        <v>83</v>
      </c>
      <c r="F878" t="s">
        <v>41</v>
      </c>
      <c r="G878" t="s">
        <v>42</v>
      </c>
      <c r="H878" t="s">
        <v>111</v>
      </c>
      <c r="I878" t="s">
        <v>1465</v>
      </c>
      <c r="J878" t="s">
        <v>137</v>
      </c>
      <c r="K878" t="s">
        <v>104</v>
      </c>
      <c r="L878" t="s">
        <v>64</v>
      </c>
      <c r="M878" t="s">
        <v>94</v>
      </c>
      <c r="N878" t="s">
        <v>36</v>
      </c>
      <c r="O878">
        <v>30</v>
      </c>
      <c r="P878">
        <v>30</v>
      </c>
      <c r="Q878">
        <v>38.299999999999997</v>
      </c>
      <c r="R878">
        <v>700</v>
      </c>
      <c r="S878">
        <v>700</v>
      </c>
      <c r="T878">
        <v>0</v>
      </c>
      <c r="U878">
        <v>0</v>
      </c>
      <c r="V878">
        <v>1</v>
      </c>
      <c r="W878">
        <v>0</v>
      </c>
      <c r="X878">
        <v>0.85</v>
      </c>
    </row>
    <row r="879" spans="1:24" x14ac:dyDescent="0.3">
      <c r="A879" t="s">
        <v>1466</v>
      </c>
      <c r="B879" s="1">
        <v>45877</v>
      </c>
      <c r="C879" t="s">
        <v>110</v>
      </c>
      <c r="D879" t="s">
        <v>82</v>
      </c>
      <c r="E879" t="s">
        <v>27</v>
      </c>
      <c r="F879" t="s">
        <v>58</v>
      </c>
      <c r="G879" t="s">
        <v>59</v>
      </c>
      <c r="H879" t="s">
        <v>117</v>
      </c>
      <c r="I879" t="s">
        <v>1467</v>
      </c>
      <c r="J879" t="s">
        <v>45</v>
      </c>
      <c r="K879" t="s">
        <v>63</v>
      </c>
      <c r="L879" t="s">
        <v>54</v>
      </c>
      <c r="M879" t="s">
        <v>35</v>
      </c>
      <c r="N879" t="s">
        <v>36</v>
      </c>
      <c r="O879">
        <v>60</v>
      </c>
      <c r="P879">
        <v>60</v>
      </c>
      <c r="Q879">
        <v>80.5</v>
      </c>
      <c r="R879">
        <v>1450</v>
      </c>
      <c r="S879">
        <v>1450</v>
      </c>
      <c r="T879">
        <v>0</v>
      </c>
      <c r="U879">
        <v>0</v>
      </c>
      <c r="V879">
        <v>1</v>
      </c>
      <c r="W879">
        <v>0</v>
      </c>
      <c r="X879">
        <v>0.85</v>
      </c>
    </row>
    <row r="880" spans="1:24" x14ac:dyDescent="0.3">
      <c r="A880" t="s">
        <v>1468</v>
      </c>
      <c r="B880" s="1">
        <v>45917</v>
      </c>
      <c r="C880" t="s">
        <v>49</v>
      </c>
      <c r="D880" t="s">
        <v>57</v>
      </c>
      <c r="E880" t="s">
        <v>40</v>
      </c>
      <c r="F880" t="s">
        <v>41</v>
      </c>
      <c r="G880" t="s">
        <v>42</v>
      </c>
      <c r="H880" t="s">
        <v>125</v>
      </c>
      <c r="I880" t="s">
        <v>626</v>
      </c>
      <c r="J880" t="s">
        <v>32</v>
      </c>
      <c r="K880" t="s">
        <v>85</v>
      </c>
      <c r="L880" t="s">
        <v>34</v>
      </c>
      <c r="M880" t="s">
        <v>86</v>
      </c>
      <c r="N880" t="s">
        <v>36</v>
      </c>
      <c r="O880">
        <v>45</v>
      </c>
      <c r="P880">
        <v>45</v>
      </c>
      <c r="Q880">
        <v>53.3</v>
      </c>
      <c r="R880">
        <v>1000</v>
      </c>
      <c r="S880">
        <v>1000</v>
      </c>
      <c r="T880">
        <v>0</v>
      </c>
      <c r="U880">
        <v>0</v>
      </c>
      <c r="V880">
        <v>1</v>
      </c>
      <c r="W880">
        <v>0</v>
      </c>
      <c r="X880">
        <v>0.85</v>
      </c>
    </row>
    <row r="881" spans="1:24" x14ac:dyDescent="0.3">
      <c r="A881" t="s">
        <v>1469</v>
      </c>
      <c r="B881" s="1">
        <v>45843</v>
      </c>
      <c r="C881" t="s">
        <v>101</v>
      </c>
      <c r="D881" t="s">
        <v>88</v>
      </c>
      <c r="E881" t="s">
        <v>68</v>
      </c>
      <c r="F881" t="s">
        <v>58</v>
      </c>
      <c r="G881" t="s">
        <v>59</v>
      </c>
      <c r="H881" t="s">
        <v>151</v>
      </c>
      <c r="I881" t="s">
        <v>1450</v>
      </c>
      <c r="J881" t="s">
        <v>62</v>
      </c>
      <c r="K881" t="s">
        <v>33</v>
      </c>
      <c r="L881" t="s">
        <v>64</v>
      </c>
      <c r="M881" t="s">
        <v>71</v>
      </c>
      <c r="N881" t="s">
        <v>36</v>
      </c>
      <c r="O881">
        <v>45</v>
      </c>
      <c r="P881">
        <v>45</v>
      </c>
      <c r="Q881">
        <v>58</v>
      </c>
      <c r="R881">
        <v>1100</v>
      </c>
      <c r="S881">
        <v>1100</v>
      </c>
      <c r="T881">
        <v>0</v>
      </c>
      <c r="U881">
        <v>0</v>
      </c>
      <c r="V881">
        <v>1</v>
      </c>
      <c r="W881">
        <v>0</v>
      </c>
      <c r="X881">
        <v>0.85</v>
      </c>
    </row>
    <row r="882" spans="1:24" x14ac:dyDescent="0.3">
      <c r="A882" t="s">
        <v>1470</v>
      </c>
      <c r="B882" s="1">
        <v>45753</v>
      </c>
      <c r="C882" t="s">
        <v>92</v>
      </c>
      <c r="D882" t="s">
        <v>287</v>
      </c>
      <c r="E882" t="s">
        <v>40</v>
      </c>
      <c r="F882" t="s">
        <v>58</v>
      </c>
      <c r="G882" t="s">
        <v>59</v>
      </c>
      <c r="H882" t="s">
        <v>73</v>
      </c>
      <c r="I882" t="s">
        <v>1437</v>
      </c>
      <c r="J882" t="s">
        <v>62</v>
      </c>
      <c r="K882" t="s">
        <v>63</v>
      </c>
      <c r="L882" t="s">
        <v>78</v>
      </c>
      <c r="M882" t="s">
        <v>94</v>
      </c>
      <c r="N882" t="s">
        <v>36</v>
      </c>
      <c r="O882">
        <v>45</v>
      </c>
      <c r="P882">
        <v>45</v>
      </c>
      <c r="Q882">
        <v>50.2</v>
      </c>
      <c r="R882">
        <v>1050</v>
      </c>
      <c r="S882">
        <v>1050</v>
      </c>
      <c r="T882">
        <v>0</v>
      </c>
      <c r="U882">
        <v>0</v>
      </c>
      <c r="V882">
        <v>1</v>
      </c>
      <c r="W882">
        <v>0</v>
      </c>
      <c r="X882">
        <v>0.85</v>
      </c>
    </row>
    <row r="883" spans="1:24" x14ac:dyDescent="0.3">
      <c r="A883" t="s">
        <v>1471</v>
      </c>
      <c r="B883" s="1">
        <v>46009</v>
      </c>
      <c r="C883" t="s">
        <v>25</v>
      </c>
      <c r="D883" t="s">
        <v>50</v>
      </c>
      <c r="E883" t="s">
        <v>83</v>
      </c>
      <c r="F883" t="s">
        <v>41</v>
      </c>
      <c r="G883" t="s">
        <v>42</v>
      </c>
      <c r="H883" t="s">
        <v>111</v>
      </c>
      <c r="I883" t="s">
        <v>1341</v>
      </c>
      <c r="J883" t="s">
        <v>62</v>
      </c>
      <c r="K883" t="s">
        <v>70</v>
      </c>
      <c r="L883" t="s">
        <v>34</v>
      </c>
      <c r="M883" t="s">
        <v>47</v>
      </c>
      <c r="N883" t="s">
        <v>36</v>
      </c>
      <c r="O883">
        <v>45</v>
      </c>
      <c r="P883">
        <v>45</v>
      </c>
      <c r="Q883">
        <v>49.7</v>
      </c>
      <c r="R883">
        <v>1000</v>
      </c>
      <c r="S883">
        <v>1000</v>
      </c>
      <c r="T883">
        <v>0</v>
      </c>
      <c r="U883">
        <v>0</v>
      </c>
      <c r="V883">
        <v>1</v>
      </c>
      <c r="W883">
        <v>0</v>
      </c>
      <c r="X883">
        <v>0.85</v>
      </c>
    </row>
    <row r="884" spans="1:24" x14ac:dyDescent="0.3">
      <c r="A884" t="s">
        <v>1472</v>
      </c>
      <c r="B884" s="1">
        <v>45975</v>
      </c>
      <c r="C884" t="s">
        <v>38</v>
      </c>
      <c r="D884" t="s">
        <v>82</v>
      </c>
      <c r="E884" t="s">
        <v>27</v>
      </c>
      <c r="F884" t="s">
        <v>28</v>
      </c>
      <c r="G884" t="s">
        <v>29</v>
      </c>
      <c r="H884" t="s">
        <v>102</v>
      </c>
      <c r="I884" t="s">
        <v>384</v>
      </c>
      <c r="J884" t="s">
        <v>62</v>
      </c>
      <c r="K884" t="s">
        <v>104</v>
      </c>
      <c r="L884" t="s">
        <v>64</v>
      </c>
      <c r="M884" t="s">
        <v>65</v>
      </c>
      <c r="N884" t="s">
        <v>36</v>
      </c>
      <c r="O884">
        <v>30</v>
      </c>
      <c r="P884">
        <v>30</v>
      </c>
      <c r="Q884">
        <v>35.700000000000003</v>
      </c>
      <c r="R884">
        <v>600</v>
      </c>
      <c r="S884">
        <v>600</v>
      </c>
      <c r="T884">
        <v>0</v>
      </c>
      <c r="U884">
        <v>0</v>
      </c>
      <c r="V884">
        <v>1</v>
      </c>
      <c r="W884">
        <v>0</v>
      </c>
      <c r="X884">
        <v>0.85</v>
      </c>
    </row>
    <row r="885" spans="1:24" x14ac:dyDescent="0.3">
      <c r="A885" t="s">
        <v>1473</v>
      </c>
      <c r="B885" s="1">
        <v>45827</v>
      </c>
      <c r="C885" t="s">
        <v>67</v>
      </c>
      <c r="D885" t="s">
        <v>50</v>
      </c>
      <c r="E885" t="s">
        <v>40</v>
      </c>
      <c r="F885" t="s">
        <v>41</v>
      </c>
      <c r="G885" t="s">
        <v>42</v>
      </c>
      <c r="H885" t="s">
        <v>111</v>
      </c>
      <c r="I885" t="s">
        <v>1474</v>
      </c>
      <c r="J885" t="s">
        <v>32</v>
      </c>
      <c r="K885" t="s">
        <v>70</v>
      </c>
      <c r="L885" t="s">
        <v>34</v>
      </c>
      <c r="M885" t="s">
        <v>71</v>
      </c>
      <c r="N885" t="s">
        <v>36</v>
      </c>
      <c r="O885">
        <v>60</v>
      </c>
      <c r="P885">
        <v>60</v>
      </c>
      <c r="Q885">
        <v>74.3</v>
      </c>
      <c r="R885">
        <v>1350</v>
      </c>
      <c r="S885">
        <v>1350</v>
      </c>
      <c r="T885">
        <v>0</v>
      </c>
      <c r="U885">
        <v>0</v>
      </c>
      <c r="V885">
        <v>1</v>
      </c>
      <c r="W885">
        <v>0</v>
      </c>
      <c r="X885">
        <v>0.85</v>
      </c>
    </row>
    <row r="886" spans="1:24" x14ac:dyDescent="0.3">
      <c r="A886" t="s">
        <v>1475</v>
      </c>
      <c r="B886" s="1">
        <v>45784</v>
      </c>
      <c r="C886" t="s">
        <v>128</v>
      </c>
      <c r="D886" t="s">
        <v>57</v>
      </c>
      <c r="E886" t="s">
        <v>27</v>
      </c>
      <c r="F886" t="s">
        <v>58</v>
      </c>
      <c r="G886" t="s">
        <v>59</v>
      </c>
      <c r="H886" t="s">
        <v>73</v>
      </c>
      <c r="I886" t="s">
        <v>1476</v>
      </c>
      <c r="J886" t="s">
        <v>32</v>
      </c>
      <c r="K886" t="s">
        <v>104</v>
      </c>
      <c r="L886" t="s">
        <v>34</v>
      </c>
      <c r="M886" t="s">
        <v>47</v>
      </c>
      <c r="N886" t="s">
        <v>95</v>
      </c>
      <c r="O886">
        <v>60</v>
      </c>
      <c r="P886">
        <v>0</v>
      </c>
      <c r="Q886">
        <v>72.8</v>
      </c>
      <c r="R886">
        <v>1500</v>
      </c>
      <c r="S886">
        <v>0</v>
      </c>
      <c r="T886">
        <v>1500</v>
      </c>
      <c r="U886">
        <v>1</v>
      </c>
      <c r="V886">
        <v>0</v>
      </c>
      <c r="W886">
        <v>0</v>
      </c>
      <c r="X886">
        <v>0.85</v>
      </c>
    </row>
    <row r="887" spans="1:24" x14ac:dyDescent="0.3">
      <c r="A887" t="s">
        <v>1477</v>
      </c>
      <c r="B887" s="1">
        <v>45980</v>
      </c>
      <c r="C887" t="s">
        <v>38</v>
      </c>
      <c r="D887" t="s">
        <v>57</v>
      </c>
      <c r="E887" t="s">
        <v>83</v>
      </c>
      <c r="F887" t="s">
        <v>58</v>
      </c>
      <c r="G887" t="s">
        <v>59</v>
      </c>
      <c r="H887" t="s">
        <v>60</v>
      </c>
      <c r="I887" t="s">
        <v>852</v>
      </c>
      <c r="J887" t="s">
        <v>99</v>
      </c>
      <c r="K887" t="s">
        <v>33</v>
      </c>
      <c r="L887" t="s">
        <v>64</v>
      </c>
      <c r="M887" t="s">
        <v>94</v>
      </c>
      <c r="N887" t="s">
        <v>153</v>
      </c>
      <c r="O887">
        <v>45</v>
      </c>
      <c r="P887">
        <v>0</v>
      </c>
      <c r="Q887">
        <v>57.5</v>
      </c>
      <c r="R887">
        <v>1100</v>
      </c>
      <c r="S887">
        <v>0</v>
      </c>
      <c r="T887">
        <v>0</v>
      </c>
      <c r="U887">
        <v>0</v>
      </c>
      <c r="V887">
        <v>0</v>
      </c>
      <c r="W887">
        <v>0</v>
      </c>
      <c r="X887">
        <v>0.85</v>
      </c>
    </row>
    <row r="888" spans="1:24" x14ac:dyDescent="0.3">
      <c r="A888" t="s">
        <v>1478</v>
      </c>
      <c r="B888" s="1">
        <v>45974</v>
      </c>
      <c r="C888" t="s">
        <v>38</v>
      </c>
      <c r="D888" t="s">
        <v>50</v>
      </c>
      <c r="E888" t="s">
        <v>27</v>
      </c>
      <c r="F888" t="s">
        <v>58</v>
      </c>
      <c r="G888" t="s">
        <v>59</v>
      </c>
      <c r="H888" t="s">
        <v>60</v>
      </c>
      <c r="I888" t="s">
        <v>937</v>
      </c>
      <c r="J888" t="s">
        <v>53</v>
      </c>
      <c r="K888" t="s">
        <v>104</v>
      </c>
      <c r="L888" t="s">
        <v>64</v>
      </c>
      <c r="M888" t="s">
        <v>47</v>
      </c>
      <c r="N888" t="s">
        <v>36</v>
      </c>
      <c r="O888">
        <v>60</v>
      </c>
      <c r="P888">
        <v>60</v>
      </c>
      <c r="Q888">
        <v>75.8</v>
      </c>
      <c r="R888">
        <v>1800</v>
      </c>
      <c r="S888">
        <v>1800</v>
      </c>
      <c r="T888">
        <v>0</v>
      </c>
      <c r="U888">
        <v>0</v>
      </c>
      <c r="V888">
        <v>1</v>
      </c>
      <c r="W888">
        <v>0</v>
      </c>
      <c r="X888">
        <v>0.85</v>
      </c>
    </row>
    <row r="889" spans="1:24" x14ac:dyDescent="0.3">
      <c r="A889" t="s">
        <v>1479</v>
      </c>
      <c r="B889" s="1">
        <v>45719</v>
      </c>
      <c r="C889" t="s">
        <v>56</v>
      </c>
      <c r="D889" t="s">
        <v>39</v>
      </c>
      <c r="E889" t="s">
        <v>27</v>
      </c>
      <c r="F889" t="s">
        <v>41</v>
      </c>
      <c r="G889" t="s">
        <v>42</v>
      </c>
      <c r="H889" t="s">
        <v>43</v>
      </c>
      <c r="I889" t="s">
        <v>235</v>
      </c>
      <c r="J889" t="s">
        <v>45</v>
      </c>
      <c r="K889" t="s">
        <v>104</v>
      </c>
      <c r="L889" t="s">
        <v>34</v>
      </c>
      <c r="M889" t="s">
        <v>65</v>
      </c>
      <c r="N889" t="s">
        <v>36</v>
      </c>
      <c r="O889">
        <v>30</v>
      </c>
      <c r="P889">
        <v>30</v>
      </c>
      <c r="Q889">
        <v>38.9</v>
      </c>
      <c r="R889">
        <v>800</v>
      </c>
      <c r="S889">
        <v>800</v>
      </c>
      <c r="T889">
        <v>0</v>
      </c>
      <c r="U889">
        <v>0</v>
      </c>
      <c r="V889">
        <v>1</v>
      </c>
      <c r="W889">
        <v>0</v>
      </c>
      <c r="X889">
        <v>0.85</v>
      </c>
    </row>
    <row r="890" spans="1:24" x14ac:dyDescent="0.3">
      <c r="A890" t="s">
        <v>1480</v>
      </c>
      <c r="B890" s="1">
        <v>45882</v>
      </c>
      <c r="C890" t="s">
        <v>110</v>
      </c>
      <c r="D890" t="s">
        <v>57</v>
      </c>
      <c r="E890" t="s">
        <v>40</v>
      </c>
      <c r="F890" t="s">
        <v>41</v>
      </c>
      <c r="G890" t="s">
        <v>42</v>
      </c>
      <c r="H890" t="s">
        <v>51</v>
      </c>
      <c r="I890" t="s">
        <v>1481</v>
      </c>
      <c r="J890" t="s">
        <v>53</v>
      </c>
      <c r="K890" t="s">
        <v>104</v>
      </c>
      <c r="L890" t="s">
        <v>34</v>
      </c>
      <c r="M890" t="s">
        <v>94</v>
      </c>
      <c r="N890" t="s">
        <v>95</v>
      </c>
      <c r="O890">
        <v>90</v>
      </c>
      <c r="P890">
        <v>0</v>
      </c>
      <c r="Q890">
        <v>116.6</v>
      </c>
      <c r="R890">
        <v>2450</v>
      </c>
      <c r="S890">
        <v>0</v>
      </c>
      <c r="T890">
        <v>2450</v>
      </c>
      <c r="U890">
        <v>1</v>
      </c>
      <c r="V890">
        <v>0</v>
      </c>
      <c r="W890">
        <v>0</v>
      </c>
      <c r="X890">
        <v>0.85</v>
      </c>
    </row>
    <row r="891" spans="1:24" x14ac:dyDescent="0.3">
      <c r="A891" t="s">
        <v>1482</v>
      </c>
      <c r="B891" s="1">
        <v>45719</v>
      </c>
      <c r="C891" t="s">
        <v>56</v>
      </c>
      <c r="D891" t="s">
        <v>39</v>
      </c>
      <c r="E891" t="s">
        <v>68</v>
      </c>
      <c r="F891" t="s">
        <v>28</v>
      </c>
      <c r="G891" t="s">
        <v>29</v>
      </c>
      <c r="H891" t="s">
        <v>135</v>
      </c>
      <c r="I891" t="s">
        <v>77</v>
      </c>
      <c r="J891" t="s">
        <v>53</v>
      </c>
      <c r="K891" t="s">
        <v>85</v>
      </c>
      <c r="L891" t="s">
        <v>34</v>
      </c>
      <c r="M891" t="s">
        <v>65</v>
      </c>
      <c r="N891" t="s">
        <v>36</v>
      </c>
      <c r="O891">
        <v>30</v>
      </c>
      <c r="P891">
        <v>30</v>
      </c>
      <c r="Q891">
        <v>35.299999999999997</v>
      </c>
      <c r="R891">
        <v>750</v>
      </c>
      <c r="S891">
        <v>750</v>
      </c>
      <c r="T891">
        <v>0</v>
      </c>
      <c r="U891">
        <v>0</v>
      </c>
      <c r="V891">
        <v>1</v>
      </c>
      <c r="W891">
        <v>0</v>
      </c>
      <c r="X891">
        <v>0.85</v>
      </c>
    </row>
    <row r="892" spans="1:24" x14ac:dyDescent="0.3">
      <c r="A892" t="s">
        <v>1483</v>
      </c>
      <c r="B892" s="1">
        <v>45951</v>
      </c>
      <c r="C892" t="s">
        <v>97</v>
      </c>
      <c r="D892" t="s">
        <v>26</v>
      </c>
      <c r="E892" t="s">
        <v>83</v>
      </c>
      <c r="F892" t="s">
        <v>28</v>
      </c>
      <c r="G892" t="s">
        <v>29</v>
      </c>
      <c r="H892" t="s">
        <v>135</v>
      </c>
      <c r="I892" t="s">
        <v>684</v>
      </c>
      <c r="J892" t="s">
        <v>99</v>
      </c>
      <c r="K892" t="s">
        <v>104</v>
      </c>
      <c r="L892" t="s">
        <v>64</v>
      </c>
      <c r="M892" t="s">
        <v>86</v>
      </c>
      <c r="N892" t="s">
        <v>36</v>
      </c>
      <c r="O892">
        <v>75</v>
      </c>
      <c r="P892">
        <v>75</v>
      </c>
      <c r="Q892">
        <v>99.8</v>
      </c>
      <c r="R892">
        <v>1550</v>
      </c>
      <c r="S892">
        <v>1550</v>
      </c>
      <c r="T892">
        <v>0</v>
      </c>
      <c r="U892">
        <v>0</v>
      </c>
      <c r="V892">
        <v>1</v>
      </c>
      <c r="W892">
        <v>0</v>
      </c>
      <c r="X892">
        <v>0.85</v>
      </c>
    </row>
    <row r="893" spans="1:24" x14ac:dyDescent="0.3">
      <c r="A893" t="s">
        <v>1484</v>
      </c>
      <c r="B893" s="1">
        <v>45813</v>
      </c>
      <c r="C893" t="s">
        <v>67</v>
      </c>
      <c r="D893" t="s">
        <v>50</v>
      </c>
      <c r="E893" t="s">
        <v>68</v>
      </c>
      <c r="F893" t="s">
        <v>58</v>
      </c>
      <c r="G893" t="s">
        <v>59</v>
      </c>
      <c r="H893" t="s">
        <v>60</v>
      </c>
      <c r="I893" t="s">
        <v>1485</v>
      </c>
      <c r="J893" t="s">
        <v>62</v>
      </c>
      <c r="K893" t="s">
        <v>85</v>
      </c>
      <c r="L893" t="s">
        <v>34</v>
      </c>
      <c r="M893" t="s">
        <v>47</v>
      </c>
      <c r="N893" t="s">
        <v>36</v>
      </c>
      <c r="O893">
        <v>45</v>
      </c>
      <c r="P893">
        <v>45</v>
      </c>
      <c r="Q893">
        <v>53.6</v>
      </c>
      <c r="R893">
        <v>1100</v>
      </c>
      <c r="S893">
        <v>1100</v>
      </c>
      <c r="T893">
        <v>0</v>
      </c>
      <c r="U893">
        <v>0</v>
      </c>
      <c r="V893">
        <v>1</v>
      </c>
      <c r="W893">
        <v>0</v>
      </c>
      <c r="X893">
        <v>0.85</v>
      </c>
    </row>
    <row r="894" spans="1:24" x14ac:dyDescent="0.3">
      <c r="A894" t="s">
        <v>1486</v>
      </c>
      <c r="B894" s="1">
        <v>45742</v>
      </c>
      <c r="C894" t="s">
        <v>56</v>
      </c>
      <c r="D894" t="s">
        <v>57</v>
      </c>
      <c r="E894" t="s">
        <v>83</v>
      </c>
      <c r="F894" t="s">
        <v>41</v>
      </c>
      <c r="G894" t="s">
        <v>42</v>
      </c>
      <c r="H894" t="s">
        <v>51</v>
      </c>
      <c r="I894" t="s">
        <v>1487</v>
      </c>
      <c r="J894" t="s">
        <v>53</v>
      </c>
      <c r="K894" t="s">
        <v>46</v>
      </c>
      <c r="L894" t="s">
        <v>54</v>
      </c>
      <c r="M894" t="s">
        <v>35</v>
      </c>
      <c r="N894" t="s">
        <v>36</v>
      </c>
      <c r="O894">
        <v>75</v>
      </c>
      <c r="P894">
        <v>75</v>
      </c>
      <c r="Q894">
        <v>99.1</v>
      </c>
      <c r="R894">
        <v>1700</v>
      </c>
      <c r="S894">
        <v>1700</v>
      </c>
      <c r="T894">
        <v>0</v>
      </c>
      <c r="U894">
        <v>0</v>
      </c>
      <c r="V894">
        <v>1</v>
      </c>
      <c r="W894">
        <v>0</v>
      </c>
      <c r="X894">
        <v>0.85</v>
      </c>
    </row>
    <row r="895" spans="1:24" x14ac:dyDescent="0.3">
      <c r="A895" t="s">
        <v>1488</v>
      </c>
      <c r="B895" s="1">
        <v>46005</v>
      </c>
      <c r="C895" t="s">
        <v>25</v>
      </c>
      <c r="D895" t="s">
        <v>287</v>
      </c>
      <c r="E895" t="s">
        <v>40</v>
      </c>
      <c r="F895" t="s">
        <v>58</v>
      </c>
      <c r="G895" t="s">
        <v>59</v>
      </c>
      <c r="H895" t="s">
        <v>60</v>
      </c>
      <c r="I895" t="s">
        <v>168</v>
      </c>
      <c r="J895" t="s">
        <v>45</v>
      </c>
      <c r="K895" t="s">
        <v>70</v>
      </c>
      <c r="L895" t="s">
        <v>64</v>
      </c>
      <c r="M895" t="s">
        <v>86</v>
      </c>
      <c r="N895" t="s">
        <v>36</v>
      </c>
      <c r="O895">
        <v>45</v>
      </c>
      <c r="P895">
        <v>45</v>
      </c>
      <c r="Q895">
        <v>59.2</v>
      </c>
      <c r="R895">
        <v>1300</v>
      </c>
      <c r="S895">
        <v>1300</v>
      </c>
      <c r="T895">
        <v>0</v>
      </c>
      <c r="U895">
        <v>0</v>
      </c>
      <c r="V895">
        <v>1</v>
      </c>
      <c r="W895">
        <v>0</v>
      </c>
      <c r="X895">
        <v>0.85</v>
      </c>
    </row>
    <row r="896" spans="1:24" x14ac:dyDescent="0.3">
      <c r="A896" t="s">
        <v>1489</v>
      </c>
      <c r="B896" s="1">
        <v>45943</v>
      </c>
      <c r="C896" t="s">
        <v>97</v>
      </c>
      <c r="D896" t="s">
        <v>39</v>
      </c>
      <c r="E896" t="s">
        <v>68</v>
      </c>
      <c r="F896" t="s">
        <v>28</v>
      </c>
      <c r="G896" t="s">
        <v>29</v>
      </c>
      <c r="H896" t="s">
        <v>210</v>
      </c>
      <c r="I896" t="s">
        <v>1373</v>
      </c>
      <c r="J896" t="s">
        <v>53</v>
      </c>
      <c r="K896" t="s">
        <v>63</v>
      </c>
      <c r="L896" t="s">
        <v>78</v>
      </c>
      <c r="M896" t="s">
        <v>47</v>
      </c>
      <c r="N896" t="s">
        <v>36</v>
      </c>
      <c r="O896">
        <v>30</v>
      </c>
      <c r="P896">
        <v>30</v>
      </c>
      <c r="Q896">
        <v>36.700000000000003</v>
      </c>
      <c r="R896">
        <v>700</v>
      </c>
      <c r="S896">
        <v>700</v>
      </c>
      <c r="T896">
        <v>0</v>
      </c>
      <c r="U896">
        <v>0</v>
      </c>
      <c r="V896">
        <v>1</v>
      </c>
      <c r="W896">
        <v>0</v>
      </c>
      <c r="X896">
        <v>0.85</v>
      </c>
    </row>
    <row r="897" spans="1:24" x14ac:dyDescent="0.3">
      <c r="A897" t="s">
        <v>1490</v>
      </c>
      <c r="B897" s="1">
        <v>46017</v>
      </c>
      <c r="C897" t="s">
        <v>25</v>
      </c>
      <c r="D897" t="s">
        <v>82</v>
      </c>
      <c r="E897" t="s">
        <v>83</v>
      </c>
      <c r="F897" t="s">
        <v>58</v>
      </c>
      <c r="G897" t="s">
        <v>59</v>
      </c>
      <c r="H897" t="s">
        <v>296</v>
      </c>
      <c r="I897" t="s">
        <v>1361</v>
      </c>
      <c r="J897" t="s">
        <v>53</v>
      </c>
      <c r="K897" t="s">
        <v>33</v>
      </c>
      <c r="L897" t="s">
        <v>64</v>
      </c>
      <c r="M897" t="s">
        <v>94</v>
      </c>
      <c r="N897" t="s">
        <v>95</v>
      </c>
      <c r="O897">
        <v>45</v>
      </c>
      <c r="P897">
        <v>0</v>
      </c>
      <c r="Q897">
        <v>49.5</v>
      </c>
      <c r="R897">
        <v>1350</v>
      </c>
      <c r="S897">
        <v>0</v>
      </c>
      <c r="T897">
        <v>1350</v>
      </c>
      <c r="U897">
        <v>1</v>
      </c>
      <c r="V897">
        <v>0</v>
      </c>
      <c r="W897">
        <v>0</v>
      </c>
      <c r="X897">
        <v>0.85</v>
      </c>
    </row>
    <row r="898" spans="1:24" x14ac:dyDescent="0.3">
      <c r="A898" t="s">
        <v>1491</v>
      </c>
      <c r="B898" s="1">
        <v>45671</v>
      </c>
      <c r="C898" t="s">
        <v>130</v>
      </c>
      <c r="D898" t="s">
        <v>26</v>
      </c>
      <c r="E898" t="s">
        <v>83</v>
      </c>
      <c r="F898" t="s">
        <v>58</v>
      </c>
      <c r="G898" t="s">
        <v>59</v>
      </c>
      <c r="H898" t="s">
        <v>60</v>
      </c>
      <c r="I898" t="s">
        <v>1259</v>
      </c>
      <c r="J898" t="s">
        <v>32</v>
      </c>
      <c r="K898" t="s">
        <v>85</v>
      </c>
      <c r="L898" t="s">
        <v>54</v>
      </c>
      <c r="M898" t="s">
        <v>94</v>
      </c>
      <c r="N898" t="s">
        <v>36</v>
      </c>
      <c r="O898">
        <v>90</v>
      </c>
      <c r="P898">
        <v>90</v>
      </c>
      <c r="Q898">
        <v>117.3</v>
      </c>
      <c r="R898">
        <v>1900</v>
      </c>
      <c r="S898">
        <v>1900</v>
      </c>
      <c r="T898">
        <v>0</v>
      </c>
      <c r="U898">
        <v>0</v>
      </c>
      <c r="V898">
        <v>1</v>
      </c>
      <c r="W898">
        <v>0</v>
      </c>
      <c r="X898">
        <v>0.85</v>
      </c>
    </row>
    <row r="899" spans="1:24" x14ac:dyDescent="0.3">
      <c r="A899" t="s">
        <v>1492</v>
      </c>
      <c r="B899" s="1">
        <v>45782</v>
      </c>
      <c r="C899" t="s">
        <v>128</v>
      </c>
      <c r="D899" t="s">
        <v>39</v>
      </c>
      <c r="E899" t="s">
        <v>83</v>
      </c>
      <c r="F899" t="s">
        <v>58</v>
      </c>
      <c r="G899" t="s">
        <v>59</v>
      </c>
      <c r="H899" t="s">
        <v>151</v>
      </c>
      <c r="I899" t="s">
        <v>1493</v>
      </c>
      <c r="J899" t="s">
        <v>99</v>
      </c>
      <c r="K899" t="s">
        <v>70</v>
      </c>
      <c r="L899" t="s">
        <v>34</v>
      </c>
      <c r="M899" t="s">
        <v>94</v>
      </c>
      <c r="N899" t="s">
        <v>36</v>
      </c>
      <c r="O899">
        <v>60</v>
      </c>
      <c r="P899">
        <v>60</v>
      </c>
      <c r="Q899">
        <v>67.900000000000006</v>
      </c>
      <c r="R899">
        <v>1500</v>
      </c>
      <c r="S899">
        <v>1500</v>
      </c>
      <c r="T899">
        <v>0</v>
      </c>
      <c r="U899">
        <v>0</v>
      </c>
      <c r="V899">
        <v>1</v>
      </c>
      <c r="W899">
        <v>0</v>
      </c>
      <c r="X899">
        <v>0.85</v>
      </c>
    </row>
    <row r="900" spans="1:24" x14ac:dyDescent="0.3">
      <c r="A900" t="s">
        <v>1494</v>
      </c>
      <c r="B900" s="1">
        <v>45850</v>
      </c>
      <c r="C900" t="s">
        <v>101</v>
      </c>
      <c r="D900" t="s">
        <v>88</v>
      </c>
      <c r="E900" t="s">
        <v>83</v>
      </c>
      <c r="F900" t="s">
        <v>58</v>
      </c>
      <c r="G900" t="s">
        <v>59</v>
      </c>
      <c r="H900" t="s">
        <v>151</v>
      </c>
      <c r="I900" t="s">
        <v>778</v>
      </c>
      <c r="J900" t="s">
        <v>62</v>
      </c>
      <c r="K900" t="s">
        <v>104</v>
      </c>
      <c r="L900" t="s">
        <v>54</v>
      </c>
      <c r="M900" t="s">
        <v>65</v>
      </c>
      <c r="N900" t="s">
        <v>36</v>
      </c>
      <c r="O900">
        <v>75</v>
      </c>
      <c r="P900">
        <v>75</v>
      </c>
      <c r="Q900">
        <v>83.4</v>
      </c>
      <c r="R900">
        <v>1600</v>
      </c>
      <c r="S900">
        <v>1600</v>
      </c>
      <c r="T900">
        <v>0</v>
      </c>
      <c r="U900">
        <v>0</v>
      </c>
      <c r="V900">
        <v>1</v>
      </c>
      <c r="W900">
        <v>0</v>
      </c>
      <c r="X900">
        <v>0.85</v>
      </c>
    </row>
    <row r="901" spans="1:24" x14ac:dyDescent="0.3">
      <c r="A901" t="s">
        <v>1495</v>
      </c>
      <c r="B901" s="1">
        <v>45999</v>
      </c>
      <c r="C901" t="s">
        <v>25</v>
      </c>
      <c r="D901" t="s">
        <v>39</v>
      </c>
      <c r="E901" t="s">
        <v>83</v>
      </c>
      <c r="F901" t="s">
        <v>58</v>
      </c>
      <c r="G901" t="s">
        <v>59</v>
      </c>
      <c r="H901" t="s">
        <v>117</v>
      </c>
      <c r="I901" t="s">
        <v>1496</v>
      </c>
      <c r="J901" t="s">
        <v>45</v>
      </c>
      <c r="K901" t="s">
        <v>104</v>
      </c>
      <c r="L901" t="s">
        <v>78</v>
      </c>
      <c r="M901" t="s">
        <v>65</v>
      </c>
      <c r="N901" t="s">
        <v>36</v>
      </c>
      <c r="O901">
        <v>45</v>
      </c>
      <c r="P901">
        <v>45</v>
      </c>
      <c r="Q901">
        <v>60.6</v>
      </c>
      <c r="R901">
        <v>1200</v>
      </c>
      <c r="S901">
        <v>1200</v>
      </c>
      <c r="T901">
        <v>0</v>
      </c>
      <c r="U901">
        <v>0</v>
      </c>
      <c r="V901">
        <v>1</v>
      </c>
      <c r="W901">
        <v>0</v>
      </c>
      <c r="X901">
        <v>0.85</v>
      </c>
    </row>
    <row r="902" spans="1:24" x14ac:dyDescent="0.3">
      <c r="A902" t="s">
        <v>1497</v>
      </c>
      <c r="B902" s="1">
        <v>45733</v>
      </c>
      <c r="C902" t="s">
        <v>56</v>
      </c>
      <c r="D902" t="s">
        <v>39</v>
      </c>
      <c r="E902" t="s">
        <v>40</v>
      </c>
      <c r="F902" t="s">
        <v>28</v>
      </c>
      <c r="G902" t="s">
        <v>29</v>
      </c>
      <c r="H902" t="s">
        <v>30</v>
      </c>
      <c r="I902" t="s">
        <v>1498</v>
      </c>
      <c r="J902" t="s">
        <v>32</v>
      </c>
      <c r="K902" t="s">
        <v>33</v>
      </c>
      <c r="L902" t="s">
        <v>34</v>
      </c>
      <c r="M902" t="s">
        <v>65</v>
      </c>
      <c r="N902" t="s">
        <v>95</v>
      </c>
      <c r="O902">
        <v>45</v>
      </c>
      <c r="P902">
        <v>0</v>
      </c>
      <c r="Q902">
        <v>59.1</v>
      </c>
      <c r="R902">
        <v>950</v>
      </c>
      <c r="S902">
        <v>0</v>
      </c>
      <c r="T902">
        <v>950</v>
      </c>
      <c r="U902">
        <v>1</v>
      </c>
      <c r="V902">
        <v>0</v>
      </c>
      <c r="W902">
        <v>0</v>
      </c>
      <c r="X902">
        <v>0.85</v>
      </c>
    </row>
    <row r="903" spans="1:24" x14ac:dyDescent="0.3">
      <c r="A903" t="s">
        <v>1499</v>
      </c>
      <c r="B903" s="1">
        <v>45931</v>
      </c>
      <c r="C903" t="s">
        <v>97</v>
      </c>
      <c r="D903" t="s">
        <v>57</v>
      </c>
      <c r="E903" t="s">
        <v>83</v>
      </c>
      <c r="F903" t="s">
        <v>28</v>
      </c>
      <c r="G903" t="s">
        <v>29</v>
      </c>
      <c r="H903" t="s">
        <v>135</v>
      </c>
      <c r="I903" t="s">
        <v>1500</v>
      </c>
      <c r="J903" t="s">
        <v>99</v>
      </c>
      <c r="K903" t="s">
        <v>46</v>
      </c>
      <c r="L903" t="s">
        <v>64</v>
      </c>
      <c r="M903" t="s">
        <v>65</v>
      </c>
      <c r="N903" t="s">
        <v>95</v>
      </c>
      <c r="O903">
        <v>60</v>
      </c>
      <c r="P903">
        <v>0</v>
      </c>
      <c r="Q903">
        <v>80.2</v>
      </c>
      <c r="R903">
        <v>1250</v>
      </c>
      <c r="S903">
        <v>0</v>
      </c>
      <c r="T903">
        <v>1250</v>
      </c>
      <c r="U903">
        <v>1</v>
      </c>
      <c r="V903">
        <v>0</v>
      </c>
      <c r="W903">
        <v>0</v>
      </c>
      <c r="X903">
        <v>0.85</v>
      </c>
    </row>
    <row r="904" spans="1:24" x14ac:dyDescent="0.3">
      <c r="A904" t="s">
        <v>1501</v>
      </c>
      <c r="B904" s="1">
        <v>45877</v>
      </c>
      <c r="C904" t="s">
        <v>110</v>
      </c>
      <c r="D904" t="s">
        <v>82</v>
      </c>
      <c r="E904" t="s">
        <v>27</v>
      </c>
      <c r="F904" t="s">
        <v>58</v>
      </c>
      <c r="G904" t="s">
        <v>59</v>
      </c>
      <c r="H904" t="s">
        <v>296</v>
      </c>
      <c r="I904" t="s">
        <v>984</v>
      </c>
      <c r="J904" t="s">
        <v>62</v>
      </c>
      <c r="K904" t="s">
        <v>63</v>
      </c>
      <c r="L904" t="s">
        <v>78</v>
      </c>
      <c r="M904" t="s">
        <v>86</v>
      </c>
      <c r="N904" t="s">
        <v>36</v>
      </c>
      <c r="O904">
        <v>60</v>
      </c>
      <c r="P904">
        <v>60</v>
      </c>
      <c r="Q904">
        <v>78.2</v>
      </c>
      <c r="R904">
        <v>1400</v>
      </c>
      <c r="S904">
        <v>1400</v>
      </c>
      <c r="T904">
        <v>0</v>
      </c>
      <c r="U904">
        <v>0</v>
      </c>
      <c r="V904">
        <v>1</v>
      </c>
      <c r="W904">
        <v>0</v>
      </c>
      <c r="X904">
        <v>0.85</v>
      </c>
    </row>
    <row r="905" spans="1:24" x14ac:dyDescent="0.3">
      <c r="A905" t="s">
        <v>1502</v>
      </c>
      <c r="B905" s="1">
        <v>46007</v>
      </c>
      <c r="C905" t="s">
        <v>25</v>
      </c>
      <c r="D905" t="s">
        <v>26</v>
      </c>
      <c r="E905" t="s">
        <v>83</v>
      </c>
      <c r="F905" t="s">
        <v>58</v>
      </c>
      <c r="G905" t="s">
        <v>59</v>
      </c>
      <c r="H905" t="s">
        <v>117</v>
      </c>
      <c r="I905" t="s">
        <v>1137</v>
      </c>
      <c r="J905" t="s">
        <v>45</v>
      </c>
      <c r="K905" t="s">
        <v>33</v>
      </c>
      <c r="L905" t="s">
        <v>78</v>
      </c>
      <c r="M905" t="s">
        <v>65</v>
      </c>
      <c r="N905" t="s">
        <v>36</v>
      </c>
      <c r="O905">
        <v>60</v>
      </c>
      <c r="P905">
        <v>60</v>
      </c>
      <c r="Q905">
        <v>70</v>
      </c>
      <c r="R905">
        <v>1600</v>
      </c>
      <c r="S905">
        <v>1600</v>
      </c>
      <c r="T905">
        <v>0</v>
      </c>
      <c r="U905">
        <v>0</v>
      </c>
      <c r="V905">
        <v>1</v>
      </c>
      <c r="W905">
        <v>0</v>
      </c>
      <c r="X905">
        <v>0.85</v>
      </c>
    </row>
    <row r="906" spans="1:24" x14ac:dyDescent="0.3">
      <c r="A906" t="s">
        <v>1503</v>
      </c>
      <c r="B906" s="1">
        <v>45972</v>
      </c>
      <c r="C906" t="s">
        <v>38</v>
      </c>
      <c r="D906" t="s">
        <v>26</v>
      </c>
      <c r="E906" t="s">
        <v>68</v>
      </c>
      <c r="F906" t="s">
        <v>58</v>
      </c>
      <c r="G906" t="s">
        <v>59</v>
      </c>
      <c r="H906" t="s">
        <v>73</v>
      </c>
      <c r="I906" t="s">
        <v>519</v>
      </c>
      <c r="J906" t="s">
        <v>32</v>
      </c>
      <c r="K906" t="s">
        <v>63</v>
      </c>
      <c r="L906" t="s">
        <v>78</v>
      </c>
      <c r="M906" t="s">
        <v>86</v>
      </c>
      <c r="N906" t="s">
        <v>36</v>
      </c>
      <c r="O906">
        <v>45</v>
      </c>
      <c r="P906">
        <v>45</v>
      </c>
      <c r="Q906">
        <v>51.4</v>
      </c>
      <c r="R906">
        <v>1050</v>
      </c>
      <c r="S906">
        <v>1050</v>
      </c>
      <c r="T906">
        <v>0</v>
      </c>
      <c r="U906">
        <v>0</v>
      </c>
      <c r="V906">
        <v>1</v>
      </c>
      <c r="W906">
        <v>0</v>
      </c>
      <c r="X906">
        <v>0.85</v>
      </c>
    </row>
    <row r="907" spans="1:24" x14ac:dyDescent="0.3">
      <c r="A907" t="s">
        <v>1504</v>
      </c>
      <c r="B907" s="1">
        <v>45717</v>
      </c>
      <c r="C907" t="s">
        <v>56</v>
      </c>
      <c r="D907" t="s">
        <v>88</v>
      </c>
      <c r="E907" t="s">
        <v>68</v>
      </c>
      <c r="F907" t="s">
        <v>28</v>
      </c>
      <c r="G907" t="s">
        <v>29</v>
      </c>
      <c r="H907" t="s">
        <v>135</v>
      </c>
      <c r="I907" t="s">
        <v>1253</v>
      </c>
      <c r="J907" t="s">
        <v>99</v>
      </c>
      <c r="K907" t="s">
        <v>33</v>
      </c>
      <c r="L907" t="s">
        <v>34</v>
      </c>
      <c r="M907" t="s">
        <v>47</v>
      </c>
      <c r="N907" t="s">
        <v>36</v>
      </c>
      <c r="O907">
        <v>60</v>
      </c>
      <c r="P907">
        <v>60</v>
      </c>
      <c r="Q907">
        <v>72.400000000000006</v>
      </c>
      <c r="R907">
        <v>1250</v>
      </c>
      <c r="S907">
        <v>1250</v>
      </c>
      <c r="T907">
        <v>0</v>
      </c>
      <c r="U907">
        <v>0</v>
      </c>
      <c r="V907">
        <v>1</v>
      </c>
      <c r="W907">
        <v>0</v>
      </c>
      <c r="X907">
        <v>0.85</v>
      </c>
    </row>
    <row r="908" spans="1:24" x14ac:dyDescent="0.3">
      <c r="A908" t="s">
        <v>1505</v>
      </c>
      <c r="B908" s="1">
        <v>45887</v>
      </c>
      <c r="C908" t="s">
        <v>110</v>
      </c>
      <c r="D908" t="s">
        <v>39</v>
      </c>
      <c r="E908" t="s">
        <v>40</v>
      </c>
      <c r="F908" t="s">
        <v>28</v>
      </c>
      <c r="G908" t="s">
        <v>29</v>
      </c>
      <c r="H908" t="s">
        <v>135</v>
      </c>
      <c r="I908" t="s">
        <v>1481</v>
      </c>
      <c r="J908" t="s">
        <v>62</v>
      </c>
      <c r="K908" t="s">
        <v>33</v>
      </c>
      <c r="L908" t="s">
        <v>34</v>
      </c>
      <c r="M908" t="s">
        <v>86</v>
      </c>
      <c r="N908" t="s">
        <v>95</v>
      </c>
      <c r="O908">
        <v>60</v>
      </c>
      <c r="P908">
        <v>0</v>
      </c>
      <c r="Q908">
        <v>78.8</v>
      </c>
      <c r="R908">
        <v>1250</v>
      </c>
      <c r="S908">
        <v>0</v>
      </c>
      <c r="T908">
        <v>1250</v>
      </c>
      <c r="U908">
        <v>1</v>
      </c>
      <c r="V908">
        <v>0</v>
      </c>
      <c r="W908">
        <v>0</v>
      </c>
      <c r="X908">
        <v>0.85</v>
      </c>
    </row>
    <row r="909" spans="1:24" x14ac:dyDescent="0.3">
      <c r="A909" t="s">
        <v>1506</v>
      </c>
      <c r="B909" s="1">
        <v>45910</v>
      </c>
      <c r="C909" t="s">
        <v>49</v>
      </c>
      <c r="D909" t="s">
        <v>57</v>
      </c>
      <c r="E909" t="s">
        <v>40</v>
      </c>
      <c r="F909" t="s">
        <v>58</v>
      </c>
      <c r="G909" t="s">
        <v>59</v>
      </c>
      <c r="H909" t="s">
        <v>117</v>
      </c>
      <c r="I909" t="s">
        <v>466</v>
      </c>
      <c r="J909" t="s">
        <v>45</v>
      </c>
      <c r="K909" t="s">
        <v>70</v>
      </c>
      <c r="L909" t="s">
        <v>64</v>
      </c>
      <c r="M909" t="s">
        <v>71</v>
      </c>
      <c r="N909" t="s">
        <v>36</v>
      </c>
      <c r="O909">
        <v>90</v>
      </c>
      <c r="P909">
        <v>90</v>
      </c>
      <c r="Q909">
        <v>100.1</v>
      </c>
      <c r="R909">
        <v>2600</v>
      </c>
      <c r="S909">
        <v>2600</v>
      </c>
      <c r="T909">
        <v>0</v>
      </c>
      <c r="U909">
        <v>0</v>
      </c>
      <c r="V909">
        <v>1</v>
      </c>
      <c r="W909">
        <v>0</v>
      </c>
      <c r="X909">
        <v>0.85</v>
      </c>
    </row>
    <row r="910" spans="1:24" x14ac:dyDescent="0.3">
      <c r="A910" t="s">
        <v>1507</v>
      </c>
      <c r="B910" s="1">
        <v>45685</v>
      </c>
      <c r="C910" t="s">
        <v>130</v>
      </c>
      <c r="D910" t="s">
        <v>26</v>
      </c>
      <c r="E910" t="s">
        <v>40</v>
      </c>
      <c r="F910" t="s">
        <v>58</v>
      </c>
      <c r="G910" t="s">
        <v>59</v>
      </c>
      <c r="H910" t="s">
        <v>60</v>
      </c>
      <c r="I910" t="s">
        <v>1274</v>
      </c>
      <c r="J910" t="s">
        <v>62</v>
      </c>
      <c r="K910" t="s">
        <v>70</v>
      </c>
      <c r="L910" t="s">
        <v>34</v>
      </c>
      <c r="M910" t="s">
        <v>94</v>
      </c>
      <c r="N910" t="s">
        <v>36</v>
      </c>
      <c r="O910">
        <v>60</v>
      </c>
      <c r="P910">
        <v>60</v>
      </c>
      <c r="Q910">
        <v>66.099999999999994</v>
      </c>
      <c r="R910">
        <v>1500</v>
      </c>
      <c r="S910">
        <v>1500</v>
      </c>
      <c r="T910">
        <v>0</v>
      </c>
      <c r="U910">
        <v>0</v>
      </c>
      <c r="V910">
        <v>1</v>
      </c>
      <c r="W910">
        <v>0</v>
      </c>
      <c r="X910">
        <v>0.85</v>
      </c>
    </row>
    <row r="911" spans="1:24" x14ac:dyDescent="0.3">
      <c r="A911" t="s">
        <v>1508</v>
      </c>
      <c r="B911" s="1">
        <v>45743</v>
      </c>
      <c r="C911" t="s">
        <v>56</v>
      </c>
      <c r="D911" t="s">
        <v>50</v>
      </c>
      <c r="E911" t="s">
        <v>40</v>
      </c>
      <c r="F911" t="s">
        <v>58</v>
      </c>
      <c r="G911" t="s">
        <v>59</v>
      </c>
      <c r="H911" t="s">
        <v>296</v>
      </c>
      <c r="I911" t="s">
        <v>1453</v>
      </c>
      <c r="J911" t="s">
        <v>62</v>
      </c>
      <c r="K911" t="s">
        <v>85</v>
      </c>
      <c r="L911" t="s">
        <v>64</v>
      </c>
      <c r="M911" t="s">
        <v>94</v>
      </c>
      <c r="N911" t="s">
        <v>36</v>
      </c>
      <c r="O911">
        <v>60</v>
      </c>
      <c r="P911">
        <v>60</v>
      </c>
      <c r="Q911">
        <v>80.900000000000006</v>
      </c>
      <c r="R911">
        <v>1500</v>
      </c>
      <c r="S911">
        <v>1500</v>
      </c>
      <c r="T911">
        <v>0</v>
      </c>
      <c r="U911">
        <v>0</v>
      </c>
      <c r="V911">
        <v>1</v>
      </c>
      <c r="W911">
        <v>0</v>
      </c>
      <c r="X911">
        <v>0.85</v>
      </c>
    </row>
    <row r="912" spans="1:24" x14ac:dyDescent="0.3">
      <c r="A912" t="s">
        <v>1509</v>
      </c>
      <c r="B912" s="1">
        <v>45813</v>
      </c>
      <c r="C912" t="s">
        <v>67</v>
      </c>
      <c r="D912" t="s">
        <v>50</v>
      </c>
      <c r="E912" t="s">
        <v>68</v>
      </c>
      <c r="F912" t="s">
        <v>28</v>
      </c>
      <c r="G912" t="s">
        <v>29</v>
      </c>
      <c r="H912" t="s">
        <v>135</v>
      </c>
      <c r="I912" t="s">
        <v>397</v>
      </c>
      <c r="J912" t="s">
        <v>45</v>
      </c>
      <c r="K912" t="s">
        <v>63</v>
      </c>
      <c r="L912" t="s">
        <v>64</v>
      </c>
      <c r="M912" t="s">
        <v>86</v>
      </c>
      <c r="N912" t="s">
        <v>36</v>
      </c>
      <c r="O912">
        <v>90</v>
      </c>
      <c r="P912">
        <v>90</v>
      </c>
      <c r="Q912">
        <v>112.7</v>
      </c>
      <c r="R912">
        <v>2150</v>
      </c>
      <c r="S912">
        <v>2150</v>
      </c>
      <c r="T912">
        <v>0</v>
      </c>
      <c r="U912">
        <v>0</v>
      </c>
      <c r="V912">
        <v>1</v>
      </c>
      <c r="W912">
        <v>0</v>
      </c>
      <c r="X912">
        <v>0.85</v>
      </c>
    </row>
    <row r="913" spans="1:24" x14ac:dyDescent="0.3">
      <c r="A913" t="s">
        <v>1510</v>
      </c>
      <c r="B913" s="1">
        <v>45959</v>
      </c>
      <c r="C913" t="s">
        <v>97</v>
      </c>
      <c r="D913" t="s">
        <v>57</v>
      </c>
      <c r="E913" t="s">
        <v>40</v>
      </c>
      <c r="F913" t="s">
        <v>28</v>
      </c>
      <c r="G913" t="s">
        <v>29</v>
      </c>
      <c r="H913" t="s">
        <v>210</v>
      </c>
      <c r="I913" t="s">
        <v>265</v>
      </c>
      <c r="J913" t="s">
        <v>45</v>
      </c>
      <c r="K913" t="s">
        <v>70</v>
      </c>
      <c r="L913" t="s">
        <v>64</v>
      </c>
      <c r="M913" t="s">
        <v>71</v>
      </c>
      <c r="N913" t="s">
        <v>36</v>
      </c>
      <c r="O913">
        <v>60</v>
      </c>
      <c r="P913">
        <v>60</v>
      </c>
      <c r="Q913">
        <v>79.8</v>
      </c>
      <c r="R913">
        <v>1450</v>
      </c>
      <c r="S913">
        <v>1450</v>
      </c>
      <c r="T913">
        <v>0</v>
      </c>
      <c r="U913">
        <v>0</v>
      </c>
      <c r="V913">
        <v>1</v>
      </c>
      <c r="W913">
        <v>0</v>
      </c>
      <c r="X913">
        <v>0.85</v>
      </c>
    </row>
    <row r="914" spans="1:24" x14ac:dyDescent="0.3">
      <c r="A914" t="s">
        <v>1511</v>
      </c>
      <c r="B914" s="1">
        <v>45706</v>
      </c>
      <c r="C914" t="s">
        <v>76</v>
      </c>
      <c r="D914" t="s">
        <v>26</v>
      </c>
      <c r="E914" t="s">
        <v>27</v>
      </c>
      <c r="F914" t="s">
        <v>41</v>
      </c>
      <c r="G914" t="s">
        <v>42</v>
      </c>
      <c r="H914" t="s">
        <v>51</v>
      </c>
      <c r="I914" t="s">
        <v>994</v>
      </c>
      <c r="J914" t="s">
        <v>45</v>
      </c>
      <c r="K914" t="s">
        <v>33</v>
      </c>
      <c r="L914" t="s">
        <v>34</v>
      </c>
      <c r="M914" t="s">
        <v>47</v>
      </c>
      <c r="N914" t="s">
        <v>36</v>
      </c>
      <c r="O914">
        <v>75</v>
      </c>
      <c r="P914">
        <v>75</v>
      </c>
      <c r="Q914">
        <v>93.8</v>
      </c>
      <c r="R914">
        <v>1950</v>
      </c>
      <c r="S914">
        <v>1950</v>
      </c>
      <c r="T914">
        <v>0</v>
      </c>
      <c r="U914">
        <v>0</v>
      </c>
      <c r="V914">
        <v>1</v>
      </c>
      <c r="W914">
        <v>0</v>
      </c>
      <c r="X914">
        <v>0.85</v>
      </c>
    </row>
    <row r="915" spans="1:24" x14ac:dyDescent="0.3">
      <c r="A915" t="s">
        <v>1512</v>
      </c>
      <c r="B915" s="1">
        <v>45843</v>
      </c>
      <c r="C915" t="s">
        <v>101</v>
      </c>
      <c r="D915" t="s">
        <v>88</v>
      </c>
      <c r="E915" t="s">
        <v>40</v>
      </c>
      <c r="F915" t="s">
        <v>28</v>
      </c>
      <c r="G915" t="s">
        <v>29</v>
      </c>
      <c r="H915" t="s">
        <v>30</v>
      </c>
      <c r="I915" t="s">
        <v>468</v>
      </c>
      <c r="J915" t="s">
        <v>62</v>
      </c>
      <c r="K915" t="s">
        <v>33</v>
      </c>
      <c r="L915" t="s">
        <v>34</v>
      </c>
      <c r="M915" t="s">
        <v>35</v>
      </c>
      <c r="N915" t="s">
        <v>36</v>
      </c>
      <c r="O915">
        <v>60</v>
      </c>
      <c r="P915">
        <v>60</v>
      </c>
      <c r="Q915">
        <v>67.7</v>
      </c>
      <c r="R915">
        <v>1250</v>
      </c>
      <c r="S915">
        <v>1250</v>
      </c>
      <c r="T915">
        <v>0</v>
      </c>
      <c r="U915">
        <v>0</v>
      </c>
      <c r="V915">
        <v>1</v>
      </c>
      <c r="W915">
        <v>0</v>
      </c>
      <c r="X915">
        <v>0.85</v>
      </c>
    </row>
    <row r="916" spans="1:24" x14ac:dyDescent="0.3">
      <c r="A916" t="s">
        <v>1513</v>
      </c>
      <c r="B916" s="1">
        <v>45705</v>
      </c>
      <c r="C916" t="s">
        <v>76</v>
      </c>
      <c r="D916" t="s">
        <v>39</v>
      </c>
      <c r="E916" t="s">
        <v>40</v>
      </c>
      <c r="F916" t="s">
        <v>28</v>
      </c>
      <c r="G916" t="s">
        <v>29</v>
      </c>
      <c r="H916" t="s">
        <v>30</v>
      </c>
      <c r="I916" t="s">
        <v>681</v>
      </c>
      <c r="J916" t="s">
        <v>62</v>
      </c>
      <c r="K916" t="s">
        <v>85</v>
      </c>
      <c r="L916" t="s">
        <v>64</v>
      </c>
      <c r="M916" t="s">
        <v>65</v>
      </c>
      <c r="N916" t="s">
        <v>36</v>
      </c>
      <c r="O916">
        <v>60</v>
      </c>
      <c r="P916">
        <v>60</v>
      </c>
      <c r="Q916">
        <v>72.8</v>
      </c>
      <c r="R916">
        <v>1250</v>
      </c>
      <c r="S916">
        <v>1250</v>
      </c>
      <c r="T916">
        <v>0</v>
      </c>
      <c r="U916">
        <v>0</v>
      </c>
      <c r="V916">
        <v>1</v>
      </c>
      <c r="W916">
        <v>0</v>
      </c>
      <c r="X916">
        <v>0.85</v>
      </c>
    </row>
    <row r="917" spans="1:24" x14ac:dyDescent="0.3">
      <c r="A917" t="s">
        <v>1514</v>
      </c>
      <c r="B917" s="1">
        <v>45836</v>
      </c>
      <c r="C917" t="s">
        <v>67</v>
      </c>
      <c r="D917" t="s">
        <v>88</v>
      </c>
      <c r="E917" t="s">
        <v>27</v>
      </c>
      <c r="F917" t="s">
        <v>28</v>
      </c>
      <c r="G917" t="s">
        <v>29</v>
      </c>
      <c r="H917" t="s">
        <v>102</v>
      </c>
      <c r="I917" t="s">
        <v>364</v>
      </c>
      <c r="J917" t="s">
        <v>45</v>
      </c>
      <c r="K917" t="s">
        <v>70</v>
      </c>
      <c r="L917" t="s">
        <v>34</v>
      </c>
      <c r="M917" t="s">
        <v>71</v>
      </c>
      <c r="N917" t="s">
        <v>95</v>
      </c>
      <c r="O917">
        <v>45</v>
      </c>
      <c r="P917">
        <v>0</v>
      </c>
      <c r="Q917">
        <v>56.4</v>
      </c>
      <c r="R917">
        <v>1100</v>
      </c>
      <c r="S917">
        <v>0</v>
      </c>
      <c r="T917">
        <v>1100</v>
      </c>
      <c r="U917">
        <v>1</v>
      </c>
      <c r="V917">
        <v>0</v>
      </c>
      <c r="W917">
        <v>0</v>
      </c>
      <c r="X917">
        <v>0.85</v>
      </c>
    </row>
    <row r="918" spans="1:24" x14ac:dyDescent="0.3">
      <c r="A918" t="s">
        <v>1515</v>
      </c>
      <c r="B918" s="1">
        <v>45925</v>
      </c>
      <c r="C918" t="s">
        <v>49</v>
      </c>
      <c r="D918" t="s">
        <v>50</v>
      </c>
      <c r="E918" t="s">
        <v>83</v>
      </c>
      <c r="F918" t="s">
        <v>41</v>
      </c>
      <c r="G918" t="s">
        <v>42</v>
      </c>
      <c r="H918" t="s">
        <v>43</v>
      </c>
      <c r="I918" t="s">
        <v>279</v>
      </c>
      <c r="J918" t="s">
        <v>62</v>
      </c>
      <c r="K918" t="s">
        <v>104</v>
      </c>
      <c r="L918" t="s">
        <v>78</v>
      </c>
      <c r="M918" t="s">
        <v>35</v>
      </c>
      <c r="N918" t="s">
        <v>36</v>
      </c>
      <c r="O918">
        <v>60</v>
      </c>
      <c r="P918">
        <v>60</v>
      </c>
      <c r="Q918">
        <v>69.8</v>
      </c>
      <c r="R918">
        <v>1250</v>
      </c>
      <c r="S918">
        <v>1250</v>
      </c>
      <c r="T918">
        <v>0</v>
      </c>
      <c r="U918">
        <v>0</v>
      </c>
      <c r="V918">
        <v>1</v>
      </c>
      <c r="W918">
        <v>0</v>
      </c>
      <c r="X918">
        <v>0.85</v>
      </c>
    </row>
    <row r="919" spans="1:24" x14ac:dyDescent="0.3">
      <c r="A919" t="s">
        <v>1516</v>
      </c>
      <c r="B919" s="1">
        <v>45813</v>
      </c>
      <c r="C919" t="s">
        <v>67</v>
      </c>
      <c r="D919" t="s">
        <v>50</v>
      </c>
      <c r="E919" t="s">
        <v>68</v>
      </c>
      <c r="F919" t="s">
        <v>28</v>
      </c>
      <c r="G919" t="s">
        <v>29</v>
      </c>
      <c r="H919" t="s">
        <v>135</v>
      </c>
      <c r="I919" t="s">
        <v>589</v>
      </c>
      <c r="J919" t="s">
        <v>62</v>
      </c>
      <c r="K919" t="s">
        <v>63</v>
      </c>
      <c r="L919" t="s">
        <v>34</v>
      </c>
      <c r="M919" t="s">
        <v>35</v>
      </c>
      <c r="N919" t="s">
        <v>36</v>
      </c>
      <c r="O919">
        <v>30</v>
      </c>
      <c r="P919">
        <v>30</v>
      </c>
      <c r="Q919">
        <v>33.700000000000003</v>
      </c>
      <c r="R919">
        <v>600</v>
      </c>
      <c r="S919">
        <v>600</v>
      </c>
      <c r="T919">
        <v>0</v>
      </c>
      <c r="U919">
        <v>0</v>
      </c>
      <c r="V919">
        <v>1</v>
      </c>
      <c r="W919">
        <v>0</v>
      </c>
      <c r="X919">
        <v>0.85</v>
      </c>
    </row>
    <row r="920" spans="1:24" x14ac:dyDescent="0.3">
      <c r="A920" t="s">
        <v>1517</v>
      </c>
      <c r="B920" s="1">
        <v>45860</v>
      </c>
      <c r="C920" t="s">
        <v>101</v>
      </c>
      <c r="D920" t="s">
        <v>26</v>
      </c>
      <c r="E920" t="s">
        <v>40</v>
      </c>
      <c r="F920" t="s">
        <v>41</v>
      </c>
      <c r="G920" t="s">
        <v>42</v>
      </c>
      <c r="H920" t="s">
        <v>51</v>
      </c>
      <c r="I920" t="s">
        <v>1518</v>
      </c>
      <c r="J920" t="s">
        <v>53</v>
      </c>
      <c r="K920" t="s">
        <v>33</v>
      </c>
      <c r="L920" t="s">
        <v>54</v>
      </c>
      <c r="M920" t="s">
        <v>35</v>
      </c>
      <c r="N920" t="s">
        <v>36</v>
      </c>
      <c r="O920">
        <v>60</v>
      </c>
      <c r="P920">
        <v>60</v>
      </c>
      <c r="Q920">
        <v>71.099999999999994</v>
      </c>
      <c r="R920">
        <v>1400</v>
      </c>
      <c r="S920">
        <v>1400</v>
      </c>
      <c r="T920">
        <v>0</v>
      </c>
      <c r="U920">
        <v>0</v>
      </c>
      <c r="V920">
        <v>1</v>
      </c>
      <c r="W920">
        <v>0</v>
      </c>
      <c r="X920">
        <v>0.85</v>
      </c>
    </row>
    <row r="921" spans="1:24" x14ac:dyDescent="0.3">
      <c r="A921" t="s">
        <v>1519</v>
      </c>
      <c r="B921" s="1">
        <v>45864</v>
      </c>
      <c r="C921" t="s">
        <v>101</v>
      </c>
      <c r="D921" t="s">
        <v>88</v>
      </c>
      <c r="E921" t="s">
        <v>27</v>
      </c>
      <c r="F921" t="s">
        <v>58</v>
      </c>
      <c r="G921" t="s">
        <v>59</v>
      </c>
      <c r="H921" t="s">
        <v>151</v>
      </c>
      <c r="I921" t="s">
        <v>1520</v>
      </c>
      <c r="J921" t="s">
        <v>62</v>
      </c>
      <c r="K921" t="s">
        <v>104</v>
      </c>
      <c r="L921" t="s">
        <v>34</v>
      </c>
      <c r="M921" t="s">
        <v>47</v>
      </c>
      <c r="N921" t="s">
        <v>95</v>
      </c>
      <c r="O921">
        <v>45</v>
      </c>
      <c r="P921">
        <v>0</v>
      </c>
      <c r="Q921">
        <v>57.8</v>
      </c>
      <c r="R921">
        <v>1100</v>
      </c>
      <c r="S921">
        <v>0</v>
      </c>
      <c r="T921">
        <v>1100</v>
      </c>
      <c r="U921">
        <v>1</v>
      </c>
      <c r="V921">
        <v>0</v>
      </c>
      <c r="W921">
        <v>0</v>
      </c>
      <c r="X921">
        <v>0.85</v>
      </c>
    </row>
    <row r="922" spans="1:24" x14ac:dyDescent="0.3">
      <c r="A922" t="s">
        <v>1521</v>
      </c>
      <c r="B922" s="1">
        <v>45993</v>
      </c>
      <c r="C922" t="s">
        <v>25</v>
      </c>
      <c r="D922" t="s">
        <v>26</v>
      </c>
      <c r="E922" t="s">
        <v>68</v>
      </c>
      <c r="F922" t="s">
        <v>58</v>
      </c>
      <c r="G922" t="s">
        <v>59</v>
      </c>
      <c r="H922" t="s">
        <v>296</v>
      </c>
      <c r="I922" t="s">
        <v>440</v>
      </c>
      <c r="J922" t="s">
        <v>45</v>
      </c>
      <c r="K922" t="s">
        <v>46</v>
      </c>
      <c r="L922" t="s">
        <v>64</v>
      </c>
      <c r="M922" t="s">
        <v>47</v>
      </c>
      <c r="N922" t="s">
        <v>36</v>
      </c>
      <c r="O922">
        <v>60</v>
      </c>
      <c r="P922">
        <v>60</v>
      </c>
      <c r="Q922">
        <v>78.5</v>
      </c>
      <c r="R922">
        <v>1700</v>
      </c>
      <c r="S922">
        <v>1700</v>
      </c>
      <c r="T922">
        <v>0</v>
      </c>
      <c r="U922">
        <v>0</v>
      </c>
      <c r="V922">
        <v>1</v>
      </c>
      <c r="W922">
        <v>0</v>
      </c>
      <c r="X922">
        <v>0.85</v>
      </c>
    </row>
    <row r="923" spans="1:24" x14ac:dyDescent="0.3">
      <c r="A923" t="s">
        <v>1522</v>
      </c>
      <c r="B923" s="1">
        <v>45766</v>
      </c>
      <c r="C923" t="s">
        <v>92</v>
      </c>
      <c r="D923" t="s">
        <v>88</v>
      </c>
      <c r="E923" t="s">
        <v>83</v>
      </c>
      <c r="F923" t="s">
        <v>28</v>
      </c>
      <c r="G923" t="s">
        <v>29</v>
      </c>
      <c r="H923" t="s">
        <v>30</v>
      </c>
      <c r="I923" t="s">
        <v>288</v>
      </c>
      <c r="J923" t="s">
        <v>62</v>
      </c>
      <c r="K923" t="s">
        <v>85</v>
      </c>
      <c r="L923" t="s">
        <v>34</v>
      </c>
      <c r="M923" t="s">
        <v>94</v>
      </c>
      <c r="N923" t="s">
        <v>36</v>
      </c>
      <c r="O923">
        <v>60</v>
      </c>
      <c r="P923">
        <v>60</v>
      </c>
      <c r="Q923">
        <v>65.5</v>
      </c>
      <c r="R923">
        <v>1250</v>
      </c>
      <c r="S923">
        <v>1250</v>
      </c>
      <c r="T923">
        <v>0</v>
      </c>
      <c r="U923">
        <v>0</v>
      </c>
      <c r="V923">
        <v>1</v>
      </c>
      <c r="W923">
        <v>0</v>
      </c>
      <c r="X923">
        <v>0.85</v>
      </c>
    </row>
    <row r="924" spans="1:24" x14ac:dyDescent="0.3">
      <c r="A924" t="s">
        <v>1523</v>
      </c>
      <c r="B924" s="1">
        <v>45941</v>
      </c>
      <c r="C924" t="s">
        <v>97</v>
      </c>
      <c r="D924" t="s">
        <v>88</v>
      </c>
      <c r="E924" t="s">
        <v>27</v>
      </c>
      <c r="F924" t="s">
        <v>41</v>
      </c>
      <c r="G924" t="s">
        <v>42</v>
      </c>
      <c r="H924" t="s">
        <v>111</v>
      </c>
      <c r="I924" t="s">
        <v>958</v>
      </c>
      <c r="J924" t="s">
        <v>53</v>
      </c>
      <c r="K924" t="s">
        <v>104</v>
      </c>
      <c r="L924" t="s">
        <v>34</v>
      </c>
      <c r="M924" t="s">
        <v>35</v>
      </c>
      <c r="N924" t="s">
        <v>36</v>
      </c>
      <c r="O924">
        <v>60</v>
      </c>
      <c r="P924">
        <v>60</v>
      </c>
      <c r="Q924">
        <v>70.599999999999994</v>
      </c>
      <c r="R924">
        <v>1600</v>
      </c>
      <c r="S924">
        <v>1600</v>
      </c>
      <c r="T924">
        <v>0</v>
      </c>
      <c r="U924">
        <v>0</v>
      </c>
      <c r="V924">
        <v>1</v>
      </c>
      <c r="W924">
        <v>0</v>
      </c>
      <c r="X924">
        <v>0.85</v>
      </c>
    </row>
    <row r="925" spans="1:24" x14ac:dyDescent="0.3">
      <c r="A925" t="s">
        <v>1524</v>
      </c>
      <c r="B925" s="1">
        <v>46011</v>
      </c>
      <c r="C925" t="s">
        <v>25</v>
      </c>
      <c r="D925" t="s">
        <v>88</v>
      </c>
      <c r="E925" t="s">
        <v>83</v>
      </c>
      <c r="F925" t="s">
        <v>28</v>
      </c>
      <c r="G925" t="s">
        <v>29</v>
      </c>
      <c r="H925" t="s">
        <v>102</v>
      </c>
      <c r="I925" t="s">
        <v>314</v>
      </c>
      <c r="J925" t="s">
        <v>62</v>
      </c>
      <c r="K925" t="s">
        <v>104</v>
      </c>
      <c r="L925" t="s">
        <v>64</v>
      </c>
      <c r="M925" t="s">
        <v>94</v>
      </c>
      <c r="N925" t="s">
        <v>95</v>
      </c>
      <c r="O925">
        <v>60</v>
      </c>
      <c r="P925">
        <v>0</v>
      </c>
      <c r="Q925">
        <v>66.2</v>
      </c>
      <c r="R925">
        <v>1250</v>
      </c>
      <c r="S925">
        <v>0</v>
      </c>
      <c r="T925">
        <v>1250</v>
      </c>
      <c r="U925">
        <v>1</v>
      </c>
      <c r="V925">
        <v>0</v>
      </c>
      <c r="W925">
        <v>0</v>
      </c>
      <c r="X925">
        <v>0.85</v>
      </c>
    </row>
    <row r="926" spans="1:24" x14ac:dyDescent="0.3">
      <c r="A926" t="s">
        <v>1525</v>
      </c>
      <c r="B926" s="1">
        <v>45792</v>
      </c>
      <c r="C926" t="s">
        <v>128</v>
      </c>
      <c r="D926" t="s">
        <v>50</v>
      </c>
      <c r="E926" t="s">
        <v>83</v>
      </c>
      <c r="F926" t="s">
        <v>58</v>
      </c>
      <c r="G926" t="s">
        <v>59</v>
      </c>
      <c r="H926" t="s">
        <v>117</v>
      </c>
      <c r="I926" t="s">
        <v>764</v>
      </c>
      <c r="J926" t="s">
        <v>137</v>
      </c>
      <c r="K926" t="s">
        <v>46</v>
      </c>
      <c r="L926" t="s">
        <v>34</v>
      </c>
      <c r="M926" t="s">
        <v>86</v>
      </c>
      <c r="N926" t="s">
        <v>36</v>
      </c>
      <c r="O926">
        <v>30</v>
      </c>
      <c r="P926">
        <v>30</v>
      </c>
      <c r="Q926">
        <v>34.9</v>
      </c>
      <c r="R926">
        <v>750</v>
      </c>
      <c r="S926">
        <v>750</v>
      </c>
      <c r="T926">
        <v>0</v>
      </c>
      <c r="U926">
        <v>0</v>
      </c>
      <c r="V926">
        <v>1</v>
      </c>
      <c r="W926">
        <v>0</v>
      </c>
      <c r="X926">
        <v>0.85</v>
      </c>
    </row>
    <row r="927" spans="1:24" x14ac:dyDescent="0.3">
      <c r="A927" t="s">
        <v>1526</v>
      </c>
      <c r="B927" s="1">
        <v>45915</v>
      </c>
      <c r="C927" t="s">
        <v>49</v>
      </c>
      <c r="D927" t="s">
        <v>39</v>
      </c>
      <c r="E927" t="s">
        <v>68</v>
      </c>
      <c r="F927" t="s">
        <v>58</v>
      </c>
      <c r="G927" t="s">
        <v>59</v>
      </c>
      <c r="H927" t="s">
        <v>151</v>
      </c>
      <c r="I927" t="s">
        <v>1376</v>
      </c>
      <c r="J927" t="s">
        <v>53</v>
      </c>
      <c r="K927" t="s">
        <v>85</v>
      </c>
      <c r="L927" t="s">
        <v>64</v>
      </c>
      <c r="M927" t="s">
        <v>65</v>
      </c>
      <c r="N927" t="s">
        <v>36</v>
      </c>
      <c r="O927">
        <v>45</v>
      </c>
      <c r="P927">
        <v>45</v>
      </c>
      <c r="Q927">
        <v>53.9</v>
      </c>
      <c r="R927">
        <v>1350</v>
      </c>
      <c r="S927">
        <v>1350</v>
      </c>
      <c r="T927">
        <v>0</v>
      </c>
      <c r="U927">
        <v>0</v>
      </c>
      <c r="V927">
        <v>1</v>
      </c>
      <c r="W927">
        <v>0</v>
      </c>
      <c r="X927">
        <v>0.85</v>
      </c>
    </row>
    <row r="928" spans="1:24" x14ac:dyDescent="0.3">
      <c r="A928" t="s">
        <v>1527</v>
      </c>
      <c r="B928" s="1">
        <v>45836</v>
      </c>
      <c r="C928" t="s">
        <v>67</v>
      </c>
      <c r="D928" t="s">
        <v>88</v>
      </c>
      <c r="E928" t="s">
        <v>27</v>
      </c>
      <c r="F928" t="s">
        <v>41</v>
      </c>
      <c r="G928" t="s">
        <v>42</v>
      </c>
      <c r="H928" t="s">
        <v>125</v>
      </c>
      <c r="I928" t="s">
        <v>306</v>
      </c>
      <c r="J928" t="s">
        <v>62</v>
      </c>
      <c r="K928" t="s">
        <v>85</v>
      </c>
      <c r="L928" t="s">
        <v>64</v>
      </c>
      <c r="M928" t="s">
        <v>86</v>
      </c>
      <c r="N928" t="s">
        <v>36</v>
      </c>
      <c r="O928">
        <v>75</v>
      </c>
      <c r="P928">
        <v>75</v>
      </c>
      <c r="Q928">
        <v>86.4</v>
      </c>
      <c r="R928">
        <v>1700</v>
      </c>
      <c r="S928">
        <v>1700</v>
      </c>
      <c r="T928">
        <v>0</v>
      </c>
      <c r="U928">
        <v>0</v>
      </c>
      <c r="V928">
        <v>1</v>
      </c>
      <c r="W928">
        <v>0</v>
      </c>
      <c r="X928">
        <v>0.85</v>
      </c>
    </row>
    <row r="929" spans="1:24" x14ac:dyDescent="0.3">
      <c r="A929" t="s">
        <v>1528</v>
      </c>
      <c r="B929" s="1">
        <v>45808</v>
      </c>
      <c r="C929" t="s">
        <v>128</v>
      </c>
      <c r="D929" t="s">
        <v>88</v>
      </c>
      <c r="E929" t="s">
        <v>27</v>
      </c>
      <c r="F929" t="s">
        <v>58</v>
      </c>
      <c r="G929" t="s">
        <v>59</v>
      </c>
      <c r="H929" t="s">
        <v>117</v>
      </c>
      <c r="I929" t="s">
        <v>952</v>
      </c>
      <c r="J929" t="s">
        <v>53</v>
      </c>
      <c r="K929" t="s">
        <v>33</v>
      </c>
      <c r="L929" t="s">
        <v>64</v>
      </c>
      <c r="M929" t="s">
        <v>71</v>
      </c>
      <c r="N929" t="s">
        <v>95</v>
      </c>
      <c r="O929">
        <v>45</v>
      </c>
      <c r="P929">
        <v>0</v>
      </c>
      <c r="Q929">
        <v>60.7</v>
      </c>
      <c r="R929">
        <v>1350</v>
      </c>
      <c r="S929">
        <v>0</v>
      </c>
      <c r="T929">
        <v>1350</v>
      </c>
      <c r="U929">
        <v>1</v>
      </c>
      <c r="V929">
        <v>0</v>
      </c>
      <c r="W929">
        <v>0</v>
      </c>
      <c r="X929">
        <v>0.85</v>
      </c>
    </row>
    <row r="930" spans="1:24" x14ac:dyDescent="0.3">
      <c r="A930" t="s">
        <v>1529</v>
      </c>
      <c r="B930" s="1">
        <v>45762</v>
      </c>
      <c r="C930" t="s">
        <v>92</v>
      </c>
      <c r="D930" t="s">
        <v>26</v>
      </c>
      <c r="E930" t="s">
        <v>40</v>
      </c>
      <c r="F930" t="s">
        <v>41</v>
      </c>
      <c r="G930" t="s">
        <v>42</v>
      </c>
      <c r="H930" t="s">
        <v>111</v>
      </c>
      <c r="I930" t="s">
        <v>188</v>
      </c>
      <c r="J930" t="s">
        <v>62</v>
      </c>
      <c r="K930" t="s">
        <v>104</v>
      </c>
      <c r="L930" t="s">
        <v>78</v>
      </c>
      <c r="M930" t="s">
        <v>71</v>
      </c>
      <c r="N930" t="s">
        <v>36</v>
      </c>
      <c r="O930">
        <v>45</v>
      </c>
      <c r="P930">
        <v>45</v>
      </c>
      <c r="Q930">
        <v>51.3</v>
      </c>
      <c r="R930">
        <v>950</v>
      </c>
      <c r="S930">
        <v>950</v>
      </c>
      <c r="T930">
        <v>0</v>
      </c>
      <c r="U930">
        <v>0</v>
      </c>
      <c r="V930">
        <v>1</v>
      </c>
      <c r="W930">
        <v>0</v>
      </c>
      <c r="X930">
        <v>0.85</v>
      </c>
    </row>
    <row r="931" spans="1:24" x14ac:dyDescent="0.3">
      <c r="A931" t="s">
        <v>1530</v>
      </c>
      <c r="B931" s="1">
        <v>45969</v>
      </c>
      <c r="C931" t="s">
        <v>38</v>
      </c>
      <c r="D931" t="s">
        <v>88</v>
      </c>
      <c r="E931" t="s">
        <v>83</v>
      </c>
      <c r="F931" t="s">
        <v>41</v>
      </c>
      <c r="G931" t="s">
        <v>42</v>
      </c>
      <c r="H931" t="s">
        <v>89</v>
      </c>
      <c r="I931" t="s">
        <v>1531</v>
      </c>
      <c r="J931" t="s">
        <v>62</v>
      </c>
      <c r="K931" t="s">
        <v>104</v>
      </c>
      <c r="L931" t="s">
        <v>34</v>
      </c>
      <c r="M931" t="s">
        <v>94</v>
      </c>
      <c r="N931" t="s">
        <v>36</v>
      </c>
      <c r="O931">
        <v>90</v>
      </c>
      <c r="P931">
        <v>90</v>
      </c>
      <c r="Q931">
        <v>111.8</v>
      </c>
      <c r="R931">
        <v>2000</v>
      </c>
      <c r="S931">
        <v>2000</v>
      </c>
      <c r="T931">
        <v>0</v>
      </c>
      <c r="U931">
        <v>0</v>
      </c>
      <c r="V931">
        <v>1</v>
      </c>
      <c r="W931">
        <v>0</v>
      </c>
      <c r="X931">
        <v>0.85</v>
      </c>
    </row>
    <row r="932" spans="1:24" x14ac:dyDescent="0.3">
      <c r="A932" t="s">
        <v>1532</v>
      </c>
      <c r="B932" s="1">
        <v>45920</v>
      </c>
      <c r="C932" t="s">
        <v>49</v>
      </c>
      <c r="D932" t="s">
        <v>88</v>
      </c>
      <c r="E932" t="s">
        <v>68</v>
      </c>
      <c r="F932" t="s">
        <v>58</v>
      </c>
      <c r="G932" t="s">
        <v>59</v>
      </c>
      <c r="H932" t="s">
        <v>151</v>
      </c>
      <c r="I932" t="s">
        <v>887</v>
      </c>
      <c r="J932" t="s">
        <v>32</v>
      </c>
      <c r="K932" t="s">
        <v>70</v>
      </c>
      <c r="L932" t="s">
        <v>34</v>
      </c>
      <c r="M932" t="s">
        <v>71</v>
      </c>
      <c r="N932" t="s">
        <v>36</v>
      </c>
      <c r="O932">
        <v>45</v>
      </c>
      <c r="P932">
        <v>45</v>
      </c>
      <c r="Q932">
        <v>49</v>
      </c>
      <c r="R932">
        <v>1100</v>
      </c>
      <c r="S932">
        <v>1100</v>
      </c>
      <c r="T932">
        <v>0</v>
      </c>
      <c r="U932">
        <v>0</v>
      </c>
      <c r="V932">
        <v>1</v>
      </c>
      <c r="W932">
        <v>0</v>
      </c>
      <c r="X932">
        <v>0.85</v>
      </c>
    </row>
    <row r="933" spans="1:24" x14ac:dyDescent="0.3">
      <c r="A933" t="s">
        <v>1533</v>
      </c>
      <c r="B933" s="1">
        <v>45840</v>
      </c>
      <c r="C933" t="s">
        <v>101</v>
      </c>
      <c r="D933" t="s">
        <v>57</v>
      </c>
      <c r="E933" t="s">
        <v>83</v>
      </c>
      <c r="F933" t="s">
        <v>58</v>
      </c>
      <c r="G933" t="s">
        <v>59</v>
      </c>
      <c r="H933" t="s">
        <v>296</v>
      </c>
      <c r="I933" t="s">
        <v>364</v>
      </c>
      <c r="J933" t="s">
        <v>53</v>
      </c>
      <c r="K933" t="s">
        <v>70</v>
      </c>
      <c r="L933" t="s">
        <v>64</v>
      </c>
      <c r="M933" t="s">
        <v>65</v>
      </c>
      <c r="N933" t="s">
        <v>36</v>
      </c>
      <c r="O933">
        <v>60</v>
      </c>
      <c r="P933">
        <v>60</v>
      </c>
      <c r="Q933">
        <v>76.099999999999994</v>
      </c>
      <c r="R933">
        <v>1800</v>
      </c>
      <c r="S933">
        <v>1800</v>
      </c>
      <c r="T933">
        <v>0</v>
      </c>
      <c r="U933">
        <v>0</v>
      </c>
      <c r="V933">
        <v>1</v>
      </c>
      <c r="W933">
        <v>0</v>
      </c>
      <c r="X933">
        <v>0.85</v>
      </c>
    </row>
    <row r="934" spans="1:24" x14ac:dyDescent="0.3">
      <c r="A934" t="s">
        <v>1534</v>
      </c>
      <c r="B934" s="1">
        <v>45664</v>
      </c>
      <c r="C934" t="s">
        <v>130</v>
      </c>
      <c r="D934" t="s">
        <v>26</v>
      </c>
      <c r="E934" t="s">
        <v>83</v>
      </c>
      <c r="F934" t="s">
        <v>41</v>
      </c>
      <c r="G934" t="s">
        <v>42</v>
      </c>
      <c r="H934" t="s">
        <v>125</v>
      </c>
      <c r="I934" t="s">
        <v>1535</v>
      </c>
      <c r="J934" t="s">
        <v>99</v>
      </c>
      <c r="K934" t="s">
        <v>70</v>
      </c>
      <c r="L934" t="s">
        <v>34</v>
      </c>
      <c r="M934" t="s">
        <v>47</v>
      </c>
      <c r="N934" t="s">
        <v>36</v>
      </c>
      <c r="O934">
        <v>45</v>
      </c>
      <c r="P934">
        <v>45</v>
      </c>
      <c r="Q934">
        <v>50.4</v>
      </c>
      <c r="R934">
        <v>1000</v>
      </c>
      <c r="S934">
        <v>1000</v>
      </c>
      <c r="T934">
        <v>0</v>
      </c>
      <c r="U934">
        <v>0</v>
      </c>
      <c r="V934">
        <v>1</v>
      </c>
      <c r="W934">
        <v>0</v>
      </c>
      <c r="X934">
        <v>0.85</v>
      </c>
    </row>
    <row r="935" spans="1:24" x14ac:dyDescent="0.3">
      <c r="A935" t="s">
        <v>1536</v>
      </c>
      <c r="B935" s="1">
        <v>45796</v>
      </c>
      <c r="C935" t="s">
        <v>128</v>
      </c>
      <c r="D935" t="s">
        <v>39</v>
      </c>
      <c r="E935" t="s">
        <v>68</v>
      </c>
      <c r="F935" t="s">
        <v>28</v>
      </c>
      <c r="G935" t="s">
        <v>29</v>
      </c>
      <c r="H935" t="s">
        <v>102</v>
      </c>
      <c r="I935" t="s">
        <v>1332</v>
      </c>
      <c r="J935" t="s">
        <v>62</v>
      </c>
      <c r="K935" t="s">
        <v>33</v>
      </c>
      <c r="L935" t="s">
        <v>34</v>
      </c>
      <c r="M935" t="s">
        <v>94</v>
      </c>
      <c r="N935" t="s">
        <v>95</v>
      </c>
      <c r="O935">
        <v>45</v>
      </c>
      <c r="P935">
        <v>0</v>
      </c>
      <c r="Q935">
        <v>58.8</v>
      </c>
      <c r="R935">
        <v>950</v>
      </c>
      <c r="S935">
        <v>0</v>
      </c>
      <c r="T935">
        <v>950</v>
      </c>
      <c r="U935">
        <v>1</v>
      </c>
      <c r="V935">
        <v>0</v>
      </c>
      <c r="W935">
        <v>0</v>
      </c>
      <c r="X935">
        <v>0.85</v>
      </c>
    </row>
    <row r="936" spans="1:24" x14ac:dyDescent="0.3">
      <c r="A936" t="s">
        <v>1537</v>
      </c>
      <c r="B936" s="1">
        <v>45794</v>
      </c>
      <c r="C936" t="s">
        <v>128</v>
      </c>
      <c r="D936" t="s">
        <v>88</v>
      </c>
      <c r="E936" t="s">
        <v>27</v>
      </c>
      <c r="F936" t="s">
        <v>28</v>
      </c>
      <c r="G936" t="s">
        <v>29</v>
      </c>
      <c r="H936" t="s">
        <v>120</v>
      </c>
      <c r="I936" t="s">
        <v>1538</v>
      </c>
      <c r="J936" t="s">
        <v>32</v>
      </c>
      <c r="K936" t="s">
        <v>104</v>
      </c>
      <c r="L936" t="s">
        <v>34</v>
      </c>
      <c r="M936" t="s">
        <v>35</v>
      </c>
      <c r="N936" t="s">
        <v>36</v>
      </c>
      <c r="O936">
        <v>45</v>
      </c>
      <c r="P936">
        <v>45</v>
      </c>
      <c r="Q936">
        <v>60.1</v>
      </c>
      <c r="R936">
        <v>950</v>
      </c>
      <c r="S936">
        <v>950</v>
      </c>
      <c r="T936">
        <v>0</v>
      </c>
      <c r="U936">
        <v>0</v>
      </c>
      <c r="V936">
        <v>1</v>
      </c>
      <c r="W936">
        <v>0</v>
      </c>
      <c r="X936">
        <v>0.85</v>
      </c>
    </row>
    <row r="937" spans="1:24" x14ac:dyDescent="0.3">
      <c r="A937" t="s">
        <v>1539</v>
      </c>
      <c r="B937" s="1">
        <v>45713</v>
      </c>
      <c r="C937" t="s">
        <v>76</v>
      </c>
      <c r="D937" t="s">
        <v>26</v>
      </c>
      <c r="E937" t="s">
        <v>27</v>
      </c>
      <c r="F937" t="s">
        <v>28</v>
      </c>
      <c r="G937" t="s">
        <v>29</v>
      </c>
      <c r="H937" t="s">
        <v>30</v>
      </c>
      <c r="I937" t="s">
        <v>1204</v>
      </c>
      <c r="J937" t="s">
        <v>53</v>
      </c>
      <c r="K937" t="s">
        <v>70</v>
      </c>
      <c r="L937" t="s">
        <v>64</v>
      </c>
      <c r="M937" t="s">
        <v>47</v>
      </c>
      <c r="N937" t="s">
        <v>113</v>
      </c>
      <c r="O937">
        <v>60</v>
      </c>
      <c r="P937">
        <v>0</v>
      </c>
      <c r="Q937">
        <v>65.400000000000006</v>
      </c>
      <c r="R937">
        <v>1500</v>
      </c>
      <c r="S937">
        <v>0</v>
      </c>
      <c r="T937">
        <v>1500</v>
      </c>
      <c r="U937">
        <v>0</v>
      </c>
      <c r="V937">
        <v>0</v>
      </c>
      <c r="W937">
        <v>1</v>
      </c>
      <c r="X937">
        <v>0.85</v>
      </c>
    </row>
    <row r="938" spans="1:24" x14ac:dyDescent="0.3">
      <c r="A938" t="s">
        <v>1540</v>
      </c>
      <c r="B938" s="1">
        <v>45700</v>
      </c>
      <c r="C938" t="s">
        <v>76</v>
      </c>
      <c r="D938" t="s">
        <v>57</v>
      </c>
      <c r="E938" t="s">
        <v>68</v>
      </c>
      <c r="F938" t="s">
        <v>58</v>
      </c>
      <c r="G938" t="s">
        <v>59</v>
      </c>
      <c r="H938" t="s">
        <v>60</v>
      </c>
      <c r="I938" t="s">
        <v>93</v>
      </c>
      <c r="J938" t="s">
        <v>137</v>
      </c>
      <c r="K938" t="s">
        <v>46</v>
      </c>
      <c r="L938" t="s">
        <v>34</v>
      </c>
      <c r="M938" t="s">
        <v>65</v>
      </c>
      <c r="N938" t="s">
        <v>36</v>
      </c>
      <c r="O938">
        <v>45</v>
      </c>
      <c r="P938">
        <v>45</v>
      </c>
      <c r="Q938">
        <v>50</v>
      </c>
      <c r="R938">
        <v>1100</v>
      </c>
      <c r="S938">
        <v>1100</v>
      </c>
      <c r="T938">
        <v>0</v>
      </c>
      <c r="U938">
        <v>0</v>
      </c>
      <c r="V938">
        <v>1</v>
      </c>
      <c r="W938">
        <v>0</v>
      </c>
      <c r="X938">
        <v>0.85</v>
      </c>
    </row>
    <row r="939" spans="1:24" x14ac:dyDescent="0.3">
      <c r="A939" t="s">
        <v>1541</v>
      </c>
      <c r="B939" s="1">
        <v>45716</v>
      </c>
      <c r="C939" t="s">
        <v>76</v>
      </c>
      <c r="D939" t="s">
        <v>82</v>
      </c>
      <c r="E939" t="s">
        <v>27</v>
      </c>
      <c r="F939" t="s">
        <v>58</v>
      </c>
      <c r="G939" t="s">
        <v>59</v>
      </c>
      <c r="H939" t="s">
        <v>60</v>
      </c>
      <c r="I939" t="s">
        <v>1120</v>
      </c>
      <c r="J939" t="s">
        <v>62</v>
      </c>
      <c r="K939" t="s">
        <v>104</v>
      </c>
      <c r="L939" t="s">
        <v>54</v>
      </c>
      <c r="M939" t="s">
        <v>35</v>
      </c>
      <c r="N939" t="s">
        <v>113</v>
      </c>
      <c r="O939">
        <v>30</v>
      </c>
      <c r="P939">
        <v>0</v>
      </c>
      <c r="Q939">
        <v>34</v>
      </c>
      <c r="R939">
        <v>650</v>
      </c>
      <c r="S939">
        <v>0</v>
      </c>
      <c r="T939">
        <v>650</v>
      </c>
      <c r="U939">
        <v>0</v>
      </c>
      <c r="V939">
        <v>0</v>
      </c>
      <c r="W939">
        <v>1</v>
      </c>
      <c r="X939">
        <v>0.85</v>
      </c>
    </row>
    <row r="940" spans="1:24" x14ac:dyDescent="0.3">
      <c r="A940" t="s">
        <v>1542</v>
      </c>
      <c r="B940" s="1">
        <v>45721</v>
      </c>
      <c r="C940" t="s">
        <v>56</v>
      </c>
      <c r="D940" t="s">
        <v>57</v>
      </c>
      <c r="E940" t="s">
        <v>27</v>
      </c>
      <c r="F940" t="s">
        <v>58</v>
      </c>
      <c r="G940" t="s">
        <v>59</v>
      </c>
      <c r="H940" t="s">
        <v>73</v>
      </c>
      <c r="I940" t="s">
        <v>249</v>
      </c>
      <c r="J940" t="s">
        <v>99</v>
      </c>
      <c r="K940" t="s">
        <v>85</v>
      </c>
      <c r="L940" t="s">
        <v>34</v>
      </c>
      <c r="M940" t="s">
        <v>86</v>
      </c>
      <c r="N940" t="s">
        <v>36</v>
      </c>
      <c r="O940">
        <v>60</v>
      </c>
      <c r="P940">
        <v>60</v>
      </c>
      <c r="Q940">
        <v>76.400000000000006</v>
      </c>
      <c r="R940">
        <v>1500</v>
      </c>
      <c r="S940">
        <v>1500</v>
      </c>
      <c r="T940">
        <v>0</v>
      </c>
      <c r="U940">
        <v>0</v>
      </c>
      <c r="V940">
        <v>1</v>
      </c>
      <c r="W940">
        <v>0</v>
      </c>
      <c r="X940">
        <v>0.85</v>
      </c>
    </row>
    <row r="941" spans="1:24" x14ac:dyDescent="0.3">
      <c r="A941" t="s">
        <v>1543</v>
      </c>
      <c r="B941" s="1">
        <v>45810</v>
      </c>
      <c r="C941" t="s">
        <v>67</v>
      </c>
      <c r="D941" t="s">
        <v>39</v>
      </c>
      <c r="E941" t="s">
        <v>68</v>
      </c>
      <c r="F941" t="s">
        <v>41</v>
      </c>
      <c r="G941" t="s">
        <v>42</v>
      </c>
      <c r="H941" t="s">
        <v>125</v>
      </c>
      <c r="I941" t="s">
        <v>990</v>
      </c>
      <c r="J941" t="s">
        <v>45</v>
      </c>
      <c r="K941" t="s">
        <v>33</v>
      </c>
      <c r="L941" t="s">
        <v>64</v>
      </c>
      <c r="M941" t="s">
        <v>71</v>
      </c>
      <c r="N941" t="s">
        <v>36</v>
      </c>
      <c r="O941">
        <v>45</v>
      </c>
      <c r="P941">
        <v>45</v>
      </c>
      <c r="Q941">
        <v>59.4</v>
      </c>
      <c r="R941">
        <v>1150</v>
      </c>
      <c r="S941">
        <v>1150</v>
      </c>
      <c r="T941">
        <v>0</v>
      </c>
      <c r="U941">
        <v>0</v>
      </c>
      <c r="V941">
        <v>1</v>
      </c>
      <c r="W941">
        <v>0</v>
      </c>
      <c r="X941">
        <v>0.85</v>
      </c>
    </row>
    <row r="942" spans="1:24" x14ac:dyDescent="0.3">
      <c r="A942" t="s">
        <v>1544</v>
      </c>
      <c r="B942" s="1">
        <v>45862</v>
      </c>
      <c r="C942" t="s">
        <v>101</v>
      </c>
      <c r="D942" t="s">
        <v>50</v>
      </c>
      <c r="E942" t="s">
        <v>27</v>
      </c>
      <c r="F942" t="s">
        <v>41</v>
      </c>
      <c r="G942" t="s">
        <v>42</v>
      </c>
      <c r="H942" t="s">
        <v>43</v>
      </c>
      <c r="I942" t="s">
        <v>724</v>
      </c>
      <c r="J942" t="s">
        <v>137</v>
      </c>
      <c r="K942" t="s">
        <v>104</v>
      </c>
      <c r="L942" t="s">
        <v>78</v>
      </c>
      <c r="M942" t="s">
        <v>94</v>
      </c>
      <c r="N942" t="s">
        <v>36</v>
      </c>
      <c r="O942">
        <v>60</v>
      </c>
      <c r="P942">
        <v>60</v>
      </c>
      <c r="Q942">
        <v>71.5</v>
      </c>
      <c r="R942">
        <v>1250</v>
      </c>
      <c r="S942">
        <v>1250</v>
      </c>
      <c r="T942">
        <v>0</v>
      </c>
      <c r="U942">
        <v>0</v>
      </c>
      <c r="V942">
        <v>1</v>
      </c>
      <c r="W942">
        <v>0</v>
      </c>
      <c r="X942">
        <v>0.85</v>
      </c>
    </row>
    <row r="943" spans="1:24" x14ac:dyDescent="0.3">
      <c r="A943" t="s">
        <v>1545</v>
      </c>
      <c r="B943" s="1">
        <v>45813</v>
      </c>
      <c r="C943" t="s">
        <v>67</v>
      </c>
      <c r="D943" t="s">
        <v>50</v>
      </c>
      <c r="E943" t="s">
        <v>83</v>
      </c>
      <c r="F943" t="s">
        <v>58</v>
      </c>
      <c r="G943" t="s">
        <v>59</v>
      </c>
      <c r="H943" t="s">
        <v>73</v>
      </c>
      <c r="I943" t="s">
        <v>1253</v>
      </c>
      <c r="J943" t="s">
        <v>32</v>
      </c>
      <c r="K943" t="s">
        <v>63</v>
      </c>
      <c r="L943" t="s">
        <v>54</v>
      </c>
      <c r="M943" t="s">
        <v>47</v>
      </c>
      <c r="N943" t="s">
        <v>36</v>
      </c>
      <c r="O943">
        <v>90</v>
      </c>
      <c r="P943">
        <v>90</v>
      </c>
      <c r="Q943">
        <v>105</v>
      </c>
      <c r="R943">
        <v>1900</v>
      </c>
      <c r="S943">
        <v>1900</v>
      </c>
      <c r="T943">
        <v>0</v>
      </c>
      <c r="U943">
        <v>0</v>
      </c>
      <c r="V943">
        <v>1</v>
      </c>
      <c r="W943">
        <v>0</v>
      </c>
      <c r="X943">
        <v>0.85</v>
      </c>
    </row>
    <row r="944" spans="1:24" x14ac:dyDescent="0.3">
      <c r="A944" t="s">
        <v>1546</v>
      </c>
      <c r="B944" s="1">
        <v>45911</v>
      </c>
      <c r="C944" t="s">
        <v>49</v>
      </c>
      <c r="D944" t="s">
        <v>50</v>
      </c>
      <c r="E944" t="s">
        <v>40</v>
      </c>
      <c r="F944" t="s">
        <v>41</v>
      </c>
      <c r="G944" t="s">
        <v>42</v>
      </c>
      <c r="H944" t="s">
        <v>125</v>
      </c>
      <c r="I944" t="s">
        <v>917</v>
      </c>
      <c r="J944" t="s">
        <v>45</v>
      </c>
      <c r="K944" t="s">
        <v>46</v>
      </c>
      <c r="L944" t="s">
        <v>54</v>
      </c>
      <c r="M944" t="s">
        <v>86</v>
      </c>
      <c r="N944" t="s">
        <v>95</v>
      </c>
      <c r="O944">
        <v>30</v>
      </c>
      <c r="P944">
        <v>0</v>
      </c>
      <c r="Q944">
        <v>35.700000000000003</v>
      </c>
      <c r="R944">
        <v>650</v>
      </c>
      <c r="S944">
        <v>0</v>
      </c>
      <c r="T944">
        <v>650</v>
      </c>
      <c r="U944">
        <v>1</v>
      </c>
      <c r="V944">
        <v>0</v>
      </c>
      <c r="W944">
        <v>0</v>
      </c>
      <c r="X944">
        <v>0.85</v>
      </c>
    </row>
    <row r="945" spans="1:24" x14ac:dyDescent="0.3">
      <c r="A945" t="s">
        <v>1547</v>
      </c>
      <c r="B945" s="1">
        <v>45904</v>
      </c>
      <c r="C945" t="s">
        <v>49</v>
      </c>
      <c r="D945" t="s">
        <v>50</v>
      </c>
      <c r="E945" t="s">
        <v>40</v>
      </c>
      <c r="F945" t="s">
        <v>41</v>
      </c>
      <c r="G945" t="s">
        <v>42</v>
      </c>
      <c r="H945" t="s">
        <v>51</v>
      </c>
      <c r="I945" t="s">
        <v>202</v>
      </c>
      <c r="J945" t="s">
        <v>62</v>
      </c>
      <c r="K945" t="s">
        <v>70</v>
      </c>
      <c r="L945" t="s">
        <v>34</v>
      </c>
      <c r="M945" t="s">
        <v>47</v>
      </c>
      <c r="N945" t="s">
        <v>95</v>
      </c>
      <c r="O945">
        <v>90</v>
      </c>
      <c r="P945">
        <v>0</v>
      </c>
      <c r="Q945">
        <v>116.3</v>
      </c>
      <c r="R945">
        <v>2000</v>
      </c>
      <c r="S945">
        <v>0</v>
      </c>
      <c r="T945">
        <v>2000</v>
      </c>
      <c r="U945">
        <v>1</v>
      </c>
      <c r="V945">
        <v>0</v>
      </c>
      <c r="W945">
        <v>0</v>
      </c>
      <c r="X945">
        <v>0.85</v>
      </c>
    </row>
    <row r="946" spans="1:24" x14ac:dyDescent="0.3">
      <c r="A946" t="s">
        <v>1548</v>
      </c>
      <c r="B946" s="1">
        <v>45897</v>
      </c>
      <c r="C946" t="s">
        <v>110</v>
      </c>
      <c r="D946" t="s">
        <v>50</v>
      </c>
      <c r="E946" t="s">
        <v>83</v>
      </c>
      <c r="F946" t="s">
        <v>28</v>
      </c>
      <c r="G946" t="s">
        <v>29</v>
      </c>
      <c r="H946" t="s">
        <v>102</v>
      </c>
      <c r="I946" t="s">
        <v>233</v>
      </c>
      <c r="J946" t="s">
        <v>62</v>
      </c>
      <c r="K946" t="s">
        <v>104</v>
      </c>
      <c r="L946" t="s">
        <v>34</v>
      </c>
      <c r="M946" t="s">
        <v>86</v>
      </c>
      <c r="N946" t="s">
        <v>36</v>
      </c>
      <c r="O946">
        <v>45</v>
      </c>
      <c r="P946">
        <v>45</v>
      </c>
      <c r="Q946">
        <v>49.6</v>
      </c>
      <c r="R946">
        <v>950</v>
      </c>
      <c r="S946">
        <v>950</v>
      </c>
      <c r="T946">
        <v>0</v>
      </c>
      <c r="U946">
        <v>0</v>
      </c>
      <c r="V946">
        <v>1</v>
      </c>
      <c r="W946">
        <v>0</v>
      </c>
      <c r="X946">
        <v>0.85</v>
      </c>
    </row>
    <row r="947" spans="1:24" x14ac:dyDescent="0.3">
      <c r="A947" t="s">
        <v>1549</v>
      </c>
      <c r="B947" s="1">
        <v>45848</v>
      </c>
      <c r="C947" t="s">
        <v>101</v>
      </c>
      <c r="D947" t="s">
        <v>50</v>
      </c>
      <c r="E947" t="s">
        <v>27</v>
      </c>
      <c r="F947" t="s">
        <v>58</v>
      </c>
      <c r="G947" t="s">
        <v>59</v>
      </c>
      <c r="H947" t="s">
        <v>60</v>
      </c>
      <c r="I947" t="s">
        <v>174</v>
      </c>
      <c r="J947" t="s">
        <v>32</v>
      </c>
      <c r="K947" t="s">
        <v>70</v>
      </c>
      <c r="L947" t="s">
        <v>34</v>
      </c>
      <c r="M947" t="s">
        <v>35</v>
      </c>
      <c r="N947" t="s">
        <v>36</v>
      </c>
      <c r="O947">
        <v>60</v>
      </c>
      <c r="P947">
        <v>60</v>
      </c>
      <c r="Q947">
        <v>66.8</v>
      </c>
      <c r="R947">
        <v>1500</v>
      </c>
      <c r="S947">
        <v>1500</v>
      </c>
      <c r="T947">
        <v>0</v>
      </c>
      <c r="U947">
        <v>0</v>
      </c>
      <c r="V947">
        <v>1</v>
      </c>
      <c r="W947">
        <v>0</v>
      </c>
      <c r="X947">
        <v>0.85</v>
      </c>
    </row>
    <row r="948" spans="1:24" x14ac:dyDescent="0.3">
      <c r="A948" t="s">
        <v>1550</v>
      </c>
      <c r="B948" s="1">
        <v>45848</v>
      </c>
      <c r="C948" t="s">
        <v>101</v>
      </c>
      <c r="D948" t="s">
        <v>50</v>
      </c>
      <c r="E948" t="s">
        <v>68</v>
      </c>
      <c r="F948" t="s">
        <v>28</v>
      </c>
      <c r="G948" t="s">
        <v>29</v>
      </c>
      <c r="H948" t="s">
        <v>135</v>
      </c>
      <c r="I948" t="s">
        <v>1085</v>
      </c>
      <c r="J948" t="s">
        <v>45</v>
      </c>
      <c r="K948" t="s">
        <v>33</v>
      </c>
      <c r="L948" t="s">
        <v>34</v>
      </c>
      <c r="M948" t="s">
        <v>35</v>
      </c>
      <c r="N948" t="s">
        <v>95</v>
      </c>
      <c r="O948">
        <v>45</v>
      </c>
      <c r="P948">
        <v>0</v>
      </c>
      <c r="Q948">
        <v>53.5</v>
      </c>
      <c r="R948">
        <v>1100</v>
      </c>
      <c r="S948">
        <v>0</v>
      </c>
      <c r="T948">
        <v>1100</v>
      </c>
      <c r="U948">
        <v>1</v>
      </c>
      <c r="V948">
        <v>0</v>
      </c>
      <c r="W948">
        <v>0</v>
      </c>
      <c r="X948">
        <v>0.85</v>
      </c>
    </row>
    <row r="949" spans="1:24" x14ac:dyDescent="0.3">
      <c r="A949" t="s">
        <v>1551</v>
      </c>
      <c r="B949" s="1">
        <v>46010</v>
      </c>
      <c r="C949" t="s">
        <v>25</v>
      </c>
      <c r="D949" t="s">
        <v>82</v>
      </c>
      <c r="E949" t="s">
        <v>83</v>
      </c>
      <c r="F949" t="s">
        <v>41</v>
      </c>
      <c r="G949" t="s">
        <v>42</v>
      </c>
      <c r="H949" t="s">
        <v>51</v>
      </c>
      <c r="I949" t="s">
        <v>941</v>
      </c>
      <c r="J949" t="s">
        <v>99</v>
      </c>
      <c r="K949" t="s">
        <v>46</v>
      </c>
      <c r="L949" t="s">
        <v>34</v>
      </c>
      <c r="M949" t="s">
        <v>65</v>
      </c>
      <c r="N949" t="s">
        <v>36</v>
      </c>
      <c r="O949">
        <v>90</v>
      </c>
      <c r="P949">
        <v>90</v>
      </c>
      <c r="Q949">
        <v>102</v>
      </c>
      <c r="R949">
        <v>2000</v>
      </c>
      <c r="S949">
        <v>2000</v>
      </c>
      <c r="T949">
        <v>0</v>
      </c>
      <c r="U949">
        <v>0</v>
      </c>
      <c r="V949">
        <v>1</v>
      </c>
      <c r="W949">
        <v>0</v>
      </c>
      <c r="X949">
        <v>0.85</v>
      </c>
    </row>
    <row r="950" spans="1:24" x14ac:dyDescent="0.3">
      <c r="A950" t="s">
        <v>1552</v>
      </c>
      <c r="B950" s="1">
        <v>45768</v>
      </c>
      <c r="C950" t="s">
        <v>92</v>
      </c>
      <c r="D950" t="s">
        <v>39</v>
      </c>
      <c r="E950" t="s">
        <v>27</v>
      </c>
      <c r="F950" t="s">
        <v>58</v>
      </c>
      <c r="G950" t="s">
        <v>59</v>
      </c>
      <c r="H950" t="s">
        <v>117</v>
      </c>
      <c r="I950" t="s">
        <v>161</v>
      </c>
      <c r="J950" t="s">
        <v>62</v>
      </c>
      <c r="K950" t="s">
        <v>85</v>
      </c>
      <c r="L950" t="s">
        <v>34</v>
      </c>
      <c r="M950" t="s">
        <v>86</v>
      </c>
      <c r="N950" t="s">
        <v>36</v>
      </c>
      <c r="O950">
        <v>45</v>
      </c>
      <c r="P950">
        <v>45</v>
      </c>
      <c r="Q950">
        <v>55.8</v>
      </c>
      <c r="R950">
        <v>1100</v>
      </c>
      <c r="S950">
        <v>1100</v>
      </c>
      <c r="T950">
        <v>0</v>
      </c>
      <c r="U950">
        <v>0</v>
      </c>
      <c r="V950">
        <v>1</v>
      </c>
      <c r="W950">
        <v>0</v>
      </c>
      <c r="X950">
        <v>0.85</v>
      </c>
    </row>
    <row r="951" spans="1:24" x14ac:dyDescent="0.3">
      <c r="A951" t="s">
        <v>1553</v>
      </c>
      <c r="B951" s="1">
        <v>45941</v>
      </c>
      <c r="C951" t="s">
        <v>97</v>
      </c>
      <c r="D951" t="s">
        <v>88</v>
      </c>
      <c r="E951" t="s">
        <v>83</v>
      </c>
      <c r="F951" t="s">
        <v>41</v>
      </c>
      <c r="G951" t="s">
        <v>42</v>
      </c>
      <c r="H951" t="s">
        <v>43</v>
      </c>
      <c r="I951" t="s">
        <v>1112</v>
      </c>
      <c r="J951" t="s">
        <v>99</v>
      </c>
      <c r="K951" t="s">
        <v>70</v>
      </c>
      <c r="L951" t="s">
        <v>78</v>
      </c>
      <c r="M951" t="s">
        <v>86</v>
      </c>
      <c r="N951" t="s">
        <v>36</v>
      </c>
      <c r="O951">
        <v>45</v>
      </c>
      <c r="P951">
        <v>45</v>
      </c>
      <c r="Q951">
        <v>56.6</v>
      </c>
      <c r="R951">
        <v>950</v>
      </c>
      <c r="S951">
        <v>950</v>
      </c>
      <c r="T951">
        <v>0</v>
      </c>
      <c r="U951">
        <v>0</v>
      </c>
      <c r="V951">
        <v>1</v>
      </c>
      <c r="W951">
        <v>0</v>
      </c>
      <c r="X951">
        <v>0.85</v>
      </c>
    </row>
    <row r="952" spans="1:24" x14ac:dyDescent="0.3">
      <c r="A952" t="s">
        <v>1554</v>
      </c>
      <c r="B952" s="1">
        <v>45940</v>
      </c>
      <c r="C952" t="s">
        <v>97</v>
      </c>
      <c r="D952" t="s">
        <v>82</v>
      </c>
      <c r="E952" t="s">
        <v>83</v>
      </c>
      <c r="F952" t="s">
        <v>58</v>
      </c>
      <c r="G952" t="s">
        <v>59</v>
      </c>
      <c r="H952" t="s">
        <v>117</v>
      </c>
      <c r="I952" t="s">
        <v>776</v>
      </c>
      <c r="J952" t="s">
        <v>45</v>
      </c>
      <c r="K952" t="s">
        <v>33</v>
      </c>
      <c r="L952" t="s">
        <v>64</v>
      </c>
      <c r="M952" t="s">
        <v>35</v>
      </c>
      <c r="N952" t="s">
        <v>36</v>
      </c>
      <c r="O952">
        <v>45</v>
      </c>
      <c r="P952">
        <v>45</v>
      </c>
      <c r="Q952">
        <v>54.8</v>
      </c>
      <c r="R952">
        <v>1300</v>
      </c>
      <c r="S952">
        <v>1300</v>
      </c>
      <c r="T952">
        <v>0</v>
      </c>
      <c r="U952">
        <v>0</v>
      </c>
      <c r="V952">
        <v>1</v>
      </c>
      <c r="W952">
        <v>0</v>
      </c>
      <c r="X952">
        <v>0.85</v>
      </c>
    </row>
    <row r="953" spans="1:24" x14ac:dyDescent="0.3">
      <c r="A953" t="s">
        <v>1555</v>
      </c>
      <c r="B953" s="1">
        <v>45749</v>
      </c>
      <c r="C953" t="s">
        <v>92</v>
      </c>
      <c r="D953" t="s">
        <v>57</v>
      </c>
      <c r="E953" t="s">
        <v>27</v>
      </c>
      <c r="F953" t="s">
        <v>41</v>
      </c>
      <c r="G953" t="s">
        <v>42</v>
      </c>
      <c r="H953" t="s">
        <v>89</v>
      </c>
      <c r="I953" t="s">
        <v>1556</v>
      </c>
      <c r="J953" t="s">
        <v>53</v>
      </c>
      <c r="K953" t="s">
        <v>85</v>
      </c>
      <c r="L953" t="s">
        <v>34</v>
      </c>
      <c r="M953" t="s">
        <v>35</v>
      </c>
      <c r="N953" t="s">
        <v>36</v>
      </c>
      <c r="O953">
        <v>30</v>
      </c>
      <c r="P953">
        <v>30</v>
      </c>
      <c r="Q953">
        <v>34.799999999999997</v>
      </c>
      <c r="R953">
        <v>800</v>
      </c>
      <c r="S953">
        <v>800</v>
      </c>
      <c r="T953">
        <v>0</v>
      </c>
      <c r="U953">
        <v>0</v>
      </c>
      <c r="V953">
        <v>1</v>
      </c>
      <c r="W953">
        <v>0</v>
      </c>
      <c r="X953">
        <v>0.85</v>
      </c>
    </row>
    <row r="954" spans="1:24" x14ac:dyDescent="0.3">
      <c r="A954" t="s">
        <v>1557</v>
      </c>
      <c r="B954" s="1">
        <v>45862</v>
      </c>
      <c r="C954" t="s">
        <v>101</v>
      </c>
      <c r="D954" t="s">
        <v>50</v>
      </c>
      <c r="E954" t="s">
        <v>83</v>
      </c>
      <c r="F954" t="s">
        <v>41</v>
      </c>
      <c r="G954" t="s">
        <v>42</v>
      </c>
      <c r="H954" t="s">
        <v>51</v>
      </c>
      <c r="I954" t="s">
        <v>133</v>
      </c>
      <c r="J954" t="s">
        <v>45</v>
      </c>
      <c r="K954" t="s">
        <v>33</v>
      </c>
      <c r="L954" t="s">
        <v>34</v>
      </c>
      <c r="M954" t="s">
        <v>86</v>
      </c>
      <c r="N954" t="s">
        <v>36</v>
      </c>
      <c r="O954">
        <v>60</v>
      </c>
      <c r="P954">
        <v>60</v>
      </c>
      <c r="Q954">
        <v>69.8</v>
      </c>
      <c r="R954">
        <v>1550</v>
      </c>
      <c r="S954">
        <v>1550</v>
      </c>
      <c r="T954">
        <v>0</v>
      </c>
      <c r="U954">
        <v>0</v>
      </c>
      <c r="V954">
        <v>1</v>
      </c>
      <c r="W954">
        <v>0</v>
      </c>
      <c r="X954">
        <v>0.85</v>
      </c>
    </row>
    <row r="955" spans="1:24" x14ac:dyDescent="0.3">
      <c r="A955" t="s">
        <v>1558</v>
      </c>
      <c r="B955" s="1">
        <v>45754</v>
      </c>
      <c r="C955" t="s">
        <v>92</v>
      </c>
      <c r="D955" t="s">
        <v>39</v>
      </c>
      <c r="E955" t="s">
        <v>40</v>
      </c>
      <c r="F955" t="s">
        <v>41</v>
      </c>
      <c r="G955" t="s">
        <v>42</v>
      </c>
      <c r="H955" t="s">
        <v>43</v>
      </c>
      <c r="I955" t="s">
        <v>1046</v>
      </c>
      <c r="J955" t="s">
        <v>32</v>
      </c>
      <c r="K955" t="s">
        <v>63</v>
      </c>
      <c r="L955" t="s">
        <v>64</v>
      </c>
      <c r="M955" t="s">
        <v>71</v>
      </c>
      <c r="N955" t="s">
        <v>36</v>
      </c>
      <c r="O955">
        <v>60</v>
      </c>
      <c r="P955">
        <v>60</v>
      </c>
      <c r="Q955">
        <v>67</v>
      </c>
      <c r="R955">
        <v>1350</v>
      </c>
      <c r="S955">
        <v>1350</v>
      </c>
      <c r="T955">
        <v>0</v>
      </c>
      <c r="U955">
        <v>0</v>
      </c>
      <c r="V955">
        <v>1</v>
      </c>
      <c r="W955">
        <v>0</v>
      </c>
      <c r="X955">
        <v>0.85</v>
      </c>
    </row>
    <row r="956" spans="1:24" x14ac:dyDescent="0.3">
      <c r="A956" t="s">
        <v>1559</v>
      </c>
      <c r="B956" s="1">
        <v>45981</v>
      </c>
      <c r="C956" t="s">
        <v>38</v>
      </c>
      <c r="D956" t="s">
        <v>50</v>
      </c>
      <c r="E956" t="s">
        <v>40</v>
      </c>
      <c r="F956" t="s">
        <v>41</v>
      </c>
      <c r="G956" t="s">
        <v>42</v>
      </c>
      <c r="H956" t="s">
        <v>51</v>
      </c>
      <c r="I956" t="s">
        <v>1560</v>
      </c>
      <c r="J956" t="s">
        <v>45</v>
      </c>
      <c r="K956" t="s">
        <v>46</v>
      </c>
      <c r="L956" t="s">
        <v>64</v>
      </c>
      <c r="M956" t="s">
        <v>94</v>
      </c>
      <c r="N956" t="s">
        <v>36</v>
      </c>
      <c r="O956">
        <v>60</v>
      </c>
      <c r="P956">
        <v>60</v>
      </c>
      <c r="Q956">
        <v>69.900000000000006</v>
      </c>
      <c r="R956">
        <v>1550</v>
      </c>
      <c r="S956">
        <v>1550</v>
      </c>
      <c r="T956">
        <v>0</v>
      </c>
      <c r="U956">
        <v>0</v>
      </c>
      <c r="V956">
        <v>1</v>
      </c>
      <c r="W956">
        <v>0</v>
      </c>
      <c r="X956">
        <v>0.85</v>
      </c>
    </row>
    <row r="957" spans="1:24" x14ac:dyDescent="0.3">
      <c r="A957" t="s">
        <v>1561</v>
      </c>
      <c r="B957" s="1">
        <v>45989</v>
      </c>
      <c r="C957" t="s">
        <v>38</v>
      </c>
      <c r="D957" t="s">
        <v>82</v>
      </c>
      <c r="E957" t="s">
        <v>83</v>
      </c>
      <c r="F957" t="s">
        <v>58</v>
      </c>
      <c r="G957" t="s">
        <v>59</v>
      </c>
      <c r="H957" t="s">
        <v>60</v>
      </c>
      <c r="I957" t="s">
        <v>1562</v>
      </c>
      <c r="J957" t="s">
        <v>32</v>
      </c>
      <c r="K957" t="s">
        <v>104</v>
      </c>
      <c r="L957" t="s">
        <v>64</v>
      </c>
      <c r="M957" t="s">
        <v>71</v>
      </c>
      <c r="N957" t="s">
        <v>36</v>
      </c>
      <c r="O957">
        <v>30</v>
      </c>
      <c r="P957">
        <v>30</v>
      </c>
      <c r="Q957">
        <v>35.5</v>
      </c>
      <c r="R957">
        <v>750</v>
      </c>
      <c r="S957">
        <v>750</v>
      </c>
      <c r="T957">
        <v>0</v>
      </c>
      <c r="U957">
        <v>0</v>
      </c>
      <c r="V957">
        <v>1</v>
      </c>
      <c r="W957">
        <v>0</v>
      </c>
      <c r="X957">
        <v>0.85</v>
      </c>
    </row>
    <row r="958" spans="1:24" x14ac:dyDescent="0.3">
      <c r="A958" t="s">
        <v>1563</v>
      </c>
      <c r="B958" s="1">
        <v>45817</v>
      </c>
      <c r="C958" t="s">
        <v>67</v>
      </c>
      <c r="D958" t="s">
        <v>39</v>
      </c>
      <c r="E958" t="s">
        <v>40</v>
      </c>
      <c r="F958" t="s">
        <v>28</v>
      </c>
      <c r="G958" t="s">
        <v>29</v>
      </c>
      <c r="H958" t="s">
        <v>30</v>
      </c>
      <c r="I958" t="s">
        <v>551</v>
      </c>
      <c r="J958" t="s">
        <v>62</v>
      </c>
      <c r="K958" t="s">
        <v>70</v>
      </c>
      <c r="L958" t="s">
        <v>34</v>
      </c>
      <c r="M958" t="s">
        <v>65</v>
      </c>
      <c r="N958" t="s">
        <v>36</v>
      </c>
      <c r="O958">
        <v>45</v>
      </c>
      <c r="P958">
        <v>45</v>
      </c>
      <c r="Q958">
        <v>56.2</v>
      </c>
      <c r="R958">
        <v>950</v>
      </c>
      <c r="S958">
        <v>950</v>
      </c>
      <c r="T958">
        <v>0</v>
      </c>
      <c r="U958">
        <v>0</v>
      </c>
      <c r="V958">
        <v>1</v>
      </c>
      <c r="W958">
        <v>0</v>
      </c>
      <c r="X958">
        <v>0.85</v>
      </c>
    </row>
    <row r="959" spans="1:24" x14ac:dyDescent="0.3">
      <c r="A959" t="s">
        <v>1564</v>
      </c>
      <c r="B959" s="1">
        <v>45777</v>
      </c>
      <c r="C959" t="s">
        <v>92</v>
      </c>
      <c r="D959" t="s">
        <v>57</v>
      </c>
      <c r="E959" t="s">
        <v>27</v>
      </c>
      <c r="F959" t="s">
        <v>41</v>
      </c>
      <c r="G959" t="s">
        <v>42</v>
      </c>
      <c r="H959" t="s">
        <v>43</v>
      </c>
      <c r="I959" t="s">
        <v>1376</v>
      </c>
      <c r="J959" t="s">
        <v>32</v>
      </c>
      <c r="K959" t="s">
        <v>46</v>
      </c>
      <c r="L959" t="s">
        <v>34</v>
      </c>
      <c r="M959" t="s">
        <v>86</v>
      </c>
      <c r="N959" t="s">
        <v>113</v>
      </c>
      <c r="O959">
        <v>45</v>
      </c>
      <c r="P959">
        <v>0</v>
      </c>
      <c r="Q959">
        <v>49.4</v>
      </c>
      <c r="R959">
        <v>1000</v>
      </c>
      <c r="S959">
        <v>0</v>
      </c>
      <c r="T959">
        <v>1000</v>
      </c>
      <c r="U959">
        <v>0</v>
      </c>
      <c r="V959">
        <v>0</v>
      </c>
      <c r="W959">
        <v>1</v>
      </c>
      <c r="X959">
        <v>0.85</v>
      </c>
    </row>
    <row r="960" spans="1:24" x14ac:dyDescent="0.3">
      <c r="A960" t="s">
        <v>1565</v>
      </c>
      <c r="B960" s="1">
        <v>45666</v>
      </c>
      <c r="C960" t="s">
        <v>130</v>
      </c>
      <c r="D960" t="s">
        <v>50</v>
      </c>
      <c r="E960" t="s">
        <v>68</v>
      </c>
      <c r="F960" t="s">
        <v>28</v>
      </c>
      <c r="G960" t="s">
        <v>29</v>
      </c>
      <c r="H960" t="s">
        <v>120</v>
      </c>
      <c r="I960" t="s">
        <v>176</v>
      </c>
      <c r="J960" t="s">
        <v>45</v>
      </c>
      <c r="K960" t="s">
        <v>70</v>
      </c>
      <c r="L960" t="s">
        <v>78</v>
      </c>
      <c r="M960" t="s">
        <v>35</v>
      </c>
      <c r="N960" t="s">
        <v>36</v>
      </c>
      <c r="O960">
        <v>60</v>
      </c>
      <c r="P960">
        <v>60</v>
      </c>
      <c r="Q960">
        <v>72.3</v>
      </c>
      <c r="R960">
        <v>1300</v>
      </c>
      <c r="S960">
        <v>1300</v>
      </c>
      <c r="T960">
        <v>0</v>
      </c>
      <c r="U960">
        <v>0</v>
      </c>
      <c r="V960">
        <v>1</v>
      </c>
      <c r="W960">
        <v>0</v>
      </c>
      <c r="X960">
        <v>0.85</v>
      </c>
    </row>
    <row r="961" spans="1:24" x14ac:dyDescent="0.3">
      <c r="A961" t="s">
        <v>1566</v>
      </c>
      <c r="B961" s="1">
        <v>45775</v>
      </c>
      <c r="C961" t="s">
        <v>92</v>
      </c>
      <c r="D961" t="s">
        <v>39</v>
      </c>
      <c r="E961" t="s">
        <v>83</v>
      </c>
      <c r="F961" t="s">
        <v>28</v>
      </c>
      <c r="G961" t="s">
        <v>29</v>
      </c>
      <c r="H961" t="s">
        <v>30</v>
      </c>
      <c r="I961" t="s">
        <v>1207</v>
      </c>
      <c r="J961" t="s">
        <v>62</v>
      </c>
      <c r="K961" t="s">
        <v>85</v>
      </c>
      <c r="L961" t="s">
        <v>34</v>
      </c>
      <c r="M961" t="s">
        <v>94</v>
      </c>
      <c r="N961" t="s">
        <v>36</v>
      </c>
      <c r="O961">
        <v>60</v>
      </c>
      <c r="P961">
        <v>60</v>
      </c>
      <c r="Q961">
        <v>72.099999999999994</v>
      </c>
      <c r="R961">
        <v>1250</v>
      </c>
      <c r="S961">
        <v>1250</v>
      </c>
      <c r="T961">
        <v>0</v>
      </c>
      <c r="U961">
        <v>0</v>
      </c>
      <c r="V961">
        <v>1</v>
      </c>
      <c r="W961">
        <v>0</v>
      </c>
      <c r="X961">
        <v>0.85</v>
      </c>
    </row>
    <row r="962" spans="1:24" x14ac:dyDescent="0.3">
      <c r="A962" t="s">
        <v>1567</v>
      </c>
      <c r="B962" s="1">
        <v>45859</v>
      </c>
      <c r="C962" t="s">
        <v>101</v>
      </c>
      <c r="D962" t="s">
        <v>39</v>
      </c>
      <c r="E962" t="s">
        <v>40</v>
      </c>
      <c r="F962" t="s">
        <v>28</v>
      </c>
      <c r="G962" t="s">
        <v>29</v>
      </c>
      <c r="H962" t="s">
        <v>30</v>
      </c>
      <c r="I962" t="s">
        <v>1568</v>
      </c>
      <c r="J962" t="s">
        <v>45</v>
      </c>
      <c r="K962" t="s">
        <v>104</v>
      </c>
      <c r="L962" t="s">
        <v>64</v>
      </c>
      <c r="M962" t="s">
        <v>71</v>
      </c>
      <c r="N962" t="s">
        <v>95</v>
      </c>
      <c r="O962">
        <v>90</v>
      </c>
      <c r="P962">
        <v>0</v>
      </c>
      <c r="Q962">
        <v>114.8</v>
      </c>
      <c r="R962">
        <v>2150</v>
      </c>
      <c r="S962">
        <v>0</v>
      </c>
      <c r="T962">
        <v>2150</v>
      </c>
      <c r="U962">
        <v>1</v>
      </c>
      <c r="V962">
        <v>0</v>
      </c>
      <c r="W962">
        <v>0</v>
      </c>
      <c r="X962">
        <v>0.85</v>
      </c>
    </row>
    <row r="963" spans="1:24" x14ac:dyDescent="0.3">
      <c r="A963" t="s">
        <v>1569</v>
      </c>
      <c r="B963" s="1">
        <v>45887</v>
      </c>
      <c r="C963" t="s">
        <v>110</v>
      </c>
      <c r="D963" t="s">
        <v>39</v>
      </c>
      <c r="E963" t="s">
        <v>68</v>
      </c>
      <c r="F963" t="s">
        <v>41</v>
      </c>
      <c r="G963" t="s">
        <v>42</v>
      </c>
      <c r="H963" t="s">
        <v>125</v>
      </c>
      <c r="I963" t="s">
        <v>1446</v>
      </c>
      <c r="J963" t="s">
        <v>62</v>
      </c>
      <c r="K963" t="s">
        <v>33</v>
      </c>
      <c r="L963" t="s">
        <v>34</v>
      </c>
      <c r="M963" t="s">
        <v>86</v>
      </c>
      <c r="N963" t="s">
        <v>36</v>
      </c>
      <c r="O963">
        <v>60</v>
      </c>
      <c r="P963">
        <v>60</v>
      </c>
      <c r="Q963">
        <v>69.099999999999994</v>
      </c>
      <c r="R963">
        <v>1350</v>
      </c>
      <c r="S963">
        <v>1350</v>
      </c>
      <c r="T963">
        <v>0</v>
      </c>
      <c r="U963">
        <v>0</v>
      </c>
      <c r="V963">
        <v>1</v>
      </c>
      <c r="W963">
        <v>0</v>
      </c>
      <c r="X963">
        <v>0.85</v>
      </c>
    </row>
    <row r="964" spans="1:24" x14ac:dyDescent="0.3">
      <c r="A964" t="s">
        <v>1570</v>
      </c>
      <c r="B964" s="1">
        <v>45870</v>
      </c>
      <c r="C964" t="s">
        <v>110</v>
      </c>
      <c r="D964" t="s">
        <v>82</v>
      </c>
      <c r="E964" t="s">
        <v>83</v>
      </c>
      <c r="F964" t="s">
        <v>28</v>
      </c>
      <c r="G964" t="s">
        <v>29</v>
      </c>
      <c r="H964" t="s">
        <v>102</v>
      </c>
      <c r="I964" t="s">
        <v>304</v>
      </c>
      <c r="J964" t="s">
        <v>32</v>
      </c>
      <c r="K964" t="s">
        <v>63</v>
      </c>
      <c r="L964" t="s">
        <v>64</v>
      </c>
      <c r="M964" t="s">
        <v>47</v>
      </c>
      <c r="N964" t="s">
        <v>95</v>
      </c>
      <c r="O964">
        <v>45</v>
      </c>
      <c r="P964">
        <v>0</v>
      </c>
      <c r="Q964">
        <v>51.9</v>
      </c>
      <c r="R964">
        <v>950</v>
      </c>
      <c r="S964">
        <v>0</v>
      </c>
      <c r="T964">
        <v>950</v>
      </c>
      <c r="U964">
        <v>1</v>
      </c>
      <c r="V964">
        <v>0</v>
      </c>
      <c r="W964">
        <v>0</v>
      </c>
      <c r="X964">
        <v>0.85</v>
      </c>
    </row>
    <row r="965" spans="1:24" x14ac:dyDescent="0.3">
      <c r="A965" t="s">
        <v>1571</v>
      </c>
      <c r="B965" s="1">
        <v>45856</v>
      </c>
      <c r="C965" t="s">
        <v>101</v>
      </c>
      <c r="D965" t="s">
        <v>82</v>
      </c>
      <c r="E965" t="s">
        <v>40</v>
      </c>
      <c r="F965" t="s">
        <v>41</v>
      </c>
      <c r="G965" t="s">
        <v>42</v>
      </c>
      <c r="H965" t="s">
        <v>43</v>
      </c>
      <c r="I965" t="s">
        <v>1572</v>
      </c>
      <c r="J965" t="s">
        <v>32</v>
      </c>
      <c r="K965" t="s">
        <v>46</v>
      </c>
      <c r="L965" t="s">
        <v>64</v>
      </c>
      <c r="M965" t="s">
        <v>35</v>
      </c>
      <c r="N965" t="s">
        <v>153</v>
      </c>
      <c r="O965">
        <v>60</v>
      </c>
      <c r="P965">
        <v>0</v>
      </c>
      <c r="Q965">
        <v>67</v>
      </c>
      <c r="R965">
        <v>1350</v>
      </c>
      <c r="S965">
        <v>0</v>
      </c>
      <c r="T965">
        <v>0</v>
      </c>
      <c r="U965">
        <v>0</v>
      </c>
      <c r="V965">
        <v>0</v>
      </c>
      <c r="W965">
        <v>0</v>
      </c>
      <c r="X965">
        <v>0.85</v>
      </c>
    </row>
    <row r="966" spans="1:24" x14ac:dyDescent="0.3">
      <c r="A966" t="s">
        <v>1573</v>
      </c>
      <c r="B966" s="1">
        <v>45742</v>
      </c>
      <c r="C966" t="s">
        <v>56</v>
      </c>
      <c r="D966" t="s">
        <v>57</v>
      </c>
      <c r="E966" t="s">
        <v>68</v>
      </c>
      <c r="F966" t="s">
        <v>58</v>
      </c>
      <c r="G966" t="s">
        <v>59</v>
      </c>
      <c r="H966" t="s">
        <v>117</v>
      </c>
      <c r="I966" t="s">
        <v>442</v>
      </c>
      <c r="J966" t="s">
        <v>62</v>
      </c>
      <c r="K966" t="s">
        <v>46</v>
      </c>
      <c r="L966" t="s">
        <v>78</v>
      </c>
      <c r="M966" t="s">
        <v>65</v>
      </c>
      <c r="N966" t="s">
        <v>36</v>
      </c>
      <c r="O966">
        <v>60</v>
      </c>
      <c r="P966">
        <v>60</v>
      </c>
      <c r="Q966">
        <v>70.400000000000006</v>
      </c>
      <c r="R966">
        <v>1400</v>
      </c>
      <c r="S966">
        <v>1400</v>
      </c>
      <c r="T966">
        <v>0</v>
      </c>
      <c r="U966">
        <v>0</v>
      </c>
      <c r="V966">
        <v>1</v>
      </c>
      <c r="W966">
        <v>0</v>
      </c>
      <c r="X966">
        <v>0.85</v>
      </c>
    </row>
    <row r="967" spans="1:24" x14ac:dyDescent="0.3">
      <c r="A967" t="s">
        <v>1574</v>
      </c>
      <c r="B967" s="1">
        <v>45972</v>
      </c>
      <c r="C967" t="s">
        <v>38</v>
      </c>
      <c r="D967" t="s">
        <v>26</v>
      </c>
      <c r="E967" t="s">
        <v>83</v>
      </c>
      <c r="F967" t="s">
        <v>58</v>
      </c>
      <c r="G967" t="s">
        <v>59</v>
      </c>
      <c r="H967" t="s">
        <v>151</v>
      </c>
      <c r="I967" t="s">
        <v>523</v>
      </c>
      <c r="J967" t="s">
        <v>62</v>
      </c>
      <c r="K967" t="s">
        <v>46</v>
      </c>
      <c r="L967" t="s">
        <v>78</v>
      </c>
      <c r="M967" t="s">
        <v>86</v>
      </c>
      <c r="N967" t="s">
        <v>36</v>
      </c>
      <c r="O967">
        <v>45</v>
      </c>
      <c r="P967">
        <v>45</v>
      </c>
      <c r="Q967">
        <v>53.4</v>
      </c>
      <c r="R967">
        <v>1050</v>
      </c>
      <c r="S967">
        <v>1050</v>
      </c>
      <c r="T967">
        <v>0</v>
      </c>
      <c r="U967">
        <v>0</v>
      </c>
      <c r="V967">
        <v>1</v>
      </c>
      <c r="W967">
        <v>0</v>
      </c>
      <c r="X967">
        <v>0.85</v>
      </c>
    </row>
    <row r="968" spans="1:24" x14ac:dyDescent="0.3">
      <c r="A968" t="s">
        <v>1575</v>
      </c>
      <c r="B968" s="1">
        <v>45712</v>
      </c>
      <c r="C968" t="s">
        <v>76</v>
      </c>
      <c r="D968" t="s">
        <v>39</v>
      </c>
      <c r="E968" t="s">
        <v>68</v>
      </c>
      <c r="F968" t="s">
        <v>58</v>
      </c>
      <c r="G968" t="s">
        <v>59</v>
      </c>
      <c r="H968" t="s">
        <v>117</v>
      </c>
      <c r="I968" t="s">
        <v>273</v>
      </c>
      <c r="J968" t="s">
        <v>53</v>
      </c>
      <c r="K968" t="s">
        <v>63</v>
      </c>
      <c r="L968" t="s">
        <v>34</v>
      </c>
      <c r="M968" t="s">
        <v>94</v>
      </c>
      <c r="N968" t="s">
        <v>95</v>
      </c>
      <c r="O968">
        <v>45</v>
      </c>
      <c r="P968">
        <v>0</v>
      </c>
      <c r="Q968">
        <v>52.1</v>
      </c>
      <c r="R968">
        <v>1350</v>
      </c>
      <c r="S968">
        <v>0</v>
      </c>
      <c r="T968">
        <v>1350</v>
      </c>
      <c r="U968">
        <v>1</v>
      </c>
      <c r="V968">
        <v>0</v>
      </c>
      <c r="W968">
        <v>0</v>
      </c>
      <c r="X968">
        <v>0.85</v>
      </c>
    </row>
    <row r="969" spans="1:24" x14ac:dyDescent="0.3">
      <c r="A969" t="s">
        <v>1576</v>
      </c>
      <c r="B969" s="1">
        <v>45999</v>
      </c>
      <c r="C969" t="s">
        <v>25</v>
      </c>
      <c r="D969" t="s">
        <v>39</v>
      </c>
      <c r="E969" t="s">
        <v>68</v>
      </c>
      <c r="F969" t="s">
        <v>28</v>
      </c>
      <c r="G969" t="s">
        <v>29</v>
      </c>
      <c r="H969" t="s">
        <v>102</v>
      </c>
      <c r="I969" t="s">
        <v>544</v>
      </c>
      <c r="J969" t="s">
        <v>62</v>
      </c>
      <c r="K969" t="s">
        <v>46</v>
      </c>
      <c r="L969" t="s">
        <v>78</v>
      </c>
      <c r="M969" t="s">
        <v>94</v>
      </c>
      <c r="N969" t="s">
        <v>36</v>
      </c>
      <c r="O969">
        <v>45</v>
      </c>
      <c r="P969">
        <v>45</v>
      </c>
      <c r="Q969">
        <v>50.4</v>
      </c>
      <c r="R969">
        <v>850</v>
      </c>
      <c r="S969">
        <v>850</v>
      </c>
      <c r="T969">
        <v>0</v>
      </c>
      <c r="U969">
        <v>0</v>
      </c>
      <c r="V969">
        <v>1</v>
      </c>
      <c r="W969">
        <v>0</v>
      </c>
      <c r="X969">
        <v>0.85</v>
      </c>
    </row>
    <row r="970" spans="1:24" x14ac:dyDescent="0.3">
      <c r="A970" t="s">
        <v>1577</v>
      </c>
      <c r="B970" s="1">
        <v>45957</v>
      </c>
      <c r="C970" t="s">
        <v>97</v>
      </c>
      <c r="D970" t="s">
        <v>39</v>
      </c>
      <c r="E970" t="s">
        <v>83</v>
      </c>
      <c r="F970" t="s">
        <v>58</v>
      </c>
      <c r="G970" t="s">
        <v>59</v>
      </c>
      <c r="H970" t="s">
        <v>60</v>
      </c>
      <c r="I970" t="s">
        <v>381</v>
      </c>
      <c r="J970" t="s">
        <v>45</v>
      </c>
      <c r="K970" t="s">
        <v>46</v>
      </c>
      <c r="L970" t="s">
        <v>78</v>
      </c>
      <c r="M970" t="s">
        <v>65</v>
      </c>
      <c r="N970" t="s">
        <v>36</v>
      </c>
      <c r="O970">
        <v>75</v>
      </c>
      <c r="P970">
        <v>75</v>
      </c>
      <c r="Q970">
        <v>88.7</v>
      </c>
      <c r="R970">
        <v>2000</v>
      </c>
      <c r="S970">
        <v>2000</v>
      </c>
      <c r="T970">
        <v>0</v>
      </c>
      <c r="U970">
        <v>0</v>
      </c>
      <c r="V970">
        <v>1</v>
      </c>
      <c r="W970">
        <v>0</v>
      </c>
      <c r="X970">
        <v>0.85</v>
      </c>
    </row>
    <row r="971" spans="1:24" x14ac:dyDescent="0.3">
      <c r="A971" t="s">
        <v>1578</v>
      </c>
      <c r="B971" s="1">
        <v>45936</v>
      </c>
      <c r="C971" t="s">
        <v>97</v>
      </c>
      <c r="D971" t="s">
        <v>39</v>
      </c>
      <c r="E971" t="s">
        <v>40</v>
      </c>
      <c r="F971" t="s">
        <v>28</v>
      </c>
      <c r="G971" t="s">
        <v>29</v>
      </c>
      <c r="H971" t="s">
        <v>210</v>
      </c>
      <c r="I971" t="s">
        <v>566</v>
      </c>
      <c r="J971" t="s">
        <v>62</v>
      </c>
      <c r="K971" t="s">
        <v>63</v>
      </c>
      <c r="L971" t="s">
        <v>64</v>
      </c>
      <c r="M971" t="s">
        <v>86</v>
      </c>
      <c r="N971" t="s">
        <v>36</v>
      </c>
      <c r="O971">
        <v>60</v>
      </c>
      <c r="P971">
        <v>60</v>
      </c>
      <c r="Q971">
        <v>73.900000000000006</v>
      </c>
      <c r="R971">
        <v>1250</v>
      </c>
      <c r="S971">
        <v>1250</v>
      </c>
      <c r="T971">
        <v>0</v>
      </c>
      <c r="U971">
        <v>0</v>
      </c>
      <c r="V971">
        <v>1</v>
      </c>
      <c r="W971">
        <v>0</v>
      </c>
      <c r="X971">
        <v>0.85</v>
      </c>
    </row>
    <row r="972" spans="1:24" x14ac:dyDescent="0.3">
      <c r="A972" t="s">
        <v>1579</v>
      </c>
      <c r="B972" s="1">
        <v>45974</v>
      </c>
      <c r="C972" t="s">
        <v>38</v>
      </c>
      <c r="D972" t="s">
        <v>50</v>
      </c>
      <c r="E972" t="s">
        <v>27</v>
      </c>
      <c r="F972" t="s">
        <v>41</v>
      </c>
      <c r="G972" t="s">
        <v>42</v>
      </c>
      <c r="H972" t="s">
        <v>111</v>
      </c>
      <c r="I972" t="s">
        <v>1059</v>
      </c>
      <c r="J972" t="s">
        <v>99</v>
      </c>
      <c r="K972" t="s">
        <v>104</v>
      </c>
      <c r="L972" t="s">
        <v>64</v>
      </c>
      <c r="M972" t="s">
        <v>86</v>
      </c>
      <c r="N972" t="s">
        <v>153</v>
      </c>
      <c r="O972">
        <v>60</v>
      </c>
      <c r="P972">
        <v>0</v>
      </c>
      <c r="Q972">
        <v>80</v>
      </c>
      <c r="R972">
        <v>1350</v>
      </c>
      <c r="S972">
        <v>0</v>
      </c>
      <c r="T972">
        <v>0</v>
      </c>
      <c r="U972">
        <v>0</v>
      </c>
      <c r="V972">
        <v>0</v>
      </c>
      <c r="W972">
        <v>0</v>
      </c>
      <c r="X972">
        <v>0.85</v>
      </c>
    </row>
    <row r="973" spans="1:24" x14ac:dyDescent="0.3">
      <c r="A973" t="s">
        <v>1580</v>
      </c>
      <c r="B973" s="1">
        <v>45749</v>
      </c>
      <c r="C973" t="s">
        <v>92</v>
      </c>
      <c r="D973" t="s">
        <v>57</v>
      </c>
      <c r="E973" t="s">
        <v>40</v>
      </c>
      <c r="F973" t="s">
        <v>58</v>
      </c>
      <c r="G973" t="s">
        <v>59</v>
      </c>
      <c r="H973" t="s">
        <v>73</v>
      </c>
      <c r="I973" t="s">
        <v>330</v>
      </c>
      <c r="J973" t="s">
        <v>32</v>
      </c>
      <c r="K973" t="s">
        <v>104</v>
      </c>
      <c r="L973" t="s">
        <v>64</v>
      </c>
      <c r="M973" t="s">
        <v>71</v>
      </c>
      <c r="N973" t="s">
        <v>36</v>
      </c>
      <c r="O973">
        <v>45</v>
      </c>
      <c r="P973">
        <v>45</v>
      </c>
      <c r="Q973">
        <v>52.2</v>
      </c>
      <c r="R973">
        <v>1100</v>
      </c>
      <c r="S973">
        <v>1100</v>
      </c>
      <c r="T973">
        <v>0</v>
      </c>
      <c r="U973">
        <v>0</v>
      </c>
      <c r="V973">
        <v>1</v>
      </c>
      <c r="W973">
        <v>0</v>
      </c>
      <c r="X973">
        <v>0.85</v>
      </c>
    </row>
    <row r="974" spans="1:24" x14ac:dyDescent="0.3">
      <c r="A974" t="s">
        <v>1581</v>
      </c>
      <c r="B974" s="1">
        <v>45716</v>
      </c>
      <c r="C974" t="s">
        <v>76</v>
      </c>
      <c r="D974" t="s">
        <v>82</v>
      </c>
      <c r="E974" t="s">
        <v>68</v>
      </c>
      <c r="F974" t="s">
        <v>28</v>
      </c>
      <c r="G974" t="s">
        <v>29</v>
      </c>
      <c r="H974" t="s">
        <v>210</v>
      </c>
      <c r="I974" t="s">
        <v>992</v>
      </c>
      <c r="J974" t="s">
        <v>62</v>
      </c>
      <c r="K974" t="s">
        <v>70</v>
      </c>
      <c r="L974" t="s">
        <v>64</v>
      </c>
      <c r="M974" t="s">
        <v>65</v>
      </c>
      <c r="N974" t="s">
        <v>36</v>
      </c>
      <c r="O974">
        <v>30</v>
      </c>
      <c r="P974">
        <v>30</v>
      </c>
      <c r="Q974">
        <v>38</v>
      </c>
      <c r="R974">
        <v>600</v>
      </c>
      <c r="S974">
        <v>600</v>
      </c>
      <c r="T974">
        <v>0</v>
      </c>
      <c r="U974">
        <v>0</v>
      </c>
      <c r="V974">
        <v>1</v>
      </c>
      <c r="W974">
        <v>0</v>
      </c>
      <c r="X974">
        <v>0.85</v>
      </c>
    </row>
    <row r="975" spans="1:24" x14ac:dyDescent="0.3">
      <c r="A975" t="s">
        <v>1582</v>
      </c>
      <c r="B975" s="1">
        <v>45846</v>
      </c>
      <c r="C975" t="s">
        <v>101</v>
      </c>
      <c r="D975" t="s">
        <v>26</v>
      </c>
      <c r="E975" t="s">
        <v>68</v>
      </c>
      <c r="F975" t="s">
        <v>28</v>
      </c>
      <c r="G975" t="s">
        <v>29</v>
      </c>
      <c r="H975" t="s">
        <v>30</v>
      </c>
      <c r="I975" t="s">
        <v>730</v>
      </c>
      <c r="J975" t="s">
        <v>53</v>
      </c>
      <c r="K975" t="s">
        <v>33</v>
      </c>
      <c r="L975" t="s">
        <v>34</v>
      </c>
      <c r="M975" t="s">
        <v>65</v>
      </c>
      <c r="N975" t="s">
        <v>95</v>
      </c>
      <c r="O975">
        <v>60</v>
      </c>
      <c r="P975">
        <v>0</v>
      </c>
      <c r="Q975">
        <v>76.099999999999994</v>
      </c>
      <c r="R975">
        <v>1500</v>
      </c>
      <c r="S975">
        <v>0</v>
      </c>
      <c r="T975">
        <v>1500</v>
      </c>
      <c r="U975">
        <v>1</v>
      </c>
      <c r="V975">
        <v>0</v>
      </c>
      <c r="W975">
        <v>0</v>
      </c>
      <c r="X975">
        <v>0.85</v>
      </c>
    </row>
    <row r="976" spans="1:24" x14ac:dyDescent="0.3">
      <c r="A976" t="s">
        <v>1583</v>
      </c>
      <c r="B976" s="1">
        <v>45823</v>
      </c>
      <c r="C976" t="s">
        <v>67</v>
      </c>
      <c r="D976" t="s">
        <v>287</v>
      </c>
      <c r="E976" t="s">
        <v>27</v>
      </c>
      <c r="F976" t="s">
        <v>28</v>
      </c>
      <c r="G976" t="s">
        <v>29</v>
      </c>
      <c r="H976" t="s">
        <v>120</v>
      </c>
      <c r="I976" t="s">
        <v>1584</v>
      </c>
      <c r="J976" t="s">
        <v>45</v>
      </c>
      <c r="K976" t="s">
        <v>63</v>
      </c>
      <c r="L976" t="s">
        <v>64</v>
      </c>
      <c r="M976" t="s">
        <v>71</v>
      </c>
      <c r="N976" t="s">
        <v>36</v>
      </c>
      <c r="O976">
        <v>45</v>
      </c>
      <c r="P976">
        <v>45</v>
      </c>
      <c r="Q976">
        <v>54.5</v>
      </c>
      <c r="R976">
        <v>1100</v>
      </c>
      <c r="S976">
        <v>1100</v>
      </c>
      <c r="T976">
        <v>0</v>
      </c>
      <c r="U976">
        <v>0</v>
      </c>
      <c r="V976">
        <v>1</v>
      </c>
      <c r="W976">
        <v>0</v>
      </c>
      <c r="X976">
        <v>0.85</v>
      </c>
    </row>
    <row r="977" spans="1:24" x14ac:dyDescent="0.3">
      <c r="A977" t="s">
        <v>1585</v>
      </c>
      <c r="B977" s="1">
        <v>45722</v>
      </c>
      <c r="C977" t="s">
        <v>56</v>
      </c>
      <c r="D977" t="s">
        <v>50</v>
      </c>
      <c r="E977" t="s">
        <v>83</v>
      </c>
      <c r="F977" t="s">
        <v>58</v>
      </c>
      <c r="G977" t="s">
        <v>59</v>
      </c>
      <c r="H977" t="s">
        <v>60</v>
      </c>
      <c r="I977" t="s">
        <v>899</v>
      </c>
      <c r="J977" t="s">
        <v>62</v>
      </c>
      <c r="K977" t="s">
        <v>70</v>
      </c>
      <c r="L977" t="s">
        <v>34</v>
      </c>
      <c r="M977" t="s">
        <v>86</v>
      </c>
      <c r="N977" t="s">
        <v>36</v>
      </c>
      <c r="O977">
        <v>30</v>
      </c>
      <c r="P977">
        <v>30</v>
      </c>
      <c r="Q977">
        <v>36</v>
      </c>
      <c r="R977">
        <v>750</v>
      </c>
      <c r="S977">
        <v>750</v>
      </c>
      <c r="T977">
        <v>0</v>
      </c>
      <c r="U977">
        <v>0</v>
      </c>
      <c r="V977">
        <v>1</v>
      </c>
      <c r="W977">
        <v>0</v>
      </c>
      <c r="X977">
        <v>0.85</v>
      </c>
    </row>
    <row r="978" spans="1:24" x14ac:dyDescent="0.3">
      <c r="A978" t="s">
        <v>1586</v>
      </c>
      <c r="B978" s="1">
        <v>46007</v>
      </c>
      <c r="C978" t="s">
        <v>25</v>
      </c>
      <c r="D978" t="s">
        <v>26</v>
      </c>
      <c r="E978" t="s">
        <v>83</v>
      </c>
      <c r="F978" t="s">
        <v>58</v>
      </c>
      <c r="G978" t="s">
        <v>59</v>
      </c>
      <c r="H978" t="s">
        <v>296</v>
      </c>
      <c r="I978" t="s">
        <v>314</v>
      </c>
      <c r="J978" t="s">
        <v>99</v>
      </c>
      <c r="K978" t="s">
        <v>46</v>
      </c>
      <c r="L978" t="s">
        <v>64</v>
      </c>
      <c r="M978" t="s">
        <v>35</v>
      </c>
      <c r="N978" t="s">
        <v>36</v>
      </c>
      <c r="O978">
        <v>45</v>
      </c>
      <c r="P978">
        <v>45</v>
      </c>
      <c r="Q978">
        <v>57</v>
      </c>
      <c r="R978">
        <v>1100</v>
      </c>
      <c r="S978">
        <v>1100</v>
      </c>
      <c r="T978">
        <v>0</v>
      </c>
      <c r="U978">
        <v>0</v>
      </c>
      <c r="V978">
        <v>1</v>
      </c>
      <c r="W978">
        <v>0</v>
      </c>
      <c r="X978">
        <v>0.85</v>
      </c>
    </row>
    <row r="979" spans="1:24" x14ac:dyDescent="0.3">
      <c r="A979" t="s">
        <v>1587</v>
      </c>
      <c r="B979" s="1">
        <v>45700</v>
      </c>
      <c r="C979" t="s">
        <v>76</v>
      </c>
      <c r="D979" t="s">
        <v>57</v>
      </c>
      <c r="E979" t="s">
        <v>27</v>
      </c>
      <c r="F979" t="s">
        <v>28</v>
      </c>
      <c r="G979" t="s">
        <v>29</v>
      </c>
      <c r="H979" t="s">
        <v>30</v>
      </c>
      <c r="I979" t="s">
        <v>139</v>
      </c>
      <c r="J979" t="s">
        <v>45</v>
      </c>
      <c r="K979" t="s">
        <v>33</v>
      </c>
      <c r="L979" t="s">
        <v>34</v>
      </c>
      <c r="M979" t="s">
        <v>35</v>
      </c>
      <c r="N979" t="s">
        <v>153</v>
      </c>
      <c r="O979">
        <v>60</v>
      </c>
      <c r="P979">
        <v>0</v>
      </c>
      <c r="Q979">
        <v>75.5</v>
      </c>
      <c r="R979">
        <v>1450</v>
      </c>
      <c r="S979">
        <v>0</v>
      </c>
      <c r="T979">
        <v>0</v>
      </c>
      <c r="U979">
        <v>0</v>
      </c>
      <c r="V979">
        <v>0</v>
      </c>
      <c r="W979">
        <v>0</v>
      </c>
      <c r="X979">
        <v>0.85</v>
      </c>
    </row>
    <row r="980" spans="1:24" x14ac:dyDescent="0.3">
      <c r="A980" t="s">
        <v>1588</v>
      </c>
      <c r="B980" s="1">
        <v>45951</v>
      </c>
      <c r="C980" t="s">
        <v>97</v>
      </c>
      <c r="D980" t="s">
        <v>26</v>
      </c>
      <c r="E980" t="s">
        <v>83</v>
      </c>
      <c r="F980" t="s">
        <v>28</v>
      </c>
      <c r="G980" t="s">
        <v>29</v>
      </c>
      <c r="H980" t="s">
        <v>120</v>
      </c>
      <c r="I980" t="s">
        <v>456</v>
      </c>
      <c r="J980" t="s">
        <v>62</v>
      </c>
      <c r="K980" t="s">
        <v>33</v>
      </c>
      <c r="L980" t="s">
        <v>64</v>
      </c>
      <c r="M980" t="s">
        <v>94</v>
      </c>
      <c r="N980" t="s">
        <v>36</v>
      </c>
      <c r="O980">
        <v>60</v>
      </c>
      <c r="P980">
        <v>60</v>
      </c>
      <c r="Q980">
        <v>70.599999999999994</v>
      </c>
      <c r="R980">
        <v>1250</v>
      </c>
      <c r="S980">
        <v>1250</v>
      </c>
      <c r="T980">
        <v>0</v>
      </c>
      <c r="U980">
        <v>0</v>
      </c>
      <c r="V980">
        <v>1</v>
      </c>
      <c r="W980">
        <v>0</v>
      </c>
      <c r="X980">
        <v>0.85</v>
      </c>
    </row>
    <row r="981" spans="1:24" x14ac:dyDescent="0.3">
      <c r="A981" t="s">
        <v>1589</v>
      </c>
      <c r="B981" s="1">
        <v>45877</v>
      </c>
      <c r="C981" t="s">
        <v>110</v>
      </c>
      <c r="D981" t="s">
        <v>82</v>
      </c>
      <c r="E981" t="s">
        <v>40</v>
      </c>
      <c r="F981" t="s">
        <v>28</v>
      </c>
      <c r="G981" t="s">
        <v>29</v>
      </c>
      <c r="H981" t="s">
        <v>102</v>
      </c>
      <c r="I981" t="s">
        <v>1590</v>
      </c>
      <c r="J981" t="s">
        <v>99</v>
      </c>
      <c r="K981" t="s">
        <v>85</v>
      </c>
      <c r="L981" t="s">
        <v>64</v>
      </c>
      <c r="M981" t="s">
        <v>71</v>
      </c>
      <c r="N981" t="s">
        <v>95</v>
      </c>
      <c r="O981">
        <v>45</v>
      </c>
      <c r="P981">
        <v>0</v>
      </c>
      <c r="Q981">
        <v>59.7</v>
      </c>
      <c r="R981">
        <v>950</v>
      </c>
      <c r="S981">
        <v>0</v>
      </c>
      <c r="T981">
        <v>950</v>
      </c>
      <c r="U981">
        <v>1</v>
      </c>
      <c r="V981">
        <v>0</v>
      </c>
      <c r="W981">
        <v>0</v>
      </c>
      <c r="X981">
        <v>0.85</v>
      </c>
    </row>
    <row r="982" spans="1:24" x14ac:dyDescent="0.3">
      <c r="A982" t="s">
        <v>1591</v>
      </c>
      <c r="B982" s="1">
        <v>45882</v>
      </c>
      <c r="C982" t="s">
        <v>110</v>
      </c>
      <c r="D982" t="s">
        <v>57</v>
      </c>
      <c r="E982" t="s">
        <v>40</v>
      </c>
      <c r="F982" t="s">
        <v>58</v>
      </c>
      <c r="G982" t="s">
        <v>59</v>
      </c>
      <c r="H982" t="s">
        <v>73</v>
      </c>
      <c r="I982" t="s">
        <v>1592</v>
      </c>
      <c r="J982" t="s">
        <v>45</v>
      </c>
      <c r="K982" t="s">
        <v>63</v>
      </c>
      <c r="L982" t="s">
        <v>64</v>
      </c>
      <c r="M982" t="s">
        <v>86</v>
      </c>
      <c r="N982" t="s">
        <v>36</v>
      </c>
      <c r="O982">
        <v>60</v>
      </c>
      <c r="P982">
        <v>60</v>
      </c>
      <c r="Q982">
        <v>76.7</v>
      </c>
      <c r="R982">
        <v>1700</v>
      </c>
      <c r="S982">
        <v>1700</v>
      </c>
      <c r="T982">
        <v>0</v>
      </c>
      <c r="U982">
        <v>0</v>
      </c>
      <c r="V982">
        <v>1</v>
      </c>
      <c r="W982">
        <v>0</v>
      </c>
      <c r="X982">
        <v>0.85</v>
      </c>
    </row>
    <row r="983" spans="1:24" x14ac:dyDescent="0.3">
      <c r="A983" t="s">
        <v>1593</v>
      </c>
      <c r="B983" s="1">
        <v>45827</v>
      </c>
      <c r="C983" t="s">
        <v>67</v>
      </c>
      <c r="D983" t="s">
        <v>50</v>
      </c>
      <c r="E983" t="s">
        <v>40</v>
      </c>
      <c r="F983" t="s">
        <v>41</v>
      </c>
      <c r="G983" t="s">
        <v>42</v>
      </c>
      <c r="H983" t="s">
        <v>43</v>
      </c>
      <c r="I983" t="s">
        <v>1594</v>
      </c>
      <c r="J983" t="s">
        <v>32</v>
      </c>
      <c r="K983" t="s">
        <v>104</v>
      </c>
      <c r="L983" t="s">
        <v>64</v>
      </c>
      <c r="M983" t="s">
        <v>35</v>
      </c>
      <c r="N983" t="s">
        <v>95</v>
      </c>
      <c r="O983">
        <v>60</v>
      </c>
      <c r="P983">
        <v>0</v>
      </c>
      <c r="Q983">
        <v>78.400000000000006</v>
      </c>
      <c r="R983">
        <v>1350</v>
      </c>
      <c r="S983">
        <v>0</v>
      </c>
      <c r="T983">
        <v>1350</v>
      </c>
      <c r="U983">
        <v>1</v>
      </c>
      <c r="V983">
        <v>0</v>
      </c>
      <c r="W983">
        <v>0</v>
      </c>
      <c r="X983">
        <v>0.85</v>
      </c>
    </row>
    <row r="984" spans="1:24" x14ac:dyDescent="0.3">
      <c r="A984" t="s">
        <v>1595</v>
      </c>
      <c r="B984" s="1">
        <v>45735</v>
      </c>
      <c r="C984" t="s">
        <v>56</v>
      </c>
      <c r="D984" t="s">
        <v>57</v>
      </c>
      <c r="E984" t="s">
        <v>27</v>
      </c>
      <c r="F984" t="s">
        <v>28</v>
      </c>
      <c r="G984" t="s">
        <v>29</v>
      </c>
      <c r="H984" t="s">
        <v>30</v>
      </c>
      <c r="I984" t="s">
        <v>568</v>
      </c>
      <c r="J984" t="s">
        <v>53</v>
      </c>
      <c r="K984" t="s">
        <v>33</v>
      </c>
      <c r="L984" t="s">
        <v>78</v>
      </c>
      <c r="M984" t="s">
        <v>94</v>
      </c>
      <c r="N984" t="s">
        <v>36</v>
      </c>
      <c r="O984">
        <v>60</v>
      </c>
      <c r="P984">
        <v>60</v>
      </c>
      <c r="Q984">
        <v>65.8</v>
      </c>
      <c r="R984">
        <v>1400</v>
      </c>
      <c r="S984">
        <v>1400</v>
      </c>
      <c r="T984">
        <v>0</v>
      </c>
      <c r="U984">
        <v>0</v>
      </c>
      <c r="V984">
        <v>1</v>
      </c>
      <c r="W984">
        <v>0</v>
      </c>
      <c r="X984">
        <v>0.85</v>
      </c>
    </row>
    <row r="985" spans="1:24" x14ac:dyDescent="0.3">
      <c r="A985" t="s">
        <v>1596</v>
      </c>
      <c r="B985" s="1">
        <v>46004</v>
      </c>
      <c r="C985" t="s">
        <v>25</v>
      </c>
      <c r="D985" t="s">
        <v>88</v>
      </c>
      <c r="E985" t="s">
        <v>27</v>
      </c>
      <c r="F985" t="s">
        <v>41</v>
      </c>
      <c r="G985" t="s">
        <v>42</v>
      </c>
      <c r="H985" t="s">
        <v>111</v>
      </c>
      <c r="I985" t="s">
        <v>728</v>
      </c>
      <c r="J985" t="s">
        <v>32</v>
      </c>
      <c r="K985" t="s">
        <v>70</v>
      </c>
      <c r="L985" t="s">
        <v>34</v>
      </c>
      <c r="M985" t="s">
        <v>35</v>
      </c>
      <c r="N985" t="s">
        <v>36</v>
      </c>
      <c r="O985">
        <v>45</v>
      </c>
      <c r="P985">
        <v>45</v>
      </c>
      <c r="Q985">
        <v>50.7</v>
      </c>
      <c r="R985">
        <v>1000</v>
      </c>
      <c r="S985">
        <v>1000</v>
      </c>
      <c r="T985">
        <v>0</v>
      </c>
      <c r="U985">
        <v>0</v>
      </c>
      <c r="V985">
        <v>1</v>
      </c>
      <c r="W985">
        <v>0</v>
      </c>
      <c r="X985">
        <v>0.85</v>
      </c>
    </row>
    <row r="986" spans="1:24" x14ac:dyDescent="0.3">
      <c r="A986" t="s">
        <v>1597</v>
      </c>
      <c r="B986" s="1">
        <v>45824</v>
      </c>
      <c r="C986" t="s">
        <v>67</v>
      </c>
      <c r="D986" t="s">
        <v>39</v>
      </c>
      <c r="E986" t="s">
        <v>40</v>
      </c>
      <c r="F986" t="s">
        <v>41</v>
      </c>
      <c r="G986" t="s">
        <v>42</v>
      </c>
      <c r="H986" t="s">
        <v>89</v>
      </c>
      <c r="I986" t="s">
        <v>1598</v>
      </c>
      <c r="J986" t="s">
        <v>53</v>
      </c>
      <c r="K986" t="s">
        <v>104</v>
      </c>
      <c r="L986" t="s">
        <v>34</v>
      </c>
      <c r="M986" t="s">
        <v>94</v>
      </c>
      <c r="N986" t="s">
        <v>36</v>
      </c>
      <c r="O986">
        <v>30</v>
      </c>
      <c r="P986">
        <v>30</v>
      </c>
      <c r="Q986">
        <v>36.200000000000003</v>
      </c>
      <c r="R986">
        <v>800</v>
      </c>
      <c r="S986">
        <v>800</v>
      </c>
      <c r="T986">
        <v>0</v>
      </c>
      <c r="U986">
        <v>0</v>
      </c>
      <c r="V986">
        <v>1</v>
      </c>
      <c r="W986">
        <v>0</v>
      </c>
      <c r="X986">
        <v>0.85</v>
      </c>
    </row>
    <row r="987" spans="1:24" x14ac:dyDescent="0.3">
      <c r="A987" t="s">
        <v>1599</v>
      </c>
      <c r="B987" s="1">
        <v>46022</v>
      </c>
      <c r="C987" t="s">
        <v>25</v>
      </c>
      <c r="D987" t="s">
        <v>57</v>
      </c>
      <c r="E987" t="s">
        <v>68</v>
      </c>
      <c r="F987" t="s">
        <v>58</v>
      </c>
      <c r="G987" t="s">
        <v>59</v>
      </c>
      <c r="H987" t="s">
        <v>73</v>
      </c>
      <c r="I987" t="s">
        <v>1600</v>
      </c>
      <c r="J987" t="s">
        <v>99</v>
      </c>
      <c r="K987" t="s">
        <v>33</v>
      </c>
      <c r="L987" t="s">
        <v>34</v>
      </c>
      <c r="M987" t="s">
        <v>65</v>
      </c>
      <c r="N987" t="s">
        <v>36</v>
      </c>
      <c r="O987">
        <v>45</v>
      </c>
      <c r="P987">
        <v>45</v>
      </c>
      <c r="Q987">
        <v>51.4</v>
      </c>
      <c r="R987">
        <v>1100</v>
      </c>
      <c r="S987">
        <v>1100</v>
      </c>
      <c r="T987">
        <v>0</v>
      </c>
      <c r="U987">
        <v>0</v>
      </c>
      <c r="V987">
        <v>1</v>
      </c>
      <c r="W987">
        <v>0</v>
      </c>
      <c r="X987">
        <v>0.85</v>
      </c>
    </row>
    <row r="988" spans="1:24" x14ac:dyDescent="0.3">
      <c r="A988" t="s">
        <v>1601</v>
      </c>
      <c r="B988" s="1">
        <v>45887</v>
      </c>
      <c r="C988" t="s">
        <v>110</v>
      </c>
      <c r="D988" t="s">
        <v>39</v>
      </c>
      <c r="E988" t="s">
        <v>83</v>
      </c>
      <c r="F988" t="s">
        <v>58</v>
      </c>
      <c r="G988" t="s">
        <v>59</v>
      </c>
      <c r="H988" t="s">
        <v>151</v>
      </c>
      <c r="I988" t="s">
        <v>275</v>
      </c>
      <c r="J988" t="s">
        <v>53</v>
      </c>
      <c r="K988" t="s">
        <v>104</v>
      </c>
      <c r="L988" t="s">
        <v>34</v>
      </c>
      <c r="M988" t="s">
        <v>86</v>
      </c>
      <c r="N988" t="s">
        <v>36</v>
      </c>
      <c r="O988">
        <v>75</v>
      </c>
      <c r="P988">
        <v>75</v>
      </c>
      <c r="Q988">
        <v>95.2</v>
      </c>
      <c r="R988">
        <v>2250</v>
      </c>
      <c r="S988">
        <v>2250</v>
      </c>
      <c r="T988">
        <v>0</v>
      </c>
      <c r="U988">
        <v>0</v>
      </c>
      <c r="V988">
        <v>1</v>
      </c>
      <c r="W988">
        <v>0</v>
      </c>
      <c r="X988">
        <v>0.85</v>
      </c>
    </row>
    <row r="989" spans="1:24" x14ac:dyDescent="0.3">
      <c r="A989" t="s">
        <v>1602</v>
      </c>
      <c r="B989" s="1">
        <v>45845</v>
      </c>
      <c r="C989" t="s">
        <v>101</v>
      </c>
      <c r="D989" t="s">
        <v>39</v>
      </c>
      <c r="E989" t="s">
        <v>40</v>
      </c>
      <c r="F989" t="s">
        <v>58</v>
      </c>
      <c r="G989" t="s">
        <v>59</v>
      </c>
      <c r="H989" t="s">
        <v>73</v>
      </c>
      <c r="I989" t="s">
        <v>1603</v>
      </c>
      <c r="J989" t="s">
        <v>32</v>
      </c>
      <c r="K989" t="s">
        <v>46</v>
      </c>
      <c r="L989" t="s">
        <v>64</v>
      </c>
      <c r="M989" t="s">
        <v>35</v>
      </c>
      <c r="N989" t="s">
        <v>36</v>
      </c>
      <c r="O989">
        <v>45</v>
      </c>
      <c r="P989">
        <v>45</v>
      </c>
      <c r="Q989">
        <v>58</v>
      </c>
      <c r="R989">
        <v>1100</v>
      </c>
      <c r="S989">
        <v>1100</v>
      </c>
      <c r="T989">
        <v>0</v>
      </c>
      <c r="U989">
        <v>0</v>
      </c>
      <c r="V989">
        <v>1</v>
      </c>
      <c r="W989">
        <v>0</v>
      </c>
      <c r="X989">
        <v>0.85</v>
      </c>
    </row>
    <row r="990" spans="1:24" x14ac:dyDescent="0.3">
      <c r="A990" t="s">
        <v>1604</v>
      </c>
      <c r="B990" s="1">
        <v>45958</v>
      </c>
      <c r="C990" t="s">
        <v>97</v>
      </c>
      <c r="D990" t="s">
        <v>26</v>
      </c>
      <c r="E990" t="s">
        <v>83</v>
      </c>
      <c r="F990" t="s">
        <v>41</v>
      </c>
      <c r="G990" t="s">
        <v>42</v>
      </c>
      <c r="H990" t="s">
        <v>111</v>
      </c>
      <c r="I990" t="s">
        <v>807</v>
      </c>
      <c r="J990" t="s">
        <v>137</v>
      </c>
      <c r="K990" t="s">
        <v>63</v>
      </c>
      <c r="L990" t="s">
        <v>64</v>
      </c>
      <c r="M990" t="s">
        <v>86</v>
      </c>
      <c r="N990" t="s">
        <v>36</v>
      </c>
      <c r="O990">
        <v>60</v>
      </c>
      <c r="P990">
        <v>60</v>
      </c>
      <c r="Q990">
        <v>65.5</v>
      </c>
      <c r="R990">
        <v>1350</v>
      </c>
      <c r="S990">
        <v>1350</v>
      </c>
      <c r="T990">
        <v>0</v>
      </c>
      <c r="U990">
        <v>0</v>
      </c>
      <c r="V990">
        <v>1</v>
      </c>
      <c r="W990">
        <v>0</v>
      </c>
      <c r="X990">
        <v>0.85</v>
      </c>
    </row>
    <row r="991" spans="1:24" x14ac:dyDescent="0.3">
      <c r="A991" t="s">
        <v>1605</v>
      </c>
      <c r="B991" s="1">
        <v>45891</v>
      </c>
      <c r="C991" t="s">
        <v>110</v>
      </c>
      <c r="D991" t="s">
        <v>82</v>
      </c>
      <c r="E991" t="s">
        <v>40</v>
      </c>
      <c r="F991" t="s">
        <v>41</v>
      </c>
      <c r="G991" t="s">
        <v>42</v>
      </c>
      <c r="H991" t="s">
        <v>125</v>
      </c>
      <c r="I991" t="s">
        <v>1518</v>
      </c>
      <c r="J991" t="s">
        <v>99</v>
      </c>
      <c r="K991" t="s">
        <v>70</v>
      </c>
      <c r="L991" t="s">
        <v>34</v>
      </c>
      <c r="M991" t="s">
        <v>94</v>
      </c>
      <c r="N991" t="s">
        <v>113</v>
      </c>
      <c r="O991">
        <v>30</v>
      </c>
      <c r="P991">
        <v>0</v>
      </c>
      <c r="Q991">
        <v>35.299999999999997</v>
      </c>
      <c r="R991">
        <v>700</v>
      </c>
      <c r="S991">
        <v>0</v>
      </c>
      <c r="T991">
        <v>700</v>
      </c>
      <c r="U991">
        <v>0</v>
      </c>
      <c r="V991">
        <v>0</v>
      </c>
      <c r="W991">
        <v>1</v>
      </c>
      <c r="X991">
        <v>0.85</v>
      </c>
    </row>
    <row r="992" spans="1:24" x14ac:dyDescent="0.3">
      <c r="A992" t="s">
        <v>1606</v>
      </c>
      <c r="B992" s="1">
        <v>45689</v>
      </c>
      <c r="C992" t="s">
        <v>76</v>
      </c>
      <c r="D992" t="s">
        <v>88</v>
      </c>
      <c r="E992" t="s">
        <v>83</v>
      </c>
      <c r="F992" t="s">
        <v>28</v>
      </c>
      <c r="G992" t="s">
        <v>29</v>
      </c>
      <c r="H992" t="s">
        <v>210</v>
      </c>
      <c r="I992" t="s">
        <v>182</v>
      </c>
      <c r="J992" t="s">
        <v>32</v>
      </c>
      <c r="K992" t="s">
        <v>46</v>
      </c>
      <c r="L992" t="s">
        <v>64</v>
      </c>
      <c r="M992" t="s">
        <v>71</v>
      </c>
      <c r="N992" t="s">
        <v>95</v>
      </c>
      <c r="O992">
        <v>45</v>
      </c>
      <c r="P992">
        <v>0</v>
      </c>
      <c r="Q992">
        <v>56.4</v>
      </c>
      <c r="R992">
        <v>950</v>
      </c>
      <c r="S992">
        <v>0</v>
      </c>
      <c r="T992">
        <v>950</v>
      </c>
      <c r="U992">
        <v>1</v>
      </c>
      <c r="V992">
        <v>0</v>
      </c>
      <c r="W992">
        <v>0</v>
      </c>
      <c r="X992">
        <v>0.85</v>
      </c>
    </row>
    <row r="993" spans="1:24" x14ac:dyDescent="0.3">
      <c r="A993" t="s">
        <v>1607</v>
      </c>
      <c r="B993" s="1">
        <v>45712</v>
      </c>
      <c r="C993" t="s">
        <v>76</v>
      </c>
      <c r="D993" t="s">
        <v>39</v>
      </c>
      <c r="E993" t="s">
        <v>68</v>
      </c>
      <c r="F993" t="s">
        <v>28</v>
      </c>
      <c r="G993" t="s">
        <v>29</v>
      </c>
      <c r="H993" t="s">
        <v>30</v>
      </c>
      <c r="I993" t="s">
        <v>233</v>
      </c>
      <c r="J993" t="s">
        <v>32</v>
      </c>
      <c r="K993" t="s">
        <v>63</v>
      </c>
      <c r="L993" t="s">
        <v>34</v>
      </c>
      <c r="M993" t="s">
        <v>86</v>
      </c>
      <c r="N993" t="s">
        <v>36</v>
      </c>
      <c r="O993">
        <v>45</v>
      </c>
      <c r="P993">
        <v>45</v>
      </c>
      <c r="Q993">
        <v>54.8</v>
      </c>
      <c r="R993">
        <v>950</v>
      </c>
      <c r="S993">
        <v>950</v>
      </c>
      <c r="T993">
        <v>0</v>
      </c>
      <c r="U993">
        <v>0</v>
      </c>
      <c r="V993">
        <v>1</v>
      </c>
      <c r="W993">
        <v>0</v>
      </c>
      <c r="X993">
        <v>0.85</v>
      </c>
    </row>
    <row r="994" spans="1:24" x14ac:dyDescent="0.3">
      <c r="A994" t="s">
        <v>1608</v>
      </c>
      <c r="B994" s="1">
        <v>45877</v>
      </c>
      <c r="C994" t="s">
        <v>110</v>
      </c>
      <c r="D994" t="s">
        <v>82</v>
      </c>
      <c r="E994" t="s">
        <v>83</v>
      </c>
      <c r="F994" t="s">
        <v>58</v>
      </c>
      <c r="G994" t="s">
        <v>59</v>
      </c>
      <c r="H994" t="s">
        <v>60</v>
      </c>
      <c r="I994" t="s">
        <v>1609</v>
      </c>
      <c r="J994" t="s">
        <v>99</v>
      </c>
      <c r="K994" t="s">
        <v>33</v>
      </c>
      <c r="L994" t="s">
        <v>34</v>
      </c>
      <c r="M994" t="s">
        <v>71</v>
      </c>
      <c r="N994" t="s">
        <v>36</v>
      </c>
      <c r="O994">
        <v>90</v>
      </c>
      <c r="P994">
        <v>90</v>
      </c>
      <c r="Q994">
        <v>106.9</v>
      </c>
      <c r="R994">
        <v>2250</v>
      </c>
      <c r="S994">
        <v>2250</v>
      </c>
      <c r="T994">
        <v>0</v>
      </c>
      <c r="U994">
        <v>0</v>
      </c>
      <c r="V994">
        <v>1</v>
      </c>
      <c r="W994">
        <v>0</v>
      </c>
      <c r="X994">
        <v>0.85</v>
      </c>
    </row>
    <row r="995" spans="1:24" x14ac:dyDescent="0.3">
      <c r="A995" t="s">
        <v>1610</v>
      </c>
      <c r="B995" s="1">
        <v>45957</v>
      </c>
      <c r="C995" t="s">
        <v>97</v>
      </c>
      <c r="D995" t="s">
        <v>39</v>
      </c>
      <c r="E995" t="s">
        <v>83</v>
      </c>
      <c r="F995" t="s">
        <v>58</v>
      </c>
      <c r="G995" t="s">
        <v>59</v>
      </c>
      <c r="H995" t="s">
        <v>151</v>
      </c>
      <c r="I995" t="s">
        <v>152</v>
      </c>
      <c r="J995" t="s">
        <v>62</v>
      </c>
      <c r="K995" t="s">
        <v>33</v>
      </c>
      <c r="L995" t="s">
        <v>34</v>
      </c>
      <c r="M995" t="s">
        <v>94</v>
      </c>
      <c r="N995" t="s">
        <v>36</v>
      </c>
      <c r="O995">
        <v>90</v>
      </c>
      <c r="P995">
        <v>90</v>
      </c>
      <c r="Q995">
        <v>110.7</v>
      </c>
      <c r="R995">
        <v>2250</v>
      </c>
      <c r="S995">
        <v>2250</v>
      </c>
      <c r="T995">
        <v>0</v>
      </c>
      <c r="U995">
        <v>0</v>
      </c>
      <c r="V995">
        <v>1</v>
      </c>
      <c r="W995">
        <v>0</v>
      </c>
      <c r="X995">
        <v>0.85</v>
      </c>
    </row>
    <row r="996" spans="1:24" x14ac:dyDescent="0.3">
      <c r="A996" t="s">
        <v>1611</v>
      </c>
      <c r="B996" s="1">
        <v>45775</v>
      </c>
      <c r="C996" t="s">
        <v>92</v>
      </c>
      <c r="D996" t="s">
        <v>39</v>
      </c>
      <c r="E996" t="s">
        <v>83</v>
      </c>
      <c r="F996" t="s">
        <v>28</v>
      </c>
      <c r="G996" t="s">
        <v>29</v>
      </c>
      <c r="H996" t="s">
        <v>120</v>
      </c>
      <c r="I996" t="s">
        <v>314</v>
      </c>
      <c r="J996" t="s">
        <v>137</v>
      </c>
      <c r="K996" t="s">
        <v>85</v>
      </c>
      <c r="L996" t="s">
        <v>34</v>
      </c>
      <c r="M996" t="s">
        <v>35</v>
      </c>
      <c r="N996" t="s">
        <v>95</v>
      </c>
      <c r="O996">
        <v>60</v>
      </c>
      <c r="P996">
        <v>0</v>
      </c>
      <c r="Q996">
        <v>81</v>
      </c>
      <c r="R996">
        <v>1250</v>
      </c>
      <c r="S996">
        <v>0</v>
      </c>
      <c r="T996">
        <v>1250</v>
      </c>
      <c r="U996">
        <v>1</v>
      </c>
      <c r="V996">
        <v>0</v>
      </c>
      <c r="W996">
        <v>0</v>
      </c>
      <c r="X996">
        <v>0.85</v>
      </c>
    </row>
    <row r="997" spans="1:24" x14ac:dyDescent="0.3">
      <c r="A997" t="s">
        <v>1612</v>
      </c>
      <c r="B997" s="1">
        <v>46010</v>
      </c>
      <c r="C997" t="s">
        <v>25</v>
      </c>
      <c r="D997" t="s">
        <v>82</v>
      </c>
      <c r="E997" t="s">
        <v>83</v>
      </c>
      <c r="F997" t="s">
        <v>28</v>
      </c>
      <c r="G997" t="s">
        <v>29</v>
      </c>
      <c r="H997" t="s">
        <v>120</v>
      </c>
      <c r="I997" t="s">
        <v>1613</v>
      </c>
      <c r="J997" t="s">
        <v>99</v>
      </c>
      <c r="K997" t="s">
        <v>46</v>
      </c>
      <c r="L997" t="s">
        <v>34</v>
      </c>
      <c r="M997" t="s">
        <v>65</v>
      </c>
      <c r="N997" t="s">
        <v>36</v>
      </c>
      <c r="O997">
        <v>75</v>
      </c>
      <c r="P997">
        <v>75</v>
      </c>
      <c r="Q997">
        <v>85.3</v>
      </c>
      <c r="R997">
        <v>1550</v>
      </c>
      <c r="S997">
        <v>1550</v>
      </c>
      <c r="T997">
        <v>0</v>
      </c>
      <c r="U997">
        <v>0</v>
      </c>
      <c r="V997">
        <v>1</v>
      </c>
      <c r="W997">
        <v>0</v>
      </c>
      <c r="X997">
        <v>0.85</v>
      </c>
    </row>
    <row r="998" spans="1:24" x14ac:dyDescent="0.3">
      <c r="A998" t="s">
        <v>1614</v>
      </c>
      <c r="B998" s="1">
        <v>45839</v>
      </c>
      <c r="C998" t="s">
        <v>101</v>
      </c>
      <c r="D998" t="s">
        <v>26</v>
      </c>
      <c r="E998" t="s">
        <v>68</v>
      </c>
      <c r="F998" t="s">
        <v>41</v>
      </c>
      <c r="G998" t="s">
        <v>42</v>
      </c>
      <c r="H998" t="s">
        <v>43</v>
      </c>
      <c r="I998" t="s">
        <v>1615</v>
      </c>
      <c r="J998" t="s">
        <v>62</v>
      </c>
      <c r="K998" t="s">
        <v>46</v>
      </c>
      <c r="L998" t="s">
        <v>64</v>
      </c>
      <c r="M998" t="s">
        <v>86</v>
      </c>
      <c r="N998" t="s">
        <v>113</v>
      </c>
      <c r="O998">
        <v>30</v>
      </c>
      <c r="P998">
        <v>0</v>
      </c>
      <c r="Q998">
        <v>38.200000000000003</v>
      </c>
      <c r="R998">
        <v>700</v>
      </c>
      <c r="S998">
        <v>0</v>
      </c>
      <c r="T998">
        <v>700</v>
      </c>
      <c r="U998">
        <v>0</v>
      </c>
      <c r="V998">
        <v>0</v>
      </c>
      <c r="W998">
        <v>1</v>
      </c>
      <c r="X998">
        <v>0.85</v>
      </c>
    </row>
    <row r="999" spans="1:24" x14ac:dyDescent="0.3">
      <c r="A999" t="s">
        <v>1616</v>
      </c>
      <c r="B999" s="1">
        <v>46001</v>
      </c>
      <c r="C999" t="s">
        <v>25</v>
      </c>
      <c r="D999" t="s">
        <v>57</v>
      </c>
      <c r="E999" t="s">
        <v>27</v>
      </c>
      <c r="F999" t="s">
        <v>41</v>
      </c>
      <c r="G999" t="s">
        <v>42</v>
      </c>
      <c r="H999" t="s">
        <v>125</v>
      </c>
      <c r="I999" t="s">
        <v>1414</v>
      </c>
      <c r="J999" t="s">
        <v>32</v>
      </c>
      <c r="K999" t="s">
        <v>63</v>
      </c>
      <c r="L999" t="s">
        <v>34</v>
      </c>
      <c r="M999" t="s">
        <v>71</v>
      </c>
      <c r="N999" t="s">
        <v>153</v>
      </c>
      <c r="O999">
        <v>90</v>
      </c>
      <c r="P999">
        <v>0</v>
      </c>
      <c r="Q999">
        <v>116.4</v>
      </c>
      <c r="R999">
        <v>2000</v>
      </c>
      <c r="S999">
        <v>0</v>
      </c>
      <c r="T999">
        <v>0</v>
      </c>
      <c r="U999">
        <v>0</v>
      </c>
      <c r="V999">
        <v>0</v>
      </c>
      <c r="W999">
        <v>0</v>
      </c>
      <c r="X999">
        <v>0.85</v>
      </c>
    </row>
    <row r="1000" spans="1:24" x14ac:dyDescent="0.3">
      <c r="A1000" t="s">
        <v>1617</v>
      </c>
      <c r="B1000" s="1">
        <v>45804</v>
      </c>
      <c r="C1000" t="s">
        <v>128</v>
      </c>
      <c r="D1000" t="s">
        <v>26</v>
      </c>
      <c r="E1000" t="s">
        <v>27</v>
      </c>
      <c r="F1000" t="s">
        <v>58</v>
      </c>
      <c r="G1000" t="s">
        <v>59</v>
      </c>
      <c r="H1000" t="s">
        <v>117</v>
      </c>
      <c r="I1000" t="s">
        <v>626</v>
      </c>
      <c r="J1000" t="s">
        <v>62</v>
      </c>
      <c r="K1000" t="s">
        <v>70</v>
      </c>
      <c r="L1000" t="s">
        <v>34</v>
      </c>
      <c r="M1000" t="s">
        <v>65</v>
      </c>
      <c r="N1000" t="s">
        <v>36</v>
      </c>
      <c r="O1000">
        <v>60</v>
      </c>
      <c r="P1000">
        <v>60</v>
      </c>
      <c r="Q1000">
        <v>66.599999999999994</v>
      </c>
      <c r="R1000">
        <v>1500</v>
      </c>
      <c r="S1000">
        <v>1500</v>
      </c>
      <c r="T1000">
        <v>0</v>
      </c>
      <c r="U1000">
        <v>0</v>
      </c>
      <c r="V1000">
        <v>1</v>
      </c>
      <c r="W1000">
        <v>0</v>
      </c>
      <c r="X1000">
        <v>0.85</v>
      </c>
    </row>
    <row r="1001" spans="1:24" x14ac:dyDescent="0.3">
      <c r="A1001" t="s">
        <v>1618</v>
      </c>
      <c r="B1001" s="1">
        <v>46003</v>
      </c>
      <c r="C1001" t="s">
        <v>25</v>
      </c>
      <c r="D1001" t="s">
        <v>82</v>
      </c>
      <c r="E1001" t="s">
        <v>68</v>
      </c>
      <c r="F1001" t="s">
        <v>58</v>
      </c>
      <c r="G1001" t="s">
        <v>59</v>
      </c>
      <c r="H1001" t="s">
        <v>60</v>
      </c>
      <c r="I1001" t="s">
        <v>739</v>
      </c>
      <c r="J1001" t="s">
        <v>32</v>
      </c>
      <c r="K1001" t="s">
        <v>33</v>
      </c>
      <c r="L1001" t="s">
        <v>34</v>
      </c>
      <c r="M1001" t="s">
        <v>47</v>
      </c>
      <c r="N1001" t="s">
        <v>95</v>
      </c>
      <c r="O1001">
        <v>45</v>
      </c>
      <c r="P1001">
        <v>0</v>
      </c>
      <c r="Q1001">
        <v>52.2</v>
      </c>
      <c r="R1001">
        <v>1100</v>
      </c>
      <c r="S1001">
        <v>0</v>
      </c>
      <c r="T1001">
        <v>1100</v>
      </c>
      <c r="U1001">
        <v>1</v>
      </c>
      <c r="V1001">
        <v>0</v>
      </c>
      <c r="W1001">
        <v>0</v>
      </c>
      <c r="X1001">
        <v>0.85</v>
      </c>
    </row>
    <row r="1002" spans="1:24" x14ac:dyDescent="0.3">
      <c r="A1002" t="s">
        <v>1619</v>
      </c>
      <c r="B1002" s="1">
        <v>45873</v>
      </c>
      <c r="C1002" t="s">
        <v>110</v>
      </c>
      <c r="D1002" t="s">
        <v>39</v>
      </c>
      <c r="E1002" t="s">
        <v>83</v>
      </c>
      <c r="F1002" t="s">
        <v>41</v>
      </c>
      <c r="G1002" t="s">
        <v>42</v>
      </c>
      <c r="H1002" t="s">
        <v>111</v>
      </c>
      <c r="I1002" t="s">
        <v>200</v>
      </c>
      <c r="J1002" t="s">
        <v>62</v>
      </c>
      <c r="K1002" t="s">
        <v>63</v>
      </c>
      <c r="L1002" t="s">
        <v>64</v>
      </c>
      <c r="M1002" t="s">
        <v>71</v>
      </c>
      <c r="N1002" t="s">
        <v>113</v>
      </c>
      <c r="O1002">
        <v>90</v>
      </c>
      <c r="P1002">
        <v>0</v>
      </c>
      <c r="Q1002">
        <v>100.5</v>
      </c>
      <c r="R1002">
        <v>2000</v>
      </c>
      <c r="S1002">
        <v>0</v>
      </c>
      <c r="T1002">
        <v>2000</v>
      </c>
      <c r="U1002">
        <v>0</v>
      </c>
      <c r="V1002">
        <v>0</v>
      </c>
      <c r="W1002">
        <v>1</v>
      </c>
      <c r="X1002">
        <v>0.85</v>
      </c>
    </row>
    <row r="1003" spans="1:24" x14ac:dyDescent="0.3">
      <c r="A1003" t="s">
        <v>1620</v>
      </c>
      <c r="B1003" s="1">
        <v>45786</v>
      </c>
      <c r="C1003" t="s">
        <v>128</v>
      </c>
      <c r="D1003" t="s">
        <v>82</v>
      </c>
      <c r="E1003" t="s">
        <v>27</v>
      </c>
      <c r="F1003" t="s">
        <v>58</v>
      </c>
      <c r="G1003" t="s">
        <v>59</v>
      </c>
      <c r="H1003" t="s">
        <v>73</v>
      </c>
      <c r="I1003" t="s">
        <v>513</v>
      </c>
      <c r="J1003" t="s">
        <v>53</v>
      </c>
      <c r="K1003" t="s">
        <v>33</v>
      </c>
      <c r="L1003" t="s">
        <v>54</v>
      </c>
      <c r="M1003" t="s">
        <v>35</v>
      </c>
      <c r="N1003" t="s">
        <v>36</v>
      </c>
      <c r="O1003">
        <v>60</v>
      </c>
      <c r="P1003">
        <v>60</v>
      </c>
      <c r="Q1003">
        <v>74</v>
      </c>
      <c r="R1003">
        <v>1550</v>
      </c>
      <c r="S1003">
        <v>1550</v>
      </c>
      <c r="T1003">
        <v>0</v>
      </c>
      <c r="U1003">
        <v>0</v>
      </c>
      <c r="V1003">
        <v>1</v>
      </c>
      <c r="W1003">
        <v>0</v>
      </c>
      <c r="X1003">
        <v>0.85</v>
      </c>
    </row>
    <row r="1004" spans="1:24" x14ac:dyDescent="0.3">
      <c r="A1004" t="s">
        <v>1621</v>
      </c>
      <c r="B1004" s="1">
        <v>46004</v>
      </c>
      <c r="C1004" t="s">
        <v>25</v>
      </c>
      <c r="D1004" t="s">
        <v>88</v>
      </c>
      <c r="E1004" t="s">
        <v>83</v>
      </c>
      <c r="F1004" t="s">
        <v>41</v>
      </c>
      <c r="G1004" t="s">
        <v>42</v>
      </c>
      <c r="H1004" t="s">
        <v>51</v>
      </c>
      <c r="I1004" t="s">
        <v>1622</v>
      </c>
      <c r="J1004" t="s">
        <v>45</v>
      </c>
      <c r="K1004" t="s">
        <v>63</v>
      </c>
      <c r="L1004" t="s">
        <v>64</v>
      </c>
      <c r="M1004" t="s">
        <v>94</v>
      </c>
      <c r="N1004" t="s">
        <v>36</v>
      </c>
      <c r="O1004">
        <v>90</v>
      </c>
      <c r="P1004">
        <v>90</v>
      </c>
      <c r="Q1004">
        <v>109.8</v>
      </c>
      <c r="R1004">
        <v>2350</v>
      </c>
      <c r="S1004">
        <v>2350</v>
      </c>
      <c r="T1004">
        <v>0</v>
      </c>
      <c r="U1004">
        <v>0</v>
      </c>
      <c r="V1004">
        <v>1</v>
      </c>
      <c r="W1004">
        <v>0</v>
      </c>
      <c r="X1004">
        <v>0.85</v>
      </c>
    </row>
    <row r="1005" spans="1:24" x14ac:dyDescent="0.3">
      <c r="A1005" t="s">
        <v>1623</v>
      </c>
      <c r="B1005" s="1">
        <v>45785</v>
      </c>
      <c r="C1005" t="s">
        <v>128</v>
      </c>
      <c r="D1005" t="s">
        <v>50</v>
      </c>
      <c r="E1005" t="s">
        <v>68</v>
      </c>
      <c r="F1005" t="s">
        <v>28</v>
      </c>
      <c r="G1005" t="s">
        <v>29</v>
      </c>
      <c r="H1005" t="s">
        <v>30</v>
      </c>
      <c r="I1005" t="s">
        <v>1327</v>
      </c>
      <c r="J1005" t="s">
        <v>62</v>
      </c>
      <c r="K1005" t="s">
        <v>33</v>
      </c>
      <c r="L1005" t="s">
        <v>34</v>
      </c>
      <c r="M1005" t="s">
        <v>65</v>
      </c>
      <c r="N1005" t="s">
        <v>113</v>
      </c>
      <c r="O1005">
        <v>45</v>
      </c>
      <c r="P1005">
        <v>0</v>
      </c>
      <c r="Q1005">
        <v>52.8</v>
      </c>
      <c r="R1005">
        <v>950</v>
      </c>
      <c r="S1005">
        <v>0</v>
      </c>
      <c r="T1005">
        <v>950</v>
      </c>
      <c r="U1005">
        <v>0</v>
      </c>
      <c r="V1005">
        <v>0</v>
      </c>
      <c r="W1005">
        <v>1</v>
      </c>
      <c r="X1005">
        <v>0.85</v>
      </c>
    </row>
    <row r="1006" spans="1:24" x14ac:dyDescent="0.3">
      <c r="A1006" t="s">
        <v>1624</v>
      </c>
      <c r="B1006" s="1">
        <v>45796</v>
      </c>
      <c r="C1006" t="s">
        <v>128</v>
      </c>
      <c r="D1006" t="s">
        <v>39</v>
      </c>
      <c r="E1006" t="s">
        <v>68</v>
      </c>
      <c r="F1006" t="s">
        <v>28</v>
      </c>
      <c r="G1006" t="s">
        <v>29</v>
      </c>
      <c r="H1006" t="s">
        <v>120</v>
      </c>
      <c r="I1006" t="s">
        <v>873</v>
      </c>
      <c r="J1006" t="s">
        <v>45</v>
      </c>
      <c r="K1006" t="s">
        <v>104</v>
      </c>
      <c r="L1006" t="s">
        <v>64</v>
      </c>
      <c r="M1006" t="s">
        <v>47</v>
      </c>
      <c r="N1006" t="s">
        <v>36</v>
      </c>
      <c r="O1006">
        <v>60</v>
      </c>
      <c r="P1006">
        <v>60</v>
      </c>
      <c r="Q1006">
        <v>67.400000000000006</v>
      </c>
      <c r="R1006">
        <v>1450</v>
      </c>
      <c r="S1006">
        <v>1450</v>
      </c>
      <c r="T1006">
        <v>0</v>
      </c>
      <c r="U1006">
        <v>0</v>
      </c>
      <c r="V1006">
        <v>1</v>
      </c>
      <c r="W1006">
        <v>0</v>
      </c>
      <c r="X1006">
        <v>0.85</v>
      </c>
    </row>
    <row r="1007" spans="1:24" x14ac:dyDescent="0.3">
      <c r="A1007" t="s">
        <v>1625</v>
      </c>
      <c r="B1007" s="1">
        <v>45706</v>
      </c>
      <c r="C1007" t="s">
        <v>76</v>
      </c>
      <c r="D1007" t="s">
        <v>26</v>
      </c>
      <c r="E1007" t="s">
        <v>40</v>
      </c>
      <c r="F1007" t="s">
        <v>28</v>
      </c>
      <c r="G1007" t="s">
        <v>29</v>
      </c>
      <c r="H1007" t="s">
        <v>30</v>
      </c>
      <c r="I1007" t="s">
        <v>1626</v>
      </c>
      <c r="J1007" t="s">
        <v>45</v>
      </c>
      <c r="K1007" t="s">
        <v>33</v>
      </c>
      <c r="L1007" t="s">
        <v>64</v>
      </c>
      <c r="M1007" t="s">
        <v>94</v>
      </c>
      <c r="N1007" t="s">
        <v>36</v>
      </c>
      <c r="O1007">
        <v>90</v>
      </c>
      <c r="P1007">
        <v>90</v>
      </c>
      <c r="Q1007">
        <v>114.6</v>
      </c>
      <c r="R1007">
        <v>2150</v>
      </c>
      <c r="S1007">
        <v>2150</v>
      </c>
      <c r="T1007">
        <v>0</v>
      </c>
      <c r="U1007">
        <v>0</v>
      </c>
      <c r="V1007">
        <v>1</v>
      </c>
      <c r="W1007">
        <v>0</v>
      </c>
      <c r="X1007">
        <v>0.85</v>
      </c>
    </row>
    <row r="1008" spans="1:24" x14ac:dyDescent="0.3">
      <c r="A1008" t="s">
        <v>1627</v>
      </c>
      <c r="B1008" s="1">
        <v>45852</v>
      </c>
      <c r="C1008" t="s">
        <v>101</v>
      </c>
      <c r="D1008" t="s">
        <v>39</v>
      </c>
      <c r="E1008" t="s">
        <v>83</v>
      </c>
      <c r="F1008" t="s">
        <v>28</v>
      </c>
      <c r="G1008" t="s">
        <v>29</v>
      </c>
      <c r="H1008" t="s">
        <v>30</v>
      </c>
      <c r="I1008" t="s">
        <v>1628</v>
      </c>
      <c r="J1008" t="s">
        <v>62</v>
      </c>
      <c r="K1008" t="s">
        <v>85</v>
      </c>
      <c r="L1008" t="s">
        <v>34</v>
      </c>
      <c r="M1008" t="s">
        <v>65</v>
      </c>
      <c r="N1008" t="s">
        <v>36</v>
      </c>
      <c r="O1008">
        <v>45</v>
      </c>
      <c r="P1008">
        <v>45</v>
      </c>
      <c r="Q1008">
        <v>52</v>
      </c>
      <c r="R1008">
        <v>950</v>
      </c>
      <c r="S1008">
        <v>950</v>
      </c>
      <c r="T1008">
        <v>0</v>
      </c>
      <c r="U1008">
        <v>0</v>
      </c>
      <c r="V1008">
        <v>1</v>
      </c>
      <c r="W1008">
        <v>0</v>
      </c>
      <c r="X1008">
        <v>0.85</v>
      </c>
    </row>
    <row r="1009" spans="1:24" x14ac:dyDescent="0.3">
      <c r="A1009" t="s">
        <v>1629</v>
      </c>
      <c r="B1009" s="1">
        <v>45985</v>
      </c>
      <c r="C1009" t="s">
        <v>38</v>
      </c>
      <c r="D1009" t="s">
        <v>39</v>
      </c>
      <c r="E1009" t="s">
        <v>83</v>
      </c>
      <c r="F1009" t="s">
        <v>28</v>
      </c>
      <c r="G1009" t="s">
        <v>29</v>
      </c>
      <c r="H1009" t="s">
        <v>120</v>
      </c>
      <c r="I1009" t="s">
        <v>334</v>
      </c>
      <c r="J1009" t="s">
        <v>53</v>
      </c>
      <c r="K1009" t="s">
        <v>46</v>
      </c>
      <c r="L1009" t="s">
        <v>64</v>
      </c>
      <c r="M1009" t="s">
        <v>94</v>
      </c>
      <c r="N1009" t="s">
        <v>95</v>
      </c>
      <c r="O1009">
        <v>60</v>
      </c>
      <c r="P1009">
        <v>0</v>
      </c>
      <c r="Q1009">
        <v>70.599999999999994</v>
      </c>
      <c r="R1009">
        <v>1500</v>
      </c>
      <c r="S1009">
        <v>0</v>
      </c>
      <c r="T1009">
        <v>1500</v>
      </c>
      <c r="U1009">
        <v>1</v>
      </c>
      <c r="V1009">
        <v>0</v>
      </c>
      <c r="W1009">
        <v>0</v>
      </c>
      <c r="X1009">
        <v>0.85</v>
      </c>
    </row>
    <row r="1010" spans="1:24" x14ac:dyDescent="0.3">
      <c r="A1010" t="s">
        <v>1630</v>
      </c>
      <c r="B1010" s="1">
        <v>45763</v>
      </c>
      <c r="C1010" t="s">
        <v>92</v>
      </c>
      <c r="D1010" t="s">
        <v>57</v>
      </c>
      <c r="E1010" t="s">
        <v>68</v>
      </c>
      <c r="F1010" t="s">
        <v>28</v>
      </c>
      <c r="G1010" t="s">
        <v>29</v>
      </c>
      <c r="H1010" t="s">
        <v>30</v>
      </c>
      <c r="I1010" t="s">
        <v>1592</v>
      </c>
      <c r="J1010" t="s">
        <v>137</v>
      </c>
      <c r="K1010" t="s">
        <v>85</v>
      </c>
      <c r="L1010" t="s">
        <v>34</v>
      </c>
      <c r="M1010" t="s">
        <v>65</v>
      </c>
      <c r="N1010" t="s">
        <v>36</v>
      </c>
      <c r="O1010">
        <v>90</v>
      </c>
      <c r="P1010">
        <v>90</v>
      </c>
      <c r="Q1010">
        <v>100.1</v>
      </c>
      <c r="R1010">
        <v>1900</v>
      </c>
      <c r="S1010">
        <v>1900</v>
      </c>
      <c r="T1010">
        <v>0</v>
      </c>
      <c r="U1010">
        <v>0</v>
      </c>
      <c r="V1010">
        <v>1</v>
      </c>
      <c r="W1010">
        <v>0</v>
      </c>
      <c r="X1010">
        <v>0.85</v>
      </c>
    </row>
    <row r="1011" spans="1:24" x14ac:dyDescent="0.3">
      <c r="A1011" t="s">
        <v>1631</v>
      </c>
      <c r="B1011" s="1">
        <v>45885</v>
      </c>
      <c r="C1011" t="s">
        <v>110</v>
      </c>
      <c r="D1011" t="s">
        <v>88</v>
      </c>
      <c r="E1011" t="s">
        <v>68</v>
      </c>
      <c r="F1011" t="s">
        <v>58</v>
      </c>
      <c r="G1011" t="s">
        <v>59</v>
      </c>
      <c r="H1011" t="s">
        <v>73</v>
      </c>
      <c r="I1011" t="s">
        <v>456</v>
      </c>
      <c r="J1011" t="s">
        <v>45</v>
      </c>
      <c r="K1011" t="s">
        <v>104</v>
      </c>
      <c r="L1011" t="s">
        <v>34</v>
      </c>
      <c r="M1011" t="s">
        <v>94</v>
      </c>
      <c r="N1011" t="s">
        <v>36</v>
      </c>
      <c r="O1011">
        <v>60</v>
      </c>
      <c r="P1011">
        <v>60</v>
      </c>
      <c r="Q1011">
        <v>76.5</v>
      </c>
      <c r="R1011">
        <v>1700</v>
      </c>
      <c r="S1011">
        <v>1700</v>
      </c>
      <c r="T1011">
        <v>0</v>
      </c>
      <c r="U1011">
        <v>0</v>
      </c>
      <c r="V1011">
        <v>1</v>
      </c>
      <c r="W1011">
        <v>0</v>
      </c>
      <c r="X1011">
        <v>0.85</v>
      </c>
    </row>
    <row r="1012" spans="1:24" x14ac:dyDescent="0.3">
      <c r="A1012" t="s">
        <v>1632</v>
      </c>
      <c r="B1012" s="1">
        <v>45980</v>
      </c>
      <c r="C1012" t="s">
        <v>38</v>
      </c>
      <c r="D1012" t="s">
        <v>57</v>
      </c>
      <c r="E1012" t="s">
        <v>27</v>
      </c>
      <c r="F1012" t="s">
        <v>58</v>
      </c>
      <c r="G1012" t="s">
        <v>59</v>
      </c>
      <c r="H1012" t="s">
        <v>60</v>
      </c>
      <c r="I1012" t="s">
        <v>1633</v>
      </c>
      <c r="J1012" t="s">
        <v>53</v>
      </c>
      <c r="K1012" t="s">
        <v>85</v>
      </c>
      <c r="L1012" t="s">
        <v>34</v>
      </c>
      <c r="M1012" t="s">
        <v>71</v>
      </c>
      <c r="N1012" t="s">
        <v>36</v>
      </c>
      <c r="O1012">
        <v>75</v>
      </c>
      <c r="P1012">
        <v>75</v>
      </c>
      <c r="Q1012">
        <v>96.7</v>
      </c>
      <c r="R1012">
        <v>2250</v>
      </c>
      <c r="S1012">
        <v>2250</v>
      </c>
      <c r="T1012">
        <v>0</v>
      </c>
      <c r="U1012">
        <v>0</v>
      </c>
      <c r="V1012">
        <v>1</v>
      </c>
      <c r="W1012">
        <v>0</v>
      </c>
      <c r="X1012">
        <v>0.85</v>
      </c>
    </row>
    <row r="1013" spans="1:24" x14ac:dyDescent="0.3">
      <c r="A1013" t="s">
        <v>1634</v>
      </c>
      <c r="B1013" s="1">
        <v>46009</v>
      </c>
      <c r="C1013" t="s">
        <v>25</v>
      </c>
      <c r="D1013" t="s">
        <v>50</v>
      </c>
      <c r="E1013" t="s">
        <v>68</v>
      </c>
      <c r="F1013" t="s">
        <v>41</v>
      </c>
      <c r="G1013" t="s">
        <v>42</v>
      </c>
      <c r="H1013" t="s">
        <v>51</v>
      </c>
      <c r="I1013" t="s">
        <v>1635</v>
      </c>
      <c r="J1013" t="s">
        <v>53</v>
      </c>
      <c r="K1013" t="s">
        <v>33</v>
      </c>
      <c r="L1013" t="s">
        <v>34</v>
      </c>
      <c r="M1013" t="s">
        <v>94</v>
      </c>
      <c r="N1013" t="s">
        <v>36</v>
      </c>
      <c r="O1013">
        <v>60</v>
      </c>
      <c r="P1013">
        <v>60</v>
      </c>
      <c r="Q1013">
        <v>80.599999999999994</v>
      </c>
      <c r="R1013">
        <v>1600</v>
      </c>
      <c r="S1013">
        <v>1600</v>
      </c>
      <c r="T1013">
        <v>0</v>
      </c>
      <c r="U1013">
        <v>0</v>
      </c>
      <c r="V1013">
        <v>1</v>
      </c>
      <c r="W1013">
        <v>0</v>
      </c>
      <c r="X1013">
        <v>0.85</v>
      </c>
    </row>
    <row r="1014" spans="1:24" x14ac:dyDescent="0.3">
      <c r="A1014" t="s">
        <v>1636</v>
      </c>
      <c r="B1014" s="1">
        <v>45710</v>
      </c>
      <c r="C1014" t="s">
        <v>76</v>
      </c>
      <c r="D1014" t="s">
        <v>88</v>
      </c>
      <c r="E1014" t="s">
        <v>68</v>
      </c>
      <c r="F1014" t="s">
        <v>28</v>
      </c>
      <c r="G1014" t="s">
        <v>29</v>
      </c>
      <c r="H1014" t="s">
        <v>102</v>
      </c>
      <c r="I1014" t="s">
        <v>1329</v>
      </c>
      <c r="J1014" t="s">
        <v>62</v>
      </c>
      <c r="K1014" t="s">
        <v>70</v>
      </c>
      <c r="L1014" t="s">
        <v>34</v>
      </c>
      <c r="M1014" t="s">
        <v>94</v>
      </c>
      <c r="N1014" t="s">
        <v>36</v>
      </c>
      <c r="O1014">
        <v>45</v>
      </c>
      <c r="P1014">
        <v>45</v>
      </c>
      <c r="Q1014">
        <v>49.8</v>
      </c>
      <c r="R1014">
        <v>950</v>
      </c>
      <c r="S1014">
        <v>950</v>
      </c>
      <c r="T1014">
        <v>0</v>
      </c>
      <c r="U1014">
        <v>0</v>
      </c>
      <c r="V1014">
        <v>1</v>
      </c>
      <c r="W1014">
        <v>0</v>
      </c>
      <c r="X1014">
        <v>0.85</v>
      </c>
    </row>
    <row r="1015" spans="1:24" x14ac:dyDescent="0.3">
      <c r="A1015" t="s">
        <v>1637</v>
      </c>
      <c r="B1015" s="1">
        <v>45870</v>
      </c>
      <c r="C1015" t="s">
        <v>110</v>
      </c>
      <c r="D1015" t="s">
        <v>82</v>
      </c>
      <c r="E1015" t="s">
        <v>27</v>
      </c>
      <c r="F1015" t="s">
        <v>58</v>
      </c>
      <c r="G1015" t="s">
        <v>59</v>
      </c>
      <c r="H1015" t="s">
        <v>151</v>
      </c>
      <c r="I1015" t="s">
        <v>192</v>
      </c>
      <c r="J1015" t="s">
        <v>32</v>
      </c>
      <c r="K1015" t="s">
        <v>70</v>
      </c>
      <c r="L1015" t="s">
        <v>34</v>
      </c>
      <c r="M1015" t="s">
        <v>94</v>
      </c>
      <c r="N1015" t="s">
        <v>36</v>
      </c>
      <c r="O1015">
        <v>60</v>
      </c>
      <c r="P1015">
        <v>60</v>
      </c>
      <c r="Q1015">
        <v>69.900000000000006</v>
      </c>
      <c r="R1015">
        <v>1500</v>
      </c>
      <c r="S1015">
        <v>1500</v>
      </c>
      <c r="T1015">
        <v>0</v>
      </c>
      <c r="U1015">
        <v>0</v>
      </c>
      <c r="V1015">
        <v>1</v>
      </c>
      <c r="W1015">
        <v>0</v>
      </c>
      <c r="X1015">
        <v>0.85</v>
      </c>
    </row>
    <row r="1016" spans="1:24" x14ac:dyDescent="0.3">
      <c r="A1016" t="s">
        <v>1638</v>
      </c>
      <c r="B1016" s="1">
        <v>45954</v>
      </c>
      <c r="C1016" t="s">
        <v>97</v>
      </c>
      <c r="D1016" t="s">
        <v>82</v>
      </c>
      <c r="E1016" t="s">
        <v>40</v>
      </c>
      <c r="F1016" t="s">
        <v>41</v>
      </c>
      <c r="G1016" t="s">
        <v>42</v>
      </c>
      <c r="H1016" t="s">
        <v>43</v>
      </c>
      <c r="I1016" t="s">
        <v>1639</v>
      </c>
      <c r="J1016" t="s">
        <v>53</v>
      </c>
      <c r="K1016" t="s">
        <v>33</v>
      </c>
      <c r="L1016" t="s">
        <v>54</v>
      </c>
      <c r="M1016" t="s">
        <v>94</v>
      </c>
      <c r="N1016" t="s">
        <v>36</v>
      </c>
      <c r="O1016">
        <v>60</v>
      </c>
      <c r="P1016">
        <v>60</v>
      </c>
      <c r="Q1016">
        <v>68.099999999999994</v>
      </c>
      <c r="R1016">
        <v>1400</v>
      </c>
      <c r="S1016">
        <v>1400</v>
      </c>
      <c r="T1016">
        <v>0</v>
      </c>
      <c r="U1016">
        <v>0</v>
      </c>
      <c r="V1016">
        <v>1</v>
      </c>
      <c r="W1016">
        <v>0</v>
      </c>
      <c r="X1016">
        <v>0.85</v>
      </c>
    </row>
    <row r="1017" spans="1:24" x14ac:dyDescent="0.3">
      <c r="A1017" t="s">
        <v>1640</v>
      </c>
      <c r="B1017" s="1">
        <v>45992</v>
      </c>
      <c r="C1017" t="s">
        <v>25</v>
      </c>
      <c r="D1017" t="s">
        <v>39</v>
      </c>
      <c r="E1017" t="s">
        <v>68</v>
      </c>
      <c r="F1017" t="s">
        <v>41</v>
      </c>
      <c r="G1017" t="s">
        <v>42</v>
      </c>
      <c r="H1017" t="s">
        <v>51</v>
      </c>
      <c r="I1017" t="s">
        <v>172</v>
      </c>
      <c r="J1017" t="s">
        <v>32</v>
      </c>
      <c r="K1017" t="s">
        <v>33</v>
      </c>
      <c r="L1017" t="s">
        <v>78</v>
      </c>
      <c r="M1017" t="s">
        <v>86</v>
      </c>
      <c r="N1017" t="s">
        <v>36</v>
      </c>
      <c r="O1017">
        <v>60</v>
      </c>
      <c r="P1017">
        <v>60</v>
      </c>
      <c r="Q1017">
        <v>76.2</v>
      </c>
      <c r="R1017">
        <v>1250</v>
      </c>
      <c r="S1017">
        <v>1250</v>
      </c>
      <c r="T1017">
        <v>0</v>
      </c>
      <c r="U1017">
        <v>0</v>
      </c>
      <c r="V1017">
        <v>1</v>
      </c>
      <c r="W1017">
        <v>0</v>
      </c>
      <c r="X1017">
        <v>0.85</v>
      </c>
    </row>
    <row r="1018" spans="1:24" x14ac:dyDescent="0.3">
      <c r="A1018" t="s">
        <v>1641</v>
      </c>
      <c r="B1018" s="1">
        <v>45937</v>
      </c>
      <c r="C1018" t="s">
        <v>97</v>
      </c>
      <c r="D1018" t="s">
        <v>26</v>
      </c>
      <c r="E1018" t="s">
        <v>68</v>
      </c>
      <c r="F1018" t="s">
        <v>58</v>
      </c>
      <c r="G1018" t="s">
        <v>59</v>
      </c>
      <c r="H1018" t="s">
        <v>296</v>
      </c>
      <c r="I1018" t="s">
        <v>379</v>
      </c>
      <c r="J1018" t="s">
        <v>45</v>
      </c>
      <c r="K1018" t="s">
        <v>85</v>
      </c>
      <c r="L1018" t="s">
        <v>34</v>
      </c>
      <c r="M1018" t="s">
        <v>94</v>
      </c>
      <c r="N1018" t="s">
        <v>36</v>
      </c>
      <c r="O1018">
        <v>75</v>
      </c>
      <c r="P1018">
        <v>75</v>
      </c>
      <c r="Q1018">
        <v>100.4</v>
      </c>
      <c r="R1018">
        <v>2150</v>
      </c>
      <c r="S1018">
        <v>2150</v>
      </c>
      <c r="T1018">
        <v>0</v>
      </c>
      <c r="U1018">
        <v>0</v>
      </c>
      <c r="V1018">
        <v>1</v>
      </c>
      <c r="W1018">
        <v>0</v>
      </c>
      <c r="X1018">
        <v>0.85</v>
      </c>
    </row>
    <row r="1019" spans="1:24" x14ac:dyDescent="0.3">
      <c r="A1019" t="s">
        <v>1642</v>
      </c>
      <c r="B1019" s="1">
        <v>46009</v>
      </c>
      <c r="C1019" t="s">
        <v>25</v>
      </c>
      <c r="D1019" t="s">
        <v>50</v>
      </c>
      <c r="E1019" t="s">
        <v>68</v>
      </c>
      <c r="F1019" t="s">
        <v>28</v>
      </c>
      <c r="G1019" t="s">
        <v>29</v>
      </c>
      <c r="H1019" t="s">
        <v>210</v>
      </c>
      <c r="I1019" t="s">
        <v>1485</v>
      </c>
      <c r="J1019" t="s">
        <v>62</v>
      </c>
      <c r="K1019" t="s">
        <v>70</v>
      </c>
      <c r="L1019" t="s">
        <v>78</v>
      </c>
      <c r="M1019" t="s">
        <v>94</v>
      </c>
      <c r="N1019" t="s">
        <v>36</v>
      </c>
      <c r="O1019">
        <v>45</v>
      </c>
      <c r="P1019">
        <v>45</v>
      </c>
      <c r="Q1019">
        <v>54.9</v>
      </c>
      <c r="R1019">
        <v>850</v>
      </c>
      <c r="S1019">
        <v>850</v>
      </c>
      <c r="T1019">
        <v>0</v>
      </c>
      <c r="U1019">
        <v>0</v>
      </c>
      <c r="V1019">
        <v>1</v>
      </c>
      <c r="W1019">
        <v>0</v>
      </c>
      <c r="X1019">
        <v>0.85</v>
      </c>
    </row>
    <row r="1020" spans="1:24" x14ac:dyDescent="0.3">
      <c r="A1020" t="s">
        <v>1643</v>
      </c>
      <c r="B1020" s="1">
        <v>46009</v>
      </c>
      <c r="C1020" t="s">
        <v>25</v>
      </c>
      <c r="D1020" t="s">
        <v>50</v>
      </c>
      <c r="E1020" t="s">
        <v>83</v>
      </c>
      <c r="F1020" t="s">
        <v>28</v>
      </c>
      <c r="G1020" t="s">
        <v>29</v>
      </c>
      <c r="H1020" t="s">
        <v>210</v>
      </c>
      <c r="I1020" t="s">
        <v>466</v>
      </c>
      <c r="J1020" t="s">
        <v>62</v>
      </c>
      <c r="K1020" t="s">
        <v>33</v>
      </c>
      <c r="L1020" t="s">
        <v>34</v>
      </c>
      <c r="M1020" t="s">
        <v>86</v>
      </c>
      <c r="N1020" t="s">
        <v>36</v>
      </c>
      <c r="O1020">
        <v>60</v>
      </c>
      <c r="P1020">
        <v>60</v>
      </c>
      <c r="Q1020">
        <v>73.099999999999994</v>
      </c>
      <c r="R1020">
        <v>1250</v>
      </c>
      <c r="S1020">
        <v>1250</v>
      </c>
      <c r="T1020">
        <v>0</v>
      </c>
      <c r="U1020">
        <v>0</v>
      </c>
      <c r="V1020">
        <v>1</v>
      </c>
      <c r="W1020">
        <v>0</v>
      </c>
      <c r="X1020">
        <v>0.85</v>
      </c>
    </row>
    <row r="1021" spans="1:24" x14ac:dyDescent="0.3">
      <c r="A1021" t="s">
        <v>1644</v>
      </c>
      <c r="B1021" s="1">
        <v>45698</v>
      </c>
      <c r="C1021" t="s">
        <v>76</v>
      </c>
      <c r="D1021" t="s">
        <v>39</v>
      </c>
      <c r="E1021" t="s">
        <v>83</v>
      </c>
      <c r="F1021" t="s">
        <v>28</v>
      </c>
      <c r="G1021" t="s">
        <v>29</v>
      </c>
      <c r="H1021" t="s">
        <v>120</v>
      </c>
      <c r="I1021" t="s">
        <v>1645</v>
      </c>
      <c r="J1021" t="s">
        <v>62</v>
      </c>
      <c r="K1021" t="s">
        <v>104</v>
      </c>
      <c r="L1021" t="s">
        <v>34</v>
      </c>
      <c r="M1021" t="s">
        <v>86</v>
      </c>
      <c r="N1021" t="s">
        <v>95</v>
      </c>
      <c r="O1021">
        <v>90</v>
      </c>
      <c r="P1021">
        <v>0</v>
      </c>
      <c r="Q1021">
        <v>113.6</v>
      </c>
      <c r="R1021">
        <v>1900</v>
      </c>
      <c r="S1021">
        <v>0</v>
      </c>
      <c r="T1021">
        <v>1900</v>
      </c>
      <c r="U1021">
        <v>1</v>
      </c>
      <c r="V1021">
        <v>0</v>
      </c>
      <c r="W1021">
        <v>0</v>
      </c>
      <c r="X1021">
        <v>0.85</v>
      </c>
    </row>
    <row r="1022" spans="1:24" x14ac:dyDescent="0.3">
      <c r="A1022" t="s">
        <v>1646</v>
      </c>
      <c r="B1022" s="1">
        <v>46001</v>
      </c>
      <c r="C1022" t="s">
        <v>25</v>
      </c>
      <c r="D1022" t="s">
        <v>57</v>
      </c>
      <c r="E1022" t="s">
        <v>27</v>
      </c>
      <c r="F1022" t="s">
        <v>41</v>
      </c>
      <c r="G1022" t="s">
        <v>42</v>
      </c>
      <c r="H1022" t="s">
        <v>43</v>
      </c>
      <c r="I1022" t="s">
        <v>190</v>
      </c>
      <c r="J1022" t="s">
        <v>62</v>
      </c>
      <c r="K1022" t="s">
        <v>104</v>
      </c>
      <c r="L1022" t="s">
        <v>78</v>
      </c>
      <c r="M1022" t="s">
        <v>86</v>
      </c>
      <c r="N1022" t="s">
        <v>36</v>
      </c>
      <c r="O1022">
        <v>60</v>
      </c>
      <c r="P1022">
        <v>60</v>
      </c>
      <c r="Q1022">
        <v>76.2</v>
      </c>
      <c r="R1022">
        <v>1250</v>
      </c>
      <c r="S1022">
        <v>1250</v>
      </c>
      <c r="T1022">
        <v>0</v>
      </c>
      <c r="U1022">
        <v>0</v>
      </c>
      <c r="V1022">
        <v>1</v>
      </c>
      <c r="W1022">
        <v>0</v>
      </c>
      <c r="X1022">
        <v>0.85</v>
      </c>
    </row>
    <row r="1023" spans="1:24" x14ac:dyDescent="0.3">
      <c r="A1023" t="s">
        <v>1647</v>
      </c>
      <c r="B1023" s="1">
        <v>45995</v>
      </c>
      <c r="C1023" t="s">
        <v>25</v>
      </c>
      <c r="D1023" t="s">
        <v>50</v>
      </c>
      <c r="E1023" t="s">
        <v>40</v>
      </c>
      <c r="F1023" t="s">
        <v>28</v>
      </c>
      <c r="G1023" t="s">
        <v>29</v>
      </c>
      <c r="H1023" t="s">
        <v>120</v>
      </c>
      <c r="I1023" t="s">
        <v>322</v>
      </c>
      <c r="J1023" t="s">
        <v>62</v>
      </c>
      <c r="K1023" t="s">
        <v>63</v>
      </c>
      <c r="L1023" t="s">
        <v>34</v>
      </c>
      <c r="M1023" t="s">
        <v>65</v>
      </c>
      <c r="N1023" t="s">
        <v>36</v>
      </c>
      <c r="O1023">
        <v>90</v>
      </c>
      <c r="P1023">
        <v>90</v>
      </c>
      <c r="Q1023">
        <v>109.2</v>
      </c>
      <c r="R1023">
        <v>1900</v>
      </c>
      <c r="S1023">
        <v>1900</v>
      </c>
      <c r="T1023">
        <v>0</v>
      </c>
      <c r="U1023">
        <v>0</v>
      </c>
      <c r="V1023">
        <v>1</v>
      </c>
      <c r="W1023">
        <v>0</v>
      </c>
      <c r="X1023">
        <v>0.85</v>
      </c>
    </row>
    <row r="1024" spans="1:24" x14ac:dyDescent="0.3">
      <c r="A1024" t="s">
        <v>1648</v>
      </c>
      <c r="B1024" s="1">
        <v>45764</v>
      </c>
      <c r="C1024" t="s">
        <v>92</v>
      </c>
      <c r="D1024" t="s">
        <v>50</v>
      </c>
      <c r="E1024" t="s">
        <v>27</v>
      </c>
      <c r="F1024" t="s">
        <v>58</v>
      </c>
      <c r="G1024" t="s">
        <v>59</v>
      </c>
      <c r="H1024" t="s">
        <v>296</v>
      </c>
      <c r="I1024" t="s">
        <v>875</v>
      </c>
      <c r="J1024" t="s">
        <v>53</v>
      </c>
      <c r="K1024" t="s">
        <v>104</v>
      </c>
      <c r="L1024" t="s">
        <v>64</v>
      </c>
      <c r="M1024" t="s">
        <v>94</v>
      </c>
      <c r="N1024" t="s">
        <v>36</v>
      </c>
      <c r="O1024">
        <v>45</v>
      </c>
      <c r="P1024">
        <v>45</v>
      </c>
      <c r="Q1024">
        <v>52</v>
      </c>
      <c r="R1024">
        <v>1350</v>
      </c>
      <c r="S1024">
        <v>1350</v>
      </c>
      <c r="T1024">
        <v>0</v>
      </c>
      <c r="U1024">
        <v>0</v>
      </c>
      <c r="V1024">
        <v>1</v>
      </c>
      <c r="W1024">
        <v>0</v>
      </c>
      <c r="X1024">
        <v>0.85</v>
      </c>
    </row>
    <row r="1025" spans="1:24" x14ac:dyDescent="0.3">
      <c r="A1025" t="s">
        <v>1649</v>
      </c>
      <c r="B1025" s="1">
        <v>45982</v>
      </c>
      <c r="C1025" t="s">
        <v>38</v>
      </c>
      <c r="D1025" t="s">
        <v>82</v>
      </c>
      <c r="E1025" t="s">
        <v>83</v>
      </c>
      <c r="F1025" t="s">
        <v>28</v>
      </c>
      <c r="G1025" t="s">
        <v>29</v>
      </c>
      <c r="H1025" t="s">
        <v>120</v>
      </c>
      <c r="I1025" t="s">
        <v>1080</v>
      </c>
      <c r="J1025" t="s">
        <v>53</v>
      </c>
      <c r="K1025" t="s">
        <v>33</v>
      </c>
      <c r="L1025" t="s">
        <v>34</v>
      </c>
      <c r="M1025" t="s">
        <v>94</v>
      </c>
      <c r="N1025" t="s">
        <v>95</v>
      </c>
      <c r="O1025">
        <v>60</v>
      </c>
      <c r="P1025">
        <v>0</v>
      </c>
      <c r="Q1025">
        <v>65.8</v>
      </c>
      <c r="R1025">
        <v>1500</v>
      </c>
      <c r="S1025">
        <v>0</v>
      </c>
      <c r="T1025">
        <v>1500</v>
      </c>
      <c r="U1025">
        <v>1</v>
      </c>
      <c r="V1025">
        <v>0</v>
      </c>
      <c r="W1025">
        <v>0</v>
      </c>
      <c r="X1025">
        <v>0.85</v>
      </c>
    </row>
    <row r="1026" spans="1:24" x14ac:dyDescent="0.3">
      <c r="A1026" t="s">
        <v>1650</v>
      </c>
      <c r="B1026" s="1">
        <v>45670</v>
      </c>
      <c r="C1026" t="s">
        <v>130</v>
      </c>
      <c r="D1026" t="s">
        <v>39</v>
      </c>
      <c r="E1026" t="s">
        <v>27</v>
      </c>
      <c r="F1026" t="s">
        <v>28</v>
      </c>
      <c r="G1026" t="s">
        <v>29</v>
      </c>
      <c r="H1026" t="s">
        <v>120</v>
      </c>
      <c r="I1026" t="s">
        <v>596</v>
      </c>
      <c r="J1026" t="s">
        <v>62</v>
      </c>
      <c r="K1026" t="s">
        <v>85</v>
      </c>
      <c r="L1026" t="s">
        <v>34</v>
      </c>
      <c r="M1026" t="s">
        <v>86</v>
      </c>
      <c r="N1026" t="s">
        <v>36</v>
      </c>
      <c r="O1026">
        <v>90</v>
      </c>
      <c r="P1026">
        <v>90</v>
      </c>
      <c r="Q1026">
        <v>99</v>
      </c>
      <c r="R1026">
        <v>1900</v>
      </c>
      <c r="S1026">
        <v>1900</v>
      </c>
      <c r="T1026">
        <v>0</v>
      </c>
      <c r="U1026">
        <v>0</v>
      </c>
      <c r="V1026">
        <v>1</v>
      </c>
      <c r="W1026">
        <v>0</v>
      </c>
      <c r="X1026">
        <v>0.85</v>
      </c>
    </row>
    <row r="1027" spans="1:24" x14ac:dyDescent="0.3">
      <c r="A1027" t="s">
        <v>1651</v>
      </c>
      <c r="B1027" s="1">
        <v>45862</v>
      </c>
      <c r="C1027" t="s">
        <v>101</v>
      </c>
      <c r="D1027" t="s">
        <v>50</v>
      </c>
      <c r="E1027" t="s">
        <v>27</v>
      </c>
      <c r="F1027" t="s">
        <v>41</v>
      </c>
      <c r="G1027" t="s">
        <v>42</v>
      </c>
      <c r="H1027" t="s">
        <v>43</v>
      </c>
      <c r="I1027" t="s">
        <v>370</v>
      </c>
      <c r="J1027" t="s">
        <v>137</v>
      </c>
      <c r="K1027" t="s">
        <v>70</v>
      </c>
      <c r="L1027" t="s">
        <v>34</v>
      </c>
      <c r="M1027" t="s">
        <v>35</v>
      </c>
      <c r="N1027" t="s">
        <v>36</v>
      </c>
      <c r="O1027">
        <v>45</v>
      </c>
      <c r="P1027">
        <v>45</v>
      </c>
      <c r="Q1027">
        <v>50.4</v>
      </c>
      <c r="R1027">
        <v>1000</v>
      </c>
      <c r="S1027">
        <v>1000</v>
      </c>
      <c r="T1027">
        <v>0</v>
      </c>
      <c r="U1027">
        <v>0</v>
      </c>
      <c r="V1027">
        <v>1</v>
      </c>
      <c r="W1027">
        <v>0</v>
      </c>
      <c r="X1027">
        <v>0.85</v>
      </c>
    </row>
    <row r="1028" spans="1:24" x14ac:dyDescent="0.3">
      <c r="A1028" t="s">
        <v>1652</v>
      </c>
      <c r="B1028" s="1">
        <v>45885</v>
      </c>
      <c r="C1028" t="s">
        <v>110</v>
      </c>
      <c r="D1028" t="s">
        <v>88</v>
      </c>
      <c r="E1028" t="s">
        <v>68</v>
      </c>
      <c r="F1028" t="s">
        <v>58</v>
      </c>
      <c r="G1028" t="s">
        <v>59</v>
      </c>
      <c r="H1028" t="s">
        <v>73</v>
      </c>
      <c r="I1028" t="s">
        <v>453</v>
      </c>
      <c r="J1028" t="s">
        <v>99</v>
      </c>
      <c r="K1028" t="s">
        <v>104</v>
      </c>
      <c r="L1028" t="s">
        <v>78</v>
      </c>
      <c r="M1028" t="s">
        <v>71</v>
      </c>
      <c r="N1028" t="s">
        <v>113</v>
      </c>
      <c r="O1028">
        <v>60</v>
      </c>
      <c r="P1028">
        <v>0</v>
      </c>
      <c r="Q1028">
        <v>66.400000000000006</v>
      </c>
      <c r="R1028">
        <v>1400</v>
      </c>
      <c r="S1028">
        <v>0</v>
      </c>
      <c r="T1028">
        <v>1400</v>
      </c>
      <c r="U1028">
        <v>0</v>
      </c>
      <c r="V1028">
        <v>0</v>
      </c>
      <c r="W1028">
        <v>1</v>
      </c>
      <c r="X1028">
        <v>0.85</v>
      </c>
    </row>
    <row r="1029" spans="1:24" x14ac:dyDescent="0.3">
      <c r="A1029" t="s">
        <v>1653</v>
      </c>
      <c r="B1029" s="1">
        <v>45709</v>
      </c>
      <c r="C1029" t="s">
        <v>76</v>
      </c>
      <c r="D1029" t="s">
        <v>82</v>
      </c>
      <c r="E1029" t="s">
        <v>27</v>
      </c>
      <c r="F1029" t="s">
        <v>58</v>
      </c>
      <c r="G1029" t="s">
        <v>59</v>
      </c>
      <c r="H1029" t="s">
        <v>117</v>
      </c>
      <c r="I1029" t="s">
        <v>1219</v>
      </c>
      <c r="J1029" t="s">
        <v>99</v>
      </c>
      <c r="K1029" t="s">
        <v>63</v>
      </c>
      <c r="L1029" t="s">
        <v>64</v>
      </c>
      <c r="M1029" t="s">
        <v>47</v>
      </c>
      <c r="N1029" t="s">
        <v>36</v>
      </c>
      <c r="O1029">
        <v>75</v>
      </c>
      <c r="P1029">
        <v>75</v>
      </c>
      <c r="Q1029">
        <v>100.3</v>
      </c>
      <c r="R1029">
        <v>1900</v>
      </c>
      <c r="S1029">
        <v>1900</v>
      </c>
      <c r="T1029">
        <v>0</v>
      </c>
      <c r="U1029">
        <v>0</v>
      </c>
      <c r="V1029">
        <v>1</v>
      </c>
      <c r="W1029">
        <v>0</v>
      </c>
      <c r="X1029">
        <v>0.85</v>
      </c>
    </row>
    <row r="1030" spans="1:24" x14ac:dyDescent="0.3">
      <c r="A1030" t="s">
        <v>1654</v>
      </c>
      <c r="B1030" s="1">
        <v>45958</v>
      </c>
      <c r="C1030" t="s">
        <v>97</v>
      </c>
      <c r="D1030" t="s">
        <v>26</v>
      </c>
      <c r="E1030" t="s">
        <v>83</v>
      </c>
      <c r="F1030" t="s">
        <v>41</v>
      </c>
      <c r="G1030" t="s">
        <v>42</v>
      </c>
      <c r="H1030" t="s">
        <v>43</v>
      </c>
      <c r="I1030" t="s">
        <v>1347</v>
      </c>
      <c r="J1030" t="s">
        <v>62</v>
      </c>
      <c r="K1030" t="s">
        <v>63</v>
      </c>
      <c r="L1030" t="s">
        <v>54</v>
      </c>
      <c r="M1030" t="s">
        <v>47</v>
      </c>
      <c r="N1030" t="s">
        <v>153</v>
      </c>
      <c r="O1030">
        <v>45</v>
      </c>
      <c r="P1030">
        <v>0</v>
      </c>
      <c r="Q1030">
        <v>53.7</v>
      </c>
      <c r="R1030">
        <v>850</v>
      </c>
      <c r="S1030">
        <v>0</v>
      </c>
      <c r="T1030">
        <v>0</v>
      </c>
      <c r="U1030">
        <v>0</v>
      </c>
      <c r="V1030">
        <v>0</v>
      </c>
      <c r="W1030">
        <v>0</v>
      </c>
      <c r="X1030">
        <v>0.85</v>
      </c>
    </row>
    <row r="1031" spans="1:24" x14ac:dyDescent="0.3">
      <c r="A1031" t="s">
        <v>1655</v>
      </c>
      <c r="B1031" s="1">
        <v>45965</v>
      </c>
      <c r="C1031" t="s">
        <v>38</v>
      </c>
      <c r="D1031" t="s">
        <v>26</v>
      </c>
      <c r="E1031" t="s">
        <v>68</v>
      </c>
      <c r="F1031" t="s">
        <v>58</v>
      </c>
      <c r="G1031" t="s">
        <v>59</v>
      </c>
      <c r="H1031" t="s">
        <v>73</v>
      </c>
      <c r="I1031" t="s">
        <v>229</v>
      </c>
      <c r="J1031" t="s">
        <v>62</v>
      </c>
      <c r="K1031" t="s">
        <v>33</v>
      </c>
      <c r="L1031" t="s">
        <v>64</v>
      </c>
      <c r="M1031" t="s">
        <v>65</v>
      </c>
      <c r="N1031" t="s">
        <v>36</v>
      </c>
      <c r="O1031">
        <v>45</v>
      </c>
      <c r="P1031">
        <v>45</v>
      </c>
      <c r="Q1031">
        <v>51.1</v>
      </c>
      <c r="R1031">
        <v>1100</v>
      </c>
      <c r="S1031">
        <v>1100</v>
      </c>
      <c r="T1031">
        <v>0</v>
      </c>
      <c r="U1031">
        <v>0</v>
      </c>
      <c r="V1031">
        <v>1</v>
      </c>
      <c r="W1031">
        <v>0</v>
      </c>
      <c r="X1031">
        <v>0.85</v>
      </c>
    </row>
    <row r="1032" spans="1:24" x14ac:dyDescent="0.3">
      <c r="A1032" t="s">
        <v>1656</v>
      </c>
      <c r="B1032" s="1">
        <v>45989</v>
      </c>
      <c r="C1032" t="s">
        <v>38</v>
      </c>
      <c r="D1032" t="s">
        <v>82</v>
      </c>
      <c r="E1032" t="s">
        <v>40</v>
      </c>
      <c r="F1032" t="s">
        <v>58</v>
      </c>
      <c r="G1032" t="s">
        <v>59</v>
      </c>
      <c r="H1032" t="s">
        <v>151</v>
      </c>
      <c r="I1032" t="s">
        <v>416</v>
      </c>
      <c r="J1032" t="s">
        <v>32</v>
      </c>
      <c r="K1032" t="s">
        <v>70</v>
      </c>
      <c r="L1032" t="s">
        <v>64</v>
      </c>
      <c r="M1032" t="s">
        <v>47</v>
      </c>
      <c r="N1032" t="s">
        <v>36</v>
      </c>
      <c r="O1032">
        <v>75</v>
      </c>
      <c r="P1032">
        <v>75</v>
      </c>
      <c r="Q1032">
        <v>100.6</v>
      </c>
      <c r="R1032">
        <v>1900</v>
      </c>
      <c r="S1032">
        <v>1900</v>
      </c>
      <c r="T1032">
        <v>0</v>
      </c>
      <c r="U1032">
        <v>0</v>
      </c>
      <c r="V1032">
        <v>1</v>
      </c>
      <c r="W1032">
        <v>0</v>
      </c>
      <c r="X1032">
        <v>0.85</v>
      </c>
    </row>
    <row r="1033" spans="1:24" x14ac:dyDescent="0.3">
      <c r="A1033" t="s">
        <v>1657</v>
      </c>
      <c r="B1033" s="1">
        <v>45703</v>
      </c>
      <c r="C1033" t="s">
        <v>76</v>
      </c>
      <c r="D1033" t="s">
        <v>88</v>
      </c>
      <c r="E1033" t="s">
        <v>27</v>
      </c>
      <c r="F1033" t="s">
        <v>41</v>
      </c>
      <c r="G1033" t="s">
        <v>42</v>
      </c>
      <c r="H1033" t="s">
        <v>89</v>
      </c>
      <c r="I1033" t="s">
        <v>1520</v>
      </c>
      <c r="J1033" t="s">
        <v>45</v>
      </c>
      <c r="K1033" t="s">
        <v>63</v>
      </c>
      <c r="L1033" t="s">
        <v>34</v>
      </c>
      <c r="M1033" t="s">
        <v>65</v>
      </c>
      <c r="N1033" t="s">
        <v>36</v>
      </c>
      <c r="O1033">
        <v>30</v>
      </c>
      <c r="P1033">
        <v>30</v>
      </c>
      <c r="Q1033">
        <v>36.1</v>
      </c>
      <c r="R1033">
        <v>800</v>
      </c>
      <c r="S1033">
        <v>800</v>
      </c>
      <c r="T1033">
        <v>0</v>
      </c>
      <c r="U1033">
        <v>0</v>
      </c>
      <c r="V1033">
        <v>1</v>
      </c>
      <c r="W1033">
        <v>0</v>
      </c>
      <c r="X1033">
        <v>0.85</v>
      </c>
    </row>
    <row r="1034" spans="1:24" x14ac:dyDescent="0.3">
      <c r="A1034" t="s">
        <v>1658</v>
      </c>
      <c r="B1034" s="1">
        <v>45797</v>
      </c>
      <c r="C1034" t="s">
        <v>128</v>
      </c>
      <c r="D1034" t="s">
        <v>26</v>
      </c>
      <c r="E1034" t="s">
        <v>83</v>
      </c>
      <c r="F1034" t="s">
        <v>28</v>
      </c>
      <c r="G1034" t="s">
        <v>29</v>
      </c>
      <c r="H1034" t="s">
        <v>120</v>
      </c>
      <c r="I1034" t="s">
        <v>473</v>
      </c>
      <c r="J1034" t="s">
        <v>137</v>
      </c>
      <c r="K1034" t="s">
        <v>104</v>
      </c>
      <c r="L1034" t="s">
        <v>78</v>
      </c>
      <c r="M1034" t="s">
        <v>94</v>
      </c>
      <c r="N1034" t="s">
        <v>36</v>
      </c>
      <c r="O1034">
        <v>60</v>
      </c>
      <c r="P1034">
        <v>60</v>
      </c>
      <c r="Q1034">
        <v>66.2</v>
      </c>
      <c r="R1034">
        <v>1150</v>
      </c>
      <c r="S1034">
        <v>1150</v>
      </c>
      <c r="T1034">
        <v>0</v>
      </c>
      <c r="U1034">
        <v>0</v>
      </c>
      <c r="V1034">
        <v>1</v>
      </c>
      <c r="W1034">
        <v>0</v>
      </c>
      <c r="X1034">
        <v>0.85</v>
      </c>
    </row>
    <row r="1035" spans="1:24" x14ac:dyDescent="0.3">
      <c r="A1035" t="s">
        <v>1659</v>
      </c>
      <c r="B1035" s="1">
        <v>45726</v>
      </c>
      <c r="C1035" t="s">
        <v>56</v>
      </c>
      <c r="D1035" t="s">
        <v>39</v>
      </c>
      <c r="E1035" t="s">
        <v>68</v>
      </c>
      <c r="F1035" t="s">
        <v>41</v>
      </c>
      <c r="G1035" t="s">
        <v>42</v>
      </c>
      <c r="H1035" t="s">
        <v>111</v>
      </c>
      <c r="I1035" t="s">
        <v>1660</v>
      </c>
      <c r="J1035" t="s">
        <v>99</v>
      </c>
      <c r="K1035" t="s">
        <v>33</v>
      </c>
      <c r="L1035" t="s">
        <v>64</v>
      </c>
      <c r="M1035" t="s">
        <v>35</v>
      </c>
      <c r="N1035" t="s">
        <v>36</v>
      </c>
      <c r="O1035">
        <v>75</v>
      </c>
      <c r="P1035">
        <v>75</v>
      </c>
      <c r="Q1035">
        <v>95</v>
      </c>
      <c r="R1035">
        <v>1700</v>
      </c>
      <c r="S1035">
        <v>1700</v>
      </c>
      <c r="T1035">
        <v>0</v>
      </c>
      <c r="U1035">
        <v>0</v>
      </c>
      <c r="V1035">
        <v>1</v>
      </c>
      <c r="W1035">
        <v>0</v>
      </c>
      <c r="X1035">
        <v>0.85</v>
      </c>
    </row>
    <row r="1036" spans="1:24" x14ac:dyDescent="0.3">
      <c r="A1036" t="s">
        <v>1661</v>
      </c>
      <c r="B1036" s="1">
        <v>45740</v>
      </c>
      <c r="C1036" t="s">
        <v>56</v>
      </c>
      <c r="D1036" t="s">
        <v>39</v>
      </c>
      <c r="E1036" t="s">
        <v>68</v>
      </c>
      <c r="F1036" t="s">
        <v>41</v>
      </c>
      <c r="G1036" t="s">
        <v>42</v>
      </c>
      <c r="H1036" t="s">
        <v>89</v>
      </c>
      <c r="I1036" t="s">
        <v>1662</v>
      </c>
      <c r="J1036" t="s">
        <v>45</v>
      </c>
      <c r="K1036" t="s">
        <v>70</v>
      </c>
      <c r="L1036" t="s">
        <v>78</v>
      </c>
      <c r="M1036" t="s">
        <v>71</v>
      </c>
      <c r="N1036" t="s">
        <v>95</v>
      </c>
      <c r="O1036">
        <v>60</v>
      </c>
      <c r="P1036">
        <v>0</v>
      </c>
      <c r="Q1036">
        <v>76.599999999999994</v>
      </c>
      <c r="R1036">
        <v>1450</v>
      </c>
      <c r="S1036">
        <v>0</v>
      </c>
      <c r="T1036">
        <v>1450</v>
      </c>
      <c r="U1036">
        <v>1</v>
      </c>
      <c r="V1036">
        <v>0</v>
      </c>
      <c r="W1036">
        <v>0</v>
      </c>
      <c r="X1036">
        <v>0.85</v>
      </c>
    </row>
    <row r="1037" spans="1:24" x14ac:dyDescent="0.3">
      <c r="A1037" t="s">
        <v>1663</v>
      </c>
      <c r="B1037" s="1">
        <v>45980</v>
      </c>
      <c r="C1037" t="s">
        <v>38</v>
      </c>
      <c r="D1037" t="s">
        <v>57</v>
      </c>
      <c r="E1037" t="s">
        <v>68</v>
      </c>
      <c r="F1037" t="s">
        <v>41</v>
      </c>
      <c r="G1037" t="s">
        <v>42</v>
      </c>
      <c r="H1037" t="s">
        <v>125</v>
      </c>
      <c r="I1037" t="s">
        <v>709</v>
      </c>
      <c r="J1037" t="s">
        <v>45</v>
      </c>
      <c r="K1037" t="s">
        <v>104</v>
      </c>
      <c r="L1037" t="s">
        <v>78</v>
      </c>
      <c r="M1037" t="s">
        <v>94</v>
      </c>
      <c r="N1037" t="s">
        <v>153</v>
      </c>
      <c r="O1037">
        <v>75</v>
      </c>
      <c r="P1037">
        <v>0</v>
      </c>
      <c r="Q1037">
        <v>82.8</v>
      </c>
      <c r="R1037">
        <v>1800</v>
      </c>
      <c r="S1037">
        <v>0</v>
      </c>
      <c r="T1037">
        <v>0</v>
      </c>
      <c r="U1037">
        <v>0</v>
      </c>
      <c r="V1037">
        <v>0</v>
      </c>
      <c r="W1037">
        <v>0</v>
      </c>
      <c r="X1037">
        <v>0.85</v>
      </c>
    </row>
    <row r="1038" spans="1:24" x14ac:dyDescent="0.3">
      <c r="A1038" t="s">
        <v>1664</v>
      </c>
      <c r="B1038" s="1">
        <v>45878</v>
      </c>
      <c r="C1038" t="s">
        <v>110</v>
      </c>
      <c r="D1038" t="s">
        <v>88</v>
      </c>
      <c r="E1038" t="s">
        <v>27</v>
      </c>
      <c r="F1038" t="s">
        <v>28</v>
      </c>
      <c r="G1038" t="s">
        <v>29</v>
      </c>
      <c r="H1038" t="s">
        <v>210</v>
      </c>
      <c r="I1038" t="s">
        <v>352</v>
      </c>
      <c r="J1038" t="s">
        <v>45</v>
      </c>
      <c r="K1038" t="s">
        <v>33</v>
      </c>
      <c r="L1038" t="s">
        <v>34</v>
      </c>
      <c r="M1038" t="s">
        <v>86</v>
      </c>
      <c r="N1038" t="s">
        <v>36</v>
      </c>
      <c r="O1038">
        <v>60</v>
      </c>
      <c r="P1038">
        <v>60</v>
      </c>
      <c r="Q1038">
        <v>73.7</v>
      </c>
      <c r="R1038">
        <v>1450</v>
      </c>
      <c r="S1038">
        <v>1450</v>
      </c>
      <c r="T1038">
        <v>0</v>
      </c>
      <c r="U1038">
        <v>0</v>
      </c>
      <c r="V1038">
        <v>1</v>
      </c>
      <c r="W1038">
        <v>0</v>
      </c>
      <c r="X1038">
        <v>0.85</v>
      </c>
    </row>
    <row r="1039" spans="1:24" x14ac:dyDescent="0.3">
      <c r="A1039" t="s">
        <v>1665</v>
      </c>
      <c r="B1039" s="1">
        <v>45895</v>
      </c>
      <c r="C1039" t="s">
        <v>110</v>
      </c>
      <c r="D1039" t="s">
        <v>26</v>
      </c>
      <c r="E1039" t="s">
        <v>83</v>
      </c>
      <c r="F1039" t="s">
        <v>28</v>
      </c>
      <c r="G1039" t="s">
        <v>29</v>
      </c>
      <c r="H1039" t="s">
        <v>135</v>
      </c>
      <c r="I1039" t="s">
        <v>1666</v>
      </c>
      <c r="J1039" t="s">
        <v>62</v>
      </c>
      <c r="K1039" t="s">
        <v>33</v>
      </c>
      <c r="L1039" t="s">
        <v>34</v>
      </c>
      <c r="M1039" t="s">
        <v>65</v>
      </c>
      <c r="N1039" t="s">
        <v>113</v>
      </c>
      <c r="O1039">
        <v>60</v>
      </c>
      <c r="P1039">
        <v>0</v>
      </c>
      <c r="Q1039">
        <v>65.3</v>
      </c>
      <c r="R1039">
        <v>1250</v>
      </c>
      <c r="S1039">
        <v>0</v>
      </c>
      <c r="T1039">
        <v>1250</v>
      </c>
      <c r="U1039">
        <v>0</v>
      </c>
      <c r="V1039">
        <v>0</v>
      </c>
      <c r="W1039">
        <v>1</v>
      </c>
      <c r="X1039">
        <v>0.85</v>
      </c>
    </row>
    <row r="1040" spans="1:24" x14ac:dyDescent="0.3">
      <c r="A1040" t="s">
        <v>1667</v>
      </c>
      <c r="B1040" s="1">
        <v>45658</v>
      </c>
      <c r="C1040" t="s">
        <v>130</v>
      </c>
      <c r="D1040" t="s">
        <v>57</v>
      </c>
      <c r="E1040" t="s">
        <v>83</v>
      </c>
      <c r="F1040" t="s">
        <v>28</v>
      </c>
      <c r="G1040" t="s">
        <v>29</v>
      </c>
      <c r="H1040" t="s">
        <v>30</v>
      </c>
      <c r="I1040" t="s">
        <v>196</v>
      </c>
      <c r="J1040" t="s">
        <v>99</v>
      </c>
      <c r="K1040" t="s">
        <v>63</v>
      </c>
      <c r="L1040" t="s">
        <v>34</v>
      </c>
      <c r="M1040" t="s">
        <v>47</v>
      </c>
      <c r="N1040" t="s">
        <v>36</v>
      </c>
      <c r="O1040">
        <v>45</v>
      </c>
      <c r="P1040">
        <v>45</v>
      </c>
      <c r="Q1040">
        <v>53.4</v>
      </c>
      <c r="R1040">
        <v>950</v>
      </c>
      <c r="S1040">
        <v>950</v>
      </c>
      <c r="T1040">
        <v>0</v>
      </c>
      <c r="U1040">
        <v>0</v>
      </c>
      <c r="V1040">
        <v>1</v>
      </c>
      <c r="W1040">
        <v>0</v>
      </c>
      <c r="X1040">
        <v>0.85</v>
      </c>
    </row>
    <row r="1041" spans="1:24" x14ac:dyDescent="0.3">
      <c r="A1041" t="s">
        <v>1668</v>
      </c>
      <c r="B1041" s="1">
        <v>45720</v>
      </c>
      <c r="C1041" t="s">
        <v>56</v>
      </c>
      <c r="D1041" t="s">
        <v>26</v>
      </c>
      <c r="E1041" t="s">
        <v>40</v>
      </c>
      <c r="F1041" t="s">
        <v>28</v>
      </c>
      <c r="G1041" t="s">
        <v>29</v>
      </c>
      <c r="H1041" t="s">
        <v>120</v>
      </c>
      <c r="I1041" t="s">
        <v>762</v>
      </c>
      <c r="J1041" t="s">
        <v>32</v>
      </c>
      <c r="K1041" t="s">
        <v>33</v>
      </c>
      <c r="L1041" t="s">
        <v>34</v>
      </c>
      <c r="M1041" t="s">
        <v>94</v>
      </c>
      <c r="N1041" t="s">
        <v>36</v>
      </c>
      <c r="O1041">
        <v>30</v>
      </c>
      <c r="P1041">
        <v>30</v>
      </c>
      <c r="Q1041">
        <v>36.799999999999997</v>
      </c>
      <c r="R1041">
        <v>600</v>
      </c>
      <c r="S1041">
        <v>600</v>
      </c>
      <c r="T1041">
        <v>0</v>
      </c>
      <c r="U1041">
        <v>0</v>
      </c>
      <c r="V1041">
        <v>1</v>
      </c>
      <c r="W1041">
        <v>0</v>
      </c>
      <c r="X1041">
        <v>0.85</v>
      </c>
    </row>
    <row r="1042" spans="1:24" x14ac:dyDescent="0.3">
      <c r="A1042" t="s">
        <v>1669</v>
      </c>
      <c r="B1042" s="1">
        <v>45800</v>
      </c>
      <c r="C1042" t="s">
        <v>128</v>
      </c>
      <c r="D1042" t="s">
        <v>82</v>
      </c>
      <c r="E1042" t="s">
        <v>40</v>
      </c>
      <c r="F1042" t="s">
        <v>58</v>
      </c>
      <c r="G1042" t="s">
        <v>59</v>
      </c>
      <c r="H1042" t="s">
        <v>73</v>
      </c>
      <c r="I1042" t="s">
        <v>633</v>
      </c>
      <c r="J1042" t="s">
        <v>99</v>
      </c>
      <c r="K1042" t="s">
        <v>33</v>
      </c>
      <c r="L1042" t="s">
        <v>78</v>
      </c>
      <c r="M1042" t="s">
        <v>86</v>
      </c>
      <c r="N1042" t="s">
        <v>95</v>
      </c>
      <c r="O1042">
        <v>60</v>
      </c>
      <c r="P1042">
        <v>0</v>
      </c>
      <c r="Q1042">
        <v>71.7</v>
      </c>
      <c r="R1042">
        <v>1400</v>
      </c>
      <c r="S1042">
        <v>0</v>
      </c>
      <c r="T1042">
        <v>1400</v>
      </c>
      <c r="U1042">
        <v>1</v>
      </c>
      <c r="V1042">
        <v>0</v>
      </c>
      <c r="W1042">
        <v>0</v>
      </c>
      <c r="X1042">
        <v>0.85</v>
      </c>
    </row>
    <row r="1043" spans="1:24" x14ac:dyDescent="0.3">
      <c r="A1043" t="s">
        <v>1670</v>
      </c>
      <c r="B1043" s="1">
        <v>45876</v>
      </c>
      <c r="C1043" t="s">
        <v>110</v>
      </c>
      <c r="D1043" t="s">
        <v>50</v>
      </c>
      <c r="E1043" t="s">
        <v>27</v>
      </c>
      <c r="F1043" t="s">
        <v>28</v>
      </c>
      <c r="G1043" t="s">
        <v>29</v>
      </c>
      <c r="H1043" t="s">
        <v>210</v>
      </c>
      <c r="I1043" t="s">
        <v>344</v>
      </c>
      <c r="J1043" t="s">
        <v>62</v>
      </c>
      <c r="K1043" t="s">
        <v>104</v>
      </c>
      <c r="L1043" t="s">
        <v>54</v>
      </c>
      <c r="M1043" t="s">
        <v>65</v>
      </c>
      <c r="N1043" t="s">
        <v>36</v>
      </c>
      <c r="O1043">
        <v>60</v>
      </c>
      <c r="P1043">
        <v>60</v>
      </c>
      <c r="Q1043">
        <v>70.2</v>
      </c>
      <c r="R1043">
        <v>1050</v>
      </c>
      <c r="S1043">
        <v>1050</v>
      </c>
      <c r="T1043">
        <v>0</v>
      </c>
      <c r="U1043">
        <v>0</v>
      </c>
      <c r="V1043">
        <v>1</v>
      </c>
      <c r="W1043">
        <v>0</v>
      </c>
      <c r="X1043">
        <v>0.85</v>
      </c>
    </row>
    <row r="1044" spans="1:24" x14ac:dyDescent="0.3">
      <c r="A1044" t="s">
        <v>1671</v>
      </c>
      <c r="B1044" s="1">
        <v>45904</v>
      </c>
      <c r="C1044" t="s">
        <v>49</v>
      </c>
      <c r="D1044" t="s">
        <v>50</v>
      </c>
      <c r="E1044" t="s">
        <v>83</v>
      </c>
      <c r="F1044" t="s">
        <v>58</v>
      </c>
      <c r="G1044" t="s">
        <v>59</v>
      </c>
      <c r="H1044" t="s">
        <v>73</v>
      </c>
      <c r="I1044" t="s">
        <v>462</v>
      </c>
      <c r="J1044" t="s">
        <v>53</v>
      </c>
      <c r="K1044" t="s">
        <v>46</v>
      </c>
      <c r="L1044" t="s">
        <v>64</v>
      </c>
      <c r="M1044" t="s">
        <v>71</v>
      </c>
      <c r="N1044" t="s">
        <v>36</v>
      </c>
      <c r="O1044">
        <v>75</v>
      </c>
      <c r="P1044">
        <v>75</v>
      </c>
      <c r="Q1044">
        <v>81.7</v>
      </c>
      <c r="R1044">
        <v>2250</v>
      </c>
      <c r="S1044">
        <v>2250</v>
      </c>
      <c r="T1044">
        <v>0</v>
      </c>
      <c r="U1044">
        <v>0</v>
      </c>
      <c r="V1044">
        <v>1</v>
      </c>
      <c r="W1044">
        <v>0</v>
      </c>
      <c r="X1044">
        <v>0.85</v>
      </c>
    </row>
    <row r="1045" spans="1:24" x14ac:dyDescent="0.3">
      <c r="A1045" t="s">
        <v>1672</v>
      </c>
      <c r="B1045" s="1">
        <v>45661</v>
      </c>
      <c r="C1045" t="s">
        <v>130</v>
      </c>
      <c r="D1045" t="s">
        <v>88</v>
      </c>
      <c r="E1045" t="s">
        <v>27</v>
      </c>
      <c r="F1045" t="s">
        <v>58</v>
      </c>
      <c r="G1045" t="s">
        <v>59</v>
      </c>
      <c r="H1045" t="s">
        <v>60</v>
      </c>
      <c r="I1045" t="s">
        <v>852</v>
      </c>
      <c r="J1045" t="s">
        <v>62</v>
      </c>
      <c r="K1045" t="s">
        <v>85</v>
      </c>
      <c r="L1045" t="s">
        <v>54</v>
      </c>
      <c r="M1045" t="s">
        <v>47</v>
      </c>
      <c r="N1045" t="s">
        <v>36</v>
      </c>
      <c r="O1045">
        <v>60</v>
      </c>
      <c r="P1045">
        <v>60</v>
      </c>
      <c r="Q1045">
        <v>70.900000000000006</v>
      </c>
      <c r="R1045">
        <v>1300</v>
      </c>
      <c r="S1045">
        <v>1300</v>
      </c>
      <c r="T1045">
        <v>0</v>
      </c>
      <c r="U1045">
        <v>0</v>
      </c>
      <c r="V1045">
        <v>1</v>
      </c>
      <c r="W1045">
        <v>0</v>
      </c>
      <c r="X1045">
        <v>0.85</v>
      </c>
    </row>
    <row r="1046" spans="1:24" x14ac:dyDescent="0.3">
      <c r="A1046" t="s">
        <v>1673</v>
      </c>
      <c r="B1046" s="1">
        <v>45881</v>
      </c>
      <c r="C1046" t="s">
        <v>110</v>
      </c>
      <c r="D1046" t="s">
        <v>26</v>
      </c>
      <c r="E1046" t="s">
        <v>83</v>
      </c>
      <c r="F1046" t="s">
        <v>28</v>
      </c>
      <c r="G1046" t="s">
        <v>29</v>
      </c>
      <c r="H1046" t="s">
        <v>30</v>
      </c>
      <c r="I1046" t="s">
        <v>265</v>
      </c>
      <c r="J1046" t="s">
        <v>62</v>
      </c>
      <c r="K1046" t="s">
        <v>46</v>
      </c>
      <c r="L1046" t="s">
        <v>64</v>
      </c>
      <c r="M1046" t="s">
        <v>35</v>
      </c>
      <c r="N1046" t="s">
        <v>36</v>
      </c>
      <c r="O1046">
        <v>60</v>
      </c>
      <c r="P1046">
        <v>60</v>
      </c>
      <c r="Q1046">
        <v>67.099999999999994</v>
      </c>
      <c r="R1046">
        <v>1250</v>
      </c>
      <c r="S1046">
        <v>1250</v>
      </c>
      <c r="T1046">
        <v>0</v>
      </c>
      <c r="U1046">
        <v>0</v>
      </c>
      <c r="V1046">
        <v>1</v>
      </c>
      <c r="W1046">
        <v>0</v>
      </c>
      <c r="X1046">
        <v>0.85</v>
      </c>
    </row>
    <row r="1047" spans="1:24" x14ac:dyDescent="0.3">
      <c r="A1047" t="s">
        <v>1674</v>
      </c>
      <c r="B1047" s="1">
        <v>45862</v>
      </c>
      <c r="C1047" t="s">
        <v>101</v>
      </c>
      <c r="D1047" t="s">
        <v>50</v>
      </c>
      <c r="E1047" t="s">
        <v>83</v>
      </c>
      <c r="F1047" t="s">
        <v>58</v>
      </c>
      <c r="G1047" t="s">
        <v>59</v>
      </c>
      <c r="H1047" t="s">
        <v>296</v>
      </c>
      <c r="I1047" t="s">
        <v>754</v>
      </c>
      <c r="J1047" t="s">
        <v>62</v>
      </c>
      <c r="K1047" t="s">
        <v>46</v>
      </c>
      <c r="L1047" t="s">
        <v>34</v>
      </c>
      <c r="M1047" t="s">
        <v>94</v>
      </c>
      <c r="N1047" t="s">
        <v>36</v>
      </c>
      <c r="O1047">
        <v>45</v>
      </c>
      <c r="P1047">
        <v>45</v>
      </c>
      <c r="Q1047">
        <v>53</v>
      </c>
      <c r="R1047">
        <v>1100</v>
      </c>
      <c r="S1047">
        <v>1100</v>
      </c>
      <c r="T1047">
        <v>0</v>
      </c>
      <c r="U1047">
        <v>0</v>
      </c>
      <c r="V1047">
        <v>1</v>
      </c>
      <c r="W1047">
        <v>0</v>
      </c>
      <c r="X1047">
        <v>0.85</v>
      </c>
    </row>
    <row r="1048" spans="1:24" x14ac:dyDescent="0.3">
      <c r="A1048" t="s">
        <v>1675</v>
      </c>
      <c r="B1048" s="1">
        <v>45988</v>
      </c>
      <c r="C1048" t="s">
        <v>38</v>
      </c>
      <c r="D1048" t="s">
        <v>50</v>
      </c>
      <c r="E1048" t="s">
        <v>27</v>
      </c>
      <c r="F1048" t="s">
        <v>41</v>
      </c>
      <c r="G1048" t="s">
        <v>42</v>
      </c>
      <c r="H1048" t="s">
        <v>125</v>
      </c>
      <c r="I1048" t="s">
        <v>1676</v>
      </c>
      <c r="J1048" t="s">
        <v>53</v>
      </c>
      <c r="K1048" t="s">
        <v>46</v>
      </c>
      <c r="L1048" t="s">
        <v>64</v>
      </c>
      <c r="M1048" t="s">
        <v>94</v>
      </c>
      <c r="N1048" t="s">
        <v>36</v>
      </c>
      <c r="O1048">
        <v>45</v>
      </c>
      <c r="P1048">
        <v>45</v>
      </c>
      <c r="Q1048">
        <v>60.5</v>
      </c>
      <c r="R1048">
        <v>1200</v>
      </c>
      <c r="S1048">
        <v>1200</v>
      </c>
      <c r="T1048">
        <v>0</v>
      </c>
      <c r="U1048">
        <v>0</v>
      </c>
      <c r="V1048">
        <v>1</v>
      </c>
      <c r="W1048">
        <v>0</v>
      </c>
      <c r="X1048">
        <v>0.85</v>
      </c>
    </row>
    <row r="1049" spans="1:24" x14ac:dyDescent="0.3">
      <c r="A1049" t="s">
        <v>1677</v>
      </c>
      <c r="B1049" s="1">
        <v>45821</v>
      </c>
      <c r="C1049" t="s">
        <v>67</v>
      </c>
      <c r="D1049" t="s">
        <v>82</v>
      </c>
      <c r="E1049" t="s">
        <v>83</v>
      </c>
      <c r="F1049" t="s">
        <v>58</v>
      </c>
      <c r="G1049" t="s">
        <v>59</v>
      </c>
      <c r="H1049" t="s">
        <v>117</v>
      </c>
      <c r="I1049" t="s">
        <v>1678</v>
      </c>
      <c r="J1049" t="s">
        <v>62</v>
      </c>
      <c r="K1049" t="s">
        <v>33</v>
      </c>
      <c r="L1049" t="s">
        <v>64</v>
      </c>
      <c r="M1049" t="s">
        <v>71</v>
      </c>
      <c r="N1049" t="s">
        <v>36</v>
      </c>
      <c r="O1049">
        <v>60</v>
      </c>
      <c r="P1049">
        <v>60</v>
      </c>
      <c r="Q1049">
        <v>66.599999999999994</v>
      </c>
      <c r="R1049">
        <v>1500</v>
      </c>
      <c r="S1049">
        <v>1500</v>
      </c>
      <c r="T1049">
        <v>0</v>
      </c>
      <c r="U1049">
        <v>0</v>
      </c>
      <c r="V1049">
        <v>1</v>
      </c>
      <c r="W1049">
        <v>0</v>
      </c>
      <c r="X1049">
        <v>0.85</v>
      </c>
    </row>
    <row r="1050" spans="1:24" x14ac:dyDescent="0.3">
      <c r="A1050" t="s">
        <v>1679</v>
      </c>
      <c r="B1050" s="1">
        <v>45853</v>
      </c>
      <c r="C1050" t="s">
        <v>101</v>
      </c>
      <c r="D1050" t="s">
        <v>26</v>
      </c>
      <c r="E1050" t="s">
        <v>68</v>
      </c>
      <c r="F1050" t="s">
        <v>41</v>
      </c>
      <c r="G1050" t="s">
        <v>42</v>
      </c>
      <c r="H1050" t="s">
        <v>89</v>
      </c>
      <c r="I1050" t="s">
        <v>699</v>
      </c>
      <c r="J1050" t="s">
        <v>53</v>
      </c>
      <c r="K1050" t="s">
        <v>46</v>
      </c>
      <c r="L1050" t="s">
        <v>64</v>
      </c>
      <c r="M1050" t="s">
        <v>47</v>
      </c>
      <c r="N1050" t="s">
        <v>95</v>
      </c>
      <c r="O1050">
        <v>60</v>
      </c>
      <c r="P1050">
        <v>0</v>
      </c>
      <c r="Q1050">
        <v>74.099999999999994</v>
      </c>
      <c r="R1050">
        <v>1600</v>
      </c>
      <c r="S1050">
        <v>0</v>
      </c>
      <c r="T1050">
        <v>1600</v>
      </c>
      <c r="U1050">
        <v>1</v>
      </c>
      <c r="V1050">
        <v>0</v>
      </c>
      <c r="W1050">
        <v>0</v>
      </c>
      <c r="X1050">
        <v>0.85</v>
      </c>
    </row>
    <row r="1051" spans="1:24" x14ac:dyDescent="0.3">
      <c r="A1051" t="s">
        <v>1680</v>
      </c>
      <c r="B1051" s="1">
        <v>45946</v>
      </c>
      <c r="C1051" t="s">
        <v>97</v>
      </c>
      <c r="D1051" t="s">
        <v>50</v>
      </c>
      <c r="E1051" t="s">
        <v>40</v>
      </c>
      <c r="F1051" t="s">
        <v>41</v>
      </c>
      <c r="G1051" t="s">
        <v>42</v>
      </c>
      <c r="H1051" t="s">
        <v>111</v>
      </c>
      <c r="I1051" t="s">
        <v>1128</v>
      </c>
      <c r="J1051" t="s">
        <v>45</v>
      </c>
      <c r="K1051" t="s">
        <v>104</v>
      </c>
      <c r="L1051" t="s">
        <v>34</v>
      </c>
      <c r="M1051" t="s">
        <v>65</v>
      </c>
      <c r="N1051" t="s">
        <v>36</v>
      </c>
      <c r="O1051">
        <v>75</v>
      </c>
      <c r="P1051">
        <v>75</v>
      </c>
      <c r="Q1051">
        <v>99.2</v>
      </c>
      <c r="R1051">
        <v>1950</v>
      </c>
      <c r="S1051">
        <v>1950</v>
      </c>
      <c r="T1051">
        <v>0</v>
      </c>
      <c r="U1051">
        <v>0</v>
      </c>
      <c r="V1051">
        <v>1</v>
      </c>
      <c r="W1051">
        <v>0</v>
      </c>
      <c r="X1051">
        <v>0.85</v>
      </c>
    </row>
    <row r="1052" spans="1:24" x14ac:dyDescent="0.3">
      <c r="A1052" t="s">
        <v>1681</v>
      </c>
      <c r="B1052" s="1">
        <v>45808</v>
      </c>
      <c r="C1052" t="s">
        <v>128</v>
      </c>
      <c r="D1052" t="s">
        <v>88</v>
      </c>
      <c r="E1052" t="s">
        <v>68</v>
      </c>
      <c r="F1052" t="s">
        <v>41</v>
      </c>
      <c r="G1052" t="s">
        <v>42</v>
      </c>
      <c r="H1052" t="s">
        <v>111</v>
      </c>
      <c r="I1052" t="s">
        <v>412</v>
      </c>
      <c r="J1052" t="s">
        <v>53</v>
      </c>
      <c r="K1052" t="s">
        <v>63</v>
      </c>
      <c r="L1052" t="s">
        <v>34</v>
      </c>
      <c r="M1052" t="s">
        <v>65</v>
      </c>
      <c r="N1052" t="s">
        <v>36</v>
      </c>
      <c r="O1052">
        <v>60</v>
      </c>
      <c r="P1052">
        <v>60</v>
      </c>
      <c r="Q1052">
        <v>79.599999999999994</v>
      </c>
      <c r="R1052">
        <v>1600</v>
      </c>
      <c r="S1052">
        <v>1600</v>
      </c>
      <c r="T1052">
        <v>0</v>
      </c>
      <c r="U1052">
        <v>0</v>
      </c>
      <c r="V1052">
        <v>1</v>
      </c>
      <c r="W1052">
        <v>0</v>
      </c>
      <c r="X1052">
        <v>0.85</v>
      </c>
    </row>
    <row r="1053" spans="1:24" x14ac:dyDescent="0.3">
      <c r="A1053" t="s">
        <v>1682</v>
      </c>
      <c r="B1053" s="1">
        <v>45873</v>
      </c>
      <c r="C1053" t="s">
        <v>110</v>
      </c>
      <c r="D1053" t="s">
        <v>39</v>
      </c>
      <c r="E1053" t="s">
        <v>68</v>
      </c>
      <c r="F1053" t="s">
        <v>58</v>
      </c>
      <c r="G1053" t="s">
        <v>59</v>
      </c>
      <c r="H1053" t="s">
        <v>60</v>
      </c>
      <c r="I1053" t="s">
        <v>507</v>
      </c>
      <c r="J1053" t="s">
        <v>45</v>
      </c>
      <c r="K1053" t="s">
        <v>33</v>
      </c>
      <c r="L1053" t="s">
        <v>54</v>
      </c>
      <c r="M1053" t="s">
        <v>71</v>
      </c>
      <c r="N1053" t="s">
        <v>36</v>
      </c>
      <c r="O1053">
        <v>60</v>
      </c>
      <c r="P1053">
        <v>60</v>
      </c>
      <c r="Q1053">
        <v>66.3</v>
      </c>
      <c r="R1053">
        <v>1450</v>
      </c>
      <c r="S1053">
        <v>1450</v>
      </c>
      <c r="T1053">
        <v>0</v>
      </c>
      <c r="U1053">
        <v>0</v>
      </c>
      <c r="V1053">
        <v>1</v>
      </c>
      <c r="W1053">
        <v>0</v>
      </c>
      <c r="X1053">
        <v>0.85</v>
      </c>
    </row>
    <row r="1054" spans="1:24" x14ac:dyDescent="0.3">
      <c r="A1054" t="s">
        <v>1683</v>
      </c>
      <c r="B1054" s="1">
        <v>45747</v>
      </c>
      <c r="C1054" t="s">
        <v>56</v>
      </c>
      <c r="D1054" t="s">
        <v>39</v>
      </c>
      <c r="E1054" t="s">
        <v>83</v>
      </c>
      <c r="F1054" t="s">
        <v>58</v>
      </c>
      <c r="G1054" t="s">
        <v>59</v>
      </c>
      <c r="H1054" t="s">
        <v>117</v>
      </c>
      <c r="I1054" t="s">
        <v>636</v>
      </c>
      <c r="J1054" t="s">
        <v>45</v>
      </c>
      <c r="K1054" t="s">
        <v>70</v>
      </c>
      <c r="L1054" t="s">
        <v>34</v>
      </c>
      <c r="M1054" t="s">
        <v>71</v>
      </c>
      <c r="N1054" t="s">
        <v>36</v>
      </c>
      <c r="O1054">
        <v>75</v>
      </c>
      <c r="P1054">
        <v>75</v>
      </c>
      <c r="Q1054">
        <v>87.9</v>
      </c>
      <c r="R1054">
        <v>2150</v>
      </c>
      <c r="S1054">
        <v>2150</v>
      </c>
      <c r="T1054">
        <v>0</v>
      </c>
      <c r="U1054">
        <v>0</v>
      </c>
      <c r="V1054">
        <v>1</v>
      </c>
      <c r="W1054">
        <v>0</v>
      </c>
      <c r="X1054">
        <v>0.85</v>
      </c>
    </row>
    <row r="1055" spans="1:24" x14ac:dyDescent="0.3">
      <c r="A1055" t="s">
        <v>1684</v>
      </c>
      <c r="B1055" s="1">
        <v>45918</v>
      </c>
      <c r="C1055" t="s">
        <v>49</v>
      </c>
      <c r="D1055" t="s">
        <v>50</v>
      </c>
      <c r="E1055" t="s">
        <v>40</v>
      </c>
      <c r="F1055" t="s">
        <v>41</v>
      </c>
      <c r="G1055" t="s">
        <v>42</v>
      </c>
      <c r="H1055" t="s">
        <v>43</v>
      </c>
      <c r="I1055" t="s">
        <v>1685</v>
      </c>
      <c r="J1055" t="s">
        <v>53</v>
      </c>
      <c r="K1055" t="s">
        <v>104</v>
      </c>
      <c r="L1055" t="s">
        <v>78</v>
      </c>
      <c r="M1055" t="s">
        <v>86</v>
      </c>
      <c r="N1055" t="s">
        <v>36</v>
      </c>
      <c r="O1055">
        <v>75</v>
      </c>
      <c r="P1055">
        <v>75</v>
      </c>
      <c r="Q1055">
        <v>97.2</v>
      </c>
      <c r="R1055">
        <v>1850</v>
      </c>
      <c r="S1055">
        <v>1850</v>
      </c>
      <c r="T1055">
        <v>0</v>
      </c>
      <c r="U1055">
        <v>0</v>
      </c>
      <c r="V1055">
        <v>1</v>
      </c>
      <c r="W1055">
        <v>0</v>
      </c>
      <c r="X1055">
        <v>0.85</v>
      </c>
    </row>
    <row r="1056" spans="1:24" x14ac:dyDescent="0.3">
      <c r="A1056" t="s">
        <v>1686</v>
      </c>
      <c r="B1056" s="1">
        <v>45876</v>
      </c>
      <c r="C1056" t="s">
        <v>110</v>
      </c>
      <c r="D1056" t="s">
        <v>50</v>
      </c>
      <c r="E1056" t="s">
        <v>83</v>
      </c>
      <c r="F1056" t="s">
        <v>58</v>
      </c>
      <c r="G1056" t="s">
        <v>59</v>
      </c>
      <c r="H1056" t="s">
        <v>73</v>
      </c>
      <c r="I1056" t="s">
        <v>1584</v>
      </c>
      <c r="J1056" t="s">
        <v>99</v>
      </c>
      <c r="K1056" t="s">
        <v>104</v>
      </c>
      <c r="L1056" t="s">
        <v>78</v>
      </c>
      <c r="M1056" t="s">
        <v>35</v>
      </c>
      <c r="N1056" t="s">
        <v>36</v>
      </c>
      <c r="O1056">
        <v>60</v>
      </c>
      <c r="P1056">
        <v>60</v>
      </c>
      <c r="Q1056">
        <v>68</v>
      </c>
      <c r="R1056">
        <v>1400</v>
      </c>
      <c r="S1056">
        <v>1400</v>
      </c>
      <c r="T1056">
        <v>0</v>
      </c>
      <c r="U1056">
        <v>0</v>
      </c>
      <c r="V1056">
        <v>1</v>
      </c>
      <c r="W1056">
        <v>0</v>
      </c>
      <c r="X1056">
        <v>0.85</v>
      </c>
    </row>
    <row r="1057" spans="1:24" x14ac:dyDescent="0.3">
      <c r="A1057" t="s">
        <v>1687</v>
      </c>
      <c r="B1057" s="1">
        <v>45988</v>
      </c>
      <c r="C1057" t="s">
        <v>38</v>
      </c>
      <c r="D1057" t="s">
        <v>50</v>
      </c>
      <c r="E1057" t="s">
        <v>68</v>
      </c>
      <c r="F1057" t="s">
        <v>58</v>
      </c>
      <c r="G1057" t="s">
        <v>59</v>
      </c>
      <c r="H1057" t="s">
        <v>117</v>
      </c>
      <c r="I1057" t="s">
        <v>1688</v>
      </c>
      <c r="J1057" t="s">
        <v>62</v>
      </c>
      <c r="K1057" t="s">
        <v>85</v>
      </c>
      <c r="L1057" t="s">
        <v>78</v>
      </c>
      <c r="M1057" t="s">
        <v>71</v>
      </c>
      <c r="N1057" t="s">
        <v>36</v>
      </c>
      <c r="O1057">
        <v>75</v>
      </c>
      <c r="P1057">
        <v>75</v>
      </c>
      <c r="Q1057">
        <v>89.5</v>
      </c>
      <c r="R1057">
        <v>1700</v>
      </c>
      <c r="S1057">
        <v>1700</v>
      </c>
      <c r="T1057">
        <v>0</v>
      </c>
      <c r="U1057">
        <v>0</v>
      </c>
      <c r="V1057">
        <v>1</v>
      </c>
      <c r="W1057">
        <v>0</v>
      </c>
      <c r="X1057">
        <v>0.85</v>
      </c>
    </row>
    <row r="1058" spans="1:24" x14ac:dyDescent="0.3">
      <c r="A1058" t="s">
        <v>1689</v>
      </c>
      <c r="B1058" s="1">
        <v>45717</v>
      </c>
      <c r="C1058" t="s">
        <v>56</v>
      </c>
      <c r="D1058" t="s">
        <v>88</v>
      </c>
      <c r="E1058" t="s">
        <v>40</v>
      </c>
      <c r="F1058" t="s">
        <v>28</v>
      </c>
      <c r="G1058" t="s">
        <v>29</v>
      </c>
      <c r="H1058" t="s">
        <v>120</v>
      </c>
      <c r="I1058" t="s">
        <v>495</v>
      </c>
      <c r="J1058" t="s">
        <v>99</v>
      </c>
      <c r="K1058" t="s">
        <v>85</v>
      </c>
      <c r="L1058" t="s">
        <v>34</v>
      </c>
      <c r="M1058" t="s">
        <v>65</v>
      </c>
      <c r="N1058" t="s">
        <v>36</v>
      </c>
      <c r="O1058">
        <v>45</v>
      </c>
      <c r="P1058">
        <v>45</v>
      </c>
      <c r="Q1058">
        <v>58.9</v>
      </c>
      <c r="R1058">
        <v>950</v>
      </c>
      <c r="S1058">
        <v>950</v>
      </c>
      <c r="T1058">
        <v>0</v>
      </c>
      <c r="U1058">
        <v>0</v>
      </c>
      <c r="V1058">
        <v>1</v>
      </c>
      <c r="W1058">
        <v>0</v>
      </c>
      <c r="X1058">
        <v>0.85</v>
      </c>
    </row>
    <row r="1059" spans="1:24" x14ac:dyDescent="0.3">
      <c r="A1059" t="s">
        <v>1690</v>
      </c>
      <c r="B1059" s="1">
        <v>45947</v>
      </c>
      <c r="C1059" t="s">
        <v>97</v>
      </c>
      <c r="D1059" t="s">
        <v>82</v>
      </c>
      <c r="E1059" t="s">
        <v>27</v>
      </c>
      <c r="F1059" t="s">
        <v>41</v>
      </c>
      <c r="G1059" t="s">
        <v>42</v>
      </c>
      <c r="H1059" t="s">
        <v>111</v>
      </c>
      <c r="I1059" t="s">
        <v>724</v>
      </c>
      <c r="J1059" t="s">
        <v>137</v>
      </c>
      <c r="K1059" t="s">
        <v>63</v>
      </c>
      <c r="L1059" t="s">
        <v>64</v>
      </c>
      <c r="M1059" t="s">
        <v>47</v>
      </c>
      <c r="N1059" t="s">
        <v>36</v>
      </c>
      <c r="O1059">
        <v>45</v>
      </c>
      <c r="P1059">
        <v>45</v>
      </c>
      <c r="Q1059">
        <v>58.3</v>
      </c>
      <c r="R1059">
        <v>1000</v>
      </c>
      <c r="S1059">
        <v>1000</v>
      </c>
      <c r="T1059">
        <v>0</v>
      </c>
      <c r="U1059">
        <v>0</v>
      </c>
      <c r="V1059">
        <v>1</v>
      </c>
      <c r="W1059">
        <v>0</v>
      </c>
      <c r="X1059">
        <v>0.85</v>
      </c>
    </row>
    <row r="1060" spans="1:24" x14ac:dyDescent="0.3">
      <c r="A1060" t="s">
        <v>1691</v>
      </c>
      <c r="B1060" s="1">
        <v>45869</v>
      </c>
      <c r="C1060" t="s">
        <v>101</v>
      </c>
      <c r="D1060" t="s">
        <v>50</v>
      </c>
      <c r="E1060" t="s">
        <v>40</v>
      </c>
      <c r="F1060" t="s">
        <v>58</v>
      </c>
      <c r="G1060" t="s">
        <v>59</v>
      </c>
      <c r="H1060" t="s">
        <v>117</v>
      </c>
      <c r="I1060" t="s">
        <v>1692</v>
      </c>
      <c r="J1060" t="s">
        <v>137</v>
      </c>
      <c r="K1060" t="s">
        <v>85</v>
      </c>
      <c r="L1060" t="s">
        <v>78</v>
      </c>
      <c r="M1060" t="s">
        <v>35</v>
      </c>
      <c r="N1060" t="s">
        <v>36</v>
      </c>
      <c r="O1060">
        <v>30</v>
      </c>
      <c r="P1060">
        <v>30</v>
      </c>
      <c r="Q1060">
        <v>40.1</v>
      </c>
      <c r="R1060">
        <v>700</v>
      </c>
      <c r="S1060">
        <v>700</v>
      </c>
      <c r="T1060">
        <v>0</v>
      </c>
      <c r="U1060">
        <v>0</v>
      </c>
      <c r="V1060">
        <v>1</v>
      </c>
      <c r="W1060">
        <v>0</v>
      </c>
      <c r="X1060">
        <v>0.85</v>
      </c>
    </row>
    <row r="1061" spans="1:24" x14ac:dyDescent="0.3">
      <c r="A1061" t="s">
        <v>1693</v>
      </c>
      <c r="B1061" s="1">
        <v>45971</v>
      </c>
      <c r="C1061" t="s">
        <v>38</v>
      </c>
      <c r="D1061" t="s">
        <v>39</v>
      </c>
      <c r="E1061" t="s">
        <v>68</v>
      </c>
      <c r="F1061" t="s">
        <v>28</v>
      </c>
      <c r="G1061" t="s">
        <v>29</v>
      </c>
      <c r="H1061" t="s">
        <v>135</v>
      </c>
      <c r="I1061" t="s">
        <v>1446</v>
      </c>
      <c r="J1061" t="s">
        <v>137</v>
      </c>
      <c r="K1061" t="s">
        <v>33</v>
      </c>
      <c r="L1061" t="s">
        <v>34</v>
      </c>
      <c r="M1061" t="s">
        <v>35</v>
      </c>
      <c r="N1061" t="s">
        <v>36</v>
      </c>
      <c r="O1061">
        <v>30</v>
      </c>
      <c r="P1061">
        <v>30</v>
      </c>
      <c r="Q1061">
        <v>34</v>
      </c>
      <c r="R1061">
        <v>600</v>
      </c>
      <c r="S1061">
        <v>600</v>
      </c>
      <c r="T1061">
        <v>0</v>
      </c>
      <c r="U1061">
        <v>0</v>
      </c>
      <c r="V1061">
        <v>1</v>
      </c>
      <c r="W1061">
        <v>0</v>
      </c>
      <c r="X1061">
        <v>0.85</v>
      </c>
    </row>
    <row r="1062" spans="1:24" x14ac:dyDescent="0.3">
      <c r="A1062" t="s">
        <v>1694</v>
      </c>
      <c r="B1062" s="1">
        <v>45724</v>
      </c>
      <c r="C1062" t="s">
        <v>56</v>
      </c>
      <c r="D1062" t="s">
        <v>88</v>
      </c>
      <c r="E1062" t="s">
        <v>83</v>
      </c>
      <c r="F1062" t="s">
        <v>28</v>
      </c>
      <c r="G1062" t="s">
        <v>29</v>
      </c>
      <c r="H1062" t="s">
        <v>102</v>
      </c>
      <c r="I1062" t="s">
        <v>379</v>
      </c>
      <c r="J1062" t="s">
        <v>137</v>
      </c>
      <c r="K1062" t="s">
        <v>33</v>
      </c>
      <c r="L1062" t="s">
        <v>34</v>
      </c>
      <c r="M1062" t="s">
        <v>47</v>
      </c>
      <c r="N1062" t="s">
        <v>36</v>
      </c>
      <c r="O1062">
        <v>45</v>
      </c>
      <c r="P1062">
        <v>45</v>
      </c>
      <c r="Q1062">
        <v>60.4</v>
      </c>
      <c r="R1062">
        <v>950</v>
      </c>
      <c r="S1062">
        <v>950</v>
      </c>
      <c r="T1062">
        <v>0</v>
      </c>
      <c r="U1062">
        <v>0</v>
      </c>
      <c r="V1062">
        <v>1</v>
      </c>
      <c r="W1062">
        <v>0</v>
      </c>
      <c r="X1062">
        <v>0.85</v>
      </c>
    </row>
    <row r="1063" spans="1:24" x14ac:dyDescent="0.3">
      <c r="A1063" t="s">
        <v>1695</v>
      </c>
      <c r="B1063" s="1">
        <v>45983</v>
      </c>
      <c r="C1063" t="s">
        <v>38</v>
      </c>
      <c r="D1063" t="s">
        <v>88</v>
      </c>
      <c r="E1063" t="s">
        <v>83</v>
      </c>
      <c r="F1063" t="s">
        <v>41</v>
      </c>
      <c r="G1063" t="s">
        <v>42</v>
      </c>
      <c r="H1063" t="s">
        <v>111</v>
      </c>
      <c r="I1063" t="s">
        <v>1385</v>
      </c>
      <c r="J1063" t="s">
        <v>32</v>
      </c>
      <c r="K1063" t="s">
        <v>46</v>
      </c>
      <c r="L1063" t="s">
        <v>34</v>
      </c>
      <c r="M1063" t="s">
        <v>47</v>
      </c>
      <c r="N1063" t="s">
        <v>36</v>
      </c>
      <c r="O1063">
        <v>30</v>
      </c>
      <c r="P1063">
        <v>30</v>
      </c>
      <c r="Q1063">
        <v>38.9</v>
      </c>
      <c r="R1063">
        <v>700</v>
      </c>
      <c r="S1063">
        <v>700</v>
      </c>
      <c r="T1063">
        <v>0</v>
      </c>
      <c r="U1063">
        <v>0</v>
      </c>
      <c r="V1063">
        <v>1</v>
      </c>
      <c r="W1063">
        <v>0</v>
      </c>
      <c r="X1063">
        <v>0.85</v>
      </c>
    </row>
    <row r="1064" spans="1:24" x14ac:dyDescent="0.3">
      <c r="A1064" t="s">
        <v>1696</v>
      </c>
      <c r="B1064" s="1">
        <v>45726</v>
      </c>
      <c r="C1064" t="s">
        <v>56</v>
      </c>
      <c r="D1064" t="s">
        <v>39</v>
      </c>
      <c r="E1064" t="s">
        <v>40</v>
      </c>
      <c r="F1064" t="s">
        <v>28</v>
      </c>
      <c r="G1064" t="s">
        <v>29</v>
      </c>
      <c r="H1064" t="s">
        <v>135</v>
      </c>
      <c r="I1064" t="s">
        <v>979</v>
      </c>
      <c r="J1064" t="s">
        <v>45</v>
      </c>
      <c r="K1064" t="s">
        <v>46</v>
      </c>
      <c r="L1064" t="s">
        <v>78</v>
      </c>
      <c r="M1064" t="s">
        <v>65</v>
      </c>
      <c r="N1064" t="s">
        <v>36</v>
      </c>
      <c r="O1064">
        <v>45</v>
      </c>
      <c r="P1064">
        <v>45</v>
      </c>
      <c r="Q1064">
        <v>54</v>
      </c>
      <c r="R1064">
        <v>1000</v>
      </c>
      <c r="S1064">
        <v>1000</v>
      </c>
      <c r="T1064">
        <v>0</v>
      </c>
      <c r="U1064">
        <v>0</v>
      </c>
      <c r="V1064">
        <v>1</v>
      </c>
      <c r="W1064">
        <v>0</v>
      </c>
      <c r="X1064">
        <v>0.85</v>
      </c>
    </row>
    <row r="1065" spans="1:24" x14ac:dyDescent="0.3">
      <c r="A1065" t="s">
        <v>1697</v>
      </c>
      <c r="B1065" s="1">
        <v>45877</v>
      </c>
      <c r="C1065" t="s">
        <v>110</v>
      </c>
      <c r="D1065" t="s">
        <v>82</v>
      </c>
      <c r="E1065" t="s">
        <v>27</v>
      </c>
      <c r="F1065" t="s">
        <v>41</v>
      </c>
      <c r="G1065" t="s">
        <v>42</v>
      </c>
      <c r="H1065" t="s">
        <v>125</v>
      </c>
      <c r="I1065" t="s">
        <v>790</v>
      </c>
      <c r="J1065" t="s">
        <v>45</v>
      </c>
      <c r="K1065" t="s">
        <v>63</v>
      </c>
      <c r="L1065" t="s">
        <v>34</v>
      </c>
      <c r="M1065" t="s">
        <v>94</v>
      </c>
      <c r="N1065" t="s">
        <v>36</v>
      </c>
      <c r="O1065">
        <v>45</v>
      </c>
      <c r="P1065">
        <v>45</v>
      </c>
      <c r="Q1065">
        <v>49.2</v>
      </c>
      <c r="R1065">
        <v>1150</v>
      </c>
      <c r="S1065">
        <v>1150</v>
      </c>
      <c r="T1065">
        <v>0</v>
      </c>
      <c r="U1065">
        <v>0</v>
      </c>
      <c r="V1065">
        <v>1</v>
      </c>
      <c r="W1065">
        <v>0</v>
      </c>
      <c r="X1065">
        <v>0.85</v>
      </c>
    </row>
    <row r="1066" spans="1:24" x14ac:dyDescent="0.3">
      <c r="A1066" t="s">
        <v>1698</v>
      </c>
      <c r="B1066" s="1">
        <v>45808</v>
      </c>
      <c r="C1066" t="s">
        <v>128</v>
      </c>
      <c r="D1066" t="s">
        <v>88</v>
      </c>
      <c r="E1066" t="s">
        <v>83</v>
      </c>
      <c r="F1066" t="s">
        <v>28</v>
      </c>
      <c r="G1066" t="s">
        <v>29</v>
      </c>
      <c r="H1066" t="s">
        <v>135</v>
      </c>
      <c r="I1066" t="s">
        <v>574</v>
      </c>
      <c r="J1066" t="s">
        <v>32</v>
      </c>
      <c r="K1066" t="s">
        <v>63</v>
      </c>
      <c r="L1066" t="s">
        <v>64</v>
      </c>
      <c r="M1066" t="s">
        <v>71</v>
      </c>
      <c r="N1066" t="s">
        <v>36</v>
      </c>
      <c r="O1066">
        <v>60</v>
      </c>
      <c r="P1066">
        <v>60</v>
      </c>
      <c r="Q1066">
        <v>75.599999999999994</v>
      </c>
      <c r="R1066">
        <v>1250</v>
      </c>
      <c r="S1066">
        <v>1250</v>
      </c>
      <c r="T1066">
        <v>0</v>
      </c>
      <c r="U1066">
        <v>0</v>
      </c>
      <c r="V1066">
        <v>1</v>
      </c>
      <c r="W1066">
        <v>0</v>
      </c>
      <c r="X1066">
        <v>0.85</v>
      </c>
    </row>
    <row r="1067" spans="1:24" x14ac:dyDescent="0.3">
      <c r="A1067" t="s">
        <v>1699</v>
      </c>
      <c r="B1067" s="1">
        <v>46002</v>
      </c>
      <c r="C1067" t="s">
        <v>25</v>
      </c>
      <c r="D1067" t="s">
        <v>50</v>
      </c>
      <c r="E1067" t="s">
        <v>27</v>
      </c>
      <c r="F1067" t="s">
        <v>58</v>
      </c>
      <c r="G1067" t="s">
        <v>59</v>
      </c>
      <c r="H1067" t="s">
        <v>151</v>
      </c>
      <c r="I1067" t="s">
        <v>1430</v>
      </c>
      <c r="J1067" t="s">
        <v>45</v>
      </c>
      <c r="K1067" t="s">
        <v>70</v>
      </c>
      <c r="L1067" t="s">
        <v>34</v>
      </c>
      <c r="M1067" t="s">
        <v>65</v>
      </c>
      <c r="N1067" t="s">
        <v>36</v>
      </c>
      <c r="O1067">
        <v>60</v>
      </c>
      <c r="P1067">
        <v>60</v>
      </c>
      <c r="Q1067">
        <v>65.900000000000006</v>
      </c>
      <c r="R1067">
        <v>1700</v>
      </c>
      <c r="S1067">
        <v>1700</v>
      </c>
      <c r="T1067">
        <v>0</v>
      </c>
      <c r="U1067">
        <v>0</v>
      </c>
      <c r="V1067">
        <v>1</v>
      </c>
      <c r="W1067">
        <v>0</v>
      </c>
      <c r="X1067">
        <v>0.85</v>
      </c>
    </row>
    <row r="1068" spans="1:24" x14ac:dyDescent="0.3">
      <c r="A1068" t="s">
        <v>1700</v>
      </c>
      <c r="B1068" s="1">
        <v>45777</v>
      </c>
      <c r="C1068" t="s">
        <v>92</v>
      </c>
      <c r="D1068" t="s">
        <v>57</v>
      </c>
      <c r="E1068" t="s">
        <v>68</v>
      </c>
      <c r="F1068" t="s">
        <v>41</v>
      </c>
      <c r="G1068" t="s">
        <v>42</v>
      </c>
      <c r="H1068" t="s">
        <v>43</v>
      </c>
      <c r="I1068" t="s">
        <v>1701</v>
      </c>
      <c r="J1068" t="s">
        <v>137</v>
      </c>
      <c r="K1068" t="s">
        <v>104</v>
      </c>
      <c r="L1068" t="s">
        <v>54</v>
      </c>
      <c r="M1068" t="s">
        <v>94</v>
      </c>
      <c r="N1068" t="s">
        <v>95</v>
      </c>
      <c r="O1068">
        <v>90</v>
      </c>
      <c r="P1068">
        <v>0</v>
      </c>
      <c r="Q1068">
        <v>99.2</v>
      </c>
      <c r="R1068">
        <v>1700</v>
      </c>
      <c r="S1068">
        <v>0</v>
      </c>
      <c r="T1068">
        <v>1700</v>
      </c>
      <c r="U1068">
        <v>1</v>
      </c>
      <c r="V1068">
        <v>0</v>
      </c>
      <c r="W1068">
        <v>0</v>
      </c>
      <c r="X1068">
        <v>0.85</v>
      </c>
    </row>
    <row r="1069" spans="1:24" x14ac:dyDescent="0.3">
      <c r="A1069" t="s">
        <v>1702</v>
      </c>
      <c r="B1069" s="1">
        <v>45852</v>
      </c>
      <c r="C1069" t="s">
        <v>101</v>
      </c>
      <c r="D1069" t="s">
        <v>39</v>
      </c>
      <c r="E1069" t="s">
        <v>83</v>
      </c>
      <c r="F1069" t="s">
        <v>28</v>
      </c>
      <c r="G1069" t="s">
        <v>29</v>
      </c>
      <c r="H1069" t="s">
        <v>210</v>
      </c>
      <c r="I1069" t="s">
        <v>304</v>
      </c>
      <c r="J1069" t="s">
        <v>62</v>
      </c>
      <c r="K1069" t="s">
        <v>63</v>
      </c>
      <c r="L1069" t="s">
        <v>64</v>
      </c>
      <c r="M1069" t="s">
        <v>86</v>
      </c>
      <c r="N1069" t="s">
        <v>36</v>
      </c>
      <c r="O1069">
        <v>60</v>
      </c>
      <c r="P1069">
        <v>60</v>
      </c>
      <c r="Q1069">
        <v>74</v>
      </c>
      <c r="R1069">
        <v>1250</v>
      </c>
      <c r="S1069">
        <v>1250</v>
      </c>
      <c r="T1069">
        <v>0</v>
      </c>
      <c r="U1069">
        <v>0</v>
      </c>
      <c r="V1069">
        <v>1</v>
      </c>
      <c r="W1069">
        <v>0</v>
      </c>
      <c r="X1069">
        <v>0.85</v>
      </c>
    </row>
    <row r="1070" spans="1:24" x14ac:dyDescent="0.3">
      <c r="A1070" t="s">
        <v>1703</v>
      </c>
      <c r="B1070" s="1">
        <v>45881</v>
      </c>
      <c r="C1070" t="s">
        <v>110</v>
      </c>
      <c r="D1070" t="s">
        <v>26</v>
      </c>
      <c r="E1070" t="s">
        <v>68</v>
      </c>
      <c r="F1070" t="s">
        <v>28</v>
      </c>
      <c r="G1070" t="s">
        <v>29</v>
      </c>
      <c r="H1070" t="s">
        <v>120</v>
      </c>
      <c r="I1070" t="s">
        <v>1704</v>
      </c>
      <c r="J1070" t="s">
        <v>62</v>
      </c>
      <c r="K1070" t="s">
        <v>70</v>
      </c>
      <c r="L1070" t="s">
        <v>78</v>
      </c>
      <c r="M1070" t="s">
        <v>35</v>
      </c>
      <c r="N1070" t="s">
        <v>36</v>
      </c>
      <c r="O1070">
        <v>45</v>
      </c>
      <c r="P1070">
        <v>45</v>
      </c>
      <c r="Q1070">
        <v>55.8</v>
      </c>
      <c r="R1070">
        <v>850</v>
      </c>
      <c r="S1070">
        <v>850</v>
      </c>
      <c r="T1070">
        <v>0</v>
      </c>
      <c r="U1070">
        <v>0</v>
      </c>
      <c r="V1070">
        <v>1</v>
      </c>
      <c r="W1070">
        <v>0</v>
      </c>
      <c r="X1070">
        <v>0.85</v>
      </c>
    </row>
    <row r="1071" spans="1:24" x14ac:dyDescent="0.3">
      <c r="A1071" t="s">
        <v>1705</v>
      </c>
      <c r="B1071" s="1">
        <v>45797</v>
      </c>
      <c r="C1071" t="s">
        <v>128</v>
      </c>
      <c r="D1071" t="s">
        <v>26</v>
      </c>
      <c r="E1071" t="s">
        <v>68</v>
      </c>
      <c r="F1071" t="s">
        <v>58</v>
      </c>
      <c r="G1071" t="s">
        <v>59</v>
      </c>
      <c r="H1071" t="s">
        <v>73</v>
      </c>
      <c r="I1071" t="s">
        <v>133</v>
      </c>
      <c r="J1071" t="s">
        <v>53</v>
      </c>
      <c r="K1071" t="s">
        <v>63</v>
      </c>
      <c r="L1071" t="s">
        <v>78</v>
      </c>
      <c r="M1071" t="s">
        <v>86</v>
      </c>
      <c r="N1071" t="s">
        <v>36</v>
      </c>
      <c r="O1071">
        <v>60</v>
      </c>
      <c r="P1071">
        <v>60</v>
      </c>
      <c r="Q1071">
        <v>70.2</v>
      </c>
      <c r="R1071">
        <v>1650</v>
      </c>
      <c r="S1071">
        <v>1650</v>
      </c>
      <c r="T1071">
        <v>0</v>
      </c>
      <c r="U1071">
        <v>0</v>
      </c>
      <c r="V1071">
        <v>1</v>
      </c>
      <c r="W1071">
        <v>0</v>
      </c>
      <c r="X1071">
        <v>0.85</v>
      </c>
    </row>
    <row r="1072" spans="1:24" x14ac:dyDescent="0.3">
      <c r="A1072" t="s">
        <v>1706</v>
      </c>
      <c r="B1072" s="1">
        <v>45818</v>
      </c>
      <c r="C1072" t="s">
        <v>67</v>
      </c>
      <c r="D1072" t="s">
        <v>26</v>
      </c>
      <c r="E1072" t="s">
        <v>40</v>
      </c>
      <c r="F1072" t="s">
        <v>58</v>
      </c>
      <c r="G1072" t="s">
        <v>59</v>
      </c>
      <c r="H1072" t="s">
        <v>296</v>
      </c>
      <c r="I1072" t="s">
        <v>1493</v>
      </c>
      <c r="J1072" t="s">
        <v>62</v>
      </c>
      <c r="K1072" t="s">
        <v>104</v>
      </c>
      <c r="L1072" t="s">
        <v>54</v>
      </c>
      <c r="M1072" t="s">
        <v>35</v>
      </c>
      <c r="N1072" t="s">
        <v>95</v>
      </c>
      <c r="O1072">
        <v>30</v>
      </c>
      <c r="P1072">
        <v>0</v>
      </c>
      <c r="Q1072">
        <v>32.700000000000003</v>
      </c>
      <c r="R1072">
        <v>650</v>
      </c>
      <c r="S1072">
        <v>0</v>
      </c>
      <c r="T1072">
        <v>650</v>
      </c>
      <c r="U1072">
        <v>1</v>
      </c>
      <c r="V1072">
        <v>0</v>
      </c>
      <c r="W1072">
        <v>0</v>
      </c>
      <c r="X1072">
        <v>0.85</v>
      </c>
    </row>
    <row r="1073" spans="1:24" x14ac:dyDescent="0.3">
      <c r="A1073" t="s">
        <v>1707</v>
      </c>
      <c r="B1073" s="1">
        <v>45838</v>
      </c>
      <c r="C1073" t="s">
        <v>67</v>
      </c>
      <c r="D1073" t="s">
        <v>39</v>
      </c>
      <c r="E1073" t="s">
        <v>40</v>
      </c>
      <c r="F1073" t="s">
        <v>58</v>
      </c>
      <c r="G1073" t="s">
        <v>59</v>
      </c>
      <c r="H1073" t="s">
        <v>60</v>
      </c>
      <c r="I1073" t="s">
        <v>1662</v>
      </c>
      <c r="J1073" t="s">
        <v>62</v>
      </c>
      <c r="K1073" t="s">
        <v>46</v>
      </c>
      <c r="L1073" t="s">
        <v>78</v>
      </c>
      <c r="M1073" t="s">
        <v>86</v>
      </c>
      <c r="N1073" t="s">
        <v>95</v>
      </c>
      <c r="O1073">
        <v>45</v>
      </c>
      <c r="P1073">
        <v>0</v>
      </c>
      <c r="Q1073">
        <v>54.4</v>
      </c>
      <c r="R1073">
        <v>1050</v>
      </c>
      <c r="S1073">
        <v>0</v>
      </c>
      <c r="T1073">
        <v>1050</v>
      </c>
      <c r="U1073">
        <v>1</v>
      </c>
      <c r="V1073">
        <v>0</v>
      </c>
      <c r="W1073">
        <v>0</v>
      </c>
      <c r="X1073">
        <v>0.85</v>
      </c>
    </row>
    <row r="1074" spans="1:24" x14ac:dyDescent="0.3">
      <c r="A1074" t="s">
        <v>1708</v>
      </c>
      <c r="B1074" s="1">
        <v>45673</v>
      </c>
      <c r="C1074" t="s">
        <v>130</v>
      </c>
      <c r="D1074" t="s">
        <v>50</v>
      </c>
      <c r="E1074" t="s">
        <v>27</v>
      </c>
      <c r="F1074" t="s">
        <v>28</v>
      </c>
      <c r="G1074" t="s">
        <v>29</v>
      </c>
      <c r="H1074" t="s">
        <v>135</v>
      </c>
      <c r="I1074" t="s">
        <v>163</v>
      </c>
      <c r="J1074" t="s">
        <v>137</v>
      </c>
      <c r="K1074" t="s">
        <v>63</v>
      </c>
      <c r="L1074" t="s">
        <v>64</v>
      </c>
      <c r="M1074" t="s">
        <v>65</v>
      </c>
      <c r="N1074" t="s">
        <v>36</v>
      </c>
      <c r="O1074">
        <v>60</v>
      </c>
      <c r="P1074">
        <v>60</v>
      </c>
      <c r="Q1074">
        <v>74.900000000000006</v>
      </c>
      <c r="R1074">
        <v>1250</v>
      </c>
      <c r="S1074">
        <v>1250</v>
      </c>
      <c r="T1074">
        <v>0</v>
      </c>
      <c r="U1074">
        <v>0</v>
      </c>
      <c r="V1074">
        <v>1</v>
      </c>
      <c r="W1074">
        <v>0</v>
      </c>
      <c r="X1074">
        <v>0.85</v>
      </c>
    </row>
    <row r="1075" spans="1:24" x14ac:dyDescent="0.3">
      <c r="A1075" t="s">
        <v>1709</v>
      </c>
      <c r="B1075" s="1">
        <v>45919</v>
      </c>
      <c r="C1075" t="s">
        <v>49</v>
      </c>
      <c r="D1075" t="s">
        <v>82</v>
      </c>
      <c r="E1075" t="s">
        <v>83</v>
      </c>
      <c r="F1075" t="s">
        <v>58</v>
      </c>
      <c r="G1075" t="s">
        <v>59</v>
      </c>
      <c r="H1075" t="s">
        <v>296</v>
      </c>
      <c r="I1075" t="s">
        <v>407</v>
      </c>
      <c r="J1075" t="s">
        <v>53</v>
      </c>
      <c r="K1075" t="s">
        <v>85</v>
      </c>
      <c r="L1075" t="s">
        <v>34</v>
      </c>
      <c r="M1075" t="s">
        <v>86</v>
      </c>
      <c r="N1075" t="s">
        <v>36</v>
      </c>
      <c r="O1075">
        <v>60</v>
      </c>
      <c r="P1075">
        <v>60</v>
      </c>
      <c r="Q1075">
        <v>68.8</v>
      </c>
      <c r="R1075">
        <v>1800</v>
      </c>
      <c r="S1075">
        <v>1800</v>
      </c>
      <c r="T1075">
        <v>0</v>
      </c>
      <c r="U1075">
        <v>0</v>
      </c>
      <c r="V1075">
        <v>1</v>
      </c>
      <c r="W1075">
        <v>0</v>
      </c>
      <c r="X1075">
        <v>0.85</v>
      </c>
    </row>
    <row r="1076" spans="1:24" x14ac:dyDescent="0.3">
      <c r="A1076" t="s">
        <v>1710</v>
      </c>
      <c r="B1076" s="1">
        <v>45916</v>
      </c>
      <c r="C1076" t="s">
        <v>49</v>
      </c>
      <c r="D1076" t="s">
        <v>26</v>
      </c>
      <c r="E1076" t="s">
        <v>68</v>
      </c>
      <c r="F1076" t="s">
        <v>41</v>
      </c>
      <c r="G1076" t="s">
        <v>42</v>
      </c>
      <c r="H1076" t="s">
        <v>89</v>
      </c>
      <c r="I1076" t="s">
        <v>1711</v>
      </c>
      <c r="J1076" t="s">
        <v>99</v>
      </c>
      <c r="K1076" t="s">
        <v>63</v>
      </c>
      <c r="L1076" t="s">
        <v>64</v>
      </c>
      <c r="M1076" t="s">
        <v>47</v>
      </c>
      <c r="N1076" t="s">
        <v>36</v>
      </c>
      <c r="O1076">
        <v>75</v>
      </c>
      <c r="P1076">
        <v>75</v>
      </c>
      <c r="Q1076">
        <v>93.1</v>
      </c>
      <c r="R1076">
        <v>1700</v>
      </c>
      <c r="S1076">
        <v>1700</v>
      </c>
      <c r="T1076">
        <v>0</v>
      </c>
      <c r="U1076">
        <v>0</v>
      </c>
      <c r="V1076">
        <v>1</v>
      </c>
      <c r="W1076">
        <v>0</v>
      </c>
      <c r="X1076">
        <v>0.85</v>
      </c>
    </row>
    <row r="1077" spans="1:24" x14ac:dyDescent="0.3">
      <c r="A1077" t="s">
        <v>1712</v>
      </c>
      <c r="B1077" s="1">
        <v>45850</v>
      </c>
      <c r="C1077" t="s">
        <v>101</v>
      </c>
      <c r="D1077" t="s">
        <v>88</v>
      </c>
      <c r="E1077" t="s">
        <v>68</v>
      </c>
      <c r="F1077" t="s">
        <v>58</v>
      </c>
      <c r="G1077" t="s">
        <v>59</v>
      </c>
      <c r="H1077" t="s">
        <v>151</v>
      </c>
      <c r="I1077" t="s">
        <v>1713</v>
      </c>
      <c r="J1077" t="s">
        <v>32</v>
      </c>
      <c r="K1077" t="s">
        <v>70</v>
      </c>
      <c r="L1077" t="s">
        <v>34</v>
      </c>
      <c r="M1077" t="s">
        <v>35</v>
      </c>
      <c r="N1077" t="s">
        <v>36</v>
      </c>
      <c r="O1077">
        <v>90</v>
      </c>
      <c r="P1077">
        <v>90</v>
      </c>
      <c r="Q1077">
        <v>100.4</v>
      </c>
      <c r="R1077">
        <v>2250</v>
      </c>
      <c r="S1077">
        <v>2250</v>
      </c>
      <c r="T1077">
        <v>0</v>
      </c>
      <c r="U1077">
        <v>0</v>
      </c>
      <c r="V1077">
        <v>1</v>
      </c>
      <c r="W1077">
        <v>0</v>
      </c>
      <c r="X1077">
        <v>0.85</v>
      </c>
    </row>
    <row r="1078" spans="1:24" x14ac:dyDescent="0.3">
      <c r="A1078" t="s">
        <v>1714</v>
      </c>
      <c r="B1078" s="1">
        <v>45775</v>
      </c>
      <c r="C1078" t="s">
        <v>92</v>
      </c>
      <c r="D1078" t="s">
        <v>39</v>
      </c>
      <c r="E1078" t="s">
        <v>27</v>
      </c>
      <c r="F1078" t="s">
        <v>41</v>
      </c>
      <c r="G1078" t="s">
        <v>42</v>
      </c>
      <c r="H1078" t="s">
        <v>125</v>
      </c>
      <c r="I1078" t="s">
        <v>1118</v>
      </c>
      <c r="J1078" t="s">
        <v>137</v>
      </c>
      <c r="K1078" t="s">
        <v>85</v>
      </c>
      <c r="L1078" t="s">
        <v>64</v>
      </c>
      <c r="M1078" t="s">
        <v>47</v>
      </c>
      <c r="N1078" t="s">
        <v>36</v>
      </c>
      <c r="O1078">
        <v>45</v>
      </c>
      <c r="P1078">
        <v>45</v>
      </c>
      <c r="Q1078">
        <v>59.3</v>
      </c>
      <c r="R1078">
        <v>1000</v>
      </c>
      <c r="S1078">
        <v>1000</v>
      </c>
      <c r="T1078">
        <v>0</v>
      </c>
      <c r="U1078">
        <v>0</v>
      </c>
      <c r="V1078">
        <v>1</v>
      </c>
      <c r="W1078">
        <v>0</v>
      </c>
      <c r="X1078">
        <v>0.85</v>
      </c>
    </row>
    <row r="1079" spans="1:24" x14ac:dyDescent="0.3">
      <c r="A1079" t="s">
        <v>1715</v>
      </c>
      <c r="B1079" s="1">
        <v>45698</v>
      </c>
      <c r="C1079" t="s">
        <v>76</v>
      </c>
      <c r="D1079" t="s">
        <v>39</v>
      </c>
      <c r="E1079" t="s">
        <v>27</v>
      </c>
      <c r="F1079" t="s">
        <v>41</v>
      </c>
      <c r="G1079" t="s">
        <v>42</v>
      </c>
      <c r="H1079" t="s">
        <v>111</v>
      </c>
      <c r="I1079" t="s">
        <v>312</v>
      </c>
      <c r="J1079" t="s">
        <v>62</v>
      </c>
      <c r="K1079" t="s">
        <v>63</v>
      </c>
      <c r="L1079" t="s">
        <v>34</v>
      </c>
      <c r="M1079" t="s">
        <v>86</v>
      </c>
      <c r="N1079" t="s">
        <v>36</v>
      </c>
      <c r="O1079">
        <v>60</v>
      </c>
      <c r="P1079">
        <v>60</v>
      </c>
      <c r="Q1079">
        <v>70.099999999999994</v>
      </c>
      <c r="R1079">
        <v>1350</v>
      </c>
      <c r="S1079">
        <v>1350</v>
      </c>
      <c r="T1079">
        <v>0</v>
      </c>
      <c r="U1079">
        <v>0</v>
      </c>
      <c r="V1079">
        <v>1</v>
      </c>
      <c r="W1079">
        <v>0</v>
      </c>
      <c r="X1079">
        <v>0.85</v>
      </c>
    </row>
    <row r="1080" spans="1:24" x14ac:dyDescent="0.3">
      <c r="A1080" t="s">
        <v>1716</v>
      </c>
      <c r="B1080" s="1">
        <v>45703</v>
      </c>
      <c r="C1080" t="s">
        <v>76</v>
      </c>
      <c r="D1080" t="s">
        <v>88</v>
      </c>
      <c r="E1080" t="s">
        <v>68</v>
      </c>
      <c r="F1080" t="s">
        <v>58</v>
      </c>
      <c r="G1080" t="s">
        <v>59</v>
      </c>
      <c r="H1080" t="s">
        <v>117</v>
      </c>
      <c r="I1080" t="s">
        <v>639</v>
      </c>
      <c r="J1080" t="s">
        <v>62</v>
      </c>
      <c r="K1080" t="s">
        <v>46</v>
      </c>
      <c r="L1080" t="s">
        <v>54</v>
      </c>
      <c r="M1080" t="s">
        <v>65</v>
      </c>
      <c r="N1080" t="s">
        <v>36</v>
      </c>
      <c r="O1080">
        <v>60</v>
      </c>
      <c r="P1080">
        <v>60</v>
      </c>
      <c r="Q1080">
        <v>68.2</v>
      </c>
      <c r="R1080">
        <v>1300</v>
      </c>
      <c r="S1080">
        <v>1300</v>
      </c>
      <c r="T1080">
        <v>0</v>
      </c>
      <c r="U1080">
        <v>0</v>
      </c>
      <c r="V1080">
        <v>1</v>
      </c>
      <c r="W1080">
        <v>0</v>
      </c>
      <c r="X1080">
        <v>0.85</v>
      </c>
    </row>
    <row r="1081" spans="1:24" x14ac:dyDescent="0.3">
      <c r="A1081" t="s">
        <v>1717</v>
      </c>
      <c r="B1081" s="1">
        <v>45726</v>
      </c>
      <c r="C1081" t="s">
        <v>56</v>
      </c>
      <c r="D1081" t="s">
        <v>39</v>
      </c>
      <c r="E1081" t="s">
        <v>40</v>
      </c>
      <c r="F1081" t="s">
        <v>58</v>
      </c>
      <c r="G1081" t="s">
        <v>59</v>
      </c>
      <c r="H1081" t="s">
        <v>73</v>
      </c>
      <c r="I1081" t="s">
        <v>1223</v>
      </c>
      <c r="J1081" t="s">
        <v>45</v>
      </c>
      <c r="K1081" t="s">
        <v>85</v>
      </c>
      <c r="L1081" t="s">
        <v>34</v>
      </c>
      <c r="M1081" t="s">
        <v>65</v>
      </c>
      <c r="N1081" t="s">
        <v>153</v>
      </c>
      <c r="O1081">
        <v>60</v>
      </c>
      <c r="P1081">
        <v>0</v>
      </c>
      <c r="Q1081">
        <v>77.7</v>
      </c>
      <c r="R1081">
        <v>1700</v>
      </c>
      <c r="S1081">
        <v>0</v>
      </c>
      <c r="T1081">
        <v>0</v>
      </c>
      <c r="U1081">
        <v>0</v>
      </c>
      <c r="V1081">
        <v>0</v>
      </c>
      <c r="W1081">
        <v>0</v>
      </c>
      <c r="X1081">
        <v>0.85</v>
      </c>
    </row>
    <row r="1082" spans="1:24" x14ac:dyDescent="0.3">
      <c r="A1082" t="s">
        <v>1718</v>
      </c>
      <c r="B1082" s="1">
        <v>45890</v>
      </c>
      <c r="C1082" t="s">
        <v>110</v>
      </c>
      <c r="D1082" t="s">
        <v>50</v>
      </c>
      <c r="E1082" t="s">
        <v>68</v>
      </c>
      <c r="F1082" t="s">
        <v>58</v>
      </c>
      <c r="G1082" t="s">
        <v>59</v>
      </c>
      <c r="H1082" t="s">
        <v>151</v>
      </c>
      <c r="I1082" t="s">
        <v>1376</v>
      </c>
      <c r="J1082" t="s">
        <v>45</v>
      </c>
      <c r="K1082" t="s">
        <v>33</v>
      </c>
      <c r="L1082" t="s">
        <v>34</v>
      </c>
      <c r="M1082" t="s">
        <v>47</v>
      </c>
      <c r="N1082" t="s">
        <v>36</v>
      </c>
      <c r="O1082">
        <v>45</v>
      </c>
      <c r="P1082">
        <v>45</v>
      </c>
      <c r="Q1082">
        <v>52.7</v>
      </c>
      <c r="R1082">
        <v>1300</v>
      </c>
      <c r="S1082">
        <v>1300</v>
      </c>
      <c r="T1082">
        <v>0</v>
      </c>
      <c r="U1082">
        <v>0</v>
      </c>
      <c r="V1082">
        <v>1</v>
      </c>
      <c r="W1082">
        <v>0</v>
      </c>
      <c r="X1082">
        <v>0.85</v>
      </c>
    </row>
    <row r="1083" spans="1:24" x14ac:dyDescent="0.3">
      <c r="A1083" t="s">
        <v>1719</v>
      </c>
      <c r="B1083" s="1">
        <v>45813</v>
      </c>
      <c r="C1083" t="s">
        <v>67</v>
      </c>
      <c r="D1083" t="s">
        <v>50</v>
      </c>
      <c r="E1083" t="s">
        <v>27</v>
      </c>
      <c r="F1083" t="s">
        <v>28</v>
      </c>
      <c r="G1083" t="s">
        <v>29</v>
      </c>
      <c r="H1083" t="s">
        <v>210</v>
      </c>
      <c r="I1083" t="s">
        <v>528</v>
      </c>
      <c r="J1083" t="s">
        <v>62</v>
      </c>
      <c r="K1083" t="s">
        <v>104</v>
      </c>
      <c r="L1083" t="s">
        <v>34</v>
      </c>
      <c r="M1083" t="s">
        <v>35</v>
      </c>
      <c r="N1083" t="s">
        <v>36</v>
      </c>
      <c r="O1083">
        <v>45</v>
      </c>
      <c r="P1083">
        <v>45</v>
      </c>
      <c r="Q1083">
        <v>55.4</v>
      </c>
      <c r="R1083">
        <v>950</v>
      </c>
      <c r="S1083">
        <v>950</v>
      </c>
      <c r="T1083">
        <v>0</v>
      </c>
      <c r="U1083">
        <v>0</v>
      </c>
      <c r="V1083">
        <v>1</v>
      </c>
      <c r="W1083">
        <v>0</v>
      </c>
      <c r="X1083">
        <v>0.85</v>
      </c>
    </row>
    <row r="1084" spans="1:24" x14ac:dyDescent="0.3">
      <c r="A1084" t="s">
        <v>1720</v>
      </c>
      <c r="B1084" s="1">
        <v>45933</v>
      </c>
      <c r="C1084" t="s">
        <v>97</v>
      </c>
      <c r="D1084" t="s">
        <v>82</v>
      </c>
      <c r="E1084" t="s">
        <v>27</v>
      </c>
      <c r="F1084" t="s">
        <v>41</v>
      </c>
      <c r="G1084" t="s">
        <v>42</v>
      </c>
      <c r="H1084" t="s">
        <v>125</v>
      </c>
      <c r="I1084" t="s">
        <v>652</v>
      </c>
      <c r="J1084" t="s">
        <v>62</v>
      </c>
      <c r="K1084" t="s">
        <v>70</v>
      </c>
      <c r="L1084" t="s">
        <v>64</v>
      </c>
      <c r="M1084" t="s">
        <v>47</v>
      </c>
      <c r="N1084" t="s">
        <v>36</v>
      </c>
      <c r="O1084">
        <v>45</v>
      </c>
      <c r="P1084">
        <v>45</v>
      </c>
      <c r="Q1084">
        <v>56</v>
      </c>
      <c r="R1084">
        <v>1000</v>
      </c>
      <c r="S1084">
        <v>1000</v>
      </c>
      <c r="T1084">
        <v>0</v>
      </c>
      <c r="U1084">
        <v>0</v>
      </c>
      <c r="V1084">
        <v>1</v>
      </c>
      <c r="W1084">
        <v>0</v>
      </c>
      <c r="X1084">
        <v>0.85</v>
      </c>
    </row>
    <row r="1085" spans="1:24" x14ac:dyDescent="0.3">
      <c r="A1085" t="s">
        <v>1721</v>
      </c>
      <c r="B1085" s="1">
        <v>45673</v>
      </c>
      <c r="C1085" t="s">
        <v>130</v>
      </c>
      <c r="D1085" t="s">
        <v>50</v>
      </c>
      <c r="E1085" t="s">
        <v>40</v>
      </c>
      <c r="F1085" t="s">
        <v>41</v>
      </c>
      <c r="G1085" t="s">
        <v>42</v>
      </c>
      <c r="H1085" t="s">
        <v>111</v>
      </c>
      <c r="I1085" t="s">
        <v>990</v>
      </c>
      <c r="J1085" t="s">
        <v>99</v>
      </c>
      <c r="K1085" t="s">
        <v>46</v>
      </c>
      <c r="L1085" t="s">
        <v>78</v>
      </c>
      <c r="M1085" t="s">
        <v>35</v>
      </c>
      <c r="N1085" t="s">
        <v>95</v>
      </c>
      <c r="O1085">
        <v>60</v>
      </c>
      <c r="P1085">
        <v>0</v>
      </c>
      <c r="Q1085">
        <v>79.900000000000006</v>
      </c>
      <c r="R1085">
        <v>1250</v>
      </c>
      <c r="S1085">
        <v>0</v>
      </c>
      <c r="T1085">
        <v>1250</v>
      </c>
      <c r="U1085">
        <v>1</v>
      </c>
      <c r="V1085">
        <v>0</v>
      </c>
      <c r="W1085">
        <v>0</v>
      </c>
      <c r="X1085">
        <v>0.85</v>
      </c>
    </row>
    <row r="1086" spans="1:24" x14ac:dyDescent="0.3">
      <c r="A1086" t="s">
        <v>1722</v>
      </c>
      <c r="B1086" s="1">
        <v>45861</v>
      </c>
      <c r="C1086" t="s">
        <v>101</v>
      </c>
      <c r="D1086" t="s">
        <v>57</v>
      </c>
      <c r="E1086" t="s">
        <v>83</v>
      </c>
      <c r="F1086" t="s">
        <v>41</v>
      </c>
      <c r="G1086" t="s">
        <v>42</v>
      </c>
      <c r="H1086" t="s">
        <v>111</v>
      </c>
      <c r="I1086" t="s">
        <v>1286</v>
      </c>
      <c r="J1086" t="s">
        <v>137</v>
      </c>
      <c r="K1086" t="s">
        <v>33</v>
      </c>
      <c r="L1086" t="s">
        <v>34</v>
      </c>
      <c r="M1086" t="s">
        <v>65</v>
      </c>
      <c r="N1086" t="s">
        <v>36</v>
      </c>
      <c r="O1086">
        <v>60</v>
      </c>
      <c r="P1086">
        <v>60</v>
      </c>
      <c r="Q1086">
        <v>74.400000000000006</v>
      </c>
      <c r="R1086">
        <v>1350</v>
      </c>
      <c r="S1086">
        <v>1350</v>
      </c>
      <c r="T1086">
        <v>0</v>
      </c>
      <c r="U1086">
        <v>0</v>
      </c>
      <c r="V1086">
        <v>1</v>
      </c>
      <c r="W1086">
        <v>0</v>
      </c>
      <c r="X1086">
        <v>0.85</v>
      </c>
    </row>
    <row r="1087" spans="1:24" x14ac:dyDescent="0.3">
      <c r="A1087" t="s">
        <v>1723</v>
      </c>
      <c r="B1087" s="1">
        <v>45880</v>
      </c>
      <c r="C1087" t="s">
        <v>110</v>
      </c>
      <c r="D1087" t="s">
        <v>39</v>
      </c>
      <c r="E1087" t="s">
        <v>27</v>
      </c>
      <c r="F1087" t="s">
        <v>28</v>
      </c>
      <c r="G1087" t="s">
        <v>29</v>
      </c>
      <c r="H1087" t="s">
        <v>135</v>
      </c>
      <c r="I1087" t="s">
        <v>188</v>
      </c>
      <c r="J1087" t="s">
        <v>45</v>
      </c>
      <c r="K1087" t="s">
        <v>85</v>
      </c>
      <c r="L1087" t="s">
        <v>34</v>
      </c>
      <c r="M1087" t="s">
        <v>86</v>
      </c>
      <c r="N1087" t="s">
        <v>153</v>
      </c>
      <c r="O1087">
        <v>45</v>
      </c>
      <c r="P1087">
        <v>0</v>
      </c>
      <c r="Q1087">
        <v>60.7</v>
      </c>
      <c r="R1087">
        <v>1100</v>
      </c>
      <c r="S1087">
        <v>0</v>
      </c>
      <c r="T1087">
        <v>0</v>
      </c>
      <c r="U1087">
        <v>0</v>
      </c>
      <c r="V1087">
        <v>0</v>
      </c>
      <c r="W1087">
        <v>0</v>
      </c>
      <c r="X1087">
        <v>0.85</v>
      </c>
    </row>
    <row r="1088" spans="1:24" x14ac:dyDescent="0.3">
      <c r="A1088" t="s">
        <v>1724</v>
      </c>
      <c r="B1088" s="1">
        <v>45932</v>
      </c>
      <c r="C1088" t="s">
        <v>97</v>
      </c>
      <c r="D1088" t="s">
        <v>50</v>
      </c>
      <c r="E1088" t="s">
        <v>40</v>
      </c>
      <c r="F1088" t="s">
        <v>28</v>
      </c>
      <c r="G1088" t="s">
        <v>29</v>
      </c>
      <c r="H1088" t="s">
        <v>210</v>
      </c>
      <c r="I1088" t="s">
        <v>803</v>
      </c>
      <c r="J1088" t="s">
        <v>137</v>
      </c>
      <c r="K1088" t="s">
        <v>46</v>
      </c>
      <c r="L1088" t="s">
        <v>34</v>
      </c>
      <c r="M1088" t="s">
        <v>86</v>
      </c>
      <c r="N1088" t="s">
        <v>36</v>
      </c>
      <c r="O1088">
        <v>30</v>
      </c>
      <c r="P1088">
        <v>30</v>
      </c>
      <c r="Q1088">
        <v>34.700000000000003</v>
      </c>
      <c r="R1088">
        <v>600</v>
      </c>
      <c r="S1088">
        <v>600</v>
      </c>
      <c r="T1088">
        <v>0</v>
      </c>
      <c r="U1088">
        <v>0</v>
      </c>
      <c r="V1088">
        <v>1</v>
      </c>
      <c r="W1088">
        <v>0</v>
      </c>
      <c r="X1088">
        <v>0.85</v>
      </c>
    </row>
    <row r="1089" spans="1:24" x14ac:dyDescent="0.3">
      <c r="A1089" t="s">
        <v>1725</v>
      </c>
      <c r="B1089" s="1">
        <v>45743</v>
      </c>
      <c r="C1089" t="s">
        <v>56</v>
      </c>
      <c r="D1089" t="s">
        <v>50</v>
      </c>
      <c r="E1089" t="s">
        <v>83</v>
      </c>
      <c r="F1089" t="s">
        <v>28</v>
      </c>
      <c r="G1089" t="s">
        <v>29</v>
      </c>
      <c r="H1089" t="s">
        <v>30</v>
      </c>
      <c r="I1089" t="s">
        <v>1184</v>
      </c>
      <c r="J1089" t="s">
        <v>53</v>
      </c>
      <c r="K1089" t="s">
        <v>104</v>
      </c>
      <c r="L1089" t="s">
        <v>78</v>
      </c>
      <c r="M1089" t="s">
        <v>47</v>
      </c>
      <c r="N1089" t="s">
        <v>36</v>
      </c>
      <c r="O1089">
        <v>60</v>
      </c>
      <c r="P1089">
        <v>60</v>
      </c>
      <c r="Q1089">
        <v>65.599999999999994</v>
      </c>
      <c r="R1089">
        <v>1400</v>
      </c>
      <c r="S1089">
        <v>1400</v>
      </c>
      <c r="T1089">
        <v>0</v>
      </c>
      <c r="U1089">
        <v>0</v>
      </c>
      <c r="V1089">
        <v>1</v>
      </c>
      <c r="W1089">
        <v>0</v>
      </c>
      <c r="X1089">
        <v>0.85</v>
      </c>
    </row>
    <row r="1090" spans="1:24" x14ac:dyDescent="0.3">
      <c r="A1090" t="s">
        <v>1726</v>
      </c>
      <c r="B1090" s="1">
        <v>45902</v>
      </c>
      <c r="C1090" t="s">
        <v>49</v>
      </c>
      <c r="D1090" t="s">
        <v>26</v>
      </c>
      <c r="E1090" t="s">
        <v>83</v>
      </c>
      <c r="F1090" t="s">
        <v>58</v>
      </c>
      <c r="G1090" t="s">
        <v>59</v>
      </c>
      <c r="H1090" t="s">
        <v>60</v>
      </c>
      <c r="I1090" t="s">
        <v>596</v>
      </c>
      <c r="J1090" t="s">
        <v>32</v>
      </c>
      <c r="K1090" t="s">
        <v>63</v>
      </c>
      <c r="L1090" t="s">
        <v>64</v>
      </c>
      <c r="M1090" t="s">
        <v>47</v>
      </c>
      <c r="N1090" t="s">
        <v>95</v>
      </c>
      <c r="O1090">
        <v>45</v>
      </c>
      <c r="P1090">
        <v>0</v>
      </c>
      <c r="Q1090">
        <v>49.8</v>
      </c>
      <c r="R1090">
        <v>1100</v>
      </c>
      <c r="S1090">
        <v>0</v>
      </c>
      <c r="T1090">
        <v>1100</v>
      </c>
      <c r="U1090">
        <v>1</v>
      </c>
      <c r="V1090">
        <v>0</v>
      </c>
      <c r="W1090">
        <v>0</v>
      </c>
      <c r="X1090">
        <v>0.85</v>
      </c>
    </row>
    <row r="1091" spans="1:24" x14ac:dyDescent="0.3">
      <c r="A1091" t="s">
        <v>1727</v>
      </c>
      <c r="B1091" s="1">
        <v>45872</v>
      </c>
      <c r="C1091" t="s">
        <v>110</v>
      </c>
      <c r="D1091" t="s">
        <v>287</v>
      </c>
      <c r="E1091" t="s">
        <v>27</v>
      </c>
      <c r="F1091" t="s">
        <v>28</v>
      </c>
      <c r="G1091" t="s">
        <v>29</v>
      </c>
      <c r="H1091" t="s">
        <v>210</v>
      </c>
      <c r="I1091" t="s">
        <v>1728</v>
      </c>
      <c r="J1091" t="s">
        <v>53</v>
      </c>
      <c r="K1091" t="s">
        <v>70</v>
      </c>
      <c r="L1091" t="s">
        <v>34</v>
      </c>
      <c r="M1091" t="s">
        <v>86</v>
      </c>
      <c r="N1091" t="s">
        <v>36</v>
      </c>
      <c r="O1091">
        <v>60</v>
      </c>
      <c r="P1091">
        <v>60</v>
      </c>
      <c r="Q1091">
        <v>67.7</v>
      </c>
      <c r="R1091">
        <v>1500</v>
      </c>
      <c r="S1091">
        <v>1500</v>
      </c>
      <c r="T1091">
        <v>0</v>
      </c>
      <c r="U1091">
        <v>0</v>
      </c>
      <c r="V1091">
        <v>1</v>
      </c>
      <c r="W1091">
        <v>0</v>
      </c>
      <c r="X1091">
        <v>0.85</v>
      </c>
    </row>
    <row r="1092" spans="1:24" x14ac:dyDescent="0.3">
      <c r="A1092" t="s">
        <v>1729</v>
      </c>
      <c r="B1092" s="1">
        <v>45864</v>
      </c>
      <c r="C1092" t="s">
        <v>101</v>
      </c>
      <c r="D1092" t="s">
        <v>88</v>
      </c>
      <c r="E1092" t="s">
        <v>40</v>
      </c>
      <c r="F1092" t="s">
        <v>58</v>
      </c>
      <c r="G1092" t="s">
        <v>59</v>
      </c>
      <c r="H1092" t="s">
        <v>73</v>
      </c>
      <c r="I1092" t="s">
        <v>1730</v>
      </c>
      <c r="J1092" t="s">
        <v>62</v>
      </c>
      <c r="K1092" t="s">
        <v>63</v>
      </c>
      <c r="L1092" t="s">
        <v>34</v>
      </c>
      <c r="M1092" t="s">
        <v>94</v>
      </c>
      <c r="N1092" t="s">
        <v>36</v>
      </c>
      <c r="O1092">
        <v>45</v>
      </c>
      <c r="P1092">
        <v>45</v>
      </c>
      <c r="Q1092">
        <v>51.2</v>
      </c>
      <c r="R1092">
        <v>1100</v>
      </c>
      <c r="S1092">
        <v>1100</v>
      </c>
      <c r="T1092">
        <v>0</v>
      </c>
      <c r="U1092">
        <v>0</v>
      </c>
      <c r="V1092">
        <v>1</v>
      </c>
      <c r="W1092">
        <v>0</v>
      </c>
      <c r="X1092">
        <v>0.85</v>
      </c>
    </row>
    <row r="1093" spans="1:24" x14ac:dyDescent="0.3">
      <c r="A1093" t="s">
        <v>1731</v>
      </c>
      <c r="B1093" s="1">
        <v>45789</v>
      </c>
      <c r="C1093" t="s">
        <v>128</v>
      </c>
      <c r="D1093" t="s">
        <v>39</v>
      </c>
      <c r="E1093" t="s">
        <v>27</v>
      </c>
      <c r="F1093" t="s">
        <v>58</v>
      </c>
      <c r="G1093" t="s">
        <v>59</v>
      </c>
      <c r="H1093" t="s">
        <v>296</v>
      </c>
      <c r="I1093" t="s">
        <v>820</v>
      </c>
      <c r="J1093" t="s">
        <v>62</v>
      </c>
      <c r="K1093" t="s">
        <v>33</v>
      </c>
      <c r="L1093" t="s">
        <v>54</v>
      </c>
      <c r="M1093" t="s">
        <v>47</v>
      </c>
      <c r="N1093" t="s">
        <v>36</v>
      </c>
      <c r="O1093">
        <v>60</v>
      </c>
      <c r="P1093">
        <v>60</v>
      </c>
      <c r="Q1093">
        <v>80.7</v>
      </c>
      <c r="R1093">
        <v>1300</v>
      </c>
      <c r="S1093">
        <v>1300</v>
      </c>
      <c r="T1093">
        <v>0</v>
      </c>
      <c r="U1093">
        <v>0</v>
      </c>
      <c r="V1093">
        <v>1</v>
      </c>
      <c r="W1093">
        <v>0</v>
      </c>
      <c r="X1093">
        <v>0.85</v>
      </c>
    </row>
    <row r="1094" spans="1:24" x14ac:dyDescent="0.3">
      <c r="A1094" t="s">
        <v>1732</v>
      </c>
      <c r="B1094" s="1">
        <v>45883</v>
      </c>
      <c r="C1094" t="s">
        <v>110</v>
      </c>
      <c r="D1094" t="s">
        <v>50</v>
      </c>
      <c r="E1094" t="s">
        <v>68</v>
      </c>
      <c r="F1094" t="s">
        <v>58</v>
      </c>
      <c r="G1094" t="s">
        <v>59</v>
      </c>
      <c r="H1094" t="s">
        <v>117</v>
      </c>
      <c r="I1094" t="s">
        <v>1728</v>
      </c>
      <c r="J1094" t="s">
        <v>99</v>
      </c>
      <c r="K1094" t="s">
        <v>85</v>
      </c>
      <c r="L1094" t="s">
        <v>34</v>
      </c>
      <c r="M1094" t="s">
        <v>35</v>
      </c>
      <c r="N1094" t="s">
        <v>36</v>
      </c>
      <c r="O1094">
        <v>90</v>
      </c>
      <c r="P1094">
        <v>90</v>
      </c>
      <c r="Q1094">
        <v>102.6</v>
      </c>
      <c r="R1094">
        <v>2250</v>
      </c>
      <c r="S1094">
        <v>2250</v>
      </c>
      <c r="T1094">
        <v>0</v>
      </c>
      <c r="U1094">
        <v>0</v>
      </c>
      <c r="V1094">
        <v>1</v>
      </c>
      <c r="W1094">
        <v>0</v>
      </c>
      <c r="X1094">
        <v>0.85</v>
      </c>
    </row>
    <row r="1095" spans="1:24" x14ac:dyDescent="0.3">
      <c r="A1095" t="s">
        <v>1733</v>
      </c>
      <c r="B1095" s="1">
        <v>46014</v>
      </c>
      <c r="C1095" t="s">
        <v>25</v>
      </c>
      <c r="D1095" t="s">
        <v>26</v>
      </c>
      <c r="E1095" t="s">
        <v>68</v>
      </c>
      <c r="F1095" t="s">
        <v>58</v>
      </c>
      <c r="G1095" t="s">
        <v>59</v>
      </c>
      <c r="H1095" t="s">
        <v>117</v>
      </c>
      <c r="I1095" t="s">
        <v>1181</v>
      </c>
      <c r="J1095" t="s">
        <v>53</v>
      </c>
      <c r="K1095" t="s">
        <v>63</v>
      </c>
      <c r="L1095" t="s">
        <v>64</v>
      </c>
      <c r="M1095" t="s">
        <v>47</v>
      </c>
      <c r="N1095" t="s">
        <v>36</v>
      </c>
      <c r="O1095">
        <v>45</v>
      </c>
      <c r="P1095">
        <v>45</v>
      </c>
      <c r="Q1095">
        <v>59.6</v>
      </c>
      <c r="R1095">
        <v>1350</v>
      </c>
      <c r="S1095">
        <v>1350</v>
      </c>
      <c r="T1095">
        <v>0</v>
      </c>
      <c r="U1095">
        <v>0</v>
      </c>
      <c r="V1095">
        <v>1</v>
      </c>
      <c r="W1095">
        <v>0</v>
      </c>
      <c r="X1095">
        <v>0.85</v>
      </c>
    </row>
    <row r="1096" spans="1:24" x14ac:dyDescent="0.3">
      <c r="A1096" t="s">
        <v>1734</v>
      </c>
      <c r="B1096" s="1">
        <v>45761</v>
      </c>
      <c r="C1096" t="s">
        <v>92</v>
      </c>
      <c r="D1096" t="s">
        <v>39</v>
      </c>
      <c r="E1096" t="s">
        <v>83</v>
      </c>
      <c r="F1096" t="s">
        <v>28</v>
      </c>
      <c r="G1096" t="s">
        <v>29</v>
      </c>
      <c r="H1096" t="s">
        <v>210</v>
      </c>
      <c r="I1096" t="s">
        <v>979</v>
      </c>
      <c r="J1096" t="s">
        <v>32</v>
      </c>
      <c r="K1096" t="s">
        <v>46</v>
      </c>
      <c r="L1096" t="s">
        <v>64</v>
      </c>
      <c r="M1096" t="s">
        <v>94</v>
      </c>
      <c r="N1096" t="s">
        <v>36</v>
      </c>
      <c r="O1096">
        <v>60</v>
      </c>
      <c r="P1096">
        <v>60</v>
      </c>
      <c r="Q1096">
        <v>67.599999999999994</v>
      </c>
      <c r="R1096">
        <v>1250</v>
      </c>
      <c r="S1096">
        <v>1250</v>
      </c>
      <c r="T1096">
        <v>0</v>
      </c>
      <c r="U1096">
        <v>0</v>
      </c>
      <c r="V1096">
        <v>1</v>
      </c>
      <c r="W1096">
        <v>0</v>
      </c>
      <c r="X1096">
        <v>0.85</v>
      </c>
    </row>
    <row r="1097" spans="1:24" x14ac:dyDescent="0.3">
      <c r="A1097" t="s">
        <v>1735</v>
      </c>
      <c r="B1097" s="1">
        <v>45992</v>
      </c>
      <c r="C1097" t="s">
        <v>25</v>
      </c>
      <c r="D1097" t="s">
        <v>39</v>
      </c>
      <c r="E1097" t="s">
        <v>83</v>
      </c>
      <c r="F1097" t="s">
        <v>41</v>
      </c>
      <c r="G1097" t="s">
        <v>42</v>
      </c>
      <c r="H1097" t="s">
        <v>111</v>
      </c>
      <c r="I1097" t="s">
        <v>1736</v>
      </c>
      <c r="J1097" t="s">
        <v>53</v>
      </c>
      <c r="K1097" t="s">
        <v>33</v>
      </c>
      <c r="L1097" t="s">
        <v>34</v>
      </c>
      <c r="M1097" t="s">
        <v>86</v>
      </c>
      <c r="N1097" t="s">
        <v>36</v>
      </c>
      <c r="O1097">
        <v>60</v>
      </c>
      <c r="P1097">
        <v>60</v>
      </c>
      <c r="Q1097">
        <v>74.900000000000006</v>
      </c>
      <c r="R1097">
        <v>1600</v>
      </c>
      <c r="S1097">
        <v>1600</v>
      </c>
      <c r="T1097">
        <v>0</v>
      </c>
      <c r="U1097">
        <v>0</v>
      </c>
      <c r="V1097">
        <v>1</v>
      </c>
      <c r="W1097">
        <v>0</v>
      </c>
      <c r="X1097">
        <v>0.85</v>
      </c>
    </row>
    <row r="1098" spans="1:24" x14ac:dyDescent="0.3">
      <c r="A1098" t="s">
        <v>1737</v>
      </c>
      <c r="B1098" s="1">
        <v>45974</v>
      </c>
      <c r="C1098" t="s">
        <v>38</v>
      </c>
      <c r="D1098" t="s">
        <v>50</v>
      </c>
      <c r="E1098" t="s">
        <v>68</v>
      </c>
      <c r="F1098" t="s">
        <v>41</v>
      </c>
      <c r="G1098" t="s">
        <v>42</v>
      </c>
      <c r="H1098" t="s">
        <v>43</v>
      </c>
      <c r="I1098" t="s">
        <v>820</v>
      </c>
      <c r="J1098" t="s">
        <v>62</v>
      </c>
      <c r="K1098" t="s">
        <v>104</v>
      </c>
      <c r="L1098" t="s">
        <v>34</v>
      </c>
      <c r="M1098" t="s">
        <v>94</v>
      </c>
      <c r="N1098" t="s">
        <v>36</v>
      </c>
      <c r="O1098">
        <v>75</v>
      </c>
      <c r="P1098">
        <v>75</v>
      </c>
      <c r="Q1098">
        <v>91.2</v>
      </c>
      <c r="R1098">
        <v>1700</v>
      </c>
      <c r="S1098">
        <v>1700</v>
      </c>
      <c r="T1098">
        <v>0</v>
      </c>
      <c r="U1098">
        <v>0</v>
      </c>
      <c r="V1098">
        <v>1</v>
      </c>
      <c r="W1098">
        <v>0</v>
      </c>
      <c r="X1098">
        <v>0.85</v>
      </c>
    </row>
    <row r="1099" spans="1:24" x14ac:dyDescent="0.3">
      <c r="A1099" t="s">
        <v>1738</v>
      </c>
      <c r="B1099" s="1">
        <v>45665</v>
      </c>
      <c r="C1099" t="s">
        <v>130</v>
      </c>
      <c r="D1099" t="s">
        <v>57</v>
      </c>
      <c r="E1099" t="s">
        <v>40</v>
      </c>
      <c r="F1099" t="s">
        <v>58</v>
      </c>
      <c r="G1099" t="s">
        <v>59</v>
      </c>
      <c r="H1099" t="s">
        <v>296</v>
      </c>
      <c r="I1099" t="s">
        <v>526</v>
      </c>
      <c r="J1099" t="s">
        <v>45</v>
      </c>
      <c r="K1099" t="s">
        <v>85</v>
      </c>
      <c r="L1099" t="s">
        <v>54</v>
      </c>
      <c r="M1099" t="s">
        <v>71</v>
      </c>
      <c r="N1099" t="s">
        <v>36</v>
      </c>
      <c r="O1099">
        <v>60</v>
      </c>
      <c r="P1099">
        <v>60</v>
      </c>
      <c r="Q1099">
        <v>78.400000000000006</v>
      </c>
      <c r="R1099">
        <v>1450</v>
      </c>
      <c r="S1099">
        <v>1450</v>
      </c>
      <c r="T1099">
        <v>0</v>
      </c>
      <c r="U1099">
        <v>0</v>
      </c>
      <c r="V1099">
        <v>1</v>
      </c>
      <c r="W1099">
        <v>0</v>
      </c>
      <c r="X1099">
        <v>0.85</v>
      </c>
    </row>
    <row r="1100" spans="1:24" x14ac:dyDescent="0.3">
      <c r="A1100" t="s">
        <v>1739</v>
      </c>
      <c r="B1100" s="1">
        <v>45986</v>
      </c>
      <c r="C1100" t="s">
        <v>38</v>
      </c>
      <c r="D1100" t="s">
        <v>26</v>
      </c>
      <c r="E1100" t="s">
        <v>40</v>
      </c>
      <c r="F1100" t="s">
        <v>58</v>
      </c>
      <c r="G1100" t="s">
        <v>59</v>
      </c>
      <c r="H1100" t="s">
        <v>73</v>
      </c>
      <c r="I1100" t="s">
        <v>1036</v>
      </c>
      <c r="J1100" t="s">
        <v>45</v>
      </c>
      <c r="K1100" t="s">
        <v>46</v>
      </c>
      <c r="L1100" t="s">
        <v>34</v>
      </c>
      <c r="M1100" t="s">
        <v>94</v>
      </c>
      <c r="N1100" t="s">
        <v>153</v>
      </c>
      <c r="O1100">
        <v>90</v>
      </c>
      <c r="P1100">
        <v>0</v>
      </c>
      <c r="Q1100">
        <v>111.5</v>
      </c>
      <c r="R1100">
        <v>2600</v>
      </c>
      <c r="S1100">
        <v>0</v>
      </c>
      <c r="T1100">
        <v>0</v>
      </c>
      <c r="U1100">
        <v>0</v>
      </c>
      <c r="V1100">
        <v>0</v>
      </c>
      <c r="W1100">
        <v>0</v>
      </c>
      <c r="X1100">
        <v>0.85</v>
      </c>
    </row>
    <row r="1101" spans="1:24" x14ac:dyDescent="0.3">
      <c r="A1101" t="s">
        <v>1740</v>
      </c>
      <c r="B1101" s="1">
        <v>45800</v>
      </c>
      <c r="C1101" t="s">
        <v>128</v>
      </c>
      <c r="D1101" t="s">
        <v>82</v>
      </c>
      <c r="E1101" t="s">
        <v>83</v>
      </c>
      <c r="F1101" t="s">
        <v>41</v>
      </c>
      <c r="G1101" t="s">
        <v>42</v>
      </c>
      <c r="H1101" t="s">
        <v>51</v>
      </c>
      <c r="I1101" t="s">
        <v>1741</v>
      </c>
      <c r="J1101" t="s">
        <v>32</v>
      </c>
      <c r="K1101" t="s">
        <v>63</v>
      </c>
      <c r="L1101" t="s">
        <v>78</v>
      </c>
      <c r="M1101" t="s">
        <v>47</v>
      </c>
      <c r="N1101" t="s">
        <v>113</v>
      </c>
      <c r="O1101">
        <v>60</v>
      </c>
      <c r="P1101">
        <v>0</v>
      </c>
      <c r="Q1101">
        <v>71.7</v>
      </c>
      <c r="R1101">
        <v>1250</v>
      </c>
      <c r="S1101">
        <v>0</v>
      </c>
      <c r="T1101">
        <v>1250</v>
      </c>
      <c r="U1101">
        <v>0</v>
      </c>
      <c r="V1101">
        <v>0</v>
      </c>
      <c r="W1101">
        <v>1</v>
      </c>
      <c r="X1101">
        <v>0.85</v>
      </c>
    </row>
    <row r="1102" spans="1:24" x14ac:dyDescent="0.3">
      <c r="A1102" t="s">
        <v>1742</v>
      </c>
      <c r="B1102" s="1">
        <v>45880</v>
      </c>
      <c r="C1102" t="s">
        <v>110</v>
      </c>
      <c r="D1102" t="s">
        <v>39</v>
      </c>
      <c r="E1102" t="s">
        <v>27</v>
      </c>
      <c r="F1102" t="s">
        <v>28</v>
      </c>
      <c r="G1102" t="s">
        <v>29</v>
      </c>
      <c r="H1102" t="s">
        <v>135</v>
      </c>
      <c r="I1102" t="s">
        <v>986</v>
      </c>
      <c r="J1102" t="s">
        <v>62</v>
      </c>
      <c r="K1102" t="s">
        <v>63</v>
      </c>
      <c r="L1102" t="s">
        <v>64</v>
      </c>
      <c r="M1102" t="s">
        <v>65</v>
      </c>
      <c r="N1102" t="s">
        <v>36</v>
      </c>
      <c r="O1102">
        <v>30</v>
      </c>
      <c r="P1102">
        <v>30</v>
      </c>
      <c r="Q1102">
        <v>34.9</v>
      </c>
      <c r="R1102">
        <v>600</v>
      </c>
      <c r="S1102">
        <v>600</v>
      </c>
      <c r="T1102">
        <v>0</v>
      </c>
      <c r="U1102">
        <v>0</v>
      </c>
      <c r="V1102">
        <v>1</v>
      </c>
      <c r="W1102">
        <v>0</v>
      </c>
      <c r="X1102">
        <v>0.85</v>
      </c>
    </row>
    <row r="1103" spans="1:24" x14ac:dyDescent="0.3">
      <c r="A1103" t="s">
        <v>1743</v>
      </c>
      <c r="B1103" s="1">
        <v>45711</v>
      </c>
      <c r="C1103" t="s">
        <v>76</v>
      </c>
      <c r="D1103" t="s">
        <v>287</v>
      </c>
      <c r="E1103" t="s">
        <v>68</v>
      </c>
      <c r="F1103" t="s">
        <v>41</v>
      </c>
      <c r="G1103" t="s">
        <v>42</v>
      </c>
      <c r="H1103" t="s">
        <v>125</v>
      </c>
      <c r="I1103" t="s">
        <v>1711</v>
      </c>
      <c r="J1103" t="s">
        <v>32</v>
      </c>
      <c r="K1103" t="s">
        <v>85</v>
      </c>
      <c r="L1103" t="s">
        <v>78</v>
      </c>
      <c r="M1103" t="s">
        <v>71</v>
      </c>
      <c r="N1103" t="s">
        <v>95</v>
      </c>
      <c r="O1103">
        <v>60</v>
      </c>
      <c r="P1103">
        <v>0</v>
      </c>
      <c r="Q1103">
        <v>68.099999999999994</v>
      </c>
      <c r="R1103">
        <v>1250</v>
      </c>
      <c r="S1103">
        <v>0</v>
      </c>
      <c r="T1103">
        <v>1250</v>
      </c>
      <c r="U1103">
        <v>1</v>
      </c>
      <c r="V1103">
        <v>0</v>
      </c>
      <c r="W1103">
        <v>0</v>
      </c>
      <c r="X1103">
        <v>0.85</v>
      </c>
    </row>
    <row r="1104" spans="1:24" x14ac:dyDescent="0.3">
      <c r="A1104" t="s">
        <v>1744</v>
      </c>
      <c r="B1104" s="1">
        <v>45794</v>
      </c>
      <c r="C1104" t="s">
        <v>128</v>
      </c>
      <c r="D1104" t="s">
        <v>88</v>
      </c>
      <c r="E1104" t="s">
        <v>68</v>
      </c>
      <c r="F1104" t="s">
        <v>28</v>
      </c>
      <c r="G1104" t="s">
        <v>29</v>
      </c>
      <c r="H1104" t="s">
        <v>210</v>
      </c>
      <c r="I1104" t="s">
        <v>1420</v>
      </c>
      <c r="J1104" t="s">
        <v>137</v>
      </c>
      <c r="K1104" t="s">
        <v>70</v>
      </c>
      <c r="L1104" t="s">
        <v>64</v>
      </c>
      <c r="M1104" t="s">
        <v>94</v>
      </c>
      <c r="N1104" t="s">
        <v>153</v>
      </c>
      <c r="O1104">
        <v>45</v>
      </c>
      <c r="P1104">
        <v>0</v>
      </c>
      <c r="Q1104">
        <v>53.5</v>
      </c>
      <c r="R1104">
        <v>950</v>
      </c>
      <c r="S1104">
        <v>0</v>
      </c>
      <c r="T1104">
        <v>0</v>
      </c>
      <c r="U1104">
        <v>0</v>
      </c>
      <c r="V1104">
        <v>0</v>
      </c>
      <c r="W1104">
        <v>0</v>
      </c>
      <c r="X1104">
        <v>0.85</v>
      </c>
    </row>
    <row r="1105" spans="1:24" x14ac:dyDescent="0.3">
      <c r="A1105" t="s">
        <v>1745</v>
      </c>
      <c r="B1105" s="1">
        <v>45798</v>
      </c>
      <c r="C1105" t="s">
        <v>128</v>
      </c>
      <c r="D1105" t="s">
        <v>57</v>
      </c>
      <c r="E1105" t="s">
        <v>83</v>
      </c>
      <c r="F1105" t="s">
        <v>28</v>
      </c>
      <c r="G1105" t="s">
        <v>29</v>
      </c>
      <c r="H1105" t="s">
        <v>210</v>
      </c>
      <c r="I1105" t="s">
        <v>1746</v>
      </c>
      <c r="J1105" t="s">
        <v>53</v>
      </c>
      <c r="K1105" t="s">
        <v>46</v>
      </c>
      <c r="L1105" t="s">
        <v>64</v>
      </c>
      <c r="M1105" t="s">
        <v>65</v>
      </c>
      <c r="N1105" t="s">
        <v>36</v>
      </c>
      <c r="O1105">
        <v>45</v>
      </c>
      <c r="P1105">
        <v>45</v>
      </c>
      <c r="Q1105">
        <v>50</v>
      </c>
      <c r="R1105">
        <v>1100</v>
      </c>
      <c r="S1105">
        <v>1100</v>
      </c>
      <c r="T1105">
        <v>0</v>
      </c>
      <c r="U1105">
        <v>0</v>
      </c>
      <c r="V1105">
        <v>1</v>
      </c>
      <c r="W1105">
        <v>0</v>
      </c>
      <c r="X1105">
        <v>0.85</v>
      </c>
    </row>
    <row r="1106" spans="1:24" x14ac:dyDescent="0.3">
      <c r="A1106" t="s">
        <v>1747</v>
      </c>
      <c r="B1106" s="1">
        <v>45677</v>
      </c>
      <c r="C1106" t="s">
        <v>130</v>
      </c>
      <c r="D1106" t="s">
        <v>39</v>
      </c>
      <c r="E1106" t="s">
        <v>83</v>
      </c>
      <c r="F1106" t="s">
        <v>58</v>
      </c>
      <c r="G1106" t="s">
        <v>59</v>
      </c>
      <c r="H1106" t="s">
        <v>117</v>
      </c>
      <c r="I1106" t="s">
        <v>509</v>
      </c>
      <c r="J1106" t="s">
        <v>32</v>
      </c>
      <c r="K1106" t="s">
        <v>85</v>
      </c>
      <c r="L1106" t="s">
        <v>78</v>
      </c>
      <c r="M1106" t="s">
        <v>47</v>
      </c>
      <c r="N1106" t="s">
        <v>113</v>
      </c>
      <c r="O1106">
        <v>90</v>
      </c>
      <c r="P1106">
        <v>0</v>
      </c>
      <c r="Q1106">
        <v>109</v>
      </c>
      <c r="R1106">
        <v>2050</v>
      </c>
      <c r="S1106">
        <v>0</v>
      </c>
      <c r="T1106">
        <v>2050</v>
      </c>
      <c r="U1106">
        <v>0</v>
      </c>
      <c r="V1106">
        <v>0</v>
      </c>
      <c r="W1106">
        <v>1</v>
      </c>
      <c r="X1106">
        <v>0.85</v>
      </c>
    </row>
    <row r="1107" spans="1:24" x14ac:dyDescent="0.3">
      <c r="A1107" t="s">
        <v>1748</v>
      </c>
      <c r="B1107" s="1">
        <v>45835</v>
      </c>
      <c r="C1107" t="s">
        <v>67</v>
      </c>
      <c r="D1107" t="s">
        <v>82</v>
      </c>
      <c r="E1107" t="s">
        <v>40</v>
      </c>
      <c r="F1107" t="s">
        <v>28</v>
      </c>
      <c r="G1107" t="s">
        <v>29</v>
      </c>
      <c r="H1107" t="s">
        <v>102</v>
      </c>
      <c r="I1107" t="s">
        <v>887</v>
      </c>
      <c r="J1107" t="s">
        <v>62</v>
      </c>
      <c r="K1107" t="s">
        <v>85</v>
      </c>
      <c r="L1107" t="s">
        <v>34</v>
      </c>
      <c r="M1107" t="s">
        <v>35</v>
      </c>
      <c r="N1107" t="s">
        <v>36</v>
      </c>
      <c r="O1107">
        <v>60</v>
      </c>
      <c r="P1107">
        <v>60</v>
      </c>
      <c r="Q1107">
        <v>77.7</v>
      </c>
      <c r="R1107">
        <v>1250</v>
      </c>
      <c r="S1107">
        <v>1250</v>
      </c>
      <c r="T1107">
        <v>0</v>
      </c>
      <c r="U1107">
        <v>0</v>
      </c>
      <c r="V1107">
        <v>1</v>
      </c>
      <c r="W1107">
        <v>0</v>
      </c>
      <c r="X1107">
        <v>0.85</v>
      </c>
    </row>
    <row r="1108" spans="1:24" x14ac:dyDescent="0.3">
      <c r="A1108" t="s">
        <v>1749</v>
      </c>
      <c r="B1108" s="1">
        <v>45768</v>
      </c>
      <c r="C1108" t="s">
        <v>92</v>
      </c>
      <c r="D1108" t="s">
        <v>39</v>
      </c>
      <c r="E1108" t="s">
        <v>83</v>
      </c>
      <c r="F1108" t="s">
        <v>58</v>
      </c>
      <c r="G1108" t="s">
        <v>59</v>
      </c>
      <c r="H1108" t="s">
        <v>117</v>
      </c>
      <c r="I1108" t="s">
        <v>362</v>
      </c>
      <c r="J1108" t="s">
        <v>45</v>
      </c>
      <c r="K1108" t="s">
        <v>63</v>
      </c>
      <c r="L1108" t="s">
        <v>34</v>
      </c>
      <c r="M1108" t="s">
        <v>86</v>
      </c>
      <c r="N1108" t="s">
        <v>36</v>
      </c>
      <c r="O1108">
        <v>45</v>
      </c>
      <c r="P1108">
        <v>45</v>
      </c>
      <c r="Q1108">
        <v>52.5</v>
      </c>
      <c r="R1108">
        <v>1300</v>
      </c>
      <c r="S1108">
        <v>1300</v>
      </c>
      <c r="T1108">
        <v>0</v>
      </c>
      <c r="U1108">
        <v>0</v>
      </c>
      <c r="V1108">
        <v>1</v>
      </c>
      <c r="W1108">
        <v>0</v>
      </c>
      <c r="X1108">
        <v>0.85</v>
      </c>
    </row>
    <row r="1109" spans="1:24" x14ac:dyDescent="0.3">
      <c r="A1109" t="s">
        <v>1750</v>
      </c>
      <c r="B1109" s="1">
        <v>45787</v>
      </c>
      <c r="C1109" t="s">
        <v>128</v>
      </c>
      <c r="D1109" t="s">
        <v>88</v>
      </c>
      <c r="E1109" t="s">
        <v>40</v>
      </c>
      <c r="F1109" t="s">
        <v>58</v>
      </c>
      <c r="G1109" t="s">
        <v>59</v>
      </c>
      <c r="H1109" t="s">
        <v>151</v>
      </c>
      <c r="I1109" t="s">
        <v>1730</v>
      </c>
      <c r="J1109" t="s">
        <v>62</v>
      </c>
      <c r="K1109" t="s">
        <v>104</v>
      </c>
      <c r="L1109" t="s">
        <v>64</v>
      </c>
      <c r="M1109" t="s">
        <v>71</v>
      </c>
      <c r="N1109" t="s">
        <v>95</v>
      </c>
      <c r="O1109">
        <v>45</v>
      </c>
      <c r="P1109">
        <v>0</v>
      </c>
      <c r="Q1109">
        <v>51.7</v>
      </c>
      <c r="R1109">
        <v>1100</v>
      </c>
      <c r="S1109">
        <v>0</v>
      </c>
      <c r="T1109">
        <v>1100</v>
      </c>
      <c r="U1109">
        <v>1</v>
      </c>
      <c r="V1109">
        <v>0</v>
      </c>
      <c r="W1109">
        <v>0</v>
      </c>
      <c r="X1109">
        <v>0.85</v>
      </c>
    </row>
    <row r="1110" spans="1:24" x14ac:dyDescent="0.3">
      <c r="A1110" t="s">
        <v>1751</v>
      </c>
      <c r="B1110" s="1">
        <v>45924</v>
      </c>
      <c r="C1110" t="s">
        <v>49</v>
      </c>
      <c r="D1110" t="s">
        <v>57</v>
      </c>
      <c r="E1110" t="s">
        <v>68</v>
      </c>
      <c r="F1110" t="s">
        <v>41</v>
      </c>
      <c r="G1110" t="s">
        <v>42</v>
      </c>
      <c r="H1110" t="s">
        <v>89</v>
      </c>
      <c r="I1110" t="s">
        <v>1752</v>
      </c>
      <c r="J1110" t="s">
        <v>53</v>
      </c>
      <c r="K1110" t="s">
        <v>46</v>
      </c>
      <c r="L1110" t="s">
        <v>34</v>
      </c>
      <c r="M1110" t="s">
        <v>65</v>
      </c>
      <c r="N1110" t="s">
        <v>36</v>
      </c>
      <c r="O1110">
        <v>60</v>
      </c>
      <c r="P1110">
        <v>60</v>
      </c>
      <c r="Q1110">
        <v>66</v>
      </c>
      <c r="R1110">
        <v>1600</v>
      </c>
      <c r="S1110">
        <v>1600</v>
      </c>
      <c r="T1110">
        <v>0</v>
      </c>
      <c r="U1110">
        <v>0</v>
      </c>
      <c r="V1110">
        <v>1</v>
      </c>
      <c r="W1110">
        <v>0</v>
      </c>
      <c r="X1110">
        <v>0.85</v>
      </c>
    </row>
    <row r="1111" spans="1:24" x14ac:dyDescent="0.3">
      <c r="A1111" t="s">
        <v>1753</v>
      </c>
      <c r="B1111" s="1">
        <v>45684</v>
      </c>
      <c r="C1111" t="s">
        <v>130</v>
      </c>
      <c r="D1111" t="s">
        <v>39</v>
      </c>
      <c r="E1111" t="s">
        <v>40</v>
      </c>
      <c r="F1111" t="s">
        <v>28</v>
      </c>
      <c r="G1111" t="s">
        <v>29</v>
      </c>
      <c r="H1111" t="s">
        <v>120</v>
      </c>
      <c r="I1111" t="s">
        <v>887</v>
      </c>
      <c r="J1111" t="s">
        <v>32</v>
      </c>
      <c r="K1111" t="s">
        <v>46</v>
      </c>
      <c r="L1111" t="s">
        <v>34</v>
      </c>
      <c r="M1111" t="s">
        <v>65</v>
      </c>
      <c r="N1111" t="s">
        <v>36</v>
      </c>
      <c r="O1111">
        <v>60</v>
      </c>
      <c r="P1111">
        <v>60</v>
      </c>
      <c r="Q1111">
        <v>78.2</v>
      </c>
      <c r="R1111">
        <v>1250</v>
      </c>
      <c r="S1111">
        <v>1250</v>
      </c>
      <c r="T1111">
        <v>0</v>
      </c>
      <c r="U1111">
        <v>0</v>
      </c>
      <c r="V1111">
        <v>1</v>
      </c>
      <c r="W1111">
        <v>0</v>
      </c>
      <c r="X1111">
        <v>0.85</v>
      </c>
    </row>
    <row r="1112" spans="1:24" x14ac:dyDescent="0.3">
      <c r="A1112" t="s">
        <v>1754</v>
      </c>
      <c r="B1112" s="1">
        <v>45971</v>
      </c>
      <c r="C1112" t="s">
        <v>38</v>
      </c>
      <c r="D1112" t="s">
        <v>39</v>
      </c>
      <c r="E1112" t="s">
        <v>83</v>
      </c>
      <c r="F1112" t="s">
        <v>41</v>
      </c>
      <c r="G1112" t="s">
        <v>42</v>
      </c>
      <c r="H1112" t="s">
        <v>51</v>
      </c>
      <c r="I1112" t="s">
        <v>1008</v>
      </c>
      <c r="J1112" t="s">
        <v>45</v>
      </c>
      <c r="K1112" t="s">
        <v>63</v>
      </c>
      <c r="L1112" t="s">
        <v>34</v>
      </c>
      <c r="M1112" t="s">
        <v>86</v>
      </c>
      <c r="N1112" t="s">
        <v>36</v>
      </c>
      <c r="O1112">
        <v>60</v>
      </c>
      <c r="P1112">
        <v>60</v>
      </c>
      <c r="Q1112">
        <v>81.099999999999994</v>
      </c>
      <c r="R1112">
        <v>1550</v>
      </c>
      <c r="S1112">
        <v>1550</v>
      </c>
      <c r="T1112">
        <v>0</v>
      </c>
      <c r="U1112">
        <v>0</v>
      </c>
      <c r="V1112">
        <v>1</v>
      </c>
      <c r="W1112">
        <v>0</v>
      </c>
      <c r="X1112">
        <v>0.85</v>
      </c>
    </row>
    <row r="1113" spans="1:24" x14ac:dyDescent="0.3">
      <c r="A1113" t="s">
        <v>1755</v>
      </c>
      <c r="B1113" s="1">
        <v>45989</v>
      </c>
      <c r="C1113" t="s">
        <v>38</v>
      </c>
      <c r="D1113" t="s">
        <v>82</v>
      </c>
      <c r="E1113" t="s">
        <v>40</v>
      </c>
      <c r="F1113" t="s">
        <v>41</v>
      </c>
      <c r="G1113" t="s">
        <v>42</v>
      </c>
      <c r="H1113" t="s">
        <v>89</v>
      </c>
      <c r="I1113" t="s">
        <v>1192</v>
      </c>
      <c r="J1113" t="s">
        <v>137</v>
      </c>
      <c r="K1113" t="s">
        <v>46</v>
      </c>
      <c r="L1113" t="s">
        <v>78</v>
      </c>
      <c r="M1113" t="s">
        <v>47</v>
      </c>
      <c r="N1113" t="s">
        <v>36</v>
      </c>
      <c r="O1113">
        <v>75</v>
      </c>
      <c r="P1113">
        <v>75</v>
      </c>
      <c r="Q1113">
        <v>85.4</v>
      </c>
      <c r="R1113">
        <v>1550</v>
      </c>
      <c r="S1113">
        <v>1550</v>
      </c>
      <c r="T1113">
        <v>0</v>
      </c>
      <c r="U1113">
        <v>0</v>
      </c>
      <c r="V1113">
        <v>1</v>
      </c>
      <c r="W1113">
        <v>0</v>
      </c>
      <c r="X1113">
        <v>0.85</v>
      </c>
    </row>
    <row r="1114" spans="1:24" x14ac:dyDescent="0.3">
      <c r="A1114" t="s">
        <v>1756</v>
      </c>
      <c r="B1114" s="1">
        <v>45768</v>
      </c>
      <c r="C1114" t="s">
        <v>92</v>
      </c>
      <c r="D1114" t="s">
        <v>39</v>
      </c>
      <c r="E1114" t="s">
        <v>27</v>
      </c>
      <c r="F1114" t="s">
        <v>41</v>
      </c>
      <c r="G1114" t="s">
        <v>42</v>
      </c>
      <c r="H1114" t="s">
        <v>43</v>
      </c>
      <c r="I1114" t="s">
        <v>982</v>
      </c>
      <c r="J1114" t="s">
        <v>137</v>
      </c>
      <c r="K1114" t="s">
        <v>33</v>
      </c>
      <c r="L1114" t="s">
        <v>34</v>
      </c>
      <c r="M1114" t="s">
        <v>71</v>
      </c>
      <c r="N1114" t="s">
        <v>95</v>
      </c>
      <c r="O1114">
        <v>60</v>
      </c>
      <c r="P1114">
        <v>0</v>
      </c>
      <c r="Q1114">
        <v>67.3</v>
      </c>
      <c r="R1114">
        <v>1350</v>
      </c>
      <c r="S1114">
        <v>0</v>
      </c>
      <c r="T1114">
        <v>1350</v>
      </c>
      <c r="U1114">
        <v>1</v>
      </c>
      <c r="V1114">
        <v>0</v>
      </c>
      <c r="W1114">
        <v>0</v>
      </c>
      <c r="X1114">
        <v>0.85</v>
      </c>
    </row>
    <row r="1115" spans="1:24" x14ac:dyDescent="0.3">
      <c r="A1115" t="s">
        <v>1757</v>
      </c>
      <c r="B1115" s="1">
        <v>45957</v>
      </c>
      <c r="C1115" t="s">
        <v>97</v>
      </c>
      <c r="D1115" t="s">
        <v>39</v>
      </c>
      <c r="E1115" t="s">
        <v>68</v>
      </c>
      <c r="F1115" t="s">
        <v>28</v>
      </c>
      <c r="G1115" t="s">
        <v>29</v>
      </c>
      <c r="H1115" t="s">
        <v>210</v>
      </c>
      <c r="I1115" t="s">
        <v>52</v>
      </c>
      <c r="J1115" t="s">
        <v>53</v>
      </c>
      <c r="K1115" t="s">
        <v>70</v>
      </c>
      <c r="L1115" t="s">
        <v>34</v>
      </c>
      <c r="M1115" t="s">
        <v>47</v>
      </c>
      <c r="N1115" t="s">
        <v>36</v>
      </c>
      <c r="O1115">
        <v>30</v>
      </c>
      <c r="P1115">
        <v>30</v>
      </c>
      <c r="Q1115">
        <v>37.299999999999997</v>
      </c>
      <c r="R1115">
        <v>750</v>
      </c>
      <c r="S1115">
        <v>750</v>
      </c>
      <c r="T1115">
        <v>0</v>
      </c>
      <c r="U1115">
        <v>0</v>
      </c>
      <c r="V1115">
        <v>1</v>
      </c>
      <c r="W1115">
        <v>0</v>
      </c>
      <c r="X1115">
        <v>0.85</v>
      </c>
    </row>
    <row r="1116" spans="1:24" x14ac:dyDescent="0.3">
      <c r="A1116" t="s">
        <v>1758</v>
      </c>
      <c r="B1116" s="1">
        <v>45723</v>
      </c>
      <c r="C1116" t="s">
        <v>56</v>
      </c>
      <c r="D1116" t="s">
        <v>82</v>
      </c>
      <c r="E1116" t="s">
        <v>27</v>
      </c>
      <c r="F1116" t="s">
        <v>41</v>
      </c>
      <c r="G1116" t="s">
        <v>42</v>
      </c>
      <c r="H1116" t="s">
        <v>89</v>
      </c>
      <c r="I1116" t="s">
        <v>1759</v>
      </c>
      <c r="J1116" t="s">
        <v>32</v>
      </c>
      <c r="K1116" t="s">
        <v>85</v>
      </c>
      <c r="L1116" t="s">
        <v>34</v>
      </c>
      <c r="M1116" t="s">
        <v>86</v>
      </c>
      <c r="N1116" t="s">
        <v>113</v>
      </c>
      <c r="O1116">
        <v>60</v>
      </c>
      <c r="P1116">
        <v>0</v>
      </c>
      <c r="Q1116">
        <v>76.2</v>
      </c>
      <c r="R1116">
        <v>1350</v>
      </c>
      <c r="S1116">
        <v>0</v>
      </c>
      <c r="T1116">
        <v>1350</v>
      </c>
      <c r="U1116">
        <v>0</v>
      </c>
      <c r="V1116">
        <v>0</v>
      </c>
      <c r="W1116">
        <v>1</v>
      </c>
      <c r="X1116">
        <v>0.85</v>
      </c>
    </row>
    <row r="1117" spans="1:24" x14ac:dyDescent="0.3">
      <c r="A1117" t="s">
        <v>1760</v>
      </c>
      <c r="B1117" s="1">
        <v>45658</v>
      </c>
      <c r="C1117" t="s">
        <v>130</v>
      </c>
      <c r="D1117" t="s">
        <v>57</v>
      </c>
      <c r="E1117" t="s">
        <v>68</v>
      </c>
      <c r="F1117" t="s">
        <v>28</v>
      </c>
      <c r="G1117" t="s">
        <v>29</v>
      </c>
      <c r="H1117" t="s">
        <v>135</v>
      </c>
      <c r="I1117" t="s">
        <v>131</v>
      </c>
      <c r="J1117" t="s">
        <v>62</v>
      </c>
      <c r="K1117" t="s">
        <v>85</v>
      </c>
      <c r="L1117" t="s">
        <v>34</v>
      </c>
      <c r="M1117" t="s">
        <v>94</v>
      </c>
      <c r="N1117" t="s">
        <v>36</v>
      </c>
      <c r="O1117">
        <v>60</v>
      </c>
      <c r="P1117">
        <v>60</v>
      </c>
      <c r="Q1117">
        <v>68.599999999999994</v>
      </c>
      <c r="R1117">
        <v>1250</v>
      </c>
      <c r="S1117">
        <v>1250</v>
      </c>
      <c r="T1117">
        <v>0</v>
      </c>
      <c r="U1117">
        <v>0</v>
      </c>
      <c r="V1117">
        <v>1</v>
      </c>
      <c r="W1117">
        <v>0</v>
      </c>
      <c r="X1117">
        <v>0.85</v>
      </c>
    </row>
    <row r="1118" spans="1:24" x14ac:dyDescent="0.3">
      <c r="A1118" t="s">
        <v>1761</v>
      </c>
      <c r="B1118" s="1">
        <v>45894</v>
      </c>
      <c r="C1118" t="s">
        <v>110</v>
      </c>
      <c r="D1118" t="s">
        <v>39</v>
      </c>
      <c r="E1118" t="s">
        <v>68</v>
      </c>
      <c r="F1118" t="s">
        <v>41</v>
      </c>
      <c r="G1118" t="s">
        <v>42</v>
      </c>
      <c r="H1118" t="s">
        <v>89</v>
      </c>
      <c r="I1118" t="s">
        <v>1149</v>
      </c>
      <c r="J1118" t="s">
        <v>137</v>
      </c>
      <c r="K1118" t="s">
        <v>85</v>
      </c>
      <c r="L1118" t="s">
        <v>64</v>
      </c>
      <c r="M1118" t="s">
        <v>35</v>
      </c>
      <c r="N1118" t="s">
        <v>36</v>
      </c>
      <c r="O1118">
        <v>75</v>
      </c>
      <c r="P1118">
        <v>75</v>
      </c>
      <c r="Q1118">
        <v>92.8</v>
      </c>
      <c r="R1118">
        <v>1700</v>
      </c>
      <c r="S1118">
        <v>1700</v>
      </c>
      <c r="T1118">
        <v>0</v>
      </c>
      <c r="U1118">
        <v>0</v>
      </c>
      <c r="V1118">
        <v>1</v>
      </c>
      <c r="W1118">
        <v>0</v>
      </c>
      <c r="X1118">
        <v>0.85</v>
      </c>
    </row>
    <row r="1119" spans="1:24" x14ac:dyDescent="0.3">
      <c r="A1119" t="s">
        <v>1762</v>
      </c>
      <c r="B1119" s="1">
        <v>45747</v>
      </c>
      <c r="C1119" t="s">
        <v>56</v>
      </c>
      <c r="D1119" t="s">
        <v>39</v>
      </c>
      <c r="E1119" t="s">
        <v>27</v>
      </c>
      <c r="F1119" t="s">
        <v>41</v>
      </c>
      <c r="G1119" t="s">
        <v>42</v>
      </c>
      <c r="H1119" t="s">
        <v>125</v>
      </c>
      <c r="I1119" t="s">
        <v>1217</v>
      </c>
      <c r="J1119" t="s">
        <v>53</v>
      </c>
      <c r="K1119" t="s">
        <v>70</v>
      </c>
      <c r="L1119" t="s">
        <v>34</v>
      </c>
      <c r="M1119" t="s">
        <v>47</v>
      </c>
      <c r="N1119" t="s">
        <v>36</v>
      </c>
      <c r="O1119">
        <v>60</v>
      </c>
      <c r="P1119">
        <v>60</v>
      </c>
      <c r="Q1119">
        <v>78.400000000000006</v>
      </c>
      <c r="R1119">
        <v>1600</v>
      </c>
      <c r="S1119">
        <v>1600</v>
      </c>
      <c r="T1119">
        <v>0</v>
      </c>
      <c r="U1119">
        <v>0</v>
      </c>
      <c r="V1119">
        <v>1</v>
      </c>
      <c r="W1119">
        <v>0</v>
      </c>
      <c r="X1119">
        <v>0.85</v>
      </c>
    </row>
    <row r="1120" spans="1:24" x14ac:dyDescent="0.3">
      <c r="A1120" t="s">
        <v>1763</v>
      </c>
      <c r="B1120" s="1">
        <v>45881</v>
      </c>
      <c r="C1120" t="s">
        <v>110</v>
      </c>
      <c r="D1120" t="s">
        <v>26</v>
      </c>
      <c r="E1120" t="s">
        <v>27</v>
      </c>
      <c r="F1120" t="s">
        <v>28</v>
      </c>
      <c r="G1120" t="s">
        <v>29</v>
      </c>
      <c r="H1120" t="s">
        <v>210</v>
      </c>
      <c r="I1120" t="s">
        <v>648</v>
      </c>
      <c r="J1120" t="s">
        <v>62</v>
      </c>
      <c r="K1120" t="s">
        <v>33</v>
      </c>
      <c r="L1120" t="s">
        <v>78</v>
      </c>
      <c r="M1120" t="s">
        <v>47</v>
      </c>
      <c r="N1120" t="s">
        <v>36</v>
      </c>
      <c r="O1120">
        <v>30</v>
      </c>
      <c r="P1120">
        <v>30</v>
      </c>
      <c r="Q1120">
        <v>35.200000000000003</v>
      </c>
      <c r="R1120">
        <v>600</v>
      </c>
      <c r="S1120">
        <v>600</v>
      </c>
      <c r="T1120">
        <v>0</v>
      </c>
      <c r="U1120">
        <v>0</v>
      </c>
      <c r="V1120">
        <v>1</v>
      </c>
      <c r="W1120">
        <v>0</v>
      </c>
      <c r="X1120">
        <v>0.85</v>
      </c>
    </row>
    <row r="1121" spans="1:24" x14ac:dyDescent="0.3">
      <c r="A1121" t="s">
        <v>1764</v>
      </c>
      <c r="B1121" s="1">
        <v>45813</v>
      </c>
      <c r="C1121" t="s">
        <v>67</v>
      </c>
      <c r="D1121" t="s">
        <v>50</v>
      </c>
      <c r="E1121" t="s">
        <v>83</v>
      </c>
      <c r="F1121" t="s">
        <v>28</v>
      </c>
      <c r="G1121" t="s">
        <v>29</v>
      </c>
      <c r="H1121" t="s">
        <v>135</v>
      </c>
      <c r="I1121" t="s">
        <v>1765</v>
      </c>
      <c r="J1121" t="s">
        <v>32</v>
      </c>
      <c r="K1121" t="s">
        <v>33</v>
      </c>
      <c r="L1121" t="s">
        <v>34</v>
      </c>
      <c r="M1121" t="s">
        <v>35</v>
      </c>
      <c r="N1121" t="s">
        <v>36</v>
      </c>
      <c r="O1121">
        <v>60</v>
      </c>
      <c r="P1121">
        <v>60</v>
      </c>
      <c r="Q1121">
        <v>69.400000000000006</v>
      </c>
      <c r="R1121">
        <v>1250</v>
      </c>
      <c r="S1121">
        <v>1250</v>
      </c>
      <c r="T1121">
        <v>0</v>
      </c>
      <c r="U1121">
        <v>0</v>
      </c>
      <c r="V1121">
        <v>1</v>
      </c>
      <c r="W1121">
        <v>0</v>
      </c>
      <c r="X1121">
        <v>0.85</v>
      </c>
    </row>
    <row r="1122" spans="1:24" x14ac:dyDescent="0.3">
      <c r="A1122" t="s">
        <v>1766</v>
      </c>
      <c r="B1122" s="1">
        <v>45686</v>
      </c>
      <c r="C1122" t="s">
        <v>130</v>
      </c>
      <c r="D1122" t="s">
        <v>57</v>
      </c>
      <c r="E1122" t="s">
        <v>40</v>
      </c>
      <c r="F1122" t="s">
        <v>58</v>
      </c>
      <c r="G1122" t="s">
        <v>59</v>
      </c>
      <c r="H1122" t="s">
        <v>151</v>
      </c>
      <c r="I1122" t="s">
        <v>211</v>
      </c>
      <c r="J1122" t="s">
        <v>137</v>
      </c>
      <c r="K1122" t="s">
        <v>46</v>
      </c>
      <c r="L1122" t="s">
        <v>34</v>
      </c>
      <c r="M1122" t="s">
        <v>71</v>
      </c>
      <c r="N1122" t="s">
        <v>36</v>
      </c>
      <c r="O1122">
        <v>45</v>
      </c>
      <c r="P1122">
        <v>45</v>
      </c>
      <c r="Q1122">
        <v>52.8</v>
      </c>
      <c r="R1122">
        <v>1100</v>
      </c>
      <c r="S1122">
        <v>1100</v>
      </c>
      <c r="T1122">
        <v>0</v>
      </c>
      <c r="U1122">
        <v>0</v>
      </c>
      <c r="V1122">
        <v>1</v>
      </c>
      <c r="W1122">
        <v>0</v>
      </c>
      <c r="X1122">
        <v>0.85</v>
      </c>
    </row>
    <row r="1123" spans="1:24" x14ac:dyDescent="0.3">
      <c r="A1123" t="s">
        <v>1767</v>
      </c>
      <c r="B1123" s="1">
        <v>45985</v>
      </c>
      <c r="C1123" t="s">
        <v>38</v>
      </c>
      <c r="D1123" t="s">
        <v>39</v>
      </c>
      <c r="E1123" t="s">
        <v>68</v>
      </c>
      <c r="F1123" t="s">
        <v>58</v>
      </c>
      <c r="G1123" t="s">
        <v>59</v>
      </c>
      <c r="H1123" t="s">
        <v>151</v>
      </c>
      <c r="I1123" t="s">
        <v>1120</v>
      </c>
      <c r="J1123" t="s">
        <v>45</v>
      </c>
      <c r="K1123" t="s">
        <v>46</v>
      </c>
      <c r="L1123" t="s">
        <v>64</v>
      </c>
      <c r="M1123" t="s">
        <v>35</v>
      </c>
      <c r="N1123" t="s">
        <v>36</v>
      </c>
      <c r="O1123">
        <v>30</v>
      </c>
      <c r="P1123">
        <v>30</v>
      </c>
      <c r="Q1123">
        <v>33.200000000000003</v>
      </c>
      <c r="R1123">
        <v>850</v>
      </c>
      <c r="S1123">
        <v>850</v>
      </c>
      <c r="T1123">
        <v>0</v>
      </c>
      <c r="U1123">
        <v>0</v>
      </c>
      <c r="V1123">
        <v>1</v>
      </c>
      <c r="W1123">
        <v>0</v>
      </c>
      <c r="X1123">
        <v>0.85</v>
      </c>
    </row>
    <row r="1124" spans="1:24" x14ac:dyDescent="0.3">
      <c r="A1124" t="s">
        <v>1768</v>
      </c>
      <c r="B1124" s="1">
        <v>45849</v>
      </c>
      <c r="C1124" t="s">
        <v>101</v>
      </c>
      <c r="D1124" t="s">
        <v>82</v>
      </c>
      <c r="E1124" t="s">
        <v>68</v>
      </c>
      <c r="F1124" t="s">
        <v>58</v>
      </c>
      <c r="G1124" t="s">
        <v>59</v>
      </c>
      <c r="H1124" t="s">
        <v>73</v>
      </c>
      <c r="I1124" t="s">
        <v>1769</v>
      </c>
      <c r="J1124" t="s">
        <v>45</v>
      </c>
      <c r="K1124" t="s">
        <v>85</v>
      </c>
      <c r="L1124" t="s">
        <v>78</v>
      </c>
      <c r="M1124" t="s">
        <v>35</v>
      </c>
      <c r="N1124" t="s">
        <v>113</v>
      </c>
      <c r="O1124">
        <v>60</v>
      </c>
      <c r="P1124">
        <v>0</v>
      </c>
      <c r="Q1124">
        <v>74.2</v>
      </c>
      <c r="R1124">
        <v>1600</v>
      </c>
      <c r="S1124">
        <v>0</v>
      </c>
      <c r="T1124">
        <v>1600</v>
      </c>
      <c r="U1124">
        <v>0</v>
      </c>
      <c r="V1124">
        <v>0</v>
      </c>
      <c r="W1124">
        <v>1</v>
      </c>
      <c r="X1124">
        <v>0.85</v>
      </c>
    </row>
    <row r="1125" spans="1:24" x14ac:dyDescent="0.3">
      <c r="A1125" t="s">
        <v>1770</v>
      </c>
      <c r="B1125" s="1">
        <v>45713</v>
      </c>
      <c r="C1125" t="s">
        <v>76</v>
      </c>
      <c r="D1125" t="s">
        <v>26</v>
      </c>
      <c r="E1125" t="s">
        <v>68</v>
      </c>
      <c r="F1125" t="s">
        <v>28</v>
      </c>
      <c r="G1125" t="s">
        <v>29</v>
      </c>
      <c r="H1125" t="s">
        <v>30</v>
      </c>
      <c r="I1125" t="s">
        <v>277</v>
      </c>
      <c r="J1125" t="s">
        <v>45</v>
      </c>
      <c r="K1125" t="s">
        <v>33</v>
      </c>
      <c r="L1125" t="s">
        <v>34</v>
      </c>
      <c r="M1125" t="s">
        <v>65</v>
      </c>
      <c r="N1125" t="s">
        <v>36</v>
      </c>
      <c r="O1125">
        <v>30</v>
      </c>
      <c r="P1125">
        <v>30</v>
      </c>
      <c r="Q1125">
        <v>35</v>
      </c>
      <c r="R1125">
        <v>700</v>
      </c>
      <c r="S1125">
        <v>700</v>
      </c>
      <c r="T1125">
        <v>0</v>
      </c>
      <c r="U1125">
        <v>0</v>
      </c>
      <c r="V1125">
        <v>1</v>
      </c>
      <c r="W1125">
        <v>0</v>
      </c>
      <c r="X1125">
        <v>0.85</v>
      </c>
    </row>
    <row r="1126" spans="1:24" x14ac:dyDescent="0.3">
      <c r="A1126" t="s">
        <v>1771</v>
      </c>
      <c r="B1126" s="1">
        <v>45880</v>
      </c>
      <c r="C1126" t="s">
        <v>110</v>
      </c>
      <c r="D1126" t="s">
        <v>39</v>
      </c>
      <c r="E1126" t="s">
        <v>83</v>
      </c>
      <c r="F1126" t="s">
        <v>58</v>
      </c>
      <c r="G1126" t="s">
        <v>59</v>
      </c>
      <c r="H1126" t="s">
        <v>151</v>
      </c>
      <c r="I1126" t="s">
        <v>145</v>
      </c>
      <c r="J1126" t="s">
        <v>137</v>
      </c>
      <c r="K1126" t="s">
        <v>70</v>
      </c>
      <c r="L1126" t="s">
        <v>78</v>
      </c>
      <c r="M1126" t="s">
        <v>65</v>
      </c>
      <c r="N1126" t="s">
        <v>95</v>
      </c>
      <c r="O1126">
        <v>60</v>
      </c>
      <c r="P1126">
        <v>0</v>
      </c>
      <c r="Q1126">
        <v>79.400000000000006</v>
      </c>
      <c r="R1126">
        <v>1400</v>
      </c>
      <c r="S1126">
        <v>0</v>
      </c>
      <c r="T1126">
        <v>1400</v>
      </c>
      <c r="U1126">
        <v>1</v>
      </c>
      <c r="V1126">
        <v>0</v>
      </c>
      <c r="W1126">
        <v>0</v>
      </c>
      <c r="X1126">
        <v>0.85</v>
      </c>
    </row>
    <row r="1127" spans="1:24" x14ac:dyDescent="0.3">
      <c r="A1127" t="s">
        <v>1772</v>
      </c>
      <c r="B1127" s="1">
        <v>45681</v>
      </c>
      <c r="C1127" t="s">
        <v>130</v>
      </c>
      <c r="D1127" t="s">
        <v>82</v>
      </c>
      <c r="E1127" t="s">
        <v>27</v>
      </c>
      <c r="F1127" t="s">
        <v>41</v>
      </c>
      <c r="G1127" t="s">
        <v>42</v>
      </c>
      <c r="H1127" t="s">
        <v>125</v>
      </c>
      <c r="I1127" t="s">
        <v>1773</v>
      </c>
      <c r="J1127" t="s">
        <v>62</v>
      </c>
      <c r="K1127" t="s">
        <v>70</v>
      </c>
      <c r="L1127" t="s">
        <v>34</v>
      </c>
      <c r="M1127" t="s">
        <v>47</v>
      </c>
      <c r="N1127" t="s">
        <v>36</v>
      </c>
      <c r="O1127">
        <v>90</v>
      </c>
      <c r="P1127">
        <v>90</v>
      </c>
      <c r="Q1127">
        <v>99.3</v>
      </c>
      <c r="R1127">
        <v>2000</v>
      </c>
      <c r="S1127">
        <v>2000</v>
      </c>
      <c r="T1127">
        <v>0</v>
      </c>
      <c r="U1127">
        <v>0</v>
      </c>
      <c r="V1127">
        <v>1</v>
      </c>
      <c r="W1127">
        <v>0</v>
      </c>
      <c r="X1127">
        <v>0.85</v>
      </c>
    </row>
    <row r="1128" spans="1:24" x14ac:dyDescent="0.3">
      <c r="A1128" t="s">
        <v>1774</v>
      </c>
      <c r="B1128" s="1">
        <v>45817</v>
      </c>
      <c r="C1128" t="s">
        <v>67</v>
      </c>
      <c r="D1128" t="s">
        <v>39</v>
      </c>
      <c r="E1128" t="s">
        <v>83</v>
      </c>
      <c r="F1128" t="s">
        <v>28</v>
      </c>
      <c r="G1128" t="s">
        <v>29</v>
      </c>
      <c r="H1128" t="s">
        <v>120</v>
      </c>
      <c r="I1128" t="s">
        <v>324</v>
      </c>
      <c r="J1128" t="s">
        <v>62</v>
      </c>
      <c r="K1128" t="s">
        <v>63</v>
      </c>
      <c r="L1128" t="s">
        <v>34</v>
      </c>
      <c r="M1128" t="s">
        <v>35</v>
      </c>
      <c r="N1128" t="s">
        <v>95</v>
      </c>
      <c r="O1128">
        <v>60</v>
      </c>
      <c r="P1128">
        <v>0</v>
      </c>
      <c r="Q1128">
        <v>68.8</v>
      </c>
      <c r="R1128">
        <v>1250</v>
      </c>
      <c r="S1128">
        <v>0</v>
      </c>
      <c r="T1128">
        <v>1250</v>
      </c>
      <c r="U1128">
        <v>1</v>
      </c>
      <c r="V1128">
        <v>0</v>
      </c>
      <c r="W1128">
        <v>0</v>
      </c>
      <c r="X1128">
        <v>0.85</v>
      </c>
    </row>
    <row r="1129" spans="1:24" x14ac:dyDescent="0.3">
      <c r="A1129" t="s">
        <v>1775</v>
      </c>
      <c r="B1129" s="1">
        <v>45801</v>
      </c>
      <c r="C1129" t="s">
        <v>128</v>
      </c>
      <c r="D1129" t="s">
        <v>88</v>
      </c>
      <c r="E1129" t="s">
        <v>40</v>
      </c>
      <c r="F1129" t="s">
        <v>28</v>
      </c>
      <c r="G1129" t="s">
        <v>29</v>
      </c>
      <c r="H1129" t="s">
        <v>102</v>
      </c>
      <c r="I1129" t="s">
        <v>1626</v>
      </c>
      <c r="J1129" t="s">
        <v>53</v>
      </c>
      <c r="K1129" t="s">
        <v>70</v>
      </c>
      <c r="L1129" t="s">
        <v>64</v>
      </c>
      <c r="M1129" t="s">
        <v>65</v>
      </c>
      <c r="N1129" t="s">
        <v>95</v>
      </c>
      <c r="O1129">
        <v>45</v>
      </c>
      <c r="P1129">
        <v>0</v>
      </c>
      <c r="Q1129">
        <v>53.4</v>
      </c>
      <c r="R1129">
        <v>1100</v>
      </c>
      <c r="S1129">
        <v>0</v>
      </c>
      <c r="T1129">
        <v>1100</v>
      </c>
      <c r="U1129">
        <v>1</v>
      </c>
      <c r="V1129">
        <v>0</v>
      </c>
      <c r="W1129">
        <v>0</v>
      </c>
      <c r="X1129">
        <v>0.85</v>
      </c>
    </row>
    <row r="1130" spans="1:24" x14ac:dyDescent="0.3">
      <c r="A1130" t="s">
        <v>1776</v>
      </c>
      <c r="B1130" s="1">
        <v>46004</v>
      </c>
      <c r="C1130" t="s">
        <v>25</v>
      </c>
      <c r="D1130" t="s">
        <v>88</v>
      </c>
      <c r="E1130" t="s">
        <v>83</v>
      </c>
      <c r="F1130" t="s">
        <v>28</v>
      </c>
      <c r="G1130" t="s">
        <v>29</v>
      </c>
      <c r="H1130" t="s">
        <v>135</v>
      </c>
      <c r="I1130" t="s">
        <v>31</v>
      </c>
      <c r="J1130" t="s">
        <v>53</v>
      </c>
      <c r="K1130" t="s">
        <v>85</v>
      </c>
      <c r="L1130" t="s">
        <v>64</v>
      </c>
      <c r="M1130" t="s">
        <v>47</v>
      </c>
      <c r="N1130" t="s">
        <v>36</v>
      </c>
      <c r="O1130">
        <v>60</v>
      </c>
      <c r="P1130">
        <v>60</v>
      </c>
      <c r="Q1130">
        <v>72.7</v>
      </c>
      <c r="R1130">
        <v>1500</v>
      </c>
      <c r="S1130">
        <v>1500</v>
      </c>
      <c r="T1130">
        <v>0</v>
      </c>
      <c r="U1130">
        <v>0</v>
      </c>
      <c r="V1130">
        <v>1</v>
      </c>
      <c r="W1130">
        <v>0</v>
      </c>
      <c r="X1130">
        <v>0.85</v>
      </c>
    </row>
    <row r="1131" spans="1:24" x14ac:dyDescent="0.3">
      <c r="A1131" t="s">
        <v>1777</v>
      </c>
      <c r="B1131" s="1">
        <v>45659</v>
      </c>
      <c r="C1131" t="s">
        <v>130</v>
      </c>
      <c r="D1131" t="s">
        <v>50</v>
      </c>
      <c r="E1131" t="s">
        <v>40</v>
      </c>
      <c r="F1131" t="s">
        <v>58</v>
      </c>
      <c r="G1131" t="s">
        <v>59</v>
      </c>
      <c r="H1131" t="s">
        <v>151</v>
      </c>
      <c r="I1131" t="s">
        <v>860</v>
      </c>
      <c r="J1131" t="s">
        <v>53</v>
      </c>
      <c r="K1131" t="s">
        <v>85</v>
      </c>
      <c r="L1131" t="s">
        <v>54</v>
      </c>
      <c r="M1131" t="s">
        <v>94</v>
      </c>
      <c r="N1131" t="s">
        <v>36</v>
      </c>
      <c r="O1131">
        <v>60</v>
      </c>
      <c r="P1131">
        <v>60</v>
      </c>
      <c r="Q1131">
        <v>67.599999999999994</v>
      </c>
      <c r="R1131">
        <v>1550</v>
      </c>
      <c r="S1131">
        <v>1550</v>
      </c>
      <c r="T1131">
        <v>0</v>
      </c>
      <c r="U1131">
        <v>0</v>
      </c>
      <c r="V1131">
        <v>1</v>
      </c>
      <c r="W1131">
        <v>0</v>
      </c>
      <c r="X1131">
        <v>0.85</v>
      </c>
    </row>
    <row r="1132" spans="1:24" x14ac:dyDescent="0.3">
      <c r="A1132" t="s">
        <v>1778</v>
      </c>
      <c r="B1132" s="1">
        <v>45950</v>
      </c>
      <c r="C1132" t="s">
        <v>97</v>
      </c>
      <c r="D1132" t="s">
        <v>39</v>
      </c>
      <c r="E1132" t="s">
        <v>68</v>
      </c>
      <c r="F1132" t="s">
        <v>28</v>
      </c>
      <c r="G1132" t="s">
        <v>29</v>
      </c>
      <c r="H1132" t="s">
        <v>30</v>
      </c>
      <c r="I1132" t="s">
        <v>178</v>
      </c>
      <c r="J1132" t="s">
        <v>53</v>
      </c>
      <c r="K1132" t="s">
        <v>46</v>
      </c>
      <c r="L1132" t="s">
        <v>34</v>
      </c>
      <c r="M1132" t="s">
        <v>71</v>
      </c>
      <c r="N1132" t="s">
        <v>36</v>
      </c>
      <c r="O1132">
        <v>90</v>
      </c>
      <c r="P1132">
        <v>90</v>
      </c>
      <c r="Q1132">
        <v>112.2</v>
      </c>
      <c r="R1132">
        <v>2250</v>
      </c>
      <c r="S1132">
        <v>2250</v>
      </c>
      <c r="T1132">
        <v>0</v>
      </c>
      <c r="U1132">
        <v>0</v>
      </c>
      <c r="V1132">
        <v>1</v>
      </c>
      <c r="W1132">
        <v>0</v>
      </c>
      <c r="X1132">
        <v>0.85</v>
      </c>
    </row>
    <row r="1133" spans="1:24" x14ac:dyDescent="0.3">
      <c r="A1133" t="s">
        <v>1779</v>
      </c>
      <c r="B1133" s="1">
        <v>45895</v>
      </c>
      <c r="C1133" t="s">
        <v>110</v>
      </c>
      <c r="D1133" t="s">
        <v>26</v>
      </c>
      <c r="E1133" t="s">
        <v>40</v>
      </c>
      <c r="F1133" t="s">
        <v>28</v>
      </c>
      <c r="G1133" t="s">
        <v>29</v>
      </c>
      <c r="H1133" t="s">
        <v>120</v>
      </c>
      <c r="I1133" t="s">
        <v>143</v>
      </c>
      <c r="J1133" t="s">
        <v>62</v>
      </c>
      <c r="K1133" t="s">
        <v>33</v>
      </c>
      <c r="L1133" t="s">
        <v>54</v>
      </c>
      <c r="M1133" t="s">
        <v>94</v>
      </c>
      <c r="N1133" t="s">
        <v>36</v>
      </c>
      <c r="O1133">
        <v>60</v>
      </c>
      <c r="P1133">
        <v>60</v>
      </c>
      <c r="Q1133">
        <v>67.400000000000006</v>
      </c>
      <c r="R1133">
        <v>1050</v>
      </c>
      <c r="S1133">
        <v>1050</v>
      </c>
      <c r="T1133">
        <v>0</v>
      </c>
      <c r="U1133">
        <v>0</v>
      </c>
      <c r="V1133">
        <v>1</v>
      </c>
      <c r="W1133">
        <v>0</v>
      </c>
      <c r="X1133">
        <v>0.85</v>
      </c>
    </row>
    <row r="1134" spans="1:24" x14ac:dyDescent="0.3">
      <c r="A1134" t="s">
        <v>1780</v>
      </c>
      <c r="B1134" s="1">
        <v>45848</v>
      </c>
      <c r="C1134" t="s">
        <v>101</v>
      </c>
      <c r="D1134" t="s">
        <v>50</v>
      </c>
      <c r="E1134" t="s">
        <v>83</v>
      </c>
      <c r="F1134" t="s">
        <v>58</v>
      </c>
      <c r="G1134" t="s">
        <v>59</v>
      </c>
      <c r="H1134" t="s">
        <v>60</v>
      </c>
      <c r="I1134" t="s">
        <v>1592</v>
      </c>
      <c r="J1134" t="s">
        <v>53</v>
      </c>
      <c r="K1134" t="s">
        <v>70</v>
      </c>
      <c r="L1134" t="s">
        <v>64</v>
      </c>
      <c r="M1134" t="s">
        <v>94</v>
      </c>
      <c r="N1134" t="s">
        <v>95</v>
      </c>
      <c r="O1134">
        <v>60</v>
      </c>
      <c r="P1134">
        <v>0</v>
      </c>
      <c r="Q1134">
        <v>70.5</v>
      </c>
      <c r="R1134">
        <v>1800</v>
      </c>
      <c r="S1134">
        <v>0</v>
      </c>
      <c r="T1134">
        <v>1800</v>
      </c>
      <c r="U1134">
        <v>1</v>
      </c>
      <c r="V1134">
        <v>0</v>
      </c>
      <c r="W1134">
        <v>0</v>
      </c>
      <c r="X1134">
        <v>0.85</v>
      </c>
    </row>
    <row r="1135" spans="1:24" x14ac:dyDescent="0.3">
      <c r="A1135" t="s">
        <v>1781</v>
      </c>
      <c r="B1135" s="1">
        <v>46007</v>
      </c>
      <c r="C1135" t="s">
        <v>25</v>
      </c>
      <c r="D1135" t="s">
        <v>26</v>
      </c>
      <c r="E1135" t="s">
        <v>40</v>
      </c>
      <c r="F1135" t="s">
        <v>58</v>
      </c>
      <c r="G1135" t="s">
        <v>59</v>
      </c>
      <c r="H1135" t="s">
        <v>117</v>
      </c>
      <c r="I1135" t="s">
        <v>1752</v>
      </c>
      <c r="J1135" t="s">
        <v>62</v>
      </c>
      <c r="K1135" t="s">
        <v>63</v>
      </c>
      <c r="L1135" t="s">
        <v>64</v>
      </c>
      <c r="M1135" t="s">
        <v>94</v>
      </c>
      <c r="N1135" t="s">
        <v>36</v>
      </c>
      <c r="O1135">
        <v>75</v>
      </c>
      <c r="P1135">
        <v>75</v>
      </c>
      <c r="Q1135">
        <v>99.8</v>
      </c>
      <c r="R1135">
        <v>1900</v>
      </c>
      <c r="S1135">
        <v>1900</v>
      </c>
      <c r="T1135">
        <v>0</v>
      </c>
      <c r="U1135">
        <v>0</v>
      </c>
      <c r="V1135">
        <v>1</v>
      </c>
      <c r="W1135">
        <v>0</v>
      </c>
      <c r="X1135">
        <v>0.85</v>
      </c>
    </row>
    <row r="1136" spans="1:24" x14ac:dyDescent="0.3">
      <c r="A1136" t="s">
        <v>1782</v>
      </c>
      <c r="B1136" s="1">
        <v>45819</v>
      </c>
      <c r="C1136" t="s">
        <v>67</v>
      </c>
      <c r="D1136" t="s">
        <v>57</v>
      </c>
      <c r="E1136" t="s">
        <v>68</v>
      </c>
      <c r="F1136" t="s">
        <v>28</v>
      </c>
      <c r="G1136" t="s">
        <v>29</v>
      </c>
      <c r="H1136" t="s">
        <v>120</v>
      </c>
      <c r="I1136" t="s">
        <v>462</v>
      </c>
      <c r="J1136" t="s">
        <v>45</v>
      </c>
      <c r="K1136" t="s">
        <v>63</v>
      </c>
      <c r="L1136" t="s">
        <v>64</v>
      </c>
      <c r="M1136" t="s">
        <v>65</v>
      </c>
      <c r="N1136" t="s">
        <v>95</v>
      </c>
      <c r="O1136">
        <v>60</v>
      </c>
      <c r="P1136">
        <v>0</v>
      </c>
      <c r="Q1136">
        <v>66.2</v>
      </c>
      <c r="R1136">
        <v>1450</v>
      </c>
      <c r="S1136">
        <v>0</v>
      </c>
      <c r="T1136">
        <v>1450</v>
      </c>
      <c r="U1136">
        <v>1</v>
      </c>
      <c r="V1136">
        <v>0</v>
      </c>
      <c r="W1136">
        <v>0</v>
      </c>
      <c r="X1136">
        <v>0.85</v>
      </c>
    </row>
    <row r="1137" spans="1:24" x14ac:dyDescent="0.3">
      <c r="A1137" t="s">
        <v>1783</v>
      </c>
      <c r="B1137" s="1">
        <v>45715</v>
      </c>
      <c r="C1137" t="s">
        <v>76</v>
      </c>
      <c r="D1137" t="s">
        <v>50</v>
      </c>
      <c r="E1137" t="s">
        <v>83</v>
      </c>
      <c r="F1137" t="s">
        <v>41</v>
      </c>
      <c r="G1137" t="s">
        <v>42</v>
      </c>
      <c r="H1137" t="s">
        <v>125</v>
      </c>
      <c r="I1137" t="s">
        <v>1439</v>
      </c>
      <c r="J1137" t="s">
        <v>53</v>
      </c>
      <c r="K1137" t="s">
        <v>85</v>
      </c>
      <c r="L1137" t="s">
        <v>54</v>
      </c>
      <c r="M1137" t="s">
        <v>71</v>
      </c>
      <c r="N1137" t="s">
        <v>36</v>
      </c>
      <c r="O1137">
        <v>60</v>
      </c>
      <c r="P1137">
        <v>60</v>
      </c>
      <c r="Q1137">
        <v>76</v>
      </c>
      <c r="R1137">
        <v>1400</v>
      </c>
      <c r="S1137">
        <v>1400</v>
      </c>
      <c r="T1137">
        <v>0</v>
      </c>
      <c r="U1137">
        <v>0</v>
      </c>
      <c r="V1137">
        <v>1</v>
      </c>
      <c r="W1137">
        <v>0</v>
      </c>
      <c r="X1137">
        <v>0.85</v>
      </c>
    </row>
    <row r="1138" spans="1:24" x14ac:dyDescent="0.3">
      <c r="A1138" t="s">
        <v>1784</v>
      </c>
      <c r="B1138" s="1">
        <v>45793</v>
      </c>
      <c r="C1138" t="s">
        <v>128</v>
      </c>
      <c r="D1138" t="s">
        <v>82</v>
      </c>
      <c r="E1138" t="s">
        <v>40</v>
      </c>
      <c r="F1138" t="s">
        <v>28</v>
      </c>
      <c r="G1138" t="s">
        <v>29</v>
      </c>
      <c r="H1138" t="s">
        <v>210</v>
      </c>
      <c r="I1138" t="s">
        <v>1615</v>
      </c>
      <c r="J1138" t="s">
        <v>53</v>
      </c>
      <c r="K1138" t="s">
        <v>63</v>
      </c>
      <c r="L1138" t="s">
        <v>78</v>
      </c>
      <c r="M1138" t="s">
        <v>71</v>
      </c>
      <c r="N1138" t="s">
        <v>36</v>
      </c>
      <c r="O1138">
        <v>90</v>
      </c>
      <c r="P1138">
        <v>90</v>
      </c>
      <c r="Q1138">
        <v>111.4</v>
      </c>
      <c r="R1138">
        <v>2050</v>
      </c>
      <c r="S1138">
        <v>2050</v>
      </c>
      <c r="T1138">
        <v>0</v>
      </c>
      <c r="U1138">
        <v>0</v>
      </c>
      <c r="V1138">
        <v>1</v>
      </c>
      <c r="W1138">
        <v>0</v>
      </c>
      <c r="X1138">
        <v>0.85</v>
      </c>
    </row>
    <row r="1139" spans="1:24" x14ac:dyDescent="0.3">
      <c r="A1139" t="s">
        <v>1785</v>
      </c>
      <c r="B1139" s="1">
        <v>45749</v>
      </c>
      <c r="C1139" t="s">
        <v>92</v>
      </c>
      <c r="D1139" t="s">
        <v>57</v>
      </c>
      <c r="E1139" t="s">
        <v>40</v>
      </c>
      <c r="F1139" t="s">
        <v>28</v>
      </c>
      <c r="G1139" t="s">
        <v>29</v>
      </c>
      <c r="H1139" t="s">
        <v>210</v>
      </c>
      <c r="I1139" t="s">
        <v>1786</v>
      </c>
      <c r="J1139" t="s">
        <v>45</v>
      </c>
      <c r="K1139" t="s">
        <v>70</v>
      </c>
      <c r="L1139" t="s">
        <v>78</v>
      </c>
      <c r="M1139" t="s">
        <v>86</v>
      </c>
      <c r="N1139" t="s">
        <v>95</v>
      </c>
      <c r="O1139">
        <v>60</v>
      </c>
      <c r="P1139">
        <v>0</v>
      </c>
      <c r="Q1139">
        <v>70.8</v>
      </c>
      <c r="R1139">
        <v>1300</v>
      </c>
      <c r="S1139">
        <v>0</v>
      </c>
      <c r="T1139">
        <v>1300</v>
      </c>
      <c r="U1139">
        <v>1</v>
      </c>
      <c r="V1139">
        <v>0</v>
      </c>
      <c r="W1139">
        <v>0</v>
      </c>
      <c r="X1139">
        <v>0.85</v>
      </c>
    </row>
    <row r="1140" spans="1:24" x14ac:dyDescent="0.3">
      <c r="A1140" t="s">
        <v>1787</v>
      </c>
      <c r="B1140" s="1">
        <v>45687</v>
      </c>
      <c r="C1140" t="s">
        <v>130</v>
      </c>
      <c r="D1140" t="s">
        <v>50</v>
      </c>
      <c r="E1140" t="s">
        <v>83</v>
      </c>
      <c r="F1140" t="s">
        <v>28</v>
      </c>
      <c r="G1140" t="s">
        <v>29</v>
      </c>
      <c r="H1140" t="s">
        <v>135</v>
      </c>
      <c r="I1140" t="s">
        <v>1788</v>
      </c>
      <c r="J1140" t="s">
        <v>62</v>
      </c>
      <c r="K1140" t="s">
        <v>85</v>
      </c>
      <c r="L1140" t="s">
        <v>34</v>
      </c>
      <c r="M1140" t="s">
        <v>94</v>
      </c>
      <c r="N1140" t="s">
        <v>36</v>
      </c>
      <c r="O1140">
        <v>90</v>
      </c>
      <c r="P1140">
        <v>90</v>
      </c>
      <c r="Q1140">
        <v>102</v>
      </c>
      <c r="R1140">
        <v>1900</v>
      </c>
      <c r="S1140">
        <v>1900</v>
      </c>
      <c r="T1140">
        <v>0</v>
      </c>
      <c r="U1140">
        <v>0</v>
      </c>
      <c r="V1140">
        <v>1</v>
      </c>
      <c r="W1140">
        <v>0</v>
      </c>
      <c r="X1140">
        <v>0.85</v>
      </c>
    </row>
    <row r="1141" spans="1:24" x14ac:dyDescent="0.3">
      <c r="A1141" t="s">
        <v>1789</v>
      </c>
      <c r="B1141" s="1">
        <v>45916</v>
      </c>
      <c r="C1141" t="s">
        <v>49</v>
      </c>
      <c r="D1141" t="s">
        <v>26</v>
      </c>
      <c r="E1141" t="s">
        <v>40</v>
      </c>
      <c r="F1141" t="s">
        <v>58</v>
      </c>
      <c r="G1141" t="s">
        <v>59</v>
      </c>
      <c r="H1141" t="s">
        <v>117</v>
      </c>
      <c r="I1141" t="s">
        <v>593</v>
      </c>
      <c r="J1141" t="s">
        <v>62</v>
      </c>
      <c r="K1141" t="s">
        <v>104</v>
      </c>
      <c r="L1141" t="s">
        <v>34</v>
      </c>
      <c r="M1141" t="s">
        <v>71</v>
      </c>
      <c r="N1141" t="s">
        <v>153</v>
      </c>
      <c r="O1141">
        <v>45</v>
      </c>
      <c r="P1141">
        <v>0</v>
      </c>
      <c r="Q1141">
        <v>57.6</v>
      </c>
      <c r="R1141">
        <v>1100</v>
      </c>
      <c r="S1141">
        <v>0</v>
      </c>
      <c r="T1141">
        <v>0</v>
      </c>
      <c r="U1141">
        <v>0</v>
      </c>
      <c r="V1141">
        <v>0</v>
      </c>
      <c r="W1141">
        <v>0</v>
      </c>
      <c r="X1141">
        <v>0.85</v>
      </c>
    </row>
    <row r="1142" spans="1:24" x14ac:dyDescent="0.3">
      <c r="A1142" t="s">
        <v>1790</v>
      </c>
      <c r="B1142" s="1">
        <v>45894</v>
      </c>
      <c r="C1142" t="s">
        <v>110</v>
      </c>
      <c r="D1142" t="s">
        <v>39</v>
      </c>
      <c r="E1142" t="s">
        <v>40</v>
      </c>
      <c r="F1142" t="s">
        <v>28</v>
      </c>
      <c r="G1142" t="s">
        <v>29</v>
      </c>
      <c r="H1142" t="s">
        <v>210</v>
      </c>
      <c r="I1142" t="s">
        <v>484</v>
      </c>
      <c r="J1142" t="s">
        <v>53</v>
      </c>
      <c r="K1142" t="s">
        <v>63</v>
      </c>
      <c r="L1142" t="s">
        <v>34</v>
      </c>
      <c r="M1142" t="s">
        <v>47</v>
      </c>
      <c r="N1142" t="s">
        <v>36</v>
      </c>
      <c r="O1142">
        <v>45</v>
      </c>
      <c r="P1142">
        <v>45</v>
      </c>
      <c r="Q1142">
        <v>49.9</v>
      </c>
      <c r="R1142">
        <v>1100</v>
      </c>
      <c r="S1142">
        <v>1100</v>
      </c>
      <c r="T1142">
        <v>0</v>
      </c>
      <c r="U1142">
        <v>0</v>
      </c>
      <c r="V1142">
        <v>1</v>
      </c>
      <c r="W1142">
        <v>0</v>
      </c>
      <c r="X1142">
        <v>0.85</v>
      </c>
    </row>
    <row r="1143" spans="1:24" x14ac:dyDescent="0.3">
      <c r="A1143" t="s">
        <v>1791</v>
      </c>
      <c r="B1143" s="1">
        <v>45702</v>
      </c>
      <c r="C1143" t="s">
        <v>76</v>
      </c>
      <c r="D1143" t="s">
        <v>82</v>
      </c>
      <c r="E1143" t="s">
        <v>68</v>
      </c>
      <c r="F1143" t="s">
        <v>58</v>
      </c>
      <c r="G1143" t="s">
        <v>59</v>
      </c>
      <c r="H1143" t="s">
        <v>151</v>
      </c>
      <c r="I1143" t="s">
        <v>447</v>
      </c>
      <c r="J1143" t="s">
        <v>53</v>
      </c>
      <c r="K1143" t="s">
        <v>46</v>
      </c>
      <c r="L1143" t="s">
        <v>34</v>
      </c>
      <c r="M1143" t="s">
        <v>65</v>
      </c>
      <c r="N1143" t="s">
        <v>36</v>
      </c>
      <c r="O1143">
        <v>45</v>
      </c>
      <c r="P1143">
        <v>45</v>
      </c>
      <c r="Q1143">
        <v>52.6</v>
      </c>
      <c r="R1143">
        <v>1350</v>
      </c>
      <c r="S1143">
        <v>1350</v>
      </c>
      <c r="T1143">
        <v>0</v>
      </c>
      <c r="U1143">
        <v>0</v>
      </c>
      <c r="V1143">
        <v>1</v>
      </c>
      <c r="W1143">
        <v>0</v>
      </c>
      <c r="X1143">
        <v>0.85</v>
      </c>
    </row>
    <row r="1144" spans="1:24" x14ac:dyDescent="0.3">
      <c r="A1144" t="s">
        <v>1792</v>
      </c>
      <c r="B1144" s="1">
        <v>45787</v>
      </c>
      <c r="C1144" t="s">
        <v>128</v>
      </c>
      <c r="D1144" t="s">
        <v>88</v>
      </c>
      <c r="E1144" t="s">
        <v>83</v>
      </c>
      <c r="F1144" t="s">
        <v>28</v>
      </c>
      <c r="G1144" t="s">
        <v>29</v>
      </c>
      <c r="H1144" t="s">
        <v>30</v>
      </c>
      <c r="I1144" t="s">
        <v>517</v>
      </c>
      <c r="J1144" t="s">
        <v>62</v>
      </c>
      <c r="K1144" t="s">
        <v>104</v>
      </c>
      <c r="L1144" t="s">
        <v>64</v>
      </c>
      <c r="M1144" t="s">
        <v>86</v>
      </c>
      <c r="N1144" t="s">
        <v>36</v>
      </c>
      <c r="O1144">
        <v>60</v>
      </c>
      <c r="P1144">
        <v>60</v>
      </c>
      <c r="Q1144">
        <v>78.400000000000006</v>
      </c>
      <c r="R1144">
        <v>1250</v>
      </c>
      <c r="S1144">
        <v>1250</v>
      </c>
      <c r="T1144">
        <v>0</v>
      </c>
      <c r="U1144">
        <v>0</v>
      </c>
      <c r="V1144">
        <v>1</v>
      </c>
      <c r="W1144">
        <v>0</v>
      </c>
      <c r="X1144">
        <v>0.85</v>
      </c>
    </row>
    <row r="1145" spans="1:24" x14ac:dyDescent="0.3">
      <c r="A1145" t="s">
        <v>1793</v>
      </c>
      <c r="B1145" s="1">
        <v>45721</v>
      </c>
      <c r="C1145" t="s">
        <v>56</v>
      </c>
      <c r="D1145" t="s">
        <v>57</v>
      </c>
      <c r="E1145" t="s">
        <v>27</v>
      </c>
      <c r="F1145" t="s">
        <v>58</v>
      </c>
      <c r="G1145" t="s">
        <v>59</v>
      </c>
      <c r="H1145" t="s">
        <v>117</v>
      </c>
      <c r="I1145" t="s">
        <v>1794</v>
      </c>
      <c r="J1145" t="s">
        <v>45</v>
      </c>
      <c r="K1145" t="s">
        <v>46</v>
      </c>
      <c r="L1145" t="s">
        <v>54</v>
      </c>
      <c r="M1145" t="s">
        <v>47</v>
      </c>
      <c r="N1145" t="s">
        <v>36</v>
      </c>
      <c r="O1145">
        <v>45</v>
      </c>
      <c r="P1145">
        <v>45</v>
      </c>
      <c r="Q1145">
        <v>55.3</v>
      </c>
      <c r="R1145">
        <v>1100</v>
      </c>
      <c r="S1145">
        <v>1100</v>
      </c>
      <c r="T1145">
        <v>0</v>
      </c>
      <c r="U1145">
        <v>0</v>
      </c>
      <c r="V1145">
        <v>1</v>
      </c>
      <c r="W1145">
        <v>0</v>
      </c>
      <c r="X1145">
        <v>0.85</v>
      </c>
    </row>
    <row r="1146" spans="1:24" x14ac:dyDescent="0.3">
      <c r="A1146" t="s">
        <v>1795</v>
      </c>
      <c r="B1146" s="1">
        <v>45875</v>
      </c>
      <c r="C1146" t="s">
        <v>110</v>
      </c>
      <c r="D1146" t="s">
        <v>57</v>
      </c>
      <c r="E1146" t="s">
        <v>68</v>
      </c>
      <c r="F1146" t="s">
        <v>28</v>
      </c>
      <c r="G1146" t="s">
        <v>29</v>
      </c>
      <c r="H1146" t="s">
        <v>102</v>
      </c>
      <c r="I1146" t="s">
        <v>1796</v>
      </c>
      <c r="J1146" t="s">
        <v>32</v>
      </c>
      <c r="K1146" t="s">
        <v>33</v>
      </c>
      <c r="L1146" t="s">
        <v>78</v>
      </c>
      <c r="M1146" t="s">
        <v>94</v>
      </c>
      <c r="N1146" t="s">
        <v>36</v>
      </c>
      <c r="O1146">
        <v>45</v>
      </c>
      <c r="P1146">
        <v>45</v>
      </c>
      <c r="Q1146">
        <v>59.2</v>
      </c>
      <c r="R1146">
        <v>850</v>
      </c>
      <c r="S1146">
        <v>850</v>
      </c>
      <c r="T1146">
        <v>0</v>
      </c>
      <c r="U1146">
        <v>0</v>
      </c>
      <c r="V1146">
        <v>1</v>
      </c>
      <c r="W1146">
        <v>0</v>
      </c>
      <c r="X1146">
        <v>0.85</v>
      </c>
    </row>
    <row r="1147" spans="1:24" x14ac:dyDescent="0.3">
      <c r="A1147" t="s">
        <v>1797</v>
      </c>
      <c r="B1147" s="1">
        <v>45860</v>
      </c>
      <c r="C1147" t="s">
        <v>101</v>
      </c>
      <c r="D1147" t="s">
        <v>26</v>
      </c>
      <c r="E1147" t="s">
        <v>83</v>
      </c>
      <c r="F1147" t="s">
        <v>41</v>
      </c>
      <c r="G1147" t="s">
        <v>42</v>
      </c>
      <c r="H1147" t="s">
        <v>125</v>
      </c>
      <c r="I1147" t="s">
        <v>1181</v>
      </c>
      <c r="J1147" t="s">
        <v>62</v>
      </c>
      <c r="K1147" t="s">
        <v>104</v>
      </c>
      <c r="L1147" t="s">
        <v>78</v>
      </c>
      <c r="M1147" t="s">
        <v>71</v>
      </c>
      <c r="N1147" t="s">
        <v>36</v>
      </c>
      <c r="O1147">
        <v>30</v>
      </c>
      <c r="P1147">
        <v>30</v>
      </c>
      <c r="Q1147">
        <v>33</v>
      </c>
      <c r="R1147">
        <v>600</v>
      </c>
      <c r="S1147">
        <v>600</v>
      </c>
      <c r="T1147">
        <v>0</v>
      </c>
      <c r="U1147">
        <v>0</v>
      </c>
      <c r="V1147">
        <v>1</v>
      </c>
      <c r="W1147">
        <v>0</v>
      </c>
      <c r="X1147">
        <v>0.85</v>
      </c>
    </row>
    <row r="1148" spans="1:24" x14ac:dyDescent="0.3">
      <c r="A1148" t="s">
        <v>1798</v>
      </c>
      <c r="B1148" s="1">
        <v>45962</v>
      </c>
      <c r="C1148" t="s">
        <v>38</v>
      </c>
      <c r="D1148" t="s">
        <v>88</v>
      </c>
      <c r="E1148" t="s">
        <v>40</v>
      </c>
      <c r="F1148" t="s">
        <v>58</v>
      </c>
      <c r="G1148" t="s">
        <v>59</v>
      </c>
      <c r="H1148" t="s">
        <v>73</v>
      </c>
      <c r="I1148" t="s">
        <v>1156</v>
      </c>
      <c r="J1148" t="s">
        <v>62</v>
      </c>
      <c r="K1148" t="s">
        <v>104</v>
      </c>
      <c r="L1148" t="s">
        <v>34</v>
      </c>
      <c r="M1148" t="s">
        <v>35</v>
      </c>
      <c r="N1148" t="s">
        <v>36</v>
      </c>
      <c r="O1148">
        <v>45</v>
      </c>
      <c r="P1148">
        <v>45</v>
      </c>
      <c r="Q1148">
        <v>60.1</v>
      </c>
      <c r="R1148">
        <v>1100</v>
      </c>
      <c r="S1148">
        <v>1100</v>
      </c>
      <c r="T1148">
        <v>0</v>
      </c>
      <c r="U1148">
        <v>0</v>
      </c>
      <c r="V1148">
        <v>1</v>
      </c>
      <c r="W1148">
        <v>0</v>
      </c>
      <c r="X1148">
        <v>0.85</v>
      </c>
    </row>
    <row r="1149" spans="1:24" x14ac:dyDescent="0.3">
      <c r="A1149" t="s">
        <v>1799</v>
      </c>
      <c r="B1149" s="1">
        <v>45849</v>
      </c>
      <c r="C1149" t="s">
        <v>101</v>
      </c>
      <c r="D1149" t="s">
        <v>82</v>
      </c>
      <c r="E1149" t="s">
        <v>40</v>
      </c>
      <c r="F1149" t="s">
        <v>28</v>
      </c>
      <c r="G1149" t="s">
        <v>29</v>
      </c>
      <c r="H1149" t="s">
        <v>30</v>
      </c>
      <c r="I1149" t="s">
        <v>1800</v>
      </c>
      <c r="J1149" t="s">
        <v>45</v>
      </c>
      <c r="K1149" t="s">
        <v>33</v>
      </c>
      <c r="L1149" t="s">
        <v>54</v>
      </c>
      <c r="M1149" t="s">
        <v>94</v>
      </c>
      <c r="N1149" t="s">
        <v>36</v>
      </c>
      <c r="O1149">
        <v>45</v>
      </c>
      <c r="P1149">
        <v>45</v>
      </c>
      <c r="Q1149">
        <v>59.8</v>
      </c>
      <c r="R1149">
        <v>900</v>
      </c>
      <c r="S1149">
        <v>900</v>
      </c>
      <c r="T1149">
        <v>0</v>
      </c>
      <c r="U1149">
        <v>0</v>
      </c>
      <c r="V1149">
        <v>1</v>
      </c>
      <c r="W1149">
        <v>0</v>
      </c>
      <c r="X1149">
        <v>0.85</v>
      </c>
    </row>
    <row r="1150" spans="1:24" x14ac:dyDescent="0.3">
      <c r="A1150" t="s">
        <v>1801</v>
      </c>
      <c r="B1150" s="1">
        <v>45759</v>
      </c>
      <c r="C1150" t="s">
        <v>92</v>
      </c>
      <c r="D1150" t="s">
        <v>88</v>
      </c>
      <c r="E1150" t="s">
        <v>68</v>
      </c>
      <c r="F1150" t="s">
        <v>58</v>
      </c>
      <c r="G1150" t="s">
        <v>59</v>
      </c>
      <c r="H1150" t="s">
        <v>296</v>
      </c>
      <c r="I1150" t="s">
        <v>429</v>
      </c>
      <c r="J1150" t="s">
        <v>62</v>
      </c>
      <c r="K1150" t="s">
        <v>104</v>
      </c>
      <c r="L1150" t="s">
        <v>34</v>
      </c>
      <c r="M1150" t="s">
        <v>71</v>
      </c>
      <c r="N1150" t="s">
        <v>36</v>
      </c>
      <c r="O1150">
        <v>45</v>
      </c>
      <c r="P1150">
        <v>45</v>
      </c>
      <c r="Q1150">
        <v>54.7</v>
      </c>
      <c r="R1150">
        <v>1100</v>
      </c>
      <c r="S1150">
        <v>1100</v>
      </c>
      <c r="T1150">
        <v>0</v>
      </c>
      <c r="U1150">
        <v>0</v>
      </c>
      <c r="V1150">
        <v>1</v>
      </c>
      <c r="W1150">
        <v>0</v>
      </c>
      <c r="X1150">
        <v>0.85</v>
      </c>
    </row>
    <row r="1151" spans="1:24" x14ac:dyDescent="0.3">
      <c r="A1151" t="s">
        <v>1802</v>
      </c>
      <c r="B1151" s="1">
        <v>45976</v>
      </c>
      <c r="C1151" t="s">
        <v>38</v>
      </c>
      <c r="D1151" t="s">
        <v>88</v>
      </c>
      <c r="E1151" t="s">
        <v>83</v>
      </c>
      <c r="F1151" t="s">
        <v>28</v>
      </c>
      <c r="G1151" t="s">
        <v>29</v>
      </c>
      <c r="H1151" t="s">
        <v>102</v>
      </c>
      <c r="I1151" t="s">
        <v>1803</v>
      </c>
      <c r="J1151" t="s">
        <v>62</v>
      </c>
      <c r="K1151" t="s">
        <v>33</v>
      </c>
      <c r="L1151" t="s">
        <v>34</v>
      </c>
      <c r="M1151" t="s">
        <v>47</v>
      </c>
      <c r="N1151" t="s">
        <v>36</v>
      </c>
      <c r="O1151">
        <v>60</v>
      </c>
      <c r="P1151">
        <v>60</v>
      </c>
      <c r="Q1151">
        <v>77.599999999999994</v>
      </c>
      <c r="R1151">
        <v>1250</v>
      </c>
      <c r="S1151">
        <v>1250</v>
      </c>
      <c r="T1151">
        <v>0</v>
      </c>
      <c r="U1151">
        <v>0</v>
      </c>
      <c r="V1151">
        <v>1</v>
      </c>
      <c r="W1151">
        <v>0</v>
      </c>
      <c r="X1151">
        <v>0.85</v>
      </c>
    </row>
    <row r="1152" spans="1:24" x14ac:dyDescent="0.3">
      <c r="A1152" t="s">
        <v>1804</v>
      </c>
      <c r="B1152" s="1">
        <v>45954</v>
      </c>
      <c r="C1152" t="s">
        <v>97</v>
      </c>
      <c r="D1152" t="s">
        <v>82</v>
      </c>
      <c r="E1152" t="s">
        <v>40</v>
      </c>
      <c r="F1152" t="s">
        <v>41</v>
      </c>
      <c r="G1152" t="s">
        <v>42</v>
      </c>
      <c r="H1152" t="s">
        <v>111</v>
      </c>
      <c r="I1152" t="s">
        <v>1805</v>
      </c>
      <c r="J1152" t="s">
        <v>99</v>
      </c>
      <c r="K1152" t="s">
        <v>63</v>
      </c>
      <c r="L1152" t="s">
        <v>34</v>
      </c>
      <c r="M1152" t="s">
        <v>47</v>
      </c>
      <c r="N1152" t="s">
        <v>36</v>
      </c>
      <c r="O1152">
        <v>45</v>
      </c>
      <c r="P1152">
        <v>45</v>
      </c>
      <c r="Q1152">
        <v>54</v>
      </c>
      <c r="R1152">
        <v>1000</v>
      </c>
      <c r="S1152">
        <v>1000</v>
      </c>
      <c r="T1152">
        <v>0</v>
      </c>
      <c r="U1152">
        <v>0</v>
      </c>
      <c r="V1152">
        <v>1</v>
      </c>
      <c r="W1152">
        <v>0</v>
      </c>
      <c r="X1152">
        <v>0.85</v>
      </c>
    </row>
    <row r="1153" spans="1:24" x14ac:dyDescent="0.3">
      <c r="A1153" t="s">
        <v>1806</v>
      </c>
      <c r="B1153" s="1">
        <v>45918</v>
      </c>
      <c r="C1153" t="s">
        <v>49</v>
      </c>
      <c r="D1153" t="s">
        <v>50</v>
      </c>
      <c r="E1153" t="s">
        <v>27</v>
      </c>
      <c r="F1153" t="s">
        <v>58</v>
      </c>
      <c r="G1153" t="s">
        <v>59</v>
      </c>
      <c r="H1153" t="s">
        <v>73</v>
      </c>
      <c r="I1153" t="s">
        <v>684</v>
      </c>
      <c r="J1153" t="s">
        <v>62</v>
      </c>
      <c r="K1153" t="s">
        <v>104</v>
      </c>
      <c r="L1153" t="s">
        <v>34</v>
      </c>
      <c r="M1153" t="s">
        <v>94</v>
      </c>
      <c r="N1153" t="s">
        <v>36</v>
      </c>
      <c r="O1153">
        <v>60</v>
      </c>
      <c r="P1153">
        <v>60</v>
      </c>
      <c r="Q1153">
        <v>68.3</v>
      </c>
      <c r="R1153">
        <v>1500</v>
      </c>
      <c r="S1153">
        <v>1500</v>
      </c>
      <c r="T1153">
        <v>0</v>
      </c>
      <c r="U1153">
        <v>0</v>
      </c>
      <c r="V1153">
        <v>1</v>
      </c>
      <c r="W1153">
        <v>0</v>
      </c>
      <c r="X1153">
        <v>0.85</v>
      </c>
    </row>
    <row r="1154" spans="1:24" x14ac:dyDescent="0.3">
      <c r="A1154" t="s">
        <v>1807</v>
      </c>
      <c r="B1154" s="1">
        <v>45762</v>
      </c>
      <c r="C1154" t="s">
        <v>92</v>
      </c>
      <c r="D1154" t="s">
        <v>26</v>
      </c>
      <c r="E1154" t="s">
        <v>40</v>
      </c>
      <c r="F1154" t="s">
        <v>58</v>
      </c>
      <c r="G1154" t="s">
        <v>59</v>
      </c>
      <c r="H1154" t="s">
        <v>296</v>
      </c>
      <c r="I1154" t="s">
        <v>115</v>
      </c>
      <c r="J1154" t="s">
        <v>137</v>
      </c>
      <c r="K1154" t="s">
        <v>33</v>
      </c>
      <c r="L1154" t="s">
        <v>78</v>
      </c>
      <c r="M1154" t="s">
        <v>94</v>
      </c>
      <c r="N1154" t="s">
        <v>36</v>
      </c>
      <c r="O1154">
        <v>30</v>
      </c>
      <c r="P1154">
        <v>30</v>
      </c>
      <c r="Q1154">
        <v>39.5</v>
      </c>
      <c r="R1154">
        <v>700</v>
      </c>
      <c r="S1154">
        <v>700</v>
      </c>
      <c r="T1154">
        <v>0</v>
      </c>
      <c r="U1154">
        <v>0</v>
      </c>
      <c r="V1154">
        <v>1</v>
      </c>
      <c r="W1154">
        <v>0</v>
      </c>
      <c r="X1154">
        <v>0.85</v>
      </c>
    </row>
    <row r="1155" spans="1:24" x14ac:dyDescent="0.3">
      <c r="A1155" t="s">
        <v>1808</v>
      </c>
      <c r="B1155" s="1">
        <v>45992</v>
      </c>
      <c r="C1155" t="s">
        <v>25</v>
      </c>
      <c r="D1155" t="s">
        <v>39</v>
      </c>
      <c r="E1155" t="s">
        <v>68</v>
      </c>
      <c r="F1155" t="s">
        <v>58</v>
      </c>
      <c r="G1155" t="s">
        <v>59</v>
      </c>
      <c r="H1155" t="s">
        <v>117</v>
      </c>
      <c r="I1155" t="s">
        <v>846</v>
      </c>
      <c r="J1155" t="s">
        <v>32</v>
      </c>
      <c r="K1155" t="s">
        <v>85</v>
      </c>
      <c r="L1155" t="s">
        <v>34</v>
      </c>
      <c r="M1155" t="s">
        <v>35</v>
      </c>
      <c r="N1155" t="s">
        <v>95</v>
      </c>
      <c r="O1155">
        <v>30</v>
      </c>
      <c r="P1155">
        <v>0</v>
      </c>
      <c r="Q1155">
        <v>34.700000000000003</v>
      </c>
      <c r="R1155">
        <v>750</v>
      </c>
      <c r="S1155">
        <v>0</v>
      </c>
      <c r="T1155">
        <v>750</v>
      </c>
      <c r="U1155">
        <v>1</v>
      </c>
      <c r="V1155">
        <v>0</v>
      </c>
      <c r="W1155">
        <v>0</v>
      </c>
      <c r="X1155">
        <v>0.85</v>
      </c>
    </row>
    <row r="1156" spans="1:24" x14ac:dyDescent="0.3">
      <c r="A1156" t="s">
        <v>1809</v>
      </c>
      <c r="B1156" s="1">
        <v>45867</v>
      </c>
      <c r="C1156" t="s">
        <v>101</v>
      </c>
      <c r="D1156" t="s">
        <v>26</v>
      </c>
      <c r="E1156" t="s">
        <v>40</v>
      </c>
      <c r="F1156" t="s">
        <v>41</v>
      </c>
      <c r="G1156" t="s">
        <v>42</v>
      </c>
      <c r="H1156" t="s">
        <v>111</v>
      </c>
      <c r="I1156" t="s">
        <v>1535</v>
      </c>
      <c r="J1156" t="s">
        <v>62</v>
      </c>
      <c r="K1156" t="s">
        <v>63</v>
      </c>
      <c r="L1156" t="s">
        <v>64</v>
      </c>
      <c r="M1156" t="s">
        <v>94</v>
      </c>
      <c r="N1156" t="s">
        <v>95</v>
      </c>
      <c r="O1156">
        <v>45</v>
      </c>
      <c r="P1156">
        <v>0</v>
      </c>
      <c r="Q1156">
        <v>58</v>
      </c>
      <c r="R1156">
        <v>1000</v>
      </c>
      <c r="S1156">
        <v>0</v>
      </c>
      <c r="T1156">
        <v>1000</v>
      </c>
      <c r="U1156">
        <v>1</v>
      </c>
      <c r="V1156">
        <v>0</v>
      </c>
      <c r="W1156">
        <v>0</v>
      </c>
      <c r="X1156">
        <v>0.85</v>
      </c>
    </row>
    <row r="1157" spans="1:24" x14ac:dyDescent="0.3">
      <c r="A1157" t="s">
        <v>1810</v>
      </c>
      <c r="B1157" s="1">
        <v>45709</v>
      </c>
      <c r="C1157" t="s">
        <v>76</v>
      </c>
      <c r="D1157" t="s">
        <v>82</v>
      </c>
      <c r="E1157" t="s">
        <v>27</v>
      </c>
      <c r="F1157" t="s">
        <v>28</v>
      </c>
      <c r="G1157" t="s">
        <v>29</v>
      </c>
      <c r="H1157" t="s">
        <v>120</v>
      </c>
      <c r="I1157" t="s">
        <v>1811</v>
      </c>
      <c r="J1157" t="s">
        <v>32</v>
      </c>
      <c r="K1157" t="s">
        <v>46</v>
      </c>
      <c r="L1157" t="s">
        <v>34</v>
      </c>
      <c r="M1157" t="s">
        <v>47</v>
      </c>
      <c r="N1157" t="s">
        <v>36</v>
      </c>
      <c r="O1157">
        <v>75</v>
      </c>
      <c r="P1157">
        <v>75</v>
      </c>
      <c r="Q1157">
        <v>86.7</v>
      </c>
      <c r="R1157">
        <v>1550</v>
      </c>
      <c r="S1157">
        <v>1550</v>
      </c>
      <c r="T1157">
        <v>0</v>
      </c>
      <c r="U1157">
        <v>0</v>
      </c>
      <c r="V1157">
        <v>1</v>
      </c>
      <c r="W1157">
        <v>0</v>
      </c>
      <c r="X1157">
        <v>0.85</v>
      </c>
    </row>
    <row r="1158" spans="1:24" x14ac:dyDescent="0.3">
      <c r="A1158" t="s">
        <v>1812</v>
      </c>
      <c r="B1158" s="1">
        <v>45887</v>
      </c>
      <c r="C1158" t="s">
        <v>110</v>
      </c>
      <c r="D1158" t="s">
        <v>39</v>
      </c>
      <c r="E1158" t="s">
        <v>40</v>
      </c>
      <c r="F1158" t="s">
        <v>58</v>
      </c>
      <c r="G1158" t="s">
        <v>59</v>
      </c>
      <c r="H1158" t="s">
        <v>73</v>
      </c>
      <c r="I1158" t="s">
        <v>1813</v>
      </c>
      <c r="J1158" t="s">
        <v>99</v>
      </c>
      <c r="K1158" t="s">
        <v>104</v>
      </c>
      <c r="L1158" t="s">
        <v>34</v>
      </c>
      <c r="M1158" t="s">
        <v>35</v>
      </c>
      <c r="N1158" t="s">
        <v>36</v>
      </c>
      <c r="O1158">
        <v>30</v>
      </c>
      <c r="P1158">
        <v>30</v>
      </c>
      <c r="Q1158">
        <v>33.200000000000003</v>
      </c>
      <c r="R1158">
        <v>750</v>
      </c>
      <c r="S1158">
        <v>750</v>
      </c>
      <c r="T1158">
        <v>0</v>
      </c>
      <c r="U1158">
        <v>0</v>
      </c>
      <c r="V1158">
        <v>1</v>
      </c>
      <c r="W1158">
        <v>0</v>
      </c>
      <c r="X1158">
        <v>0.85</v>
      </c>
    </row>
    <row r="1159" spans="1:24" x14ac:dyDescent="0.3">
      <c r="A1159" t="s">
        <v>1814</v>
      </c>
      <c r="B1159" s="1">
        <v>45693</v>
      </c>
      <c r="C1159" t="s">
        <v>76</v>
      </c>
      <c r="D1159" t="s">
        <v>57</v>
      </c>
      <c r="E1159" t="s">
        <v>27</v>
      </c>
      <c r="F1159" t="s">
        <v>28</v>
      </c>
      <c r="G1159" t="s">
        <v>29</v>
      </c>
      <c r="H1159" t="s">
        <v>30</v>
      </c>
      <c r="I1159" t="s">
        <v>846</v>
      </c>
      <c r="J1159" t="s">
        <v>32</v>
      </c>
      <c r="K1159" t="s">
        <v>63</v>
      </c>
      <c r="L1159" t="s">
        <v>78</v>
      </c>
      <c r="M1159" t="s">
        <v>35</v>
      </c>
      <c r="N1159" t="s">
        <v>36</v>
      </c>
      <c r="O1159">
        <v>45</v>
      </c>
      <c r="P1159">
        <v>45</v>
      </c>
      <c r="Q1159">
        <v>59.3</v>
      </c>
      <c r="R1159">
        <v>850</v>
      </c>
      <c r="S1159">
        <v>850</v>
      </c>
      <c r="T1159">
        <v>0</v>
      </c>
      <c r="U1159">
        <v>0</v>
      </c>
      <c r="V1159">
        <v>1</v>
      </c>
      <c r="W1159">
        <v>0</v>
      </c>
      <c r="X1159">
        <v>0.85</v>
      </c>
    </row>
    <row r="1160" spans="1:24" x14ac:dyDescent="0.3">
      <c r="A1160" t="s">
        <v>1815</v>
      </c>
      <c r="B1160" s="1">
        <v>45689</v>
      </c>
      <c r="C1160" t="s">
        <v>76</v>
      </c>
      <c r="D1160" t="s">
        <v>88</v>
      </c>
      <c r="E1160" t="s">
        <v>40</v>
      </c>
      <c r="F1160" t="s">
        <v>58</v>
      </c>
      <c r="G1160" t="s">
        <v>59</v>
      </c>
      <c r="H1160" t="s">
        <v>60</v>
      </c>
      <c r="I1160" t="s">
        <v>796</v>
      </c>
      <c r="J1160" t="s">
        <v>45</v>
      </c>
      <c r="K1160" t="s">
        <v>70</v>
      </c>
      <c r="L1160" t="s">
        <v>64</v>
      </c>
      <c r="M1160" t="s">
        <v>94</v>
      </c>
      <c r="N1160" t="s">
        <v>36</v>
      </c>
      <c r="O1160">
        <v>45</v>
      </c>
      <c r="P1160">
        <v>45</v>
      </c>
      <c r="Q1160">
        <v>55.2</v>
      </c>
      <c r="R1160">
        <v>1300</v>
      </c>
      <c r="S1160">
        <v>1300</v>
      </c>
      <c r="T1160">
        <v>0</v>
      </c>
      <c r="U1160">
        <v>0</v>
      </c>
      <c r="V1160">
        <v>1</v>
      </c>
      <c r="W1160">
        <v>0</v>
      </c>
      <c r="X1160">
        <v>0.85</v>
      </c>
    </row>
    <row r="1161" spans="1:24" x14ac:dyDescent="0.3">
      <c r="A1161" t="s">
        <v>1816</v>
      </c>
      <c r="B1161" s="1">
        <v>45981</v>
      </c>
      <c r="C1161" t="s">
        <v>38</v>
      </c>
      <c r="D1161" t="s">
        <v>50</v>
      </c>
      <c r="E1161" t="s">
        <v>83</v>
      </c>
      <c r="F1161" t="s">
        <v>41</v>
      </c>
      <c r="G1161" t="s">
        <v>42</v>
      </c>
      <c r="H1161" t="s">
        <v>125</v>
      </c>
      <c r="I1161" t="s">
        <v>229</v>
      </c>
      <c r="J1161" t="s">
        <v>53</v>
      </c>
      <c r="K1161" t="s">
        <v>33</v>
      </c>
      <c r="L1161" t="s">
        <v>78</v>
      </c>
      <c r="M1161" t="s">
        <v>35</v>
      </c>
      <c r="N1161" t="s">
        <v>113</v>
      </c>
      <c r="O1161">
        <v>60</v>
      </c>
      <c r="P1161">
        <v>0</v>
      </c>
      <c r="Q1161">
        <v>66.599999999999994</v>
      </c>
      <c r="R1161">
        <v>1500</v>
      </c>
      <c r="S1161">
        <v>0</v>
      </c>
      <c r="T1161">
        <v>1500</v>
      </c>
      <c r="U1161">
        <v>0</v>
      </c>
      <c r="V1161">
        <v>0</v>
      </c>
      <c r="W1161">
        <v>1</v>
      </c>
      <c r="X1161">
        <v>0.85</v>
      </c>
    </row>
    <row r="1162" spans="1:24" x14ac:dyDescent="0.3">
      <c r="A1162" t="s">
        <v>1817</v>
      </c>
      <c r="B1162" s="1">
        <v>45701</v>
      </c>
      <c r="C1162" t="s">
        <v>76</v>
      </c>
      <c r="D1162" t="s">
        <v>50</v>
      </c>
      <c r="E1162" t="s">
        <v>83</v>
      </c>
      <c r="F1162" t="s">
        <v>58</v>
      </c>
      <c r="G1162" t="s">
        <v>59</v>
      </c>
      <c r="H1162" t="s">
        <v>151</v>
      </c>
      <c r="I1162" t="s">
        <v>1730</v>
      </c>
      <c r="J1162" t="s">
        <v>32</v>
      </c>
      <c r="K1162" t="s">
        <v>85</v>
      </c>
      <c r="L1162" t="s">
        <v>54</v>
      </c>
      <c r="M1162" t="s">
        <v>65</v>
      </c>
      <c r="N1162" t="s">
        <v>36</v>
      </c>
      <c r="O1162">
        <v>45</v>
      </c>
      <c r="P1162">
        <v>45</v>
      </c>
      <c r="Q1162">
        <v>50.3</v>
      </c>
      <c r="R1162">
        <v>950</v>
      </c>
      <c r="S1162">
        <v>950</v>
      </c>
      <c r="T1162">
        <v>0</v>
      </c>
      <c r="U1162">
        <v>0</v>
      </c>
      <c r="V1162">
        <v>1</v>
      </c>
      <c r="W1162">
        <v>0</v>
      </c>
      <c r="X1162">
        <v>0.85</v>
      </c>
    </row>
    <row r="1163" spans="1:24" x14ac:dyDescent="0.3">
      <c r="A1163" t="s">
        <v>1818</v>
      </c>
      <c r="B1163" s="1">
        <v>45903</v>
      </c>
      <c r="C1163" t="s">
        <v>49</v>
      </c>
      <c r="D1163" t="s">
        <v>57</v>
      </c>
      <c r="E1163" t="s">
        <v>27</v>
      </c>
      <c r="F1163" t="s">
        <v>28</v>
      </c>
      <c r="G1163" t="s">
        <v>29</v>
      </c>
      <c r="H1163" t="s">
        <v>135</v>
      </c>
      <c r="I1163" t="s">
        <v>974</v>
      </c>
      <c r="J1163" t="s">
        <v>62</v>
      </c>
      <c r="K1163" t="s">
        <v>46</v>
      </c>
      <c r="L1163" t="s">
        <v>64</v>
      </c>
      <c r="M1163" t="s">
        <v>94</v>
      </c>
      <c r="N1163" t="s">
        <v>113</v>
      </c>
      <c r="O1163">
        <v>60</v>
      </c>
      <c r="P1163">
        <v>0</v>
      </c>
      <c r="Q1163">
        <v>72</v>
      </c>
      <c r="R1163">
        <v>1250</v>
      </c>
      <c r="S1163">
        <v>0</v>
      </c>
      <c r="T1163">
        <v>1250</v>
      </c>
      <c r="U1163">
        <v>0</v>
      </c>
      <c r="V1163">
        <v>0</v>
      </c>
      <c r="W1163">
        <v>1</v>
      </c>
      <c r="X1163">
        <v>0.85</v>
      </c>
    </row>
    <row r="1164" spans="1:24" x14ac:dyDescent="0.3">
      <c r="A1164" t="s">
        <v>1819</v>
      </c>
      <c r="B1164" s="1">
        <v>45823</v>
      </c>
      <c r="C1164" t="s">
        <v>67</v>
      </c>
      <c r="D1164" t="s">
        <v>287</v>
      </c>
      <c r="E1164" t="s">
        <v>27</v>
      </c>
      <c r="F1164" t="s">
        <v>41</v>
      </c>
      <c r="G1164" t="s">
        <v>42</v>
      </c>
      <c r="H1164" t="s">
        <v>43</v>
      </c>
      <c r="I1164" t="s">
        <v>1460</v>
      </c>
      <c r="J1164" t="s">
        <v>62</v>
      </c>
      <c r="K1164" t="s">
        <v>104</v>
      </c>
      <c r="L1164" t="s">
        <v>78</v>
      </c>
      <c r="M1164" t="s">
        <v>71</v>
      </c>
      <c r="N1164" t="s">
        <v>113</v>
      </c>
      <c r="O1164">
        <v>60</v>
      </c>
      <c r="P1164">
        <v>0</v>
      </c>
      <c r="Q1164">
        <v>77.099999999999994</v>
      </c>
      <c r="R1164">
        <v>1250</v>
      </c>
      <c r="S1164">
        <v>0</v>
      </c>
      <c r="T1164">
        <v>1250</v>
      </c>
      <c r="U1164">
        <v>0</v>
      </c>
      <c r="V1164">
        <v>0</v>
      </c>
      <c r="W1164">
        <v>1</v>
      </c>
      <c r="X1164">
        <v>0.85</v>
      </c>
    </row>
    <row r="1165" spans="1:24" x14ac:dyDescent="0.3">
      <c r="A1165" t="s">
        <v>1820</v>
      </c>
      <c r="B1165" s="1">
        <v>45728</v>
      </c>
      <c r="C1165" t="s">
        <v>56</v>
      </c>
      <c r="D1165" t="s">
        <v>57</v>
      </c>
      <c r="E1165" t="s">
        <v>27</v>
      </c>
      <c r="F1165" t="s">
        <v>28</v>
      </c>
      <c r="G1165" t="s">
        <v>29</v>
      </c>
      <c r="H1165" t="s">
        <v>135</v>
      </c>
      <c r="I1165" t="s">
        <v>324</v>
      </c>
      <c r="J1165" t="s">
        <v>62</v>
      </c>
      <c r="K1165" t="s">
        <v>104</v>
      </c>
      <c r="L1165" t="s">
        <v>54</v>
      </c>
      <c r="M1165" t="s">
        <v>71</v>
      </c>
      <c r="N1165" t="s">
        <v>36</v>
      </c>
      <c r="O1165">
        <v>60</v>
      </c>
      <c r="P1165">
        <v>60</v>
      </c>
      <c r="Q1165">
        <v>72.2</v>
      </c>
      <c r="R1165">
        <v>1050</v>
      </c>
      <c r="S1165">
        <v>1050</v>
      </c>
      <c r="T1165">
        <v>0</v>
      </c>
      <c r="U1165">
        <v>0</v>
      </c>
      <c r="V1165">
        <v>1</v>
      </c>
      <c r="W1165">
        <v>0</v>
      </c>
      <c r="X1165">
        <v>0.85</v>
      </c>
    </row>
    <row r="1166" spans="1:24" x14ac:dyDescent="0.3">
      <c r="A1166" t="s">
        <v>1821</v>
      </c>
      <c r="B1166" s="1">
        <v>45714</v>
      </c>
      <c r="C1166" t="s">
        <v>76</v>
      </c>
      <c r="D1166" t="s">
        <v>57</v>
      </c>
      <c r="E1166" t="s">
        <v>83</v>
      </c>
      <c r="F1166" t="s">
        <v>28</v>
      </c>
      <c r="G1166" t="s">
        <v>29</v>
      </c>
      <c r="H1166" t="s">
        <v>210</v>
      </c>
      <c r="I1166" t="s">
        <v>1822</v>
      </c>
      <c r="J1166" t="s">
        <v>53</v>
      </c>
      <c r="K1166" t="s">
        <v>70</v>
      </c>
      <c r="L1166" t="s">
        <v>64</v>
      </c>
      <c r="M1166" t="s">
        <v>94</v>
      </c>
      <c r="N1166" t="s">
        <v>36</v>
      </c>
      <c r="O1166">
        <v>75</v>
      </c>
      <c r="P1166">
        <v>75</v>
      </c>
      <c r="Q1166">
        <v>97.4</v>
      </c>
      <c r="R1166">
        <v>1900</v>
      </c>
      <c r="S1166">
        <v>1900</v>
      </c>
      <c r="T1166">
        <v>0</v>
      </c>
      <c r="U1166">
        <v>0</v>
      </c>
      <c r="V1166">
        <v>1</v>
      </c>
      <c r="W1166">
        <v>0</v>
      </c>
      <c r="X1166">
        <v>0.85</v>
      </c>
    </row>
    <row r="1167" spans="1:24" x14ac:dyDescent="0.3">
      <c r="A1167" t="s">
        <v>1823</v>
      </c>
      <c r="B1167" s="1">
        <v>45993</v>
      </c>
      <c r="C1167" t="s">
        <v>25</v>
      </c>
      <c r="D1167" t="s">
        <v>26</v>
      </c>
      <c r="E1167" t="s">
        <v>40</v>
      </c>
      <c r="F1167" t="s">
        <v>58</v>
      </c>
      <c r="G1167" t="s">
        <v>59</v>
      </c>
      <c r="H1167" t="s">
        <v>117</v>
      </c>
      <c r="I1167" t="s">
        <v>1332</v>
      </c>
      <c r="J1167" t="s">
        <v>62</v>
      </c>
      <c r="K1167" t="s">
        <v>46</v>
      </c>
      <c r="L1167" t="s">
        <v>54</v>
      </c>
      <c r="M1167" t="s">
        <v>47</v>
      </c>
      <c r="N1167" t="s">
        <v>36</v>
      </c>
      <c r="O1167">
        <v>45</v>
      </c>
      <c r="P1167">
        <v>45</v>
      </c>
      <c r="Q1167">
        <v>49</v>
      </c>
      <c r="R1167">
        <v>950</v>
      </c>
      <c r="S1167">
        <v>950</v>
      </c>
      <c r="T1167">
        <v>0</v>
      </c>
      <c r="U1167">
        <v>0</v>
      </c>
      <c r="V1167">
        <v>1</v>
      </c>
      <c r="W1167">
        <v>0</v>
      </c>
      <c r="X1167">
        <v>0.85</v>
      </c>
    </row>
    <row r="1168" spans="1:24" x14ac:dyDescent="0.3">
      <c r="A1168" t="s">
        <v>1824</v>
      </c>
      <c r="B1168" s="1">
        <v>45943</v>
      </c>
      <c r="C1168" t="s">
        <v>97</v>
      </c>
      <c r="D1168" t="s">
        <v>39</v>
      </c>
      <c r="E1168" t="s">
        <v>83</v>
      </c>
      <c r="F1168" t="s">
        <v>41</v>
      </c>
      <c r="G1168" t="s">
        <v>42</v>
      </c>
      <c r="H1168" t="s">
        <v>111</v>
      </c>
      <c r="I1168" t="s">
        <v>1153</v>
      </c>
      <c r="J1168" t="s">
        <v>53</v>
      </c>
      <c r="K1168" t="s">
        <v>104</v>
      </c>
      <c r="L1168" t="s">
        <v>64</v>
      </c>
      <c r="M1168" t="s">
        <v>47</v>
      </c>
      <c r="N1168" t="s">
        <v>36</v>
      </c>
      <c r="O1168">
        <v>60</v>
      </c>
      <c r="P1168">
        <v>60</v>
      </c>
      <c r="Q1168">
        <v>76</v>
      </c>
      <c r="R1168">
        <v>1600</v>
      </c>
      <c r="S1168">
        <v>1600</v>
      </c>
      <c r="T1168">
        <v>0</v>
      </c>
      <c r="U1168">
        <v>0</v>
      </c>
      <c r="V1168">
        <v>1</v>
      </c>
      <c r="W1168">
        <v>0</v>
      </c>
      <c r="X1168">
        <v>0.85</v>
      </c>
    </row>
    <row r="1169" spans="1:24" x14ac:dyDescent="0.3">
      <c r="A1169" t="s">
        <v>1825</v>
      </c>
      <c r="B1169" s="1">
        <v>46000</v>
      </c>
      <c r="C1169" t="s">
        <v>25</v>
      </c>
      <c r="D1169" t="s">
        <v>26</v>
      </c>
      <c r="E1169" t="s">
        <v>27</v>
      </c>
      <c r="F1169" t="s">
        <v>28</v>
      </c>
      <c r="G1169" t="s">
        <v>29</v>
      </c>
      <c r="H1169" t="s">
        <v>102</v>
      </c>
      <c r="I1169" t="s">
        <v>1826</v>
      </c>
      <c r="J1169" t="s">
        <v>53</v>
      </c>
      <c r="K1169" t="s">
        <v>104</v>
      </c>
      <c r="L1169" t="s">
        <v>64</v>
      </c>
      <c r="M1169" t="s">
        <v>71</v>
      </c>
      <c r="N1169" t="s">
        <v>36</v>
      </c>
      <c r="O1169">
        <v>60</v>
      </c>
      <c r="P1169">
        <v>60</v>
      </c>
      <c r="Q1169">
        <v>75.2</v>
      </c>
      <c r="R1169">
        <v>1500</v>
      </c>
      <c r="S1169">
        <v>1500</v>
      </c>
      <c r="T1169">
        <v>0</v>
      </c>
      <c r="U1169">
        <v>0</v>
      </c>
      <c r="V1169">
        <v>1</v>
      </c>
      <c r="W1169">
        <v>0</v>
      </c>
      <c r="X1169">
        <v>0.85</v>
      </c>
    </row>
    <row r="1170" spans="1:24" x14ac:dyDescent="0.3">
      <c r="A1170" t="s">
        <v>1827</v>
      </c>
      <c r="B1170" s="1">
        <v>45924</v>
      </c>
      <c r="C1170" t="s">
        <v>49</v>
      </c>
      <c r="D1170" t="s">
        <v>57</v>
      </c>
      <c r="E1170" t="s">
        <v>83</v>
      </c>
      <c r="F1170" t="s">
        <v>41</v>
      </c>
      <c r="G1170" t="s">
        <v>42</v>
      </c>
      <c r="H1170" t="s">
        <v>43</v>
      </c>
      <c r="I1170" t="s">
        <v>241</v>
      </c>
      <c r="J1170" t="s">
        <v>62</v>
      </c>
      <c r="K1170" t="s">
        <v>46</v>
      </c>
      <c r="L1170" t="s">
        <v>34</v>
      </c>
      <c r="M1170" t="s">
        <v>94</v>
      </c>
      <c r="N1170" t="s">
        <v>36</v>
      </c>
      <c r="O1170">
        <v>60</v>
      </c>
      <c r="P1170">
        <v>60</v>
      </c>
      <c r="Q1170">
        <v>79.099999999999994</v>
      </c>
      <c r="R1170">
        <v>1350</v>
      </c>
      <c r="S1170">
        <v>1350</v>
      </c>
      <c r="T1170">
        <v>0</v>
      </c>
      <c r="U1170">
        <v>0</v>
      </c>
      <c r="V1170">
        <v>1</v>
      </c>
      <c r="W1170">
        <v>0</v>
      </c>
      <c r="X1170">
        <v>0.85</v>
      </c>
    </row>
    <row r="1171" spans="1:24" x14ac:dyDescent="0.3">
      <c r="A1171" t="s">
        <v>1828</v>
      </c>
      <c r="B1171" s="1">
        <v>45927</v>
      </c>
      <c r="C1171" t="s">
        <v>49</v>
      </c>
      <c r="D1171" t="s">
        <v>88</v>
      </c>
      <c r="E1171" t="s">
        <v>68</v>
      </c>
      <c r="F1171" t="s">
        <v>58</v>
      </c>
      <c r="G1171" t="s">
        <v>59</v>
      </c>
      <c r="H1171" t="s">
        <v>117</v>
      </c>
      <c r="I1171" t="s">
        <v>444</v>
      </c>
      <c r="J1171" t="s">
        <v>62</v>
      </c>
      <c r="K1171" t="s">
        <v>104</v>
      </c>
      <c r="L1171" t="s">
        <v>34</v>
      </c>
      <c r="M1171" t="s">
        <v>71</v>
      </c>
      <c r="N1171" t="s">
        <v>36</v>
      </c>
      <c r="O1171">
        <v>60</v>
      </c>
      <c r="P1171">
        <v>60</v>
      </c>
      <c r="Q1171">
        <v>80</v>
      </c>
      <c r="R1171">
        <v>1500</v>
      </c>
      <c r="S1171">
        <v>1500</v>
      </c>
      <c r="T1171">
        <v>0</v>
      </c>
      <c r="U1171">
        <v>0</v>
      </c>
      <c r="V1171">
        <v>1</v>
      </c>
      <c r="W1171">
        <v>0</v>
      </c>
      <c r="X1171">
        <v>0.85</v>
      </c>
    </row>
    <row r="1172" spans="1:24" x14ac:dyDescent="0.3">
      <c r="A1172" t="s">
        <v>1829</v>
      </c>
      <c r="B1172" s="1">
        <v>45674</v>
      </c>
      <c r="C1172" t="s">
        <v>130</v>
      </c>
      <c r="D1172" t="s">
        <v>82</v>
      </c>
      <c r="E1172" t="s">
        <v>40</v>
      </c>
      <c r="F1172" t="s">
        <v>41</v>
      </c>
      <c r="G1172" t="s">
        <v>42</v>
      </c>
      <c r="H1172" t="s">
        <v>51</v>
      </c>
      <c r="I1172" t="s">
        <v>1170</v>
      </c>
      <c r="J1172" t="s">
        <v>62</v>
      </c>
      <c r="K1172" t="s">
        <v>104</v>
      </c>
      <c r="L1172" t="s">
        <v>64</v>
      </c>
      <c r="M1172" t="s">
        <v>35</v>
      </c>
      <c r="N1172" t="s">
        <v>95</v>
      </c>
      <c r="O1172">
        <v>60</v>
      </c>
      <c r="P1172">
        <v>0</v>
      </c>
      <c r="Q1172">
        <v>68.8</v>
      </c>
      <c r="R1172">
        <v>1350</v>
      </c>
      <c r="S1172">
        <v>0</v>
      </c>
      <c r="T1172">
        <v>1350</v>
      </c>
      <c r="U1172">
        <v>1</v>
      </c>
      <c r="V1172">
        <v>0</v>
      </c>
      <c r="W1172">
        <v>0</v>
      </c>
      <c r="X1172">
        <v>0.85</v>
      </c>
    </row>
    <row r="1173" spans="1:24" x14ac:dyDescent="0.3">
      <c r="A1173" t="s">
        <v>1830</v>
      </c>
      <c r="B1173" s="1">
        <v>46019</v>
      </c>
      <c r="C1173" t="s">
        <v>25</v>
      </c>
      <c r="D1173" t="s">
        <v>287</v>
      </c>
      <c r="E1173" t="s">
        <v>83</v>
      </c>
      <c r="F1173" t="s">
        <v>41</v>
      </c>
      <c r="G1173" t="s">
        <v>42</v>
      </c>
      <c r="H1173" t="s">
        <v>125</v>
      </c>
      <c r="I1173" t="s">
        <v>1020</v>
      </c>
      <c r="J1173" t="s">
        <v>62</v>
      </c>
      <c r="K1173" t="s">
        <v>70</v>
      </c>
      <c r="L1173" t="s">
        <v>34</v>
      </c>
      <c r="M1173" t="s">
        <v>94</v>
      </c>
      <c r="N1173" t="s">
        <v>36</v>
      </c>
      <c r="O1173">
        <v>30</v>
      </c>
      <c r="P1173">
        <v>30</v>
      </c>
      <c r="Q1173">
        <v>40.299999999999997</v>
      </c>
      <c r="R1173">
        <v>700</v>
      </c>
      <c r="S1173">
        <v>700</v>
      </c>
      <c r="T1173">
        <v>0</v>
      </c>
      <c r="U1173">
        <v>0</v>
      </c>
      <c r="V1173">
        <v>1</v>
      </c>
      <c r="W1173">
        <v>0</v>
      </c>
      <c r="X1173">
        <v>0.85</v>
      </c>
    </row>
    <row r="1174" spans="1:24" x14ac:dyDescent="0.3">
      <c r="A1174" t="s">
        <v>1831</v>
      </c>
      <c r="B1174" s="1">
        <v>45824</v>
      </c>
      <c r="C1174" t="s">
        <v>67</v>
      </c>
      <c r="D1174" t="s">
        <v>39</v>
      </c>
      <c r="E1174" t="s">
        <v>68</v>
      </c>
      <c r="F1174" t="s">
        <v>28</v>
      </c>
      <c r="G1174" t="s">
        <v>29</v>
      </c>
      <c r="H1174" t="s">
        <v>135</v>
      </c>
      <c r="I1174" t="s">
        <v>576</v>
      </c>
      <c r="J1174" t="s">
        <v>62</v>
      </c>
      <c r="K1174" t="s">
        <v>70</v>
      </c>
      <c r="L1174" t="s">
        <v>34</v>
      </c>
      <c r="M1174" t="s">
        <v>65</v>
      </c>
      <c r="N1174" t="s">
        <v>36</v>
      </c>
      <c r="O1174">
        <v>75</v>
      </c>
      <c r="P1174">
        <v>75</v>
      </c>
      <c r="Q1174">
        <v>97.3</v>
      </c>
      <c r="R1174">
        <v>1550</v>
      </c>
      <c r="S1174">
        <v>1550</v>
      </c>
      <c r="T1174">
        <v>0</v>
      </c>
      <c r="U1174">
        <v>0</v>
      </c>
      <c r="V1174">
        <v>1</v>
      </c>
      <c r="W1174">
        <v>0</v>
      </c>
      <c r="X1174">
        <v>0.85</v>
      </c>
    </row>
    <row r="1175" spans="1:24" x14ac:dyDescent="0.3">
      <c r="A1175" t="s">
        <v>1832</v>
      </c>
      <c r="B1175" s="1">
        <v>45791</v>
      </c>
      <c r="C1175" t="s">
        <v>128</v>
      </c>
      <c r="D1175" t="s">
        <v>57</v>
      </c>
      <c r="E1175" t="s">
        <v>27</v>
      </c>
      <c r="F1175" t="s">
        <v>58</v>
      </c>
      <c r="G1175" t="s">
        <v>59</v>
      </c>
      <c r="H1175" t="s">
        <v>117</v>
      </c>
      <c r="I1175" t="s">
        <v>456</v>
      </c>
      <c r="J1175" t="s">
        <v>62</v>
      </c>
      <c r="K1175" t="s">
        <v>70</v>
      </c>
      <c r="L1175" t="s">
        <v>64</v>
      </c>
      <c r="M1175" t="s">
        <v>71</v>
      </c>
      <c r="N1175" t="s">
        <v>36</v>
      </c>
      <c r="O1175">
        <v>45</v>
      </c>
      <c r="P1175">
        <v>45</v>
      </c>
      <c r="Q1175">
        <v>53</v>
      </c>
      <c r="R1175">
        <v>1100</v>
      </c>
      <c r="S1175">
        <v>1100</v>
      </c>
      <c r="T1175">
        <v>0</v>
      </c>
      <c r="U1175">
        <v>0</v>
      </c>
      <c r="V1175">
        <v>1</v>
      </c>
      <c r="W1175">
        <v>0</v>
      </c>
      <c r="X1175">
        <v>0.85</v>
      </c>
    </row>
    <row r="1176" spans="1:24" x14ac:dyDescent="0.3">
      <c r="A1176" t="s">
        <v>1833</v>
      </c>
      <c r="B1176" s="1">
        <v>46022</v>
      </c>
      <c r="C1176" t="s">
        <v>25</v>
      </c>
      <c r="D1176" t="s">
        <v>57</v>
      </c>
      <c r="E1176" t="s">
        <v>27</v>
      </c>
      <c r="F1176" t="s">
        <v>58</v>
      </c>
      <c r="G1176" t="s">
        <v>59</v>
      </c>
      <c r="H1176" t="s">
        <v>73</v>
      </c>
      <c r="I1176" t="s">
        <v>314</v>
      </c>
      <c r="J1176" t="s">
        <v>62</v>
      </c>
      <c r="K1176" t="s">
        <v>33</v>
      </c>
      <c r="L1176" t="s">
        <v>64</v>
      </c>
      <c r="M1176" t="s">
        <v>71</v>
      </c>
      <c r="N1176" t="s">
        <v>36</v>
      </c>
      <c r="O1176">
        <v>60</v>
      </c>
      <c r="P1176">
        <v>60</v>
      </c>
      <c r="Q1176">
        <v>67.400000000000006</v>
      </c>
      <c r="R1176">
        <v>1500</v>
      </c>
      <c r="S1176">
        <v>1500</v>
      </c>
      <c r="T1176">
        <v>0</v>
      </c>
      <c r="U1176">
        <v>0</v>
      </c>
      <c r="V1176">
        <v>1</v>
      </c>
      <c r="W1176">
        <v>0</v>
      </c>
      <c r="X1176">
        <v>0.85</v>
      </c>
    </row>
    <row r="1177" spans="1:24" x14ac:dyDescent="0.3">
      <c r="A1177" t="s">
        <v>1834</v>
      </c>
      <c r="B1177" s="1">
        <v>45880</v>
      </c>
      <c r="C1177" t="s">
        <v>110</v>
      </c>
      <c r="D1177" t="s">
        <v>39</v>
      </c>
      <c r="E1177" t="s">
        <v>83</v>
      </c>
      <c r="F1177" t="s">
        <v>41</v>
      </c>
      <c r="G1177" t="s">
        <v>42</v>
      </c>
      <c r="H1177" t="s">
        <v>125</v>
      </c>
      <c r="I1177" t="s">
        <v>1592</v>
      </c>
      <c r="J1177" t="s">
        <v>53</v>
      </c>
      <c r="K1177" t="s">
        <v>104</v>
      </c>
      <c r="L1177" t="s">
        <v>34</v>
      </c>
      <c r="M1177" t="s">
        <v>65</v>
      </c>
      <c r="N1177" t="s">
        <v>36</v>
      </c>
      <c r="O1177">
        <v>60</v>
      </c>
      <c r="P1177">
        <v>60</v>
      </c>
      <c r="Q1177">
        <v>75.400000000000006</v>
      </c>
      <c r="R1177">
        <v>1600</v>
      </c>
      <c r="S1177">
        <v>1600</v>
      </c>
      <c r="T1177">
        <v>0</v>
      </c>
      <c r="U1177">
        <v>0</v>
      </c>
      <c r="V1177">
        <v>1</v>
      </c>
      <c r="W1177">
        <v>0</v>
      </c>
      <c r="X1177">
        <v>0.85</v>
      </c>
    </row>
    <row r="1178" spans="1:24" x14ac:dyDescent="0.3">
      <c r="A1178" t="s">
        <v>1835</v>
      </c>
      <c r="B1178" s="1">
        <v>45759</v>
      </c>
      <c r="C1178" t="s">
        <v>92</v>
      </c>
      <c r="D1178" t="s">
        <v>88</v>
      </c>
      <c r="E1178" t="s">
        <v>83</v>
      </c>
      <c r="F1178" t="s">
        <v>28</v>
      </c>
      <c r="G1178" t="s">
        <v>29</v>
      </c>
      <c r="H1178" t="s">
        <v>210</v>
      </c>
      <c r="I1178" t="s">
        <v>890</v>
      </c>
      <c r="J1178" t="s">
        <v>32</v>
      </c>
      <c r="K1178" t="s">
        <v>63</v>
      </c>
      <c r="L1178" t="s">
        <v>34</v>
      </c>
      <c r="M1178" t="s">
        <v>94</v>
      </c>
      <c r="N1178" t="s">
        <v>36</v>
      </c>
      <c r="O1178">
        <v>45</v>
      </c>
      <c r="P1178">
        <v>45</v>
      </c>
      <c r="Q1178">
        <v>52.7</v>
      </c>
      <c r="R1178">
        <v>950</v>
      </c>
      <c r="S1178">
        <v>950</v>
      </c>
      <c r="T1178">
        <v>0</v>
      </c>
      <c r="U1178">
        <v>0</v>
      </c>
      <c r="V1178">
        <v>1</v>
      </c>
      <c r="W1178">
        <v>0</v>
      </c>
      <c r="X1178">
        <v>0.85</v>
      </c>
    </row>
    <row r="1179" spans="1:24" x14ac:dyDescent="0.3">
      <c r="A1179" t="s">
        <v>1836</v>
      </c>
      <c r="B1179" s="1">
        <v>45968</v>
      </c>
      <c r="C1179" t="s">
        <v>38</v>
      </c>
      <c r="D1179" t="s">
        <v>82</v>
      </c>
      <c r="E1179" t="s">
        <v>68</v>
      </c>
      <c r="F1179" t="s">
        <v>41</v>
      </c>
      <c r="G1179" t="s">
        <v>42</v>
      </c>
      <c r="H1179" t="s">
        <v>51</v>
      </c>
      <c r="I1179" t="s">
        <v>69</v>
      </c>
      <c r="J1179" t="s">
        <v>62</v>
      </c>
      <c r="K1179" t="s">
        <v>63</v>
      </c>
      <c r="L1179" t="s">
        <v>64</v>
      </c>
      <c r="M1179" t="s">
        <v>94</v>
      </c>
      <c r="N1179" t="s">
        <v>36</v>
      </c>
      <c r="O1179">
        <v>60</v>
      </c>
      <c r="P1179">
        <v>60</v>
      </c>
      <c r="Q1179">
        <v>67.099999999999994</v>
      </c>
      <c r="R1179">
        <v>1350</v>
      </c>
      <c r="S1179">
        <v>1350</v>
      </c>
      <c r="T1179">
        <v>0</v>
      </c>
      <c r="U1179">
        <v>0</v>
      </c>
      <c r="V1179">
        <v>1</v>
      </c>
      <c r="W1179">
        <v>0</v>
      </c>
      <c r="X1179">
        <v>0.85</v>
      </c>
    </row>
    <row r="1180" spans="1:24" x14ac:dyDescent="0.3">
      <c r="A1180" t="s">
        <v>1837</v>
      </c>
      <c r="B1180" s="1">
        <v>45812</v>
      </c>
      <c r="C1180" t="s">
        <v>67</v>
      </c>
      <c r="D1180" t="s">
        <v>57</v>
      </c>
      <c r="E1180" t="s">
        <v>27</v>
      </c>
      <c r="F1180" t="s">
        <v>58</v>
      </c>
      <c r="G1180" t="s">
        <v>59</v>
      </c>
      <c r="H1180" t="s">
        <v>117</v>
      </c>
      <c r="I1180" t="s">
        <v>564</v>
      </c>
      <c r="J1180" t="s">
        <v>99</v>
      </c>
      <c r="K1180" t="s">
        <v>70</v>
      </c>
      <c r="L1180" t="s">
        <v>78</v>
      </c>
      <c r="M1180" t="s">
        <v>35</v>
      </c>
      <c r="N1180" t="s">
        <v>36</v>
      </c>
      <c r="O1180">
        <v>45</v>
      </c>
      <c r="P1180">
        <v>45</v>
      </c>
      <c r="Q1180">
        <v>49.1</v>
      </c>
      <c r="R1180">
        <v>1050</v>
      </c>
      <c r="S1180">
        <v>1050</v>
      </c>
      <c r="T1180">
        <v>0</v>
      </c>
      <c r="U1180">
        <v>0</v>
      </c>
      <c r="V1180">
        <v>1</v>
      </c>
      <c r="W1180">
        <v>0</v>
      </c>
      <c r="X1180">
        <v>0.85</v>
      </c>
    </row>
    <row r="1181" spans="1:24" x14ac:dyDescent="0.3">
      <c r="A1181" t="s">
        <v>1838</v>
      </c>
      <c r="B1181" s="1">
        <v>45825</v>
      </c>
      <c r="C1181" t="s">
        <v>67</v>
      </c>
      <c r="D1181" t="s">
        <v>26</v>
      </c>
      <c r="E1181" t="s">
        <v>83</v>
      </c>
      <c r="F1181" t="s">
        <v>58</v>
      </c>
      <c r="G1181" t="s">
        <v>59</v>
      </c>
      <c r="H1181" t="s">
        <v>296</v>
      </c>
      <c r="I1181" t="s">
        <v>1498</v>
      </c>
      <c r="J1181" t="s">
        <v>62</v>
      </c>
      <c r="K1181" t="s">
        <v>70</v>
      </c>
      <c r="L1181" t="s">
        <v>64</v>
      </c>
      <c r="M1181" t="s">
        <v>35</v>
      </c>
      <c r="N1181" t="s">
        <v>36</v>
      </c>
      <c r="O1181">
        <v>30</v>
      </c>
      <c r="P1181">
        <v>30</v>
      </c>
      <c r="Q1181">
        <v>40.299999999999997</v>
      </c>
      <c r="R1181">
        <v>750</v>
      </c>
      <c r="S1181">
        <v>750</v>
      </c>
      <c r="T1181">
        <v>0</v>
      </c>
      <c r="U1181">
        <v>0</v>
      </c>
      <c r="V1181">
        <v>1</v>
      </c>
      <c r="W1181">
        <v>0</v>
      </c>
      <c r="X1181">
        <v>0.85</v>
      </c>
    </row>
    <row r="1182" spans="1:24" x14ac:dyDescent="0.3">
      <c r="A1182" t="s">
        <v>1839</v>
      </c>
      <c r="B1182" s="1">
        <v>45738</v>
      </c>
      <c r="C1182" t="s">
        <v>56</v>
      </c>
      <c r="D1182" t="s">
        <v>88</v>
      </c>
      <c r="E1182" t="s">
        <v>83</v>
      </c>
      <c r="F1182" t="s">
        <v>41</v>
      </c>
      <c r="G1182" t="s">
        <v>42</v>
      </c>
      <c r="H1182" t="s">
        <v>125</v>
      </c>
      <c r="I1182" t="s">
        <v>1592</v>
      </c>
      <c r="J1182" t="s">
        <v>45</v>
      </c>
      <c r="K1182" t="s">
        <v>104</v>
      </c>
      <c r="L1182" t="s">
        <v>34</v>
      </c>
      <c r="M1182" t="s">
        <v>35</v>
      </c>
      <c r="N1182" t="s">
        <v>95</v>
      </c>
      <c r="O1182">
        <v>30</v>
      </c>
      <c r="P1182">
        <v>0</v>
      </c>
      <c r="Q1182">
        <v>33.4</v>
      </c>
      <c r="R1182">
        <v>800</v>
      </c>
      <c r="S1182">
        <v>0</v>
      </c>
      <c r="T1182">
        <v>800</v>
      </c>
      <c r="U1182">
        <v>1</v>
      </c>
      <c r="V1182">
        <v>0</v>
      </c>
      <c r="W1182">
        <v>0</v>
      </c>
      <c r="X1182">
        <v>0.85</v>
      </c>
    </row>
    <row r="1183" spans="1:24" x14ac:dyDescent="0.3">
      <c r="A1183" t="s">
        <v>1840</v>
      </c>
      <c r="B1183" s="1">
        <v>45895</v>
      </c>
      <c r="C1183" t="s">
        <v>110</v>
      </c>
      <c r="D1183" t="s">
        <v>26</v>
      </c>
      <c r="E1183" t="s">
        <v>68</v>
      </c>
      <c r="F1183" t="s">
        <v>41</v>
      </c>
      <c r="G1183" t="s">
        <v>42</v>
      </c>
      <c r="H1183" t="s">
        <v>51</v>
      </c>
      <c r="I1183" t="s">
        <v>206</v>
      </c>
      <c r="J1183" t="s">
        <v>53</v>
      </c>
      <c r="K1183" t="s">
        <v>33</v>
      </c>
      <c r="L1183" t="s">
        <v>34</v>
      </c>
      <c r="M1183" t="s">
        <v>71</v>
      </c>
      <c r="N1183" t="s">
        <v>36</v>
      </c>
      <c r="O1183">
        <v>60</v>
      </c>
      <c r="P1183">
        <v>60</v>
      </c>
      <c r="Q1183">
        <v>65.3</v>
      </c>
      <c r="R1183">
        <v>1600</v>
      </c>
      <c r="S1183">
        <v>1600</v>
      </c>
      <c r="T1183">
        <v>0</v>
      </c>
      <c r="U1183">
        <v>0</v>
      </c>
      <c r="V1183">
        <v>1</v>
      </c>
      <c r="W1183">
        <v>0</v>
      </c>
      <c r="X1183">
        <v>0.85</v>
      </c>
    </row>
    <row r="1184" spans="1:24" x14ac:dyDescent="0.3">
      <c r="A1184" t="s">
        <v>1841</v>
      </c>
      <c r="B1184" s="1">
        <v>45678</v>
      </c>
      <c r="C1184" t="s">
        <v>130</v>
      </c>
      <c r="D1184" t="s">
        <v>26</v>
      </c>
      <c r="E1184" t="s">
        <v>40</v>
      </c>
      <c r="F1184" t="s">
        <v>58</v>
      </c>
      <c r="G1184" t="s">
        <v>59</v>
      </c>
      <c r="H1184" t="s">
        <v>117</v>
      </c>
      <c r="I1184" t="s">
        <v>1332</v>
      </c>
      <c r="J1184" t="s">
        <v>53</v>
      </c>
      <c r="K1184" t="s">
        <v>46</v>
      </c>
      <c r="L1184" t="s">
        <v>64</v>
      </c>
      <c r="M1184" t="s">
        <v>71</v>
      </c>
      <c r="N1184" t="s">
        <v>36</v>
      </c>
      <c r="O1184">
        <v>90</v>
      </c>
      <c r="P1184">
        <v>90</v>
      </c>
      <c r="Q1184">
        <v>100.2</v>
      </c>
      <c r="R1184">
        <v>2700</v>
      </c>
      <c r="S1184">
        <v>2700</v>
      </c>
      <c r="T1184">
        <v>0</v>
      </c>
      <c r="U1184">
        <v>0</v>
      </c>
      <c r="V1184">
        <v>1</v>
      </c>
      <c r="W1184">
        <v>0</v>
      </c>
      <c r="X1184">
        <v>0.85</v>
      </c>
    </row>
    <row r="1185" spans="1:24" x14ac:dyDescent="0.3">
      <c r="A1185" t="s">
        <v>1842</v>
      </c>
      <c r="B1185" s="1">
        <v>45885</v>
      </c>
      <c r="C1185" t="s">
        <v>110</v>
      </c>
      <c r="D1185" t="s">
        <v>88</v>
      </c>
      <c r="E1185" t="s">
        <v>68</v>
      </c>
      <c r="F1185" t="s">
        <v>41</v>
      </c>
      <c r="G1185" t="s">
        <v>42</v>
      </c>
      <c r="H1185" t="s">
        <v>89</v>
      </c>
      <c r="I1185" t="s">
        <v>1843</v>
      </c>
      <c r="J1185" t="s">
        <v>99</v>
      </c>
      <c r="K1185" t="s">
        <v>104</v>
      </c>
      <c r="L1185" t="s">
        <v>78</v>
      </c>
      <c r="M1185" t="s">
        <v>86</v>
      </c>
      <c r="N1185" t="s">
        <v>36</v>
      </c>
      <c r="O1185">
        <v>60</v>
      </c>
      <c r="P1185">
        <v>60</v>
      </c>
      <c r="Q1185">
        <v>69</v>
      </c>
      <c r="R1185">
        <v>1250</v>
      </c>
      <c r="S1185">
        <v>1250</v>
      </c>
      <c r="T1185">
        <v>0</v>
      </c>
      <c r="U1185">
        <v>0</v>
      </c>
      <c r="V1185">
        <v>1</v>
      </c>
      <c r="W1185">
        <v>0</v>
      </c>
      <c r="X1185">
        <v>0.85</v>
      </c>
    </row>
    <row r="1186" spans="1:24" x14ac:dyDescent="0.3">
      <c r="A1186" t="s">
        <v>1844</v>
      </c>
      <c r="B1186" s="1">
        <v>45712</v>
      </c>
      <c r="C1186" t="s">
        <v>76</v>
      </c>
      <c r="D1186" t="s">
        <v>39</v>
      </c>
      <c r="E1186" t="s">
        <v>27</v>
      </c>
      <c r="F1186" t="s">
        <v>41</v>
      </c>
      <c r="G1186" t="s">
        <v>42</v>
      </c>
      <c r="H1186" t="s">
        <v>43</v>
      </c>
      <c r="I1186" t="s">
        <v>489</v>
      </c>
      <c r="J1186" t="s">
        <v>137</v>
      </c>
      <c r="K1186" t="s">
        <v>70</v>
      </c>
      <c r="L1186" t="s">
        <v>34</v>
      </c>
      <c r="M1186" t="s">
        <v>71</v>
      </c>
      <c r="N1186" t="s">
        <v>36</v>
      </c>
      <c r="O1186">
        <v>60</v>
      </c>
      <c r="P1186">
        <v>60</v>
      </c>
      <c r="Q1186">
        <v>75.900000000000006</v>
      </c>
      <c r="R1186">
        <v>1350</v>
      </c>
      <c r="S1186">
        <v>1350</v>
      </c>
      <c r="T1186">
        <v>0</v>
      </c>
      <c r="U1186">
        <v>0</v>
      </c>
      <c r="V1186">
        <v>1</v>
      </c>
      <c r="W1186">
        <v>0</v>
      </c>
      <c r="X1186">
        <v>0.85</v>
      </c>
    </row>
    <row r="1187" spans="1:24" x14ac:dyDescent="0.3">
      <c r="A1187" t="s">
        <v>1845</v>
      </c>
      <c r="B1187" s="1">
        <v>45733</v>
      </c>
      <c r="C1187" t="s">
        <v>56</v>
      </c>
      <c r="D1187" t="s">
        <v>39</v>
      </c>
      <c r="E1187" t="s">
        <v>27</v>
      </c>
      <c r="F1187" t="s">
        <v>58</v>
      </c>
      <c r="G1187" t="s">
        <v>59</v>
      </c>
      <c r="H1187" t="s">
        <v>73</v>
      </c>
      <c r="I1187" t="s">
        <v>80</v>
      </c>
      <c r="J1187" t="s">
        <v>62</v>
      </c>
      <c r="K1187" t="s">
        <v>85</v>
      </c>
      <c r="L1187" t="s">
        <v>64</v>
      </c>
      <c r="M1187" t="s">
        <v>71</v>
      </c>
      <c r="N1187" t="s">
        <v>36</v>
      </c>
      <c r="O1187">
        <v>30</v>
      </c>
      <c r="P1187">
        <v>30</v>
      </c>
      <c r="Q1187">
        <v>37.799999999999997</v>
      </c>
      <c r="R1187">
        <v>750</v>
      </c>
      <c r="S1187">
        <v>750</v>
      </c>
      <c r="T1187">
        <v>0</v>
      </c>
      <c r="U1187">
        <v>0</v>
      </c>
      <c r="V1187">
        <v>1</v>
      </c>
      <c r="W1187">
        <v>0</v>
      </c>
      <c r="X1187">
        <v>0.85</v>
      </c>
    </row>
    <row r="1188" spans="1:24" x14ac:dyDescent="0.3">
      <c r="A1188" t="s">
        <v>1846</v>
      </c>
      <c r="B1188" s="1">
        <v>45828</v>
      </c>
      <c r="C1188" t="s">
        <v>67</v>
      </c>
      <c r="D1188" t="s">
        <v>82</v>
      </c>
      <c r="E1188" t="s">
        <v>40</v>
      </c>
      <c r="F1188" t="s">
        <v>28</v>
      </c>
      <c r="G1188" t="s">
        <v>29</v>
      </c>
      <c r="H1188" t="s">
        <v>210</v>
      </c>
      <c r="I1188" t="s">
        <v>442</v>
      </c>
      <c r="J1188" t="s">
        <v>32</v>
      </c>
      <c r="K1188" t="s">
        <v>46</v>
      </c>
      <c r="L1188" t="s">
        <v>64</v>
      </c>
      <c r="M1188" t="s">
        <v>65</v>
      </c>
      <c r="N1188" t="s">
        <v>36</v>
      </c>
      <c r="O1188">
        <v>60</v>
      </c>
      <c r="P1188">
        <v>60</v>
      </c>
      <c r="Q1188">
        <v>72.2</v>
      </c>
      <c r="R1188">
        <v>1250</v>
      </c>
      <c r="S1188">
        <v>1250</v>
      </c>
      <c r="T1188">
        <v>0</v>
      </c>
      <c r="U1188">
        <v>0</v>
      </c>
      <c r="V1188">
        <v>1</v>
      </c>
      <c r="W1188">
        <v>0</v>
      </c>
      <c r="X1188">
        <v>0.85</v>
      </c>
    </row>
    <row r="1189" spans="1:24" x14ac:dyDescent="0.3">
      <c r="A1189" t="s">
        <v>1847</v>
      </c>
      <c r="B1189" s="1">
        <v>45850</v>
      </c>
      <c r="C1189" t="s">
        <v>101</v>
      </c>
      <c r="D1189" t="s">
        <v>88</v>
      </c>
      <c r="E1189" t="s">
        <v>27</v>
      </c>
      <c r="F1189" t="s">
        <v>41</v>
      </c>
      <c r="G1189" t="s">
        <v>42</v>
      </c>
      <c r="H1189" t="s">
        <v>51</v>
      </c>
      <c r="I1189" t="s">
        <v>1299</v>
      </c>
      <c r="J1189" t="s">
        <v>53</v>
      </c>
      <c r="K1189" t="s">
        <v>70</v>
      </c>
      <c r="L1189" t="s">
        <v>78</v>
      </c>
      <c r="M1189" t="s">
        <v>71</v>
      </c>
      <c r="N1189" t="s">
        <v>95</v>
      </c>
      <c r="O1189">
        <v>60</v>
      </c>
      <c r="P1189">
        <v>0</v>
      </c>
      <c r="Q1189">
        <v>65.3</v>
      </c>
      <c r="R1189">
        <v>1500</v>
      </c>
      <c r="S1189">
        <v>0</v>
      </c>
      <c r="T1189">
        <v>1500</v>
      </c>
      <c r="U1189">
        <v>1</v>
      </c>
      <c r="V1189">
        <v>0</v>
      </c>
      <c r="W1189">
        <v>0</v>
      </c>
      <c r="X1189">
        <v>0.85</v>
      </c>
    </row>
    <row r="1190" spans="1:24" x14ac:dyDescent="0.3">
      <c r="A1190" t="s">
        <v>1848</v>
      </c>
      <c r="B1190" s="1">
        <v>46003</v>
      </c>
      <c r="C1190" t="s">
        <v>25</v>
      </c>
      <c r="D1190" t="s">
        <v>82</v>
      </c>
      <c r="E1190" t="s">
        <v>83</v>
      </c>
      <c r="F1190" t="s">
        <v>41</v>
      </c>
      <c r="G1190" t="s">
        <v>42</v>
      </c>
      <c r="H1190" t="s">
        <v>89</v>
      </c>
      <c r="I1190" t="s">
        <v>1849</v>
      </c>
      <c r="J1190" t="s">
        <v>53</v>
      </c>
      <c r="K1190" t="s">
        <v>63</v>
      </c>
      <c r="L1190" t="s">
        <v>64</v>
      </c>
      <c r="M1190" t="s">
        <v>86</v>
      </c>
      <c r="N1190" t="s">
        <v>36</v>
      </c>
      <c r="O1190">
        <v>60</v>
      </c>
      <c r="P1190">
        <v>60</v>
      </c>
      <c r="Q1190">
        <v>74</v>
      </c>
      <c r="R1190">
        <v>1600</v>
      </c>
      <c r="S1190">
        <v>1600</v>
      </c>
      <c r="T1190">
        <v>0</v>
      </c>
      <c r="U1190">
        <v>0</v>
      </c>
      <c r="V1190">
        <v>1</v>
      </c>
      <c r="W1190">
        <v>0</v>
      </c>
      <c r="X1190">
        <v>0.85</v>
      </c>
    </row>
    <row r="1191" spans="1:24" x14ac:dyDescent="0.3">
      <c r="A1191" t="s">
        <v>1850</v>
      </c>
      <c r="B1191" s="1">
        <v>45997</v>
      </c>
      <c r="C1191" t="s">
        <v>25</v>
      </c>
      <c r="D1191" t="s">
        <v>88</v>
      </c>
      <c r="E1191" t="s">
        <v>27</v>
      </c>
      <c r="F1191" t="s">
        <v>41</v>
      </c>
      <c r="G1191" t="s">
        <v>42</v>
      </c>
      <c r="H1191" t="s">
        <v>51</v>
      </c>
      <c r="I1191" t="s">
        <v>1794</v>
      </c>
      <c r="J1191" t="s">
        <v>53</v>
      </c>
      <c r="K1191" t="s">
        <v>85</v>
      </c>
      <c r="L1191" t="s">
        <v>34</v>
      </c>
      <c r="M1191" t="s">
        <v>47</v>
      </c>
      <c r="N1191" t="s">
        <v>113</v>
      </c>
      <c r="O1191">
        <v>45</v>
      </c>
      <c r="P1191">
        <v>0</v>
      </c>
      <c r="Q1191">
        <v>55.2</v>
      </c>
      <c r="R1191">
        <v>1200</v>
      </c>
      <c r="S1191">
        <v>0</v>
      </c>
      <c r="T1191">
        <v>1200</v>
      </c>
      <c r="U1191">
        <v>0</v>
      </c>
      <c r="V1191">
        <v>0</v>
      </c>
      <c r="W1191">
        <v>1</v>
      </c>
      <c r="X1191">
        <v>0.85</v>
      </c>
    </row>
    <row r="1192" spans="1:24" x14ac:dyDescent="0.3">
      <c r="A1192" t="s">
        <v>1851</v>
      </c>
      <c r="B1192" s="1">
        <v>45698</v>
      </c>
      <c r="C1192" t="s">
        <v>76</v>
      </c>
      <c r="D1192" t="s">
        <v>39</v>
      </c>
      <c r="E1192" t="s">
        <v>83</v>
      </c>
      <c r="F1192" t="s">
        <v>58</v>
      </c>
      <c r="G1192" t="s">
        <v>59</v>
      </c>
      <c r="H1192" t="s">
        <v>73</v>
      </c>
      <c r="I1192" t="s">
        <v>220</v>
      </c>
      <c r="J1192" t="s">
        <v>62</v>
      </c>
      <c r="K1192" t="s">
        <v>70</v>
      </c>
      <c r="L1192" t="s">
        <v>54</v>
      </c>
      <c r="M1192" t="s">
        <v>86</v>
      </c>
      <c r="N1192" t="s">
        <v>113</v>
      </c>
      <c r="O1192">
        <v>45</v>
      </c>
      <c r="P1192">
        <v>0</v>
      </c>
      <c r="Q1192">
        <v>49</v>
      </c>
      <c r="R1192">
        <v>950</v>
      </c>
      <c r="S1192">
        <v>0</v>
      </c>
      <c r="T1192">
        <v>950</v>
      </c>
      <c r="U1192">
        <v>0</v>
      </c>
      <c r="V1192">
        <v>0</v>
      </c>
      <c r="W1192">
        <v>1</v>
      </c>
      <c r="X1192">
        <v>0.85</v>
      </c>
    </row>
    <row r="1193" spans="1:24" x14ac:dyDescent="0.3">
      <c r="A1193" t="s">
        <v>1852</v>
      </c>
      <c r="B1193" s="1">
        <v>45776</v>
      </c>
      <c r="C1193" t="s">
        <v>92</v>
      </c>
      <c r="D1193" t="s">
        <v>26</v>
      </c>
      <c r="E1193" t="s">
        <v>27</v>
      </c>
      <c r="F1193" t="s">
        <v>58</v>
      </c>
      <c r="G1193" t="s">
        <v>59</v>
      </c>
      <c r="H1193" t="s">
        <v>73</v>
      </c>
      <c r="I1193" t="s">
        <v>960</v>
      </c>
      <c r="J1193" t="s">
        <v>45</v>
      </c>
      <c r="K1193" t="s">
        <v>46</v>
      </c>
      <c r="L1193" t="s">
        <v>64</v>
      </c>
      <c r="M1193" t="s">
        <v>94</v>
      </c>
      <c r="N1193" t="s">
        <v>36</v>
      </c>
      <c r="O1193">
        <v>60</v>
      </c>
      <c r="P1193">
        <v>60</v>
      </c>
      <c r="Q1193">
        <v>66.2</v>
      </c>
      <c r="R1193">
        <v>1700</v>
      </c>
      <c r="S1193">
        <v>1700</v>
      </c>
      <c r="T1193">
        <v>0</v>
      </c>
      <c r="U1193">
        <v>0</v>
      </c>
      <c r="V1193">
        <v>1</v>
      </c>
      <c r="W1193">
        <v>0</v>
      </c>
      <c r="X1193">
        <v>0.85</v>
      </c>
    </row>
    <row r="1194" spans="1:24" x14ac:dyDescent="0.3">
      <c r="A1194" t="s">
        <v>1853</v>
      </c>
      <c r="B1194" s="1">
        <v>45769</v>
      </c>
      <c r="C1194" t="s">
        <v>92</v>
      </c>
      <c r="D1194" t="s">
        <v>26</v>
      </c>
      <c r="E1194" t="s">
        <v>68</v>
      </c>
      <c r="F1194" t="s">
        <v>58</v>
      </c>
      <c r="G1194" t="s">
        <v>59</v>
      </c>
      <c r="H1194" t="s">
        <v>296</v>
      </c>
      <c r="I1194" t="s">
        <v>604</v>
      </c>
      <c r="J1194" t="s">
        <v>53</v>
      </c>
      <c r="K1194" t="s">
        <v>46</v>
      </c>
      <c r="L1194" t="s">
        <v>34</v>
      </c>
      <c r="M1194" t="s">
        <v>35</v>
      </c>
      <c r="N1194" t="s">
        <v>36</v>
      </c>
      <c r="O1194">
        <v>45</v>
      </c>
      <c r="P1194">
        <v>45</v>
      </c>
      <c r="Q1194">
        <v>58.7</v>
      </c>
      <c r="R1194">
        <v>1350</v>
      </c>
      <c r="S1194">
        <v>1350</v>
      </c>
      <c r="T1194">
        <v>0</v>
      </c>
      <c r="U1194">
        <v>0</v>
      </c>
      <c r="V1194">
        <v>1</v>
      </c>
      <c r="W1194">
        <v>0</v>
      </c>
      <c r="X1194">
        <v>0.85</v>
      </c>
    </row>
    <row r="1195" spans="1:24" x14ac:dyDescent="0.3">
      <c r="A1195" t="s">
        <v>1854</v>
      </c>
      <c r="B1195" s="1">
        <v>45720</v>
      </c>
      <c r="C1195" t="s">
        <v>56</v>
      </c>
      <c r="D1195" t="s">
        <v>26</v>
      </c>
      <c r="E1195" t="s">
        <v>40</v>
      </c>
      <c r="F1195" t="s">
        <v>41</v>
      </c>
      <c r="G1195" t="s">
        <v>42</v>
      </c>
      <c r="H1195" t="s">
        <v>111</v>
      </c>
      <c r="I1195" t="s">
        <v>143</v>
      </c>
      <c r="J1195" t="s">
        <v>32</v>
      </c>
      <c r="K1195" t="s">
        <v>33</v>
      </c>
      <c r="L1195" t="s">
        <v>64</v>
      </c>
      <c r="M1195" t="s">
        <v>35</v>
      </c>
      <c r="N1195" t="s">
        <v>36</v>
      </c>
      <c r="O1195">
        <v>90</v>
      </c>
      <c r="P1195">
        <v>90</v>
      </c>
      <c r="Q1195">
        <v>100.7</v>
      </c>
      <c r="R1195">
        <v>2000</v>
      </c>
      <c r="S1195">
        <v>2000</v>
      </c>
      <c r="T1195">
        <v>0</v>
      </c>
      <c r="U1195">
        <v>0</v>
      </c>
      <c r="V1195">
        <v>1</v>
      </c>
      <c r="W1195">
        <v>0</v>
      </c>
      <c r="X1195">
        <v>0.85</v>
      </c>
    </row>
    <row r="1196" spans="1:24" x14ac:dyDescent="0.3">
      <c r="A1196" t="s">
        <v>1855</v>
      </c>
      <c r="B1196" s="1">
        <v>45950</v>
      </c>
      <c r="C1196" t="s">
        <v>97</v>
      </c>
      <c r="D1196" t="s">
        <v>39</v>
      </c>
      <c r="E1196" t="s">
        <v>27</v>
      </c>
      <c r="F1196" t="s">
        <v>28</v>
      </c>
      <c r="G1196" t="s">
        <v>29</v>
      </c>
      <c r="H1196" t="s">
        <v>210</v>
      </c>
      <c r="I1196" t="s">
        <v>1856</v>
      </c>
      <c r="J1196" t="s">
        <v>137</v>
      </c>
      <c r="K1196" t="s">
        <v>70</v>
      </c>
      <c r="L1196" t="s">
        <v>34</v>
      </c>
      <c r="M1196" t="s">
        <v>47</v>
      </c>
      <c r="N1196" t="s">
        <v>36</v>
      </c>
      <c r="O1196">
        <v>75</v>
      </c>
      <c r="P1196">
        <v>75</v>
      </c>
      <c r="Q1196">
        <v>98.3</v>
      </c>
      <c r="R1196">
        <v>1550</v>
      </c>
      <c r="S1196">
        <v>1550</v>
      </c>
      <c r="T1196">
        <v>0</v>
      </c>
      <c r="U1196">
        <v>0</v>
      </c>
      <c r="V1196">
        <v>1</v>
      </c>
      <c r="W1196">
        <v>0</v>
      </c>
      <c r="X1196">
        <v>0.85</v>
      </c>
    </row>
    <row r="1197" spans="1:24" x14ac:dyDescent="0.3">
      <c r="A1197" t="s">
        <v>1857</v>
      </c>
      <c r="B1197" s="1">
        <v>45758</v>
      </c>
      <c r="C1197" t="s">
        <v>92</v>
      </c>
      <c r="D1197" t="s">
        <v>82</v>
      </c>
      <c r="E1197" t="s">
        <v>27</v>
      </c>
      <c r="F1197" t="s">
        <v>28</v>
      </c>
      <c r="G1197" t="s">
        <v>29</v>
      </c>
      <c r="H1197" t="s">
        <v>30</v>
      </c>
      <c r="I1197" t="s">
        <v>754</v>
      </c>
      <c r="J1197" t="s">
        <v>62</v>
      </c>
      <c r="K1197" t="s">
        <v>46</v>
      </c>
      <c r="L1197" t="s">
        <v>78</v>
      </c>
      <c r="M1197" t="s">
        <v>65</v>
      </c>
      <c r="N1197" t="s">
        <v>36</v>
      </c>
      <c r="O1197">
        <v>45</v>
      </c>
      <c r="P1197">
        <v>45</v>
      </c>
      <c r="Q1197">
        <v>59</v>
      </c>
      <c r="R1197">
        <v>850</v>
      </c>
      <c r="S1197">
        <v>850</v>
      </c>
      <c r="T1197">
        <v>0</v>
      </c>
      <c r="U1197">
        <v>0</v>
      </c>
      <c r="V1197">
        <v>1</v>
      </c>
      <c r="W1197">
        <v>0</v>
      </c>
      <c r="X1197">
        <v>0.85</v>
      </c>
    </row>
    <row r="1198" spans="1:24" x14ac:dyDescent="0.3">
      <c r="A1198" t="s">
        <v>1858</v>
      </c>
      <c r="B1198" s="1">
        <v>45770</v>
      </c>
      <c r="C1198" t="s">
        <v>92</v>
      </c>
      <c r="D1198" t="s">
        <v>57</v>
      </c>
      <c r="E1198" t="s">
        <v>68</v>
      </c>
      <c r="F1198" t="s">
        <v>28</v>
      </c>
      <c r="G1198" t="s">
        <v>29</v>
      </c>
      <c r="H1198" t="s">
        <v>30</v>
      </c>
      <c r="I1198" t="s">
        <v>1859</v>
      </c>
      <c r="J1198" t="s">
        <v>32</v>
      </c>
      <c r="K1198" t="s">
        <v>46</v>
      </c>
      <c r="L1198" t="s">
        <v>34</v>
      </c>
      <c r="M1198" t="s">
        <v>47</v>
      </c>
      <c r="N1198" t="s">
        <v>36</v>
      </c>
      <c r="O1198">
        <v>45</v>
      </c>
      <c r="P1198">
        <v>45</v>
      </c>
      <c r="Q1198">
        <v>51.6</v>
      </c>
      <c r="R1198">
        <v>950</v>
      </c>
      <c r="S1198">
        <v>950</v>
      </c>
      <c r="T1198">
        <v>0</v>
      </c>
      <c r="U1198">
        <v>0</v>
      </c>
      <c r="V1198">
        <v>1</v>
      </c>
      <c r="W1198">
        <v>0</v>
      </c>
      <c r="X1198">
        <v>0.85</v>
      </c>
    </row>
    <row r="1199" spans="1:24" x14ac:dyDescent="0.3">
      <c r="A1199" t="s">
        <v>1860</v>
      </c>
      <c r="B1199" s="1">
        <v>45831</v>
      </c>
      <c r="C1199" t="s">
        <v>67</v>
      </c>
      <c r="D1199" t="s">
        <v>39</v>
      </c>
      <c r="E1199" t="s">
        <v>40</v>
      </c>
      <c r="F1199" t="s">
        <v>28</v>
      </c>
      <c r="G1199" t="s">
        <v>29</v>
      </c>
      <c r="H1199" t="s">
        <v>135</v>
      </c>
      <c r="I1199" t="s">
        <v>275</v>
      </c>
      <c r="J1199" t="s">
        <v>62</v>
      </c>
      <c r="K1199" t="s">
        <v>104</v>
      </c>
      <c r="L1199" t="s">
        <v>54</v>
      </c>
      <c r="M1199" t="s">
        <v>71</v>
      </c>
      <c r="N1199" t="s">
        <v>36</v>
      </c>
      <c r="O1199">
        <v>60</v>
      </c>
      <c r="P1199">
        <v>60</v>
      </c>
      <c r="Q1199">
        <v>66.2</v>
      </c>
      <c r="R1199">
        <v>1050</v>
      </c>
      <c r="S1199">
        <v>1050</v>
      </c>
      <c r="T1199">
        <v>0</v>
      </c>
      <c r="U1199">
        <v>0</v>
      </c>
      <c r="V1199">
        <v>1</v>
      </c>
      <c r="W1199">
        <v>0</v>
      </c>
      <c r="X1199">
        <v>0.85</v>
      </c>
    </row>
    <row r="1200" spans="1:24" x14ac:dyDescent="0.3">
      <c r="A1200" t="s">
        <v>1861</v>
      </c>
      <c r="B1200" s="1">
        <v>45908</v>
      </c>
      <c r="C1200" t="s">
        <v>49</v>
      </c>
      <c r="D1200" t="s">
        <v>39</v>
      </c>
      <c r="E1200" t="s">
        <v>40</v>
      </c>
      <c r="F1200" t="s">
        <v>58</v>
      </c>
      <c r="G1200" t="s">
        <v>59</v>
      </c>
      <c r="H1200" t="s">
        <v>151</v>
      </c>
      <c r="I1200" t="s">
        <v>1704</v>
      </c>
      <c r="J1200" t="s">
        <v>62</v>
      </c>
      <c r="K1200" t="s">
        <v>104</v>
      </c>
      <c r="L1200" t="s">
        <v>64</v>
      </c>
      <c r="M1200" t="s">
        <v>65</v>
      </c>
      <c r="N1200" t="s">
        <v>36</v>
      </c>
      <c r="O1200">
        <v>60</v>
      </c>
      <c r="P1200">
        <v>60</v>
      </c>
      <c r="Q1200">
        <v>66.8</v>
      </c>
      <c r="R1200">
        <v>1500</v>
      </c>
      <c r="S1200">
        <v>1500</v>
      </c>
      <c r="T1200">
        <v>0</v>
      </c>
      <c r="U1200">
        <v>0</v>
      </c>
      <c r="V1200">
        <v>1</v>
      </c>
      <c r="W1200">
        <v>0</v>
      </c>
      <c r="X1200">
        <v>0.85</v>
      </c>
    </row>
    <row r="1201" spans="1:24" x14ac:dyDescent="0.3">
      <c r="A1201" t="s">
        <v>1862</v>
      </c>
      <c r="B1201" s="1">
        <v>45744</v>
      </c>
      <c r="C1201" t="s">
        <v>56</v>
      </c>
      <c r="D1201" t="s">
        <v>82</v>
      </c>
      <c r="E1201" t="s">
        <v>68</v>
      </c>
      <c r="F1201" t="s">
        <v>28</v>
      </c>
      <c r="G1201" t="s">
        <v>29</v>
      </c>
      <c r="H1201" t="s">
        <v>135</v>
      </c>
      <c r="I1201" t="s">
        <v>805</v>
      </c>
      <c r="J1201" t="s">
        <v>53</v>
      </c>
      <c r="K1201" t="s">
        <v>63</v>
      </c>
      <c r="L1201" t="s">
        <v>34</v>
      </c>
      <c r="M1201" t="s">
        <v>94</v>
      </c>
      <c r="N1201" t="s">
        <v>36</v>
      </c>
      <c r="O1201">
        <v>90</v>
      </c>
      <c r="P1201">
        <v>90</v>
      </c>
      <c r="Q1201">
        <v>120</v>
      </c>
      <c r="R1201">
        <v>2250</v>
      </c>
      <c r="S1201">
        <v>2250</v>
      </c>
      <c r="T1201">
        <v>0</v>
      </c>
      <c r="U1201">
        <v>0</v>
      </c>
      <c r="V1201">
        <v>1</v>
      </c>
      <c r="W1201">
        <v>0</v>
      </c>
      <c r="X1201">
        <v>0.85</v>
      </c>
    </row>
    <row r="1202" spans="1:24" x14ac:dyDescent="0.3">
      <c r="A1202" t="s">
        <v>1863</v>
      </c>
      <c r="B1202" s="1">
        <v>45713</v>
      </c>
      <c r="C1202" t="s">
        <v>76</v>
      </c>
      <c r="D1202" t="s">
        <v>26</v>
      </c>
      <c r="E1202" t="s">
        <v>68</v>
      </c>
      <c r="F1202" t="s">
        <v>28</v>
      </c>
      <c r="G1202" t="s">
        <v>29</v>
      </c>
      <c r="H1202" t="s">
        <v>135</v>
      </c>
      <c r="I1202" t="s">
        <v>453</v>
      </c>
      <c r="J1202" t="s">
        <v>53</v>
      </c>
      <c r="K1202" t="s">
        <v>70</v>
      </c>
      <c r="L1202" t="s">
        <v>34</v>
      </c>
      <c r="M1202" t="s">
        <v>65</v>
      </c>
      <c r="N1202" t="s">
        <v>95</v>
      </c>
      <c r="O1202">
        <v>45</v>
      </c>
      <c r="P1202">
        <v>0</v>
      </c>
      <c r="Q1202">
        <v>51.7</v>
      </c>
      <c r="R1202">
        <v>1100</v>
      </c>
      <c r="S1202">
        <v>0</v>
      </c>
      <c r="T1202">
        <v>1100</v>
      </c>
      <c r="U1202">
        <v>1</v>
      </c>
      <c r="V1202">
        <v>0</v>
      </c>
      <c r="W1202">
        <v>0</v>
      </c>
      <c r="X1202">
        <v>0.85</v>
      </c>
    </row>
    <row r="1203" spans="1:24" x14ac:dyDescent="0.3">
      <c r="A1203" t="s">
        <v>1864</v>
      </c>
      <c r="B1203" s="1">
        <v>45938</v>
      </c>
      <c r="C1203" t="s">
        <v>97</v>
      </c>
      <c r="D1203" t="s">
        <v>57</v>
      </c>
      <c r="E1203" t="s">
        <v>27</v>
      </c>
      <c r="F1203" t="s">
        <v>58</v>
      </c>
      <c r="G1203" t="s">
        <v>59</v>
      </c>
      <c r="H1203" t="s">
        <v>60</v>
      </c>
      <c r="I1203" t="s">
        <v>1662</v>
      </c>
      <c r="J1203" t="s">
        <v>53</v>
      </c>
      <c r="K1203" t="s">
        <v>104</v>
      </c>
      <c r="L1203" t="s">
        <v>64</v>
      </c>
      <c r="M1203" t="s">
        <v>86</v>
      </c>
      <c r="N1203" t="s">
        <v>36</v>
      </c>
      <c r="O1203">
        <v>60</v>
      </c>
      <c r="P1203">
        <v>60</v>
      </c>
      <c r="Q1203">
        <v>76.599999999999994</v>
      </c>
      <c r="R1203">
        <v>1800</v>
      </c>
      <c r="S1203">
        <v>1800</v>
      </c>
      <c r="T1203">
        <v>0</v>
      </c>
      <c r="U1203">
        <v>0</v>
      </c>
      <c r="V1203">
        <v>1</v>
      </c>
      <c r="W1203">
        <v>0</v>
      </c>
      <c r="X1203">
        <v>0.85</v>
      </c>
    </row>
    <row r="1204" spans="1:24" x14ac:dyDescent="0.3">
      <c r="A1204" t="s">
        <v>1865</v>
      </c>
      <c r="B1204" s="1">
        <v>45695</v>
      </c>
      <c r="C1204" t="s">
        <v>76</v>
      </c>
      <c r="D1204" t="s">
        <v>82</v>
      </c>
      <c r="E1204" t="s">
        <v>68</v>
      </c>
      <c r="F1204" t="s">
        <v>58</v>
      </c>
      <c r="G1204" t="s">
        <v>59</v>
      </c>
      <c r="H1204" t="s">
        <v>60</v>
      </c>
      <c r="I1204" t="s">
        <v>1765</v>
      </c>
      <c r="J1204" t="s">
        <v>62</v>
      </c>
      <c r="K1204" t="s">
        <v>46</v>
      </c>
      <c r="L1204" t="s">
        <v>54</v>
      </c>
      <c r="M1204" t="s">
        <v>65</v>
      </c>
      <c r="N1204" t="s">
        <v>36</v>
      </c>
      <c r="O1204">
        <v>60</v>
      </c>
      <c r="P1204">
        <v>60</v>
      </c>
      <c r="Q1204">
        <v>69.5</v>
      </c>
      <c r="R1204">
        <v>1300</v>
      </c>
      <c r="S1204">
        <v>1300</v>
      </c>
      <c r="T1204">
        <v>0</v>
      </c>
      <c r="U1204">
        <v>0</v>
      </c>
      <c r="V1204">
        <v>1</v>
      </c>
      <c r="W1204">
        <v>0</v>
      </c>
      <c r="X1204">
        <v>0.85</v>
      </c>
    </row>
    <row r="1205" spans="1:24" x14ac:dyDescent="0.3">
      <c r="A1205" t="s">
        <v>1866</v>
      </c>
      <c r="B1205" s="1">
        <v>45776</v>
      </c>
      <c r="C1205" t="s">
        <v>92</v>
      </c>
      <c r="D1205" t="s">
        <v>26</v>
      </c>
      <c r="E1205" t="s">
        <v>40</v>
      </c>
      <c r="F1205" t="s">
        <v>41</v>
      </c>
      <c r="G1205" t="s">
        <v>42</v>
      </c>
      <c r="H1205" t="s">
        <v>125</v>
      </c>
      <c r="I1205" t="s">
        <v>944</v>
      </c>
      <c r="J1205" t="s">
        <v>45</v>
      </c>
      <c r="K1205" t="s">
        <v>85</v>
      </c>
      <c r="L1205" t="s">
        <v>34</v>
      </c>
      <c r="M1205" t="s">
        <v>86</v>
      </c>
      <c r="N1205" t="s">
        <v>95</v>
      </c>
      <c r="O1205">
        <v>60</v>
      </c>
      <c r="P1205">
        <v>0</v>
      </c>
      <c r="Q1205">
        <v>72.7</v>
      </c>
      <c r="R1205">
        <v>1550</v>
      </c>
      <c r="S1205">
        <v>0</v>
      </c>
      <c r="T1205">
        <v>1550</v>
      </c>
      <c r="U1205">
        <v>1</v>
      </c>
      <c r="V1205">
        <v>0</v>
      </c>
      <c r="W1205">
        <v>0</v>
      </c>
      <c r="X1205">
        <v>0.85</v>
      </c>
    </row>
    <row r="1206" spans="1:24" x14ac:dyDescent="0.3">
      <c r="A1206" t="s">
        <v>1867</v>
      </c>
      <c r="B1206" s="1">
        <v>45909</v>
      </c>
      <c r="C1206" t="s">
        <v>49</v>
      </c>
      <c r="D1206" t="s">
        <v>26</v>
      </c>
      <c r="E1206" t="s">
        <v>68</v>
      </c>
      <c r="F1206" t="s">
        <v>58</v>
      </c>
      <c r="G1206" t="s">
        <v>59</v>
      </c>
      <c r="H1206" t="s">
        <v>60</v>
      </c>
      <c r="I1206" t="s">
        <v>958</v>
      </c>
      <c r="J1206" t="s">
        <v>137</v>
      </c>
      <c r="K1206" t="s">
        <v>63</v>
      </c>
      <c r="L1206" t="s">
        <v>64</v>
      </c>
      <c r="M1206" t="s">
        <v>71</v>
      </c>
      <c r="N1206" t="s">
        <v>36</v>
      </c>
      <c r="O1206">
        <v>75</v>
      </c>
      <c r="P1206">
        <v>75</v>
      </c>
      <c r="Q1206">
        <v>91.7</v>
      </c>
      <c r="R1206">
        <v>1900</v>
      </c>
      <c r="S1206">
        <v>1900</v>
      </c>
      <c r="T1206">
        <v>0</v>
      </c>
      <c r="U1206">
        <v>0</v>
      </c>
      <c r="V1206">
        <v>1</v>
      </c>
      <c r="W1206">
        <v>0</v>
      </c>
      <c r="X1206">
        <v>0.85</v>
      </c>
    </row>
    <row r="1207" spans="1:24" x14ac:dyDescent="0.3">
      <c r="A1207" t="s">
        <v>1868</v>
      </c>
      <c r="B1207" s="1">
        <v>45780</v>
      </c>
      <c r="C1207" t="s">
        <v>128</v>
      </c>
      <c r="D1207" t="s">
        <v>88</v>
      </c>
      <c r="E1207" t="s">
        <v>40</v>
      </c>
      <c r="F1207" t="s">
        <v>41</v>
      </c>
      <c r="G1207" t="s">
        <v>42</v>
      </c>
      <c r="H1207" t="s">
        <v>125</v>
      </c>
      <c r="I1207" t="s">
        <v>115</v>
      </c>
      <c r="J1207" t="s">
        <v>62</v>
      </c>
      <c r="K1207" t="s">
        <v>46</v>
      </c>
      <c r="L1207" t="s">
        <v>34</v>
      </c>
      <c r="M1207" t="s">
        <v>86</v>
      </c>
      <c r="N1207" t="s">
        <v>36</v>
      </c>
      <c r="O1207">
        <v>60</v>
      </c>
      <c r="P1207">
        <v>60</v>
      </c>
      <c r="Q1207">
        <v>73.5</v>
      </c>
      <c r="R1207">
        <v>1350</v>
      </c>
      <c r="S1207">
        <v>1350</v>
      </c>
      <c r="T1207">
        <v>0</v>
      </c>
      <c r="U1207">
        <v>0</v>
      </c>
      <c r="V1207">
        <v>1</v>
      </c>
      <c r="W1207">
        <v>0</v>
      </c>
      <c r="X1207">
        <v>0.85</v>
      </c>
    </row>
    <row r="1208" spans="1:24" x14ac:dyDescent="0.3">
      <c r="A1208" t="s">
        <v>1869</v>
      </c>
      <c r="B1208" s="1">
        <v>45776</v>
      </c>
      <c r="C1208" t="s">
        <v>92</v>
      </c>
      <c r="D1208" t="s">
        <v>26</v>
      </c>
      <c r="E1208" t="s">
        <v>27</v>
      </c>
      <c r="F1208" t="s">
        <v>58</v>
      </c>
      <c r="G1208" t="s">
        <v>59</v>
      </c>
      <c r="H1208" t="s">
        <v>73</v>
      </c>
      <c r="I1208" t="s">
        <v>1870</v>
      </c>
      <c r="J1208" t="s">
        <v>137</v>
      </c>
      <c r="K1208" t="s">
        <v>63</v>
      </c>
      <c r="L1208" t="s">
        <v>64</v>
      </c>
      <c r="M1208" t="s">
        <v>94</v>
      </c>
      <c r="N1208" t="s">
        <v>36</v>
      </c>
      <c r="O1208">
        <v>30</v>
      </c>
      <c r="P1208">
        <v>30</v>
      </c>
      <c r="Q1208">
        <v>34.200000000000003</v>
      </c>
      <c r="R1208">
        <v>750</v>
      </c>
      <c r="S1208">
        <v>750</v>
      </c>
      <c r="T1208">
        <v>0</v>
      </c>
      <c r="U1208">
        <v>0</v>
      </c>
      <c r="V1208">
        <v>1</v>
      </c>
      <c r="W1208">
        <v>0</v>
      </c>
      <c r="X1208">
        <v>0.85</v>
      </c>
    </row>
    <row r="1209" spans="1:24" x14ac:dyDescent="0.3">
      <c r="A1209" t="s">
        <v>1871</v>
      </c>
      <c r="B1209" s="1">
        <v>45805</v>
      </c>
      <c r="C1209" t="s">
        <v>128</v>
      </c>
      <c r="D1209" t="s">
        <v>57</v>
      </c>
      <c r="E1209" t="s">
        <v>83</v>
      </c>
      <c r="F1209" t="s">
        <v>28</v>
      </c>
      <c r="G1209" t="s">
        <v>29</v>
      </c>
      <c r="H1209" t="s">
        <v>210</v>
      </c>
      <c r="I1209" t="s">
        <v>1385</v>
      </c>
      <c r="J1209" t="s">
        <v>32</v>
      </c>
      <c r="K1209" t="s">
        <v>63</v>
      </c>
      <c r="L1209" t="s">
        <v>34</v>
      </c>
      <c r="M1209" t="s">
        <v>86</v>
      </c>
      <c r="N1209" t="s">
        <v>36</v>
      </c>
      <c r="O1209">
        <v>75</v>
      </c>
      <c r="P1209">
        <v>75</v>
      </c>
      <c r="Q1209">
        <v>87.8</v>
      </c>
      <c r="R1209">
        <v>1550</v>
      </c>
      <c r="S1209">
        <v>1550</v>
      </c>
      <c r="T1209">
        <v>0</v>
      </c>
      <c r="U1209">
        <v>0</v>
      </c>
      <c r="V1209">
        <v>1</v>
      </c>
      <c r="W1209">
        <v>0</v>
      </c>
      <c r="X1209">
        <v>0.85</v>
      </c>
    </row>
    <row r="1210" spans="1:24" x14ac:dyDescent="0.3">
      <c r="A1210" t="s">
        <v>1872</v>
      </c>
      <c r="B1210" s="1">
        <v>45843</v>
      </c>
      <c r="C1210" t="s">
        <v>101</v>
      </c>
      <c r="D1210" t="s">
        <v>88</v>
      </c>
      <c r="E1210" t="s">
        <v>83</v>
      </c>
      <c r="F1210" t="s">
        <v>28</v>
      </c>
      <c r="G1210" t="s">
        <v>29</v>
      </c>
      <c r="H1210" t="s">
        <v>135</v>
      </c>
      <c r="I1210" t="s">
        <v>530</v>
      </c>
      <c r="J1210" t="s">
        <v>137</v>
      </c>
      <c r="K1210" t="s">
        <v>33</v>
      </c>
      <c r="L1210" t="s">
        <v>64</v>
      </c>
      <c r="M1210" t="s">
        <v>86</v>
      </c>
      <c r="N1210" t="s">
        <v>36</v>
      </c>
      <c r="O1210">
        <v>45</v>
      </c>
      <c r="P1210">
        <v>45</v>
      </c>
      <c r="Q1210">
        <v>51</v>
      </c>
      <c r="R1210">
        <v>950</v>
      </c>
      <c r="S1210">
        <v>950</v>
      </c>
      <c r="T1210">
        <v>0</v>
      </c>
      <c r="U1210">
        <v>0</v>
      </c>
      <c r="V1210">
        <v>1</v>
      </c>
      <c r="W1210">
        <v>0</v>
      </c>
      <c r="X1210">
        <v>0.85</v>
      </c>
    </row>
    <row r="1211" spans="1:24" x14ac:dyDescent="0.3">
      <c r="A1211" t="s">
        <v>1873</v>
      </c>
      <c r="B1211" s="1">
        <v>45828</v>
      </c>
      <c r="C1211" t="s">
        <v>67</v>
      </c>
      <c r="D1211" t="s">
        <v>82</v>
      </c>
      <c r="E1211" t="s">
        <v>27</v>
      </c>
      <c r="F1211" t="s">
        <v>28</v>
      </c>
      <c r="G1211" t="s">
        <v>29</v>
      </c>
      <c r="H1211" t="s">
        <v>102</v>
      </c>
      <c r="I1211" t="s">
        <v>161</v>
      </c>
      <c r="J1211" t="s">
        <v>45</v>
      </c>
      <c r="K1211" t="s">
        <v>46</v>
      </c>
      <c r="L1211" t="s">
        <v>64</v>
      </c>
      <c r="M1211" t="s">
        <v>65</v>
      </c>
      <c r="N1211" t="s">
        <v>36</v>
      </c>
      <c r="O1211">
        <v>90</v>
      </c>
      <c r="P1211">
        <v>90</v>
      </c>
      <c r="Q1211">
        <v>98</v>
      </c>
      <c r="R1211">
        <v>2150</v>
      </c>
      <c r="S1211">
        <v>2150</v>
      </c>
      <c r="T1211">
        <v>0</v>
      </c>
      <c r="U1211">
        <v>0</v>
      </c>
      <c r="V1211">
        <v>1</v>
      </c>
      <c r="W1211">
        <v>0</v>
      </c>
      <c r="X1211">
        <v>0.85</v>
      </c>
    </row>
    <row r="1212" spans="1:24" x14ac:dyDescent="0.3">
      <c r="A1212" t="s">
        <v>1874</v>
      </c>
      <c r="B1212" s="1">
        <v>45836</v>
      </c>
      <c r="C1212" t="s">
        <v>67</v>
      </c>
      <c r="D1212" t="s">
        <v>88</v>
      </c>
      <c r="E1212" t="s">
        <v>83</v>
      </c>
      <c r="F1212" t="s">
        <v>28</v>
      </c>
      <c r="G1212" t="s">
        <v>29</v>
      </c>
      <c r="H1212" t="s">
        <v>120</v>
      </c>
      <c r="I1212" t="s">
        <v>249</v>
      </c>
      <c r="J1212" t="s">
        <v>62</v>
      </c>
      <c r="K1212" t="s">
        <v>85</v>
      </c>
      <c r="L1212" t="s">
        <v>34</v>
      </c>
      <c r="M1212" t="s">
        <v>35</v>
      </c>
      <c r="N1212" t="s">
        <v>36</v>
      </c>
      <c r="O1212">
        <v>45</v>
      </c>
      <c r="P1212">
        <v>45</v>
      </c>
      <c r="Q1212">
        <v>59.9</v>
      </c>
      <c r="R1212">
        <v>950</v>
      </c>
      <c r="S1212">
        <v>950</v>
      </c>
      <c r="T1212">
        <v>0</v>
      </c>
      <c r="U1212">
        <v>0</v>
      </c>
      <c r="V1212">
        <v>1</v>
      </c>
      <c r="W1212">
        <v>0</v>
      </c>
      <c r="X1212">
        <v>0.85</v>
      </c>
    </row>
    <row r="1213" spans="1:24" x14ac:dyDescent="0.3">
      <c r="A1213" t="s">
        <v>1875</v>
      </c>
      <c r="B1213" s="1">
        <v>45912</v>
      </c>
      <c r="C1213" t="s">
        <v>49</v>
      </c>
      <c r="D1213" t="s">
        <v>82</v>
      </c>
      <c r="E1213" t="s">
        <v>40</v>
      </c>
      <c r="F1213" t="s">
        <v>28</v>
      </c>
      <c r="G1213" t="s">
        <v>29</v>
      </c>
      <c r="H1213" t="s">
        <v>30</v>
      </c>
      <c r="I1213" t="s">
        <v>429</v>
      </c>
      <c r="J1213" t="s">
        <v>53</v>
      </c>
      <c r="K1213" t="s">
        <v>46</v>
      </c>
      <c r="L1213" t="s">
        <v>64</v>
      </c>
      <c r="M1213" t="s">
        <v>47</v>
      </c>
      <c r="N1213" t="s">
        <v>95</v>
      </c>
      <c r="O1213">
        <v>60</v>
      </c>
      <c r="P1213">
        <v>0</v>
      </c>
      <c r="Q1213">
        <v>73.400000000000006</v>
      </c>
      <c r="R1213">
        <v>1500</v>
      </c>
      <c r="S1213">
        <v>0</v>
      </c>
      <c r="T1213">
        <v>1500</v>
      </c>
      <c r="U1213">
        <v>1</v>
      </c>
      <c r="V1213">
        <v>0</v>
      </c>
      <c r="W1213">
        <v>0</v>
      </c>
      <c r="X1213">
        <v>0.85</v>
      </c>
    </row>
    <row r="1214" spans="1:24" x14ac:dyDescent="0.3">
      <c r="A1214" t="s">
        <v>1876</v>
      </c>
      <c r="B1214" s="1">
        <v>45740</v>
      </c>
      <c r="C1214" t="s">
        <v>56</v>
      </c>
      <c r="D1214" t="s">
        <v>39</v>
      </c>
      <c r="E1214" t="s">
        <v>83</v>
      </c>
      <c r="F1214" t="s">
        <v>41</v>
      </c>
      <c r="G1214" t="s">
        <v>42</v>
      </c>
      <c r="H1214" t="s">
        <v>125</v>
      </c>
      <c r="I1214" t="s">
        <v>1877</v>
      </c>
      <c r="J1214" t="s">
        <v>53</v>
      </c>
      <c r="K1214" t="s">
        <v>85</v>
      </c>
      <c r="L1214" t="s">
        <v>34</v>
      </c>
      <c r="M1214" t="s">
        <v>71</v>
      </c>
      <c r="N1214" t="s">
        <v>36</v>
      </c>
      <c r="O1214">
        <v>75</v>
      </c>
      <c r="P1214">
        <v>75</v>
      </c>
      <c r="Q1214">
        <v>82</v>
      </c>
      <c r="R1214">
        <v>2000</v>
      </c>
      <c r="S1214">
        <v>2000</v>
      </c>
      <c r="T1214">
        <v>0</v>
      </c>
      <c r="U1214">
        <v>0</v>
      </c>
      <c r="V1214">
        <v>1</v>
      </c>
      <c r="W1214">
        <v>0</v>
      </c>
      <c r="X1214">
        <v>0.85</v>
      </c>
    </row>
    <row r="1215" spans="1:24" x14ac:dyDescent="0.3">
      <c r="A1215" t="s">
        <v>1878</v>
      </c>
      <c r="B1215" s="1">
        <v>45964</v>
      </c>
      <c r="C1215" t="s">
        <v>38</v>
      </c>
      <c r="D1215" t="s">
        <v>39</v>
      </c>
      <c r="E1215" t="s">
        <v>68</v>
      </c>
      <c r="F1215" t="s">
        <v>41</v>
      </c>
      <c r="G1215" t="s">
        <v>42</v>
      </c>
      <c r="H1215" t="s">
        <v>125</v>
      </c>
      <c r="I1215" t="s">
        <v>571</v>
      </c>
      <c r="J1215" t="s">
        <v>45</v>
      </c>
      <c r="K1215" t="s">
        <v>33</v>
      </c>
      <c r="L1215" t="s">
        <v>34</v>
      </c>
      <c r="M1215" t="s">
        <v>94</v>
      </c>
      <c r="N1215" t="s">
        <v>36</v>
      </c>
      <c r="O1215">
        <v>60</v>
      </c>
      <c r="P1215">
        <v>60</v>
      </c>
      <c r="Q1215">
        <v>72</v>
      </c>
      <c r="R1215">
        <v>1550</v>
      </c>
      <c r="S1215">
        <v>1550</v>
      </c>
      <c r="T1215">
        <v>0</v>
      </c>
      <c r="U1215">
        <v>0</v>
      </c>
      <c r="V1215">
        <v>1</v>
      </c>
      <c r="W1215">
        <v>0</v>
      </c>
      <c r="X1215">
        <v>0.85</v>
      </c>
    </row>
    <row r="1216" spans="1:24" x14ac:dyDescent="0.3">
      <c r="A1216" t="s">
        <v>1879</v>
      </c>
      <c r="B1216" s="1">
        <v>45731</v>
      </c>
      <c r="C1216" t="s">
        <v>56</v>
      </c>
      <c r="D1216" t="s">
        <v>88</v>
      </c>
      <c r="E1216" t="s">
        <v>27</v>
      </c>
      <c r="F1216" t="s">
        <v>41</v>
      </c>
      <c r="G1216" t="s">
        <v>42</v>
      </c>
      <c r="H1216" t="s">
        <v>43</v>
      </c>
      <c r="I1216" t="s">
        <v>1014</v>
      </c>
      <c r="J1216" t="s">
        <v>53</v>
      </c>
      <c r="K1216" t="s">
        <v>85</v>
      </c>
      <c r="L1216" t="s">
        <v>78</v>
      </c>
      <c r="M1216" t="s">
        <v>35</v>
      </c>
      <c r="N1216" t="s">
        <v>36</v>
      </c>
      <c r="O1216">
        <v>45</v>
      </c>
      <c r="P1216">
        <v>45</v>
      </c>
      <c r="Q1216">
        <v>53.2</v>
      </c>
      <c r="R1216">
        <v>1100</v>
      </c>
      <c r="S1216">
        <v>1100</v>
      </c>
      <c r="T1216">
        <v>0</v>
      </c>
      <c r="U1216">
        <v>0</v>
      </c>
      <c r="V1216">
        <v>1</v>
      </c>
      <c r="W1216">
        <v>0</v>
      </c>
      <c r="X1216">
        <v>0.85</v>
      </c>
    </row>
    <row r="1217" spans="1:24" x14ac:dyDescent="0.3">
      <c r="A1217" t="s">
        <v>1880</v>
      </c>
      <c r="B1217" s="1">
        <v>45967</v>
      </c>
      <c r="C1217" t="s">
        <v>38</v>
      </c>
      <c r="D1217" t="s">
        <v>50</v>
      </c>
      <c r="E1217" t="s">
        <v>68</v>
      </c>
      <c r="F1217" t="s">
        <v>28</v>
      </c>
      <c r="G1217" t="s">
        <v>29</v>
      </c>
      <c r="H1217" t="s">
        <v>135</v>
      </c>
      <c r="I1217" t="s">
        <v>999</v>
      </c>
      <c r="J1217" t="s">
        <v>137</v>
      </c>
      <c r="K1217" t="s">
        <v>70</v>
      </c>
      <c r="L1217" t="s">
        <v>34</v>
      </c>
      <c r="M1217" t="s">
        <v>65</v>
      </c>
      <c r="N1217" t="s">
        <v>95</v>
      </c>
      <c r="O1217">
        <v>60</v>
      </c>
      <c r="P1217">
        <v>0</v>
      </c>
      <c r="Q1217">
        <v>66</v>
      </c>
      <c r="R1217">
        <v>1250</v>
      </c>
      <c r="S1217">
        <v>0</v>
      </c>
      <c r="T1217">
        <v>1250</v>
      </c>
      <c r="U1217">
        <v>1</v>
      </c>
      <c r="V1217">
        <v>0</v>
      </c>
      <c r="W1217">
        <v>0</v>
      </c>
      <c r="X1217">
        <v>0.85</v>
      </c>
    </row>
    <row r="1218" spans="1:24" x14ac:dyDescent="0.3">
      <c r="A1218" t="s">
        <v>1881</v>
      </c>
      <c r="B1218" s="1">
        <v>45772</v>
      </c>
      <c r="C1218" t="s">
        <v>92</v>
      </c>
      <c r="D1218" t="s">
        <v>82</v>
      </c>
      <c r="E1218" t="s">
        <v>83</v>
      </c>
      <c r="F1218" t="s">
        <v>58</v>
      </c>
      <c r="G1218" t="s">
        <v>59</v>
      </c>
      <c r="H1218" t="s">
        <v>73</v>
      </c>
      <c r="I1218" t="s">
        <v>1882</v>
      </c>
      <c r="J1218" t="s">
        <v>62</v>
      </c>
      <c r="K1218" t="s">
        <v>104</v>
      </c>
      <c r="L1218" t="s">
        <v>64</v>
      </c>
      <c r="M1218" t="s">
        <v>65</v>
      </c>
      <c r="N1218" t="s">
        <v>36</v>
      </c>
      <c r="O1218">
        <v>45</v>
      </c>
      <c r="P1218">
        <v>45</v>
      </c>
      <c r="Q1218">
        <v>49.6</v>
      </c>
      <c r="R1218">
        <v>1100</v>
      </c>
      <c r="S1218">
        <v>1100</v>
      </c>
      <c r="T1218">
        <v>0</v>
      </c>
      <c r="U1218">
        <v>0</v>
      </c>
      <c r="V1218">
        <v>1</v>
      </c>
      <c r="W1218">
        <v>0</v>
      </c>
      <c r="X1218">
        <v>0.85</v>
      </c>
    </row>
    <row r="1219" spans="1:24" x14ac:dyDescent="0.3">
      <c r="A1219" t="s">
        <v>1883</v>
      </c>
      <c r="B1219" s="1">
        <v>45988</v>
      </c>
      <c r="C1219" t="s">
        <v>38</v>
      </c>
      <c r="D1219" t="s">
        <v>50</v>
      </c>
      <c r="E1219" t="s">
        <v>40</v>
      </c>
      <c r="F1219" t="s">
        <v>41</v>
      </c>
      <c r="G1219" t="s">
        <v>42</v>
      </c>
      <c r="H1219" t="s">
        <v>125</v>
      </c>
      <c r="I1219" t="s">
        <v>224</v>
      </c>
      <c r="J1219" t="s">
        <v>32</v>
      </c>
      <c r="K1219" t="s">
        <v>85</v>
      </c>
      <c r="L1219" t="s">
        <v>54</v>
      </c>
      <c r="M1219" t="s">
        <v>35</v>
      </c>
      <c r="N1219" t="s">
        <v>36</v>
      </c>
      <c r="O1219">
        <v>60</v>
      </c>
      <c r="P1219">
        <v>60</v>
      </c>
      <c r="Q1219">
        <v>73.400000000000006</v>
      </c>
      <c r="R1219">
        <v>1150</v>
      </c>
      <c r="S1219">
        <v>1150</v>
      </c>
      <c r="T1219">
        <v>0</v>
      </c>
      <c r="U1219">
        <v>0</v>
      </c>
      <c r="V1219">
        <v>1</v>
      </c>
      <c r="W1219">
        <v>0</v>
      </c>
      <c r="X1219">
        <v>0.85</v>
      </c>
    </row>
    <row r="1220" spans="1:24" x14ac:dyDescent="0.3">
      <c r="A1220" t="s">
        <v>1884</v>
      </c>
      <c r="B1220" s="1">
        <v>45943</v>
      </c>
      <c r="C1220" t="s">
        <v>97</v>
      </c>
      <c r="D1220" t="s">
        <v>39</v>
      </c>
      <c r="E1220" t="s">
        <v>27</v>
      </c>
      <c r="F1220" t="s">
        <v>41</v>
      </c>
      <c r="G1220" t="s">
        <v>42</v>
      </c>
      <c r="H1220" t="s">
        <v>51</v>
      </c>
      <c r="I1220" t="s">
        <v>243</v>
      </c>
      <c r="J1220" t="s">
        <v>53</v>
      </c>
      <c r="K1220" t="s">
        <v>85</v>
      </c>
      <c r="L1220" t="s">
        <v>78</v>
      </c>
      <c r="M1220" t="s">
        <v>86</v>
      </c>
      <c r="N1220" t="s">
        <v>95</v>
      </c>
      <c r="O1220">
        <v>45</v>
      </c>
      <c r="P1220">
        <v>0</v>
      </c>
      <c r="Q1220">
        <v>59</v>
      </c>
      <c r="R1220">
        <v>1100</v>
      </c>
      <c r="S1220">
        <v>0</v>
      </c>
      <c r="T1220">
        <v>1100</v>
      </c>
      <c r="U1220">
        <v>1</v>
      </c>
      <c r="V1220">
        <v>0</v>
      </c>
      <c r="W1220">
        <v>0</v>
      </c>
      <c r="X1220">
        <v>0.85</v>
      </c>
    </row>
    <row r="1221" spans="1:24" x14ac:dyDescent="0.3">
      <c r="A1221" t="s">
        <v>1885</v>
      </c>
      <c r="B1221" s="1">
        <v>46013</v>
      </c>
      <c r="C1221" t="s">
        <v>25</v>
      </c>
      <c r="D1221" t="s">
        <v>39</v>
      </c>
      <c r="E1221" t="s">
        <v>40</v>
      </c>
      <c r="F1221" t="s">
        <v>41</v>
      </c>
      <c r="G1221" t="s">
        <v>42</v>
      </c>
      <c r="H1221" t="s">
        <v>89</v>
      </c>
      <c r="I1221" t="s">
        <v>1886</v>
      </c>
      <c r="J1221" t="s">
        <v>53</v>
      </c>
      <c r="K1221" t="s">
        <v>85</v>
      </c>
      <c r="L1221" t="s">
        <v>78</v>
      </c>
      <c r="M1221" t="s">
        <v>35</v>
      </c>
      <c r="N1221" t="s">
        <v>36</v>
      </c>
      <c r="O1221">
        <v>60</v>
      </c>
      <c r="P1221">
        <v>60</v>
      </c>
      <c r="Q1221">
        <v>80.7</v>
      </c>
      <c r="R1221">
        <v>1500</v>
      </c>
      <c r="S1221">
        <v>1500</v>
      </c>
      <c r="T1221">
        <v>0</v>
      </c>
      <c r="U1221">
        <v>0</v>
      </c>
      <c r="V1221">
        <v>1</v>
      </c>
      <c r="W1221">
        <v>0</v>
      </c>
      <c r="X1221">
        <v>0.85</v>
      </c>
    </row>
    <row r="1222" spans="1:24" x14ac:dyDescent="0.3">
      <c r="A1222" t="s">
        <v>1887</v>
      </c>
      <c r="B1222" s="1">
        <v>45894</v>
      </c>
      <c r="C1222" t="s">
        <v>110</v>
      </c>
      <c r="D1222" t="s">
        <v>39</v>
      </c>
      <c r="E1222" t="s">
        <v>27</v>
      </c>
      <c r="F1222" t="s">
        <v>41</v>
      </c>
      <c r="G1222" t="s">
        <v>42</v>
      </c>
      <c r="H1222" t="s">
        <v>51</v>
      </c>
      <c r="I1222" t="s">
        <v>220</v>
      </c>
      <c r="J1222" t="s">
        <v>62</v>
      </c>
      <c r="K1222" t="s">
        <v>46</v>
      </c>
      <c r="L1222" t="s">
        <v>34</v>
      </c>
      <c r="M1222" t="s">
        <v>47</v>
      </c>
      <c r="N1222" t="s">
        <v>36</v>
      </c>
      <c r="O1222">
        <v>75</v>
      </c>
      <c r="P1222">
        <v>75</v>
      </c>
      <c r="Q1222">
        <v>85.6</v>
      </c>
      <c r="R1222">
        <v>1700</v>
      </c>
      <c r="S1222">
        <v>1700</v>
      </c>
      <c r="T1222">
        <v>0</v>
      </c>
      <c r="U1222">
        <v>0</v>
      </c>
      <c r="V1222">
        <v>1</v>
      </c>
      <c r="W1222">
        <v>0</v>
      </c>
      <c r="X1222">
        <v>0.85</v>
      </c>
    </row>
    <row r="1223" spans="1:24" x14ac:dyDescent="0.3">
      <c r="A1223" t="s">
        <v>1888</v>
      </c>
      <c r="B1223" s="1">
        <v>45836</v>
      </c>
      <c r="C1223" t="s">
        <v>67</v>
      </c>
      <c r="D1223" t="s">
        <v>88</v>
      </c>
      <c r="E1223" t="s">
        <v>68</v>
      </c>
      <c r="F1223" t="s">
        <v>28</v>
      </c>
      <c r="G1223" t="s">
        <v>29</v>
      </c>
      <c r="H1223" t="s">
        <v>102</v>
      </c>
      <c r="I1223" t="s">
        <v>1332</v>
      </c>
      <c r="J1223" t="s">
        <v>62</v>
      </c>
      <c r="K1223" t="s">
        <v>85</v>
      </c>
      <c r="L1223" t="s">
        <v>34</v>
      </c>
      <c r="M1223" t="s">
        <v>35</v>
      </c>
      <c r="N1223" t="s">
        <v>36</v>
      </c>
      <c r="O1223">
        <v>45</v>
      </c>
      <c r="P1223">
        <v>45</v>
      </c>
      <c r="Q1223">
        <v>50.2</v>
      </c>
      <c r="R1223">
        <v>950</v>
      </c>
      <c r="S1223">
        <v>950</v>
      </c>
      <c r="T1223">
        <v>0</v>
      </c>
      <c r="U1223">
        <v>0</v>
      </c>
      <c r="V1223">
        <v>1</v>
      </c>
      <c r="W1223">
        <v>0</v>
      </c>
      <c r="X1223">
        <v>0.85</v>
      </c>
    </row>
    <row r="1224" spans="1:24" x14ac:dyDescent="0.3">
      <c r="A1224" t="s">
        <v>1889</v>
      </c>
      <c r="B1224" s="1">
        <v>45684</v>
      </c>
      <c r="C1224" t="s">
        <v>130</v>
      </c>
      <c r="D1224" t="s">
        <v>39</v>
      </c>
      <c r="E1224" t="s">
        <v>27</v>
      </c>
      <c r="F1224" t="s">
        <v>58</v>
      </c>
      <c r="G1224" t="s">
        <v>59</v>
      </c>
      <c r="H1224" t="s">
        <v>60</v>
      </c>
      <c r="I1224" t="s">
        <v>215</v>
      </c>
      <c r="J1224" t="s">
        <v>53</v>
      </c>
      <c r="K1224" t="s">
        <v>85</v>
      </c>
      <c r="L1224" t="s">
        <v>34</v>
      </c>
      <c r="M1224" t="s">
        <v>94</v>
      </c>
      <c r="N1224" t="s">
        <v>36</v>
      </c>
      <c r="O1224">
        <v>45</v>
      </c>
      <c r="P1224">
        <v>45</v>
      </c>
      <c r="Q1224">
        <v>49.9</v>
      </c>
      <c r="R1224">
        <v>1350</v>
      </c>
      <c r="S1224">
        <v>1350</v>
      </c>
      <c r="T1224">
        <v>0</v>
      </c>
      <c r="U1224">
        <v>0</v>
      </c>
      <c r="V1224">
        <v>1</v>
      </c>
      <c r="W1224">
        <v>0</v>
      </c>
      <c r="X1224">
        <v>0.85</v>
      </c>
    </row>
    <row r="1225" spans="1:24" x14ac:dyDescent="0.3">
      <c r="A1225" t="s">
        <v>1890</v>
      </c>
      <c r="B1225" s="1">
        <v>45994</v>
      </c>
      <c r="C1225" t="s">
        <v>25</v>
      </c>
      <c r="D1225" t="s">
        <v>57</v>
      </c>
      <c r="E1225" t="s">
        <v>68</v>
      </c>
      <c r="F1225" t="s">
        <v>28</v>
      </c>
      <c r="G1225" t="s">
        <v>29</v>
      </c>
      <c r="H1225" t="s">
        <v>30</v>
      </c>
      <c r="I1225" t="s">
        <v>1332</v>
      </c>
      <c r="J1225" t="s">
        <v>62</v>
      </c>
      <c r="K1225" t="s">
        <v>33</v>
      </c>
      <c r="L1225" t="s">
        <v>78</v>
      </c>
      <c r="M1225" t="s">
        <v>86</v>
      </c>
      <c r="N1225" t="s">
        <v>95</v>
      </c>
      <c r="O1225">
        <v>45</v>
      </c>
      <c r="P1225">
        <v>0</v>
      </c>
      <c r="Q1225">
        <v>52.7</v>
      </c>
      <c r="R1225">
        <v>850</v>
      </c>
      <c r="S1225">
        <v>0</v>
      </c>
      <c r="T1225">
        <v>850</v>
      </c>
      <c r="U1225">
        <v>1</v>
      </c>
      <c r="V1225">
        <v>0</v>
      </c>
      <c r="W1225">
        <v>0</v>
      </c>
      <c r="X1225">
        <v>0.85</v>
      </c>
    </row>
    <row r="1226" spans="1:24" x14ac:dyDescent="0.3">
      <c r="A1226" t="s">
        <v>1891</v>
      </c>
      <c r="B1226" s="1">
        <v>45677</v>
      </c>
      <c r="C1226" t="s">
        <v>130</v>
      </c>
      <c r="D1226" t="s">
        <v>39</v>
      </c>
      <c r="E1226" t="s">
        <v>40</v>
      </c>
      <c r="F1226" t="s">
        <v>41</v>
      </c>
      <c r="G1226" t="s">
        <v>42</v>
      </c>
      <c r="H1226" t="s">
        <v>43</v>
      </c>
      <c r="I1226" t="s">
        <v>1811</v>
      </c>
      <c r="J1226" t="s">
        <v>62</v>
      </c>
      <c r="K1226" t="s">
        <v>33</v>
      </c>
      <c r="L1226" t="s">
        <v>34</v>
      </c>
      <c r="M1226" t="s">
        <v>71</v>
      </c>
      <c r="N1226" t="s">
        <v>95</v>
      </c>
      <c r="O1226">
        <v>60</v>
      </c>
      <c r="P1226">
        <v>0</v>
      </c>
      <c r="Q1226">
        <v>70.2</v>
      </c>
      <c r="R1226">
        <v>1350</v>
      </c>
      <c r="S1226">
        <v>0</v>
      </c>
      <c r="T1226">
        <v>1350</v>
      </c>
      <c r="U1226">
        <v>1</v>
      </c>
      <c r="V1226">
        <v>0</v>
      </c>
      <c r="W1226">
        <v>0</v>
      </c>
      <c r="X1226">
        <v>0.85</v>
      </c>
    </row>
    <row r="1227" spans="1:24" x14ac:dyDescent="0.3">
      <c r="A1227" t="s">
        <v>1892</v>
      </c>
      <c r="B1227" s="1">
        <v>46022</v>
      </c>
      <c r="C1227" t="s">
        <v>25</v>
      </c>
      <c r="D1227" t="s">
        <v>57</v>
      </c>
      <c r="E1227" t="s">
        <v>83</v>
      </c>
      <c r="F1227" t="s">
        <v>41</v>
      </c>
      <c r="G1227" t="s">
        <v>42</v>
      </c>
      <c r="H1227" t="s">
        <v>111</v>
      </c>
      <c r="I1227" t="s">
        <v>600</v>
      </c>
      <c r="J1227" t="s">
        <v>53</v>
      </c>
      <c r="K1227" t="s">
        <v>33</v>
      </c>
      <c r="L1227" t="s">
        <v>34</v>
      </c>
      <c r="M1227" t="s">
        <v>86</v>
      </c>
      <c r="N1227" t="s">
        <v>36</v>
      </c>
      <c r="O1227">
        <v>45</v>
      </c>
      <c r="P1227">
        <v>45</v>
      </c>
      <c r="Q1227">
        <v>58.1</v>
      </c>
      <c r="R1227">
        <v>1200</v>
      </c>
      <c r="S1227">
        <v>1200</v>
      </c>
      <c r="T1227">
        <v>0</v>
      </c>
      <c r="U1227">
        <v>0</v>
      </c>
      <c r="V1227">
        <v>1</v>
      </c>
      <c r="W1227">
        <v>0</v>
      </c>
      <c r="X1227">
        <v>0.85</v>
      </c>
    </row>
    <row r="1228" spans="1:24" x14ac:dyDescent="0.3">
      <c r="A1228" t="s">
        <v>1893</v>
      </c>
      <c r="B1228" s="1">
        <v>46016</v>
      </c>
      <c r="C1228" t="s">
        <v>25</v>
      </c>
      <c r="D1228" t="s">
        <v>50</v>
      </c>
      <c r="E1228" t="s">
        <v>40</v>
      </c>
      <c r="F1228" t="s">
        <v>41</v>
      </c>
      <c r="G1228" t="s">
        <v>42</v>
      </c>
      <c r="H1228" t="s">
        <v>51</v>
      </c>
      <c r="I1228" t="s">
        <v>1223</v>
      </c>
      <c r="J1228" t="s">
        <v>45</v>
      </c>
      <c r="K1228" t="s">
        <v>33</v>
      </c>
      <c r="L1228" t="s">
        <v>34</v>
      </c>
      <c r="M1228" t="s">
        <v>47</v>
      </c>
      <c r="N1228" t="s">
        <v>36</v>
      </c>
      <c r="O1228">
        <v>60</v>
      </c>
      <c r="P1228">
        <v>60</v>
      </c>
      <c r="Q1228">
        <v>67.5</v>
      </c>
      <c r="R1228">
        <v>1550</v>
      </c>
      <c r="S1228">
        <v>1550</v>
      </c>
      <c r="T1228">
        <v>0</v>
      </c>
      <c r="U1228">
        <v>0</v>
      </c>
      <c r="V1228">
        <v>1</v>
      </c>
      <c r="W1228">
        <v>0</v>
      </c>
      <c r="X1228">
        <v>0.85</v>
      </c>
    </row>
    <row r="1229" spans="1:24" x14ac:dyDescent="0.3">
      <c r="A1229" t="s">
        <v>1894</v>
      </c>
      <c r="B1229" s="1">
        <v>45916</v>
      </c>
      <c r="C1229" t="s">
        <v>49</v>
      </c>
      <c r="D1229" t="s">
        <v>26</v>
      </c>
      <c r="E1229" t="s">
        <v>68</v>
      </c>
      <c r="F1229" t="s">
        <v>41</v>
      </c>
      <c r="G1229" t="s">
        <v>42</v>
      </c>
      <c r="H1229" t="s">
        <v>43</v>
      </c>
      <c r="I1229" t="s">
        <v>1746</v>
      </c>
      <c r="J1229" t="s">
        <v>62</v>
      </c>
      <c r="K1229" t="s">
        <v>85</v>
      </c>
      <c r="L1229" t="s">
        <v>64</v>
      </c>
      <c r="M1229" t="s">
        <v>65</v>
      </c>
      <c r="N1229" t="s">
        <v>36</v>
      </c>
      <c r="O1229">
        <v>90</v>
      </c>
      <c r="P1229">
        <v>90</v>
      </c>
      <c r="Q1229">
        <v>103</v>
      </c>
      <c r="R1229">
        <v>2000</v>
      </c>
      <c r="S1229">
        <v>2000</v>
      </c>
      <c r="T1229">
        <v>0</v>
      </c>
      <c r="U1229">
        <v>0</v>
      </c>
      <c r="V1229">
        <v>1</v>
      </c>
      <c r="W1229">
        <v>0</v>
      </c>
      <c r="X1229">
        <v>0.85</v>
      </c>
    </row>
    <row r="1230" spans="1:24" x14ac:dyDescent="0.3">
      <c r="A1230" t="s">
        <v>1895</v>
      </c>
      <c r="B1230" s="1">
        <v>45813</v>
      </c>
      <c r="C1230" t="s">
        <v>67</v>
      </c>
      <c r="D1230" t="s">
        <v>50</v>
      </c>
      <c r="E1230" t="s">
        <v>27</v>
      </c>
      <c r="F1230" t="s">
        <v>58</v>
      </c>
      <c r="G1230" t="s">
        <v>59</v>
      </c>
      <c r="H1230" t="s">
        <v>117</v>
      </c>
      <c r="I1230" t="s">
        <v>80</v>
      </c>
      <c r="J1230" t="s">
        <v>45</v>
      </c>
      <c r="K1230" t="s">
        <v>63</v>
      </c>
      <c r="L1230" t="s">
        <v>54</v>
      </c>
      <c r="M1230" t="s">
        <v>35</v>
      </c>
      <c r="N1230" t="s">
        <v>36</v>
      </c>
      <c r="O1230">
        <v>30</v>
      </c>
      <c r="P1230">
        <v>30</v>
      </c>
      <c r="Q1230">
        <v>34.1</v>
      </c>
      <c r="R1230">
        <v>750</v>
      </c>
      <c r="S1230">
        <v>750</v>
      </c>
      <c r="T1230">
        <v>0</v>
      </c>
      <c r="U1230">
        <v>0</v>
      </c>
      <c r="V1230">
        <v>1</v>
      </c>
      <c r="W1230">
        <v>0</v>
      </c>
      <c r="X1230">
        <v>0.85</v>
      </c>
    </row>
    <row r="1231" spans="1:24" x14ac:dyDescent="0.3">
      <c r="A1231" t="s">
        <v>1896</v>
      </c>
      <c r="B1231" s="1">
        <v>45934</v>
      </c>
      <c r="C1231" t="s">
        <v>97</v>
      </c>
      <c r="D1231" t="s">
        <v>88</v>
      </c>
      <c r="E1231" t="s">
        <v>40</v>
      </c>
      <c r="F1231" t="s">
        <v>58</v>
      </c>
      <c r="G1231" t="s">
        <v>59</v>
      </c>
      <c r="H1231" t="s">
        <v>151</v>
      </c>
      <c r="I1231" t="s">
        <v>1118</v>
      </c>
      <c r="J1231" t="s">
        <v>99</v>
      </c>
      <c r="K1231" t="s">
        <v>85</v>
      </c>
      <c r="L1231" t="s">
        <v>78</v>
      </c>
      <c r="M1231" t="s">
        <v>94</v>
      </c>
      <c r="N1231" t="s">
        <v>153</v>
      </c>
      <c r="O1231">
        <v>45</v>
      </c>
      <c r="P1231">
        <v>0</v>
      </c>
      <c r="Q1231">
        <v>54.6</v>
      </c>
      <c r="R1231">
        <v>1050</v>
      </c>
      <c r="S1231">
        <v>0</v>
      </c>
      <c r="T1231">
        <v>0</v>
      </c>
      <c r="U1231">
        <v>0</v>
      </c>
      <c r="V1231">
        <v>0</v>
      </c>
      <c r="W1231">
        <v>0</v>
      </c>
      <c r="X1231">
        <v>0.85</v>
      </c>
    </row>
    <row r="1232" spans="1:24" x14ac:dyDescent="0.3">
      <c r="A1232" t="s">
        <v>1897</v>
      </c>
      <c r="B1232" s="1">
        <v>45946</v>
      </c>
      <c r="C1232" t="s">
        <v>97</v>
      </c>
      <c r="D1232" t="s">
        <v>50</v>
      </c>
      <c r="E1232" t="s">
        <v>83</v>
      </c>
      <c r="F1232" t="s">
        <v>58</v>
      </c>
      <c r="G1232" t="s">
        <v>59</v>
      </c>
      <c r="H1232" t="s">
        <v>296</v>
      </c>
      <c r="I1232" t="s">
        <v>1196</v>
      </c>
      <c r="J1232" t="s">
        <v>62</v>
      </c>
      <c r="K1232" t="s">
        <v>63</v>
      </c>
      <c r="L1232" t="s">
        <v>34</v>
      </c>
      <c r="M1232" t="s">
        <v>71</v>
      </c>
      <c r="N1232" t="s">
        <v>153</v>
      </c>
      <c r="O1232">
        <v>30</v>
      </c>
      <c r="P1232">
        <v>0</v>
      </c>
      <c r="Q1232">
        <v>33</v>
      </c>
      <c r="R1232">
        <v>750</v>
      </c>
      <c r="S1232">
        <v>0</v>
      </c>
      <c r="T1232">
        <v>0</v>
      </c>
      <c r="U1232">
        <v>0</v>
      </c>
      <c r="V1232">
        <v>0</v>
      </c>
      <c r="W1232">
        <v>0</v>
      </c>
      <c r="X1232">
        <v>0.85</v>
      </c>
    </row>
    <row r="1233" spans="1:24" x14ac:dyDescent="0.3">
      <c r="A1233" t="s">
        <v>1898</v>
      </c>
      <c r="B1233" s="1">
        <v>45764</v>
      </c>
      <c r="C1233" t="s">
        <v>92</v>
      </c>
      <c r="D1233" t="s">
        <v>50</v>
      </c>
      <c r="E1233" t="s">
        <v>68</v>
      </c>
      <c r="F1233" t="s">
        <v>58</v>
      </c>
      <c r="G1233" t="s">
        <v>59</v>
      </c>
      <c r="H1233" t="s">
        <v>151</v>
      </c>
      <c r="I1233" t="s">
        <v>1899</v>
      </c>
      <c r="J1233" t="s">
        <v>53</v>
      </c>
      <c r="K1233" t="s">
        <v>33</v>
      </c>
      <c r="L1233" t="s">
        <v>34</v>
      </c>
      <c r="M1233" t="s">
        <v>35</v>
      </c>
      <c r="N1233" t="s">
        <v>153</v>
      </c>
      <c r="O1233">
        <v>45</v>
      </c>
      <c r="P1233">
        <v>0</v>
      </c>
      <c r="Q1233">
        <v>60.6</v>
      </c>
      <c r="R1233">
        <v>1350</v>
      </c>
      <c r="S1233">
        <v>0</v>
      </c>
      <c r="T1233">
        <v>0</v>
      </c>
      <c r="U1233">
        <v>0</v>
      </c>
      <c r="V1233">
        <v>0</v>
      </c>
      <c r="W1233">
        <v>0</v>
      </c>
      <c r="X1233">
        <v>0.85</v>
      </c>
    </row>
    <row r="1234" spans="1:24" x14ac:dyDescent="0.3">
      <c r="A1234" t="s">
        <v>1900</v>
      </c>
      <c r="B1234" s="1">
        <v>45836</v>
      </c>
      <c r="C1234" t="s">
        <v>67</v>
      </c>
      <c r="D1234" t="s">
        <v>88</v>
      </c>
      <c r="E1234" t="s">
        <v>68</v>
      </c>
      <c r="F1234" t="s">
        <v>58</v>
      </c>
      <c r="G1234" t="s">
        <v>59</v>
      </c>
      <c r="H1234" t="s">
        <v>60</v>
      </c>
      <c r="I1234" t="s">
        <v>279</v>
      </c>
      <c r="J1234" t="s">
        <v>53</v>
      </c>
      <c r="K1234" t="s">
        <v>85</v>
      </c>
      <c r="L1234" t="s">
        <v>64</v>
      </c>
      <c r="M1234" t="s">
        <v>35</v>
      </c>
      <c r="N1234" t="s">
        <v>36</v>
      </c>
      <c r="O1234">
        <v>45</v>
      </c>
      <c r="P1234">
        <v>45</v>
      </c>
      <c r="Q1234">
        <v>60.7</v>
      </c>
      <c r="R1234">
        <v>1350</v>
      </c>
      <c r="S1234">
        <v>1350</v>
      </c>
      <c r="T1234">
        <v>0</v>
      </c>
      <c r="U1234">
        <v>0</v>
      </c>
      <c r="V1234">
        <v>1</v>
      </c>
      <c r="W1234">
        <v>0</v>
      </c>
      <c r="X1234">
        <v>0.85</v>
      </c>
    </row>
    <row r="1235" spans="1:24" x14ac:dyDescent="0.3">
      <c r="A1235" t="s">
        <v>1901</v>
      </c>
      <c r="B1235" s="1">
        <v>45831</v>
      </c>
      <c r="C1235" t="s">
        <v>67</v>
      </c>
      <c r="D1235" t="s">
        <v>39</v>
      </c>
      <c r="E1235" t="s">
        <v>68</v>
      </c>
      <c r="F1235" t="s">
        <v>58</v>
      </c>
      <c r="G1235" t="s">
        <v>59</v>
      </c>
      <c r="H1235" t="s">
        <v>117</v>
      </c>
      <c r="I1235" t="s">
        <v>393</v>
      </c>
      <c r="J1235" t="s">
        <v>62</v>
      </c>
      <c r="K1235" t="s">
        <v>63</v>
      </c>
      <c r="L1235" t="s">
        <v>34</v>
      </c>
      <c r="M1235" t="s">
        <v>47</v>
      </c>
      <c r="N1235" t="s">
        <v>36</v>
      </c>
      <c r="O1235">
        <v>60</v>
      </c>
      <c r="P1235">
        <v>60</v>
      </c>
      <c r="Q1235">
        <v>75.8</v>
      </c>
      <c r="R1235">
        <v>1500</v>
      </c>
      <c r="S1235">
        <v>1500</v>
      </c>
      <c r="T1235">
        <v>0</v>
      </c>
      <c r="U1235">
        <v>0</v>
      </c>
      <c r="V1235">
        <v>1</v>
      </c>
      <c r="W1235">
        <v>0</v>
      </c>
      <c r="X1235">
        <v>0.85</v>
      </c>
    </row>
    <row r="1236" spans="1:24" x14ac:dyDescent="0.3">
      <c r="A1236" t="s">
        <v>1902</v>
      </c>
      <c r="B1236" s="1">
        <v>45702</v>
      </c>
      <c r="C1236" t="s">
        <v>76</v>
      </c>
      <c r="D1236" t="s">
        <v>82</v>
      </c>
      <c r="E1236" t="s">
        <v>83</v>
      </c>
      <c r="F1236" t="s">
        <v>41</v>
      </c>
      <c r="G1236" t="s">
        <v>42</v>
      </c>
      <c r="H1236" t="s">
        <v>125</v>
      </c>
      <c r="I1236" t="s">
        <v>663</v>
      </c>
      <c r="J1236" t="s">
        <v>32</v>
      </c>
      <c r="K1236" t="s">
        <v>63</v>
      </c>
      <c r="L1236" t="s">
        <v>34</v>
      </c>
      <c r="M1236" t="s">
        <v>35</v>
      </c>
      <c r="N1236" t="s">
        <v>36</v>
      </c>
      <c r="O1236">
        <v>60</v>
      </c>
      <c r="P1236">
        <v>60</v>
      </c>
      <c r="Q1236">
        <v>70.900000000000006</v>
      </c>
      <c r="R1236">
        <v>1350</v>
      </c>
      <c r="S1236">
        <v>1350</v>
      </c>
      <c r="T1236">
        <v>0</v>
      </c>
      <c r="U1236">
        <v>0</v>
      </c>
      <c r="V1236">
        <v>1</v>
      </c>
      <c r="W1236">
        <v>0</v>
      </c>
      <c r="X1236">
        <v>0.85</v>
      </c>
    </row>
    <row r="1237" spans="1:24" x14ac:dyDescent="0.3">
      <c r="A1237" t="s">
        <v>1903</v>
      </c>
      <c r="B1237" s="1">
        <v>45990</v>
      </c>
      <c r="C1237" t="s">
        <v>38</v>
      </c>
      <c r="D1237" t="s">
        <v>88</v>
      </c>
      <c r="E1237" t="s">
        <v>83</v>
      </c>
      <c r="F1237" t="s">
        <v>58</v>
      </c>
      <c r="G1237" t="s">
        <v>59</v>
      </c>
      <c r="H1237" t="s">
        <v>151</v>
      </c>
      <c r="I1237" t="s">
        <v>143</v>
      </c>
      <c r="J1237" t="s">
        <v>53</v>
      </c>
      <c r="K1237" t="s">
        <v>70</v>
      </c>
      <c r="L1237" t="s">
        <v>54</v>
      </c>
      <c r="M1237" t="s">
        <v>71</v>
      </c>
      <c r="N1237" t="s">
        <v>153</v>
      </c>
      <c r="O1237">
        <v>60</v>
      </c>
      <c r="P1237">
        <v>0</v>
      </c>
      <c r="Q1237">
        <v>67</v>
      </c>
      <c r="R1237">
        <v>1550</v>
      </c>
      <c r="S1237">
        <v>0</v>
      </c>
      <c r="T1237">
        <v>0</v>
      </c>
      <c r="U1237">
        <v>0</v>
      </c>
      <c r="V1237">
        <v>0</v>
      </c>
      <c r="W1237">
        <v>0</v>
      </c>
      <c r="X1237">
        <v>0.85</v>
      </c>
    </row>
    <row r="1238" spans="1:24" x14ac:dyDescent="0.3">
      <c r="A1238" t="s">
        <v>1904</v>
      </c>
      <c r="B1238" s="1">
        <v>45908</v>
      </c>
      <c r="C1238" t="s">
        <v>49</v>
      </c>
      <c r="D1238" t="s">
        <v>39</v>
      </c>
      <c r="E1238" t="s">
        <v>83</v>
      </c>
      <c r="F1238" t="s">
        <v>41</v>
      </c>
      <c r="G1238" t="s">
        <v>42</v>
      </c>
      <c r="H1238" t="s">
        <v>125</v>
      </c>
      <c r="I1238" t="s">
        <v>867</v>
      </c>
      <c r="J1238" t="s">
        <v>99</v>
      </c>
      <c r="K1238" t="s">
        <v>70</v>
      </c>
      <c r="L1238" t="s">
        <v>64</v>
      </c>
      <c r="M1238" t="s">
        <v>47</v>
      </c>
      <c r="N1238" t="s">
        <v>36</v>
      </c>
      <c r="O1238">
        <v>60</v>
      </c>
      <c r="P1238">
        <v>60</v>
      </c>
      <c r="Q1238">
        <v>70.3</v>
      </c>
      <c r="R1238">
        <v>1350</v>
      </c>
      <c r="S1238">
        <v>1350</v>
      </c>
      <c r="T1238">
        <v>0</v>
      </c>
      <c r="U1238">
        <v>0</v>
      </c>
      <c r="V1238">
        <v>1</v>
      </c>
      <c r="W1238">
        <v>0</v>
      </c>
      <c r="X1238">
        <v>0.85</v>
      </c>
    </row>
    <row r="1239" spans="1:24" x14ac:dyDescent="0.3">
      <c r="A1239" t="s">
        <v>1905</v>
      </c>
      <c r="B1239" s="1">
        <v>45709</v>
      </c>
      <c r="C1239" t="s">
        <v>76</v>
      </c>
      <c r="D1239" t="s">
        <v>82</v>
      </c>
      <c r="E1239" t="s">
        <v>27</v>
      </c>
      <c r="F1239" t="s">
        <v>58</v>
      </c>
      <c r="G1239" t="s">
        <v>59</v>
      </c>
      <c r="H1239" t="s">
        <v>296</v>
      </c>
      <c r="I1239" t="s">
        <v>1906</v>
      </c>
      <c r="J1239" t="s">
        <v>62</v>
      </c>
      <c r="K1239" t="s">
        <v>85</v>
      </c>
      <c r="L1239" t="s">
        <v>54</v>
      </c>
      <c r="M1239" t="s">
        <v>86</v>
      </c>
      <c r="N1239" t="s">
        <v>36</v>
      </c>
      <c r="O1239">
        <v>75</v>
      </c>
      <c r="P1239">
        <v>75</v>
      </c>
      <c r="Q1239">
        <v>99.5</v>
      </c>
      <c r="R1239">
        <v>1600</v>
      </c>
      <c r="S1239">
        <v>1600</v>
      </c>
      <c r="T1239">
        <v>0</v>
      </c>
      <c r="U1239">
        <v>0</v>
      </c>
      <c r="V1239">
        <v>1</v>
      </c>
      <c r="W1239">
        <v>0</v>
      </c>
      <c r="X1239">
        <v>0.85</v>
      </c>
    </row>
    <row r="1240" spans="1:24" x14ac:dyDescent="0.3">
      <c r="A1240" t="s">
        <v>1907</v>
      </c>
      <c r="B1240" s="1">
        <v>45663</v>
      </c>
      <c r="C1240" t="s">
        <v>130</v>
      </c>
      <c r="D1240" t="s">
        <v>39</v>
      </c>
      <c r="E1240" t="s">
        <v>40</v>
      </c>
      <c r="F1240" t="s">
        <v>58</v>
      </c>
      <c r="G1240" t="s">
        <v>59</v>
      </c>
      <c r="H1240" t="s">
        <v>296</v>
      </c>
      <c r="I1240" t="s">
        <v>473</v>
      </c>
      <c r="J1240" t="s">
        <v>32</v>
      </c>
      <c r="K1240" t="s">
        <v>63</v>
      </c>
      <c r="L1240" t="s">
        <v>34</v>
      </c>
      <c r="M1240" t="s">
        <v>71</v>
      </c>
      <c r="N1240" t="s">
        <v>95</v>
      </c>
      <c r="O1240">
        <v>90</v>
      </c>
      <c r="P1240">
        <v>0</v>
      </c>
      <c r="Q1240">
        <v>119.1</v>
      </c>
      <c r="R1240">
        <v>2250</v>
      </c>
      <c r="S1240">
        <v>0</v>
      </c>
      <c r="T1240">
        <v>2250</v>
      </c>
      <c r="U1240">
        <v>1</v>
      </c>
      <c r="V1240">
        <v>0</v>
      </c>
      <c r="W1240">
        <v>0</v>
      </c>
      <c r="X1240">
        <v>0.85</v>
      </c>
    </row>
    <row r="1241" spans="1:24" x14ac:dyDescent="0.3">
      <c r="A1241" t="s">
        <v>1908</v>
      </c>
      <c r="B1241" s="1">
        <v>46015</v>
      </c>
      <c r="C1241" t="s">
        <v>25</v>
      </c>
      <c r="D1241" t="s">
        <v>57</v>
      </c>
      <c r="E1241" t="s">
        <v>83</v>
      </c>
      <c r="F1241" t="s">
        <v>58</v>
      </c>
      <c r="G1241" t="s">
        <v>59</v>
      </c>
      <c r="H1241" t="s">
        <v>117</v>
      </c>
      <c r="I1241" t="s">
        <v>941</v>
      </c>
      <c r="J1241" t="s">
        <v>53</v>
      </c>
      <c r="K1241" t="s">
        <v>33</v>
      </c>
      <c r="L1241" t="s">
        <v>64</v>
      </c>
      <c r="M1241" t="s">
        <v>94</v>
      </c>
      <c r="N1241" t="s">
        <v>36</v>
      </c>
      <c r="O1241">
        <v>45</v>
      </c>
      <c r="P1241">
        <v>45</v>
      </c>
      <c r="Q1241">
        <v>58</v>
      </c>
      <c r="R1241">
        <v>1350</v>
      </c>
      <c r="S1241">
        <v>1350</v>
      </c>
      <c r="T1241">
        <v>0</v>
      </c>
      <c r="U1241">
        <v>0</v>
      </c>
      <c r="V1241">
        <v>1</v>
      </c>
      <c r="W1241">
        <v>0</v>
      </c>
      <c r="X1241">
        <v>0.85</v>
      </c>
    </row>
    <row r="1242" spans="1:24" x14ac:dyDescent="0.3">
      <c r="A1242" t="s">
        <v>1909</v>
      </c>
      <c r="B1242" s="1">
        <v>45905</v>
      </c>
      <c r="C1242" t="s">
        <v>49</v>
      </c>
      <c r="D1242" t="s">
        <v>82</v>
      </c>
      <c r="E1242" t="s">
        <v>83</v>
      </c>
      <c r="F1242" t="s">
        <v>41</v>
      </c>
      <c r="G1242" t="s">
        <v>42</v>
      </c>
      <c r="H1242" t="s">
        <v>51</v>
      </c>
      <c r="I1242" t="s">
        <v>1568</v>
      </c>
      <c r="J1242" t="s">
        <v>32</v>
      </c>
      <c r="K1242" t="s">
        <v>33</v>
      </c>
      <c r="L1242" t="s">
        <v>34</v>
      </c>
      <c r="M1242" t="s">
        <v>65</v>
      </c>
      <c r="N1242" t="s">
        <v>36</v>
      </c>
      <c r="O1242">
        <v>60</v>
      </c>
      <c r="P1242">
        <v>60</v>
      </c>
      <c r="Q1242">
        <v>67.3</v>
      </c>
      <c r="R1242">
        <v>1350</v>
      </c>
      <c r="S1242">
        <v>1350</v>
      </c>
      <c r="T1242">
        <v>0</v>
      </c>
      <c r="U1242">
        <v>0</v>
      </c>
      <c r="V1242">
        <v>1</v>
      </c>
      <c r="W1242">
        <v>0</v>
      </c>
      <c r="X1242">
        <v>0.85</v>
      </c>
    </row>
    <row r="1243" spans="1:24" x14ac:dyDescent="0.3">
      <c r="A1243" t="s">
        <v>1910</v>
      </c>
      <c r="B1243" s="1">
        <v>45684</v>
      </c>
      <c r="C1243" t="s">
        <v>130</v>
      </c>
      <c r="D1243" t="s">
        <v>39</v>
      </c>
      <c r="E1243" t="s">
        <v>68</v>
      </c>
      <c r="F1243" t="s">
        <v>58</v>
      </c>
      <c r="G1243" t="s">
        <v>59</v>
      </c>
      <c r="H1243" t="s">
        <v>73</v>
      </c>
      <c r="I1243" t="s">
        <v>564</v>
      </c>
      <c r="J1243" t="s">
        <v>53</v>
      </c>
      <c r="K1243" t="s">
        <v>85</v>
      </c>
      <c r="L1243" t="s">
        <v>34</v>
      </c>
      <c r="M1243" t="s">
        <v>35</v>
      </c>
      <c r="N1243" t="s">
        <v>36</v>
      </c>
      <c r="O1243">
        <v>30</v>
      </c>
      <c r="P1243">
        <v>30</v>
      </c>
      <c r="Q1243">
        <v>38.200000000000003</v>
      </c>
      <c r="R1243">
        <v>900</v>
      </c>
      <c r="S1243">
        <v>900</v>
      </c>
      <c r="T1243">
        <v>0</v>
      </c>
      <c r="U1243">
        <v>0</v>
      </c>
      <c r="V1243">
        <v>1</v>
      </c>
      <c r="W1243">
        <v>0</v>
      </c>
      <c r="X1243">
        <v>0.85</v>
      </c>
    </row>
    <row r="1244" spans="1:24" x14ac:dyDescent="0.3">
      <c r="A1244" t="s">
        <v>1911</v>
      </c>
      <c r="B1244" s="1">
        <v>45664</v>
      </c>
      <c r="C1244" t="s">
        <v>130</v>
      </c>
      <c r="D1244" t="s">
        <v>26</v>
      </c>
      <c r="E1244" t="s">
        <v>27</v>
      </c>
      <c r="F1244" t="s">
        <v>28</v>
      </c>
      <c r="G1244" t="s">
        <v>29</v>
      </c>
      <c r="H1244" t="s">
        <v>135</v>
      </c>
      <c r="I1244" t="s">
        <v>1487</v>
      </c>
      <c r="J1244" t="s">
        <v>62</v>
      </c>
      <c r="K1244" t="s">
        <v>85</v>
      </c>
      <c r="L1244" t="s">
        <v>64</v>
      </c>
      <c r="M1244" t="s">
        <v>71</v>
      </c>
      <c r="N1244" t="s">
        <v>95</v>
      </c>
      <c r="O1244">
        <v>60</v>
      </c>
      <c r="P1244">
        <v>0</v>
      </c>
      <c r="Q1244">
        <v>66.3</v>
      </c>
      <c r="R1244">
        <v>1250</v>
      </c>
      <c r="S1244">
        <v>0</v>
      </c>
      <c r="T1244">
        <v>1250</v>
      </c>
      <c r="U1244">
        <v>1</v>
      </c>
      <c r="V1244">
        <v>0</v>
      </c>
      <c r="W1244">
        <v>0</v>
      </c>
      <c r="X1244">
        <v>0.85</v>
      </c>
    </row>
    <row r="1245" spans="1:24" x14ac:dyDescent="0.3">
      <c r="A1245" t="s">
        <v>1912</v>
      </c>
      <c r="B1245" s="1">
        <v>45745</v>
      </c>
      <c r="C1245" t="s">
        <v>56</v>
      </c>
      <c r="D1245" t="s">
        <v>88</v>
      </c>
      <c r="E1245" t="s">
        <v>40</v>
      </c>
      <c r="F1245" t="s">
        <v>58</v>
      </c>
      <c r="G1245" t="s">
        <v>59</v>
      </c>
      <c r="H1245" t="s">
        <v>151</v>
      </c>
      <c r="I1245" t="s">
        <v>1219</v>
      </c>
      <c r="J1245" t="s">
        <v>62</v>
      </c>
      <c r="K1245" t="s">
        <v>70</v>
      </c>
      <c r="L1245" t="s">
        <v>64</v>
      </c>
      <c r="M1245" t="s">
        <v>65</v>
      </c>
      <c r="N1245" t="s">
        <v>36</v>
      </c>
      <c r="O1245">
        <v>30</v>
      </c>
      <c r="P1245">
        <v>30</v>
      </c>
      <c r="Q1245">
        <v>37.1</v>
      </c>
      <c r="R1245">
        <v>750</v>
      </c>
      <c r="S1245">
        <v>750</v>
      </c>
      <c r="T1245">
        <v>0</v>
      </c>
      <c r="U1245">
        <v>0</v>
      </c>
      <c r="V1245">
        <v>1</v>
      </c>
      <c r="W1245">
        <v>0</v>
      </c>
      <c r="X1245">
        <v>0.85</v>
      </c>
    </row>
    <row r="1246" spans="1:24" x14ac:dyDescent="0.3">
      <c r="A1246" t="s">
        <v>1913</v>
      </c>
      <c r="B1246" s="1">
        <v>45876</v>
      </c>
      <c r="C1246" t="s">
        <v>110</v>
      </c>
      <c r="D1246" t="s">
        <v>50</v>
      </c>
      <c r="E1246" t="s">
        <v>40</v>
      </c>
      <c r="F1246" t="s">
        <v>58</v>
      </c>
      <c r="G1246" t="s">
        <v>59</v>
      </c>
      <c r="H1246" t="s">
        <v>117</v>
      </c>
      <c r="I1246" t="s">
        <v>744</v>
      </c>
      <c r="J1246" t="s">
        <v>53</v>
      </c>
      <c r="K1246" t="s">
        <v>70</v>
      </c>
      <c r="L1246" t="s">
        <v>34</v>
      </c>
      <c r="M1246" t="s">
        <v>94</v>
      </c>
      <c r="N1246" t="s">
        <v>95</v>
      </c>
      <c r="O1246">
        <v>60</v>
      </c>
      <c r="P1246">
        <v>0</v>
      </c>
      <c r="Q1246">
        <v>71.8</v>
      </c>
      <c r="R1246">
        <v>1800</v>
      </c>
      <c r="S1246">
        <v>0</v>
      </c>
      <c r="T1246">
        <v>1800</v>
      </c>
      <c r="U1246">
        <v>1</v>
      </c>
      <c r="V1246">
        <v>0</v>
      </c>
      <c r="W1246">
        <v>0</v>
      </c>
      <c r="X1246">
        <v>0.85</v>
      </c>
    </row>
    <row r="1247" spans="1:24" x14ac:dyDescent="0.3">
      <c r="A1247" t="s">
        <v>1914</v>
      </c>
      <c r="B1247" s="1">
        <v>45842</v>
      </c>
      <c r="C1247" t="s">
        <v>101</v>
      </c>
      <c r="D1247" t="s">
        <v>82</v>
      </c>
      <c r="E1247" t="s">
        <v>68</v>
      </c>
      <c r="F1247" t="s">
        <v>41</v>
      </c>
      <c r="G1247" t="s">
        <v>42</v>
      </c>
      <c r="H1247" t="s">
        <v>51</v>
      </c>
      <c r="I1247" t="s">
        <v>1915</v>
      </c>
      <c r="J1247" t="s">
        <v>45</v>
      </c>
      <c r="K1247" t="s">
        <v>70</v>
      </c>
      <c r="L1247" t="s">
        <v>64</v>
      </c>
      <c r="M1247" t="s">
        <v>65</v>
      </c>
      <c r="N1247" t="s">
        <v>36</v>
      </c>
      <c r="O1247">
        <v>90</v>
      </c>
      <c r="P1247">
        <v>90</v>
      </c>
      <c r="Q1247">
        <v>98.5</v>
      </c>
      <c r="R1247">
        <v>2350</v>
      </c>
      <c r="S1247">
        <v>2350</v>
      </c>
      <c r="T1247">
        <v>0</v>
      </c>
      <c r="U1247">
        <v>0</v>
      </c>
      <c r="V1247">
        <v>1</v>
      </c>
      <c r="W1247">
        <v>0</v>
      </c>
      <c r="X1247">
        <v>0.85</v>
      </c>
    </row>
    <row r="1248" spans="1:24" x14ac:dyDescent="0.3">
      <c r="A1248" t="s">
        <v>1916</v>
      </c>
      <c r="B1248" s="1">
        <v>45866</v>
      </c>
      <c r="C1248" t="s">
        <v>101</v>
      </c>
      <c r="D1248" t="s">
        <v>39</v>
      </c>
      <c r="E1248" t="s">
        <v>83</v>
      </c>
      <c r="F1248" t="s">
        <v>58</v>
      </c>
      <c r="G1248" t="s">
        <v>59</v>
      </c>
      <c r="H1248" t="s">
        <v>60</v>
      </c>
      <c r="I1248" t="s">
        <v>318</v>
      </c>
      <c r="J1248" t="s">
        <v>62</v>
      </c>
      <c r="K1248" t="s">
        <v>63</v>
      </c>
      <c r="L1248" t="s">
        <v>54</v>
      </c>
      <c r="M1248" t="s">
        <v>71</v>
      </c>
      <c r="N1248" t="s">
        <v>36</v>
      </c>
      <c r="O1248">
        <v>30</v>
      </c>
      <c r="P1248">
        <v>30</v>
      </c>
      <c r="Q1248">
        <v>36.299999999999997</v>
      </c>
      <c r="R1248">
        <v>650</v>
      </c>
      <c r="S1248">
        <v>650</v>
      </c>
      <c r="T1248">
        <v>0</v>
      </c>
      <c r="U1248">
        <v>0</v>
      </c>
      <c r="V1248">
        <v>1</v>
      </c>
      <c r="W1248">
        <v>0</v>
      </c>
      <c r="X1248">
        <v>0.85</v>
      </c>
    </row>
    <row r="1249" spans="1:24" x14ac:dyDescent="0.3">
      <c r="A1249" t="s">
        <v>1917</v>
      </c>
      <c r="B1249" s="1">
        <v>45702</v>
      </c>
      <c r="C1249" t="s">
        <v>76</v>
      </c>
      <c r="D1249" t="s">
        <v>82</v>
      </c>
      <c r="E1249" t="s">
        <v>40</v>
      </c>
      <c r="F1249" t="s">
        <v>28</v>
      </c>
      <c r="G1249" t="s">
        <v>29</v>
      </c>
      <c r="H1249" t="s">
        <v>135</v>
      </c>
      <c r="I1249" t="s">
        <v>1411</v>
      </c>
      <c r="J1249" t="s">
        <v>53</v>
      </c>
      <c r="K1249" t="s">
        <v>104</v>
      </c>
      <c r="L1249" t="s">
        <v>34</v>
      </c>
      <c r="M1249" t="s">
        <v>94</v>
      </c>
      <c r="N1249" t="s">
        <v>36</v>
      </c>
      <c r="O1249">
        <v>90</v>
      </c>
      <c r="P1249">
        <v>90</v>
      </c>
      <c r="Q1249">
        <v>102.1</v>
      </c>
      <c r="R1249">
        <v>2250</v>
      </c>
      <c r="S1249">
        <v>2250</v>
      </c>
      <c r="T1249">
        <v>0</v>
      </c>
      <c r="U1249">
        <v>0</v>
      </c>
      <c r="V1249">
        <v>1</v>
      </c>
      <c r="W1249">
        <v>0</v>
      </c>
      <c r="X1249">
        <v>0.85</v>
      </c>
    </row>
    <row r="1250" spans="1:24" x14ac:dyDescent="0.3">
      <c r="A1250" t="s">
        <v>1918</v>
      </c>
      <c r="B1250" s="1">
        <v>45947</v>
      </c>
      <c r="C1250" t="s">
        <v>97</v>
      </c>
      <c r="D1250" t="s">
        <v>82</v>
      </c>
      <c r="E1250" t="s">
        <v>27</v>
      </c>
      <c r="F1250" t="s">
        <v>41</v>
      </c>
      <c r="G1250" t="s">
        <v>42</v>
      </c>
      <c r="H1250" t="s">
        <v>89</v>
      </c>
      <c r="I1250" t="s">
        <v>925</v>
      </c>
      <c r="J1250" t="s">
        <v>45</v>
      </c>
      <c r="K1250" t="s">
        <v>33</v>
      </c>
      <c r="L1250" t="s">
        <v>34</v>
      </c>
      <c r="M1250" t="s">
        <v>71</v>
      </c>
      <c r="N1250" t="s">
        <v>36</v>
      </c>
      <c r="O1250">
        <v>90</v>
      </c>
      <c r="P1250">
        <v>90</v>
      </c>
      <c r="Q1250">
        <v>109</v>
      </c>
      <c r="R1250">
        <v>2350</v>
      </c>
      <c r="S1250">
        <v>2350</v>
      </c>
      <c r="T1250">
        <v>0</v>
      </c>
      <c r="U1250">
        <v>0</v>
      </c>
      <c r="V1250">
        <v>1</v>
      </c>
      <c r="W1250">
        <v>0</v>
      </c>
      <c r="X1250">
        <v>0.85</v>
      </c>
    </row>
    <row r="1251" spans="1:24" x14ac:dyDescent="0.3">
      <c r="A1251" t="s">
        <v>1919</v>
      </c>
      <c r="B1251" s="1">
        <v>45741</v>
      </c>
      <c r="C1251" t="s">
        <v>56</v>
      </c>
      <c r="D1251" t="s">
        <v>26</v>
      </c>
      <c r="E1251" t="s">
        <v>40</v>
      </c>
      <c r="F1251" t="s">
        <v>58</v>
      </c>
      <c r="G1251" t="s">
        <v>59</v>
      </c>
      <c r="H1251" t="s">
        <v>117</v>
      </c>
      <c r="I1251" t="s">
        <v>1886</v>
      </c>
      <c r="J1251" t="s">
        <v>45</v>
      </c>
      <c r="K1251" t="s">
        <v>70</v>
      </c>
      <c r="L1251" t="s">
        <v>78</v>
      </c>
      <c r="M1251" t="s">
        <v>35</v>
      </c>
      <c r="N1251" t="s">
        <v>36</v>
      </c>
      <c r="O1251">
        <v>30</v>
      </c>
      <c r="P1251">
        <v>30</v>
      </c>
      <c r="Q1251">
        <v>33.700000000000003</v>
      </c>
      <c r="R1251">
        <v>800</v>
      </c>
      <c r="S1251">
        <v>800</v>
      </c>
      <c r="T1251">
        <v>0</v>
      </c>
      <c r="U1251">
        <v>0</v>
      </c>
      <c r="V1251">
        <v>1</v>
      </c>
      <c r="W1251">
        <v>0</v>
      </c>
      <c r="X1251">
        <v>0.85</v>
      </c>
    </row>
    <row r="1252" spans="1:24" x14ac:dyDescent="0.3">
      <c r="A1252" t="s">
        <v>1920</v>
      </c>
      <c r="B1252" s="1">
        <v>45784</v>
      </c>
      <c r="C1252" t="s">
        <v>128</v>
      </c>
      <c r="D1252" t="s">
        <v>57</v>
      </c>
      <c r="E1252" t="s">
        <v>27</v>
      </c>
      <c r="F1252" t="s">
        <v>28</v>
      </c>
      <c r="G1252" t="s">
        <v>29</v>
      </c>
      <c r="H1252" t="s">
        <v>135</v>
      </c>
      <c r="I1252" t="s">
        <v>243</v>
      </c>
      <c r="J1252" t="s">
        <v>45</v>
      </c>
      <c r="K1252" t="s">
        <v>33</v>
      </c>
      <c r="L1252" t="s">
        <v>34</v>
      </c>
      <c r="M1252" t="s">
        <v>65</v>
      </c>
      <c r="N1252" t="s">
        <v>36</v>
      </c>
      <c r="O1252">
        <v>30</v>
      </c>
      <c r="P1252">
        <v>30</v>
      </c>
      <c r="Q1252">
        <v>33.200000000000003</v>
      </c>
      <c r="R1252">
        <v>700</v>
      </c>
      <c r="S1252">
        <v>700</v>
      </c>
      <c r="T1252">
        <v>0</v>
      </c>
      <c r="U1252">
        <v>0</v>
      </c>
      <c r="V1252">
        <v>1</v>
      </c>
      <c r="W1252">
        <v>0</v>
      </c>
      <c r="X1252">
        <v>0.85</v>
      </c>
    </row>
    <row r="1253" spans="1:24" x14ac:dyDescent="0.3">
      <c r="A1253" t="s">
        <v>1921</v>
      </c>
      <c r="B1253" s="1">
        <v>45708</v>
      </c>
      <c r="C1253" t="s">
        <v>76</v>
      </c>
      <c r="D1253" t="s">
        <v>50</v>
      </c>
      <c r="E1253" t="s">
        <v>83</v>
      </c>
      <c r="F1253" t="s">
        <v>58</v>
      </c>
      <c r="G1253" t="s">
        <v>59</v>
      </c>
      <c r="H1253" t="s">
        <v>296</v>
      </c>
      <c r="I1253" t="s">
        <v>1922</v>
      </c>
      <c r="J1253" t="s">
        <v>45</v>
      </c>
      <c r="K1253" t="s">
        <v>63</v>
      </c>
      <c r="L1253" t="s">
        <v>34</v>
      </c>
      <c r="M1253" t="s">
        <v>65</v>
      </c>
      <c r="N1253" t="s">
        <v>36</v>
      </c>
      <c r="O1253">
        <v>30</v>
      </c>
      <c r="P1253">
        <v>30</v>
      </c>
      <c r="Q1253">
        <v>36.9</v>
      </c>
      <c r="R1253">
        <v>850</v>
      </c>
      <c r="S1253">
        <v>850</v>
      </c>
      <c r="T1253">
        <v>0</v>
      </c>
      <c r="U1253">
        <v>0</v>
      </c>
      <c r="V1253">
        <v>1</v>
      </c>
      <c r="W1253">
        <v>0</v>
      </c>
      <c r="X1253">
        <v>0.85</v>
      </c>
    </row>
    <row r="1254" spans="1:24" x14ac:dyDescent="0.3">
      <c r="A1254" t="s">
        <v>1923</v>
      </c>
      <c r="B1254" s="1">
        <v>45779</v>
      </c>
      <c r="C1254" t="s">
        <v>128</v>
      </c>
      <c r="D1254" t="s">
        <v>82</v>
      </c>
      <c r="E1254" t="s">
        <v>83</v>
      </c>
      <c r="F1254" t="s">
        <v>41</v>
      </c>
      <c r="G1254" t="s">
        <v>42</v>
      </c>
      <c r="H1254" t="s">
        <v>43</v>
      </c>
      <c r="I1254" t="s">
        <v>992</v>
      </c>
      <c r="J1254" t="s">
        <v>99</v>
      </c>
      <c r="K1254" t="s">
        <v>85</v>
      </c>
      <c r="L1254" t="s">
        <v>64</v>
      </c>
      <c r="M1254" t="s">
        <v>65</v>
      </c>
      <c r="N1254" t="s">
        <v>36</v>
      </c>
      <c r="O1254">
        <v>60</v>
      </c>
      <c r="P1254">
        <v>60</v>
      </c>
      <c r="Q1254">
        <v>71.599999999999994</v>
      </c>
      <c r="R1254">
        <v>1350</v>
      </c>
      <c r="S1254">
        <v>1350</v>
      </c>
      <c r="T1254">
        <v>0</v>
      </c>
      <c r="U1254">
        <v>0</v>
      </c>
      <c r="V1254">
        <v>1</v>
      </c>
      <c r="W1254">
        <v>0</v>
      </c>
      <c r="X1254">
        <v>0.85</v>
      </c>
    </row>
    <row r="1255" spans="1:24" x14ac:dyDescent="0.3">
      <c r="A1255" t="s">
        <v>1924</v>
      </c>
      <c r="B1255" s="1">
        <v>45894</v>
      </c>
      <c r="C1255" t="s">
        <v>110</v>
      </c>
      <c r="D1255" t="s">
        <v>39</v>
      </c>
      <c r="E1255" t="s">
        <v>83</v>
      </c>
      <c r="F1255" t="s">
        <v>41</v>
      </c>
      <c r="G1255" t="s">
        <v>42</v>
      </c>
      <c r="H1255" t="s">
        <v>111</v>
      </c>
      <c r="I1255" t="s">
        <v>801</v>
      </c>
      <c r="J1255" t="s">
        <v>62</v>
      </c>
      <c r="K1255" t="s">
        <v>70</v>
      </c>
      <c r="L1255" t="s">
        <v>64</v>
      </c>
      <c r="M1255" t="s">
        <v>65</v>
      </c>
      <c r="N1255" t="s">
        <v>95</v>
      </c>
      <c r="O1255">
        <v>60</v>
      </c>
      <c r="P1255">
        <v>0</v>
      </c>
      <c r="Q1255">
        <v>76.8</v>
      </c>
      <c r="R1255">
        <v>1350</v>
      </c>
      <c r="S1255">
        <v>0</v>
      </c>
      <c r="T1255">
        <v>1350</v>
      </c>
      <c r="U1255">
        <v>1</v>
      </c>
      <c r="V1255">
        <v>0</v>
      </c>
      <c r="W1255">
        <v>0</v>
      </c>
      <c r="X1255">
        <v>0.85</v>
      </c>
    </row>
    <row r="1256" spans="1:24" x14ac:dyDescent="0.3">
      <c r="A1256" t="s">
        <v>1925</v>
      </c>
      <c r="B1256" s="1">
        <v>45708</v>
      </c>
      <c r="C1256" t="s">
        <v>76</v>
      </c>
      <c r="D1256" t="s">
        <v>50</v>
      </c>
      <c r="E1256" t="s">
        <v>27</v>
      </c>
      <c r="F1256" t="s">
        <v>58</v>
      </c>
      <c r="G1256" t="s">
        <v>59</v>
      </c>
      <c r="H1256" t="s">
        <v>60</v>
      </c>
      <c r="I1256" t="s">
        <v>1926</v>
      </c>
      <c r="J1256" t="s">
        <v>99</v>
      </c>
      <c r="K1256" t="s">
        <v>46</v>
      </c>
      <c r="L1256" t="s">
        <v>54</v>
      </c>
      <c r="M1256" t="s">
        <v>94</v>
      </c>
      <c r="N1256" t="s">
        <v>153</v>
      </c>
      <c r="O1256">
        <v>60</v>
      </c>
      <c r="P1256">
        <v>0</v>
      </c>
      <c r="Q1256">
        <v>77.5</v>
      </c>
      <c r="R1256">
        <v>1300</v>
      </c>
      <c r="S1256">
        <v>0</v>
      </c>
      <c r="T1256">
        <v>0</v>
      </c>
      <c r="U1256">
        <v>0</v>
      </c>
      <c r="V1256">
        <v>0</v>
      </c>
      <c r="W1256">
        <v>0</v>
      </c>
      <c r="X1256">
        <v>0.85</v>
      </c>
    </row>
    <row r="1257" spans="1:24" x14ac:dyDescent="0.3">
      <c r="A1257" t="s">
        <v>1927</v>
      </c>
      <c r="B1257" s="1">
        <v>45881</v>
      </c>
      <c r="C1257" t="s">
        <v>110</v>
      </c>
      <c r="D1257" t="s">
        <v>26</v>
      </c>
      <c r="E1257" t="s">
        <v>68</v>
      </c>
      <c r="F1257" t="s">
        <v>58</v>
      </c>
      <c r="G1257" t="s">
        <v>59</v>
      </c>
      <c r="H1257" t="s">
        <v>60</v>
      </c>
      <c r="I1257" t="s">
        <v>885</v>
      </c>
      <c r="J1257" t="s">
        <v>62</v>
      </c>
      <c r="K1257" t="s">
        <v>63</v>
      </c>
      <c r="L1257" t="s">
        <v>34</v>
      </c>
      <c r="M1257" t="s">
        <v>71</v>
      </c>
      <c r="N1257" t="s">
        <v>36</v>
      </c>
      <c r="O1257">
        <v>60</v>
      </c>
      <c r="P1257">
        <v>60</v>
      </c>
      <c r="Q1257">
        <v>76.7</v>
      </c>
      <c r="R1257">
        <v>1500</v>
      </c>
      <c r="S1257">
        <v>1500</v>
      </c>
      <c r="T1257">
        <v>0</v>
      </c>
      <c r="U1257">
        <v>0</v>
      </c>
      <c r="V1257">
        <v>1</v>
      </c>
      <c r="W1257">
        <v>0</v>
      </c>
      <c r="X1257">
        <v>0.85</v>
      </c>
    </row>
    <row r="1258" spans="1:24" x14ac:dyDescent="0.3">
      <c r="A1258" t="s">
        <v>1928</v>
      </c>
      <c r="B1258" s="1">
        <v>45779</v>
      </c>
      <c r="C1258" t="s">
        <v>128</v>
      </c>
      <c r="D1258" t="s">
        <v>82</v>
      </c>
      <c r="E1258" t="s">
        <v>27</v>
      </c>
      <c r="F1258" t="s">
        <v>58</v>
      </c>
      <c r="G1258" t="s">
        <v>59</v>
      </c>
      <c r="H1258" t="s">
        <v>60</v>
      </c>
      <c r="I1258" t="s">
        <v>822</v>
      </c>
      <c r="J1258" t="s">
        <v>62</v>
      </c>
      <c r="K1258" t="s">
        <v>104</v>
      </c>
      <c r="L1258" t="s">
        <v>64</v>
      </c>
      <c r="M1258" t="s">
        <v>94</v>
      </c>
      <c r="N1258" t="s">
        <v>36</v>
      </c>
      <c r="O1258">
        <v>45</v>
      </c>
      <c r="P1258">
        <v>45</v>
      </c>
      <c r="Q1258">
        <v>51.3</v>
      </c>
      <c r="R1258">
        <v>1100</v>
      </c>
      <c r="S1258">
        <v>1100</v>
      </c>
      <c r="T1258">
        <v>0</v>
      </c>
      <c r="U1258">
        <v>0</v>
      </c>
      <c r="V1258">
        <v>1</v>
      </c>
      <c r="W1258">
        <v>0</v>
      </c>
      <c r="X1258">
        <v>0.85</v>
      </c>
    </row>
    <row r="1259" spans="1:24" x14ac:dyDescent="0.3">
      <c r="A1259" t="s">
        <v>1929</v>
      </c>
      <c r="B1259" s="1">
        <v>45758</v>
      </c>
      <c r="C1259" t="s">
        <v>92</v>
      </c>
      <c r="D1259" t="s">
        <v>82</v>
      </c>
      <c r="E1259" t="s">
        <v>68</v>
      </c>
      <c r="F1259" t="s">
        <v>58</v>
      </c>
      <c r="G1259" t="s">
        <v>59</v>
      </c>
      <c r="H1259" t="s">
        <v>60</v>
      </c>
      <c r="I1259" t="s">
        <v>1038</v>
      </c>
      <c r="J1259" t="s">
        <v>62</v>
      </c>
      <c r="K1259" t="s">
        <v>46</v>
      </c>
      <c r="L1259" t="s">
        <v>54</v>
      </c>
      <c r="M1259" t="s">
        <v>47</v>
      </c>
      <c r="N1259" t="s">
        <v>36</v>
      </c>
      <c r="O1259">
        <v>75</v>
      </c>
      <c r="P1259">
        <v>75</v>
      </c>
      <c r="Q1259">
        <v>83</v>
      </c>
      <c r="R1259">
        <v>1600</v>
      </c>
      <c r="S1259">
        <v>1600</v>
      </c>
      <c r="T1259">
        <v>0</v>
      </c>
      <c r="U1259">
        <v>0</v>
      </c>
      <c r="V1259">
        <v>1</v>
      </c>
      <c r="W1259">
        <v>0</v>
      </c>
      <c r="X1259">
        <v>0.85</v>
      </c>
    </row>
    <row r="1260" spans="1:24" x14ac:dyDescent="0.3">
      <c r="A1260" t="s">
        <v>1930</v>
      </c>
      <c r="B1260" s="1">
        <v>45778</v>
      </c>
      <c r="C1260" t="s">
        <v>128</v>
      </c>
      <c r="D1260" t="s">
        <v>50</v>
      </c>
      <c r="E1260" t="s">
        <v>27</v>
      </c>
      <c r="F1260" t="s">
        <v>41</v>
      </c>
      <c r="G1260" t="s">
        <v>42</v>
      </c>
      <c r="H1260" t="s">
        <v>51</v>
      </c>
      <c r="I1260" t="s">
        <v>397</v>
      </c>
      <c r="J1260" t="s">
        <v>53</v>
      </c>
      <c r="K1260" t="s">
        <v>33</v>
      </c>
      <c r="L1260" t="s">
        <v>78</v>
      </c>
      <c r="M1260" t="s">
        <v>71</v>
      </c>
      <c r="N1260" t="s">
        <v>36</v>
      </c>
      <c r="O1260">
        <v>30</v>
      </c>
      <c r="P1260">
        <v>30</v>
      </c>
      <c r="Q1260">
        <v>37.700000000000003</v>
      </c>
      <c r="R1260">
        <v>750</v>
      </c>
      <c r="S1260">
        <v>750</v>
      </c>
      <c r="T1260">
        <v>0</v>
      </c>
      <c r="U1260">
        <v>0</v>
      </c>
      <c r="V1260">
        <v>1</v>
      </c>
      <c r="W1260">
        <v>0</v>
      </c>
      <c r="X1260">
        <v>0.85</v>
      </c>
    </row>
    <row r="1261" spans="1:24" x14ac:dyDescent="0.3">
      <c r="A1261" t="s">
        <v>1931</v>
      </c>
      <c r="B1261" s="1">
        <v>46022</v>
      </c>
      <c r="C1261" t="s">
        <v>25</v>
      </c>
      <c r="D1261" t="s">
        <v>57</v>
      </c>
      <c r="E1261" t="s">
        <v>83</v>
      </c>
      <c r="F1261" t="s">
        <v>58</v>
      </c>
      <c r="G1261" t="s">
        <v>59</v>
      </c>
      <c r="H1261" t="s">
        <v>117</v>
      </c>
      <c r="I1261" t="s">
        <v>279</v>
      </c>
      <c r="J1261" t="s">
        <v>32</v>
      </c>
      <c r="K1261" t="s">
        <v>33</v>
      </c>
      <c r="L1261" t="s">
        <v>78</v>
      </c>
      <c r="M1261" t="s">
        <v>94</v>
      </c>
      <c r="N1261" t="s">
        <v>113</v>
      </c>
      <c r="O1261">
        <v>60</v>
      </c>
      <c r="P1261">
        <v>0</v>
      </c>
      <c r="Q1261">
        <v>75.400000000000006</v>
      </c>
      <c r="R1261">
        <v>1400</v>
      </c>
      <c r="S1261">
        <v>0</v>
      </c>
      <c r="T1261">
        <v>1400</v>
      </c>
      <c r="U1261">
        <v>0</v>
      </c>
      <c r="V1261">
        <v>0</v>
      </c>
      <c r="W1261">
        <v>1</v>
      </c>
      <c r="X1261">
        <v>0.85</v>
      </c>
    </row>
    <row r="1262" spans="1:24" x14ac:dyDescent="0.3">
      <c r="A1262" t="s">
        <v>1932</v>
      </c>
      <c r="B1262" s="1">
        <v>45792</v>
      </c>
      <c r="C1262" t="s">
        <v>128</v>
      </c>
      <c r="D1262" t="s">
        <v>50</v>
      </c>
      <c r="E1262" t="s">
        <v>83</v>
      </c>
      <c r="F1262" t="s">
        <v>28</v>
      </c>
      <c r="G1262" t="s">
        <v>29</v>
      </c>
      <c r="H1262" t="s">
        <v>210</v>
      </c>
      <c r="I1262" t="s">
        <v>1685</v>
      </c>
      <c r="J1262" t="s">
        <v>45</v>
      </c>
      <c r="K1262" t="s">
        <v>85</v>
      </c>
      <c r="L1262" t="s">
        <v>34</v>
      </c>
      <c r="M1262" t="s">
        <v>35</v>
      </c>
      <c r="N1262" t="s">
        <v>36</v>
      </c>
      <c r="O1262">
        <v>60</v>
      </c>
      <c r="P1262">
        <v>60</v>
      </c>
      <c r="Q1262">
        <v>77.5</v>
      </c>
      <c r="R1262">
        <v>1450</v>
      </c>
      <c r="S1262">
        <v>1450</v>
      </c>
      <c r="T1262">
        <v>0</v>
      </c>
      <c r="U1262">
        <v>0</v>
      </c>
      <c r="V1262">
        <v>1</v>
      </c>
      <c r="W1262">
        <v>0</v>
      </c>
      <c r="X1262">
        <v>0.85</v>
      </c>
    </row>
    <row r="1263" spans="1:24" x14ac:dyDescent="0.3">
      <c r="A1263" t="s">
        <v>1933</v>
      </c>
      <c r="B1263" s="1">
        <v>45791</v>
      </c>
      <c r="C1263" t="s">
        <v>128</v>
      </c>
      <c r="D1263" t="s">
        <v>57</v>
      </c>
      <c r="E1263" t="s">
        <v>40</v>
      </c>
      <c r="F1263" t="s">
        <v>41</v>
      </c>
      <c r="G1263" t="s">
        <v>42</v>
      </c>
      <c r="H1263" t="s">
        <v>43</v>
      </c>
      <c r="I1263" t="s">
        <v>178</v>
      </c>
      <c r="J1263" t="s">
        <v>62</v>
      </c>
      <c r="K1263" t="s">
        <v>46</v>
      </c>
      <c r="L1263" t="s">
        <v>34</v>
      </c>
      <c r="M1263" t="s">
        <v>65</v>
      </c>
      <c r="N1263" t="s">
        <v>36</v>
      </c>
      <c r="O1263">
        <v>45</v>
      </c>
      <c r="P1263">
        <v>45</v>
      </c>
      <c r="Q1263">
        <v>51.4</v>
      </c>
      <c r="R1263">
        <v>1000</v>
      </c>
      <c r="S1263">
        <v>1000</v>
      </c>
      <c r="T1263">
        <v>0</v>
      </c>
      <c r="U1263">
        <v>0</v>
      </c>
      <c r="V1263">
        <v>1</v>
      </c>
      <c r="W1263">
        <v>0</v>
      </c>
      <c r="X1263">
        <v>0.85</v>
      </c>
    </row>
    <row r="1264" spans="1:24" x14ac:dyDescent="0.3">
      <c r="A1264" t="s">
        <v>1934</v>
      </c>
      <c r="B1264" s="1">
        <v>45748</v>
      </c>
      <c r="C1264" t="s">
        <v>92</v>
      </c>
      <c r="D1264" t="s">
        <v>26</v>
      </c>
      <c r="E1264" t="s">
        <v>68</v>
      </c>
      <c r="F1264" t="s">
        <v>28</v>
      </c>
      <c r="G1264" t="s">
        <v>29</v>
      </c>
      <c r="H1264" t="s">
        <v>30</v>
      </c>
      <c r="I1264" t="s">
        <v>112</v>
      </c>
      <c r="J1264" t="s">
        <v>62</v>
      </c>
      <c r="K1264" t="s">
        <v>63</v>
      </c>
      <c r="L1264" t="s">
        <v>64</v>
      </c>
      <c r="M1264" t="s">
        <v>94</v>
      </c>
      <c r="N1264" t="s">
        <v>36</v>
      </c>
      <c r="O1264">
        <v>45</v>
      </c>
      <c r="P1264">
        <v>45</v>
      </c>
      <c r="Q1264">
        <v>58.5</v>
      </c>
      <c r="R1264">
        <v>950</v>
      </c>
      <c r="S1264">
        <v>950</v>
      </c>
      <c r="T1264">
        <v>0</v>
      </c>
      <c r="U1264">
        <v>0</v>
      </c>
      <c r="V1264">
        <v>1</v>
      </c>
      <c r="W1264">
        <v>0</v>
      </c>
      <c r="X1264">
        <v>0.85</v>
      </c>
    </row>
    <row r="1265" spans="1:24" x14ac:dyDescent="0.3">
      <c r="A1265" t="s">
        <v>1935</v>
      </c>
      <c r="B1265" s="1">
        <v>45861</v>
      </c>
      <c r="C1265" t="s">
        <v>101</v>
      </c>
      <c r="D1265" t="s">
        <v>57</v>
      </c>
      <c r="E1265" t="s">
        <v>40</v>
      </c>
      <c r="F1265" t="s">
        <v>28</v>
      </c>
      <c r="G1265" t="s">
        <v>29</v>
      </c>
      <c r="H1265" t="s">
        <v>210</v>
      </c>
      <c r="I1265" t="s">
        <v>560</v>
      </c>
      <c r="J1265" t="s">
        <v>99</v>
      </c>
      <c r="K1265" t="s">
        <v>46</v>
      </c>
      <c r="L1265" t="s">
        <v>78</v>
      </c>
      <c r="M1265" t="s">
        <v>47</v>
      </c>
      <c r="N1265" t="s">
        <v>36</v>
      </c>
      <c r="O1265">
        <v>75</v>
      </c>
      <c r="P1265">
        <v>75</v>
      </c>
      <c r="Q1265">
        <v>95.8</v>
      </c>
      <c r="R1265">
        <v>1450</v>
      </c>
      <c r="S1265">
        <v>1450</v>
      </c>
      <c r="T1265">
        <v>0</v>
      </c>
      <c r="U1265">
        <v>0</v>
      </c>
      <c r="V1265">
        <v>1</v>
      </c>
      <c r="W1265">
        <v>0</v>
      </c>
      <c r="X1265">
        <v>0.85</v>
      </c>
    </row>
    <row r="1266" spans="1:24" x14ac:dyDescent="0.3">
      <c r="A1266" t="s">
        <v>1936</v>
      </c>
      <c r="B1266" s="1">
        <v>45927</v>
      </c>
      <c r="C1266" t="s">
        <v>49</v>
      </c>
      <c r="D1266" t="s">
        <v>88</v>
      </c>
      <c r="E1266" t="s">
        <v>40</v>
      </c>
      <c r="F1266" t="s">
        <v>28</v>
      </c>
      <c r="G1266" t="s">
        <v>29</v>
      </c>
      <c r="H1266" t="s">
        <v>120</v>
      </c>
      <c r="I1266" t="s">
        <v>354</v>
      </c>
      <c r="J1266" t="s">
        <v>62</v>
      </c>
      <c r="K1266" t="s">
        <v>46</v>
      </c>
      <c r="L1266" t="s">
        <v>34</v>
      </c>
      <c r="M1266" t="s">
        <v>65</v>
      </c>
      <c r="N1266" t="s">
        <v>36</v>
      </c>
      <c r="O1266">
        <v>45</v>
      </c>
      <c r="P1266">
        <v>45</v>
      </c>
      <c r="Q1266">
        <v>58.6</v>
      </c>
      <c r="R1266">
        <v>950</v>
      </c>
      <c r="S1266">
        <v>950</v>
      </c>
      <c r="T1266">
        <v>0</v>
      </c>
      <c r="U1266">
        <v>0</v>
      </c>
      <c r="V1266">
        <v>1</v>
      </c>
      <c r="W1266">
        <v>0</v>
      </c>
      <c r="X1266">
        <v>0.85</v>
      </c>
    </row>
    <row r="1267" spans="1:24" x14ac:dyDescent="0.3">
      <c r="A1267" t="s">
        <v>1937</v>
      </c>
      <c r="B1267" s="1">
        <v>45936</v>
      </c>
      <c r="C1267" t="s">
        <v>97</v>
      </c>
      <c r="D1267" t="s">
        <v>39</v>
      </c>
      <c r="E1267" t="s">
        <v>83</v>
      </c>
      <c r="F1267" t="s">
        <v>58</v>
      </c>
      <c r="G1267" t="s">
        <v>59</v>
      </c>
      <c r="H1267" t="s">
        <v>73</v>
      </c>
      <c r="I1267" t="s">
        <v>477</v>
      </c>
      <c r="J1267" t="s">
        <v>53</v>
      </c>
      <c r="K1267" t="s">
        <v>46</v>
      </c>
      <c r="L1267" t="s">
        <v>34</v>
      </c>
      <c r="M1267" t="s">
        <v>65</v>
      </c>
      <c r="N1267" t="s">
        <v>36</v>
      </c>
      <c r="O1267">
        <v>60</v>
      </c>
      <c r="P1267">
        <v>60</v>
      </c>
      <c r="Q1267">
        <v>68.2</v>
      </c>
      <c r="R1267">
        <v>1800</v>
      </c>
      <c r="S1267">
        <v>1800</v>
      </c>
      <c r="T1267">
        <v>0</v>
      </c>
      <c r="U1267">
        <v>0</v>
      </c>
      <c r="V1267">
        <v>1</v>
      </c>
      <c r="W1267">
        <v>0</v>
      </c>
      <c r="X1267">
        <v>0.85</v>
      </c>
    </row>
    <row r="1268" spans="1:24" x14ac:dyDescent="0.3">
      <c r="A1268" t="s">
        <v>1938</v>
      </c>
      <c r="B1268" s="1">
        <v>45940</v>
      </c>
      <c r="C1268" t="s">
        <v>97</v>
      </c>
      <c r="D1268" t="s">
        <v>82</v>
      </c>
      <c r="E1268" t="s">
        <v>68</v>
      </c>
      <c r="F1268" t="s">
        <v>28</v>
      </c>
      <c r="G1268" t="s">
        <v>29</v>
      </c>
      <c r="H1268" t="s">
        <v>120</v>
      </c>
      <c r="I1268" t="s">
        <v>1939</v>
      </c>
      <c r="J1268" t="s">
        <v>62</v>
      </c>
      <c r="K1268" t="s">
        <v>104</v>
      </c>
      <c r="L1268" t="s">
        <v>34</v>
      </c>
      <c r="M1268" t="s">
        <v>65</v>
      </c>
      <c r="N1268" t="s">
        <v>36</v>
      </c>
      <c r="O1268">
        <v>45</v>
      </c>
      <c r="P1268">
        <v>45</v>
      </c>
      <c r="Q1268">
        <v>54.7</v>
      </c>
      <c r="R1268">
        <v>950</v>
      </c>
      <c r="S1268">
        <v>950</v>
      </c>
      <c r="T1268">
        <v>0</v>
      </c>
      <c r="U1268">
        <v>0</v>
      </c>
      <c r="V1268">
        <v>1</v>
      </c>
      <c r="W1268">
        <v>0</v>
      </c>
      <c r="X1268">
        <v>0.85</v>
      </c>
    </row>
    <row r="1269" spans="1:24" x14ac:dyDescent="0.3">
      <c r="A1269" t="s">
        <v>1940</v>
      </c>
      <c r="B1269" s="1">
        <v>45721</v>
      </c>
      <c r="C1269" t="s">
        <v>56</v>
      </c>
      <c r="D1269" t="s">
        <v>57</v>
      </c>
      <c r="E1269" t="s">
        <v>68</v>
      </c>
      <c r="F1269" t="s">
        <v>41</v>
      </c>
      <c r="G1269" t="s">
        <v>42</v>
      </c>
      <c r="H1269" t="s">
        <v>51</v>
      </c>
      <c r="I1269" t="s">
        <v>1941</v>
      </c>
      <c r="J1269" t="s">
        <v>53</v>
      </c>
      <c r="K1269" t="s">
        <v>46</v>
      </c>
      <c r="L1269" t="s">
        <v>64</v>
      </c>
      <c r="M1269" t="s">
        <v>71</v>
      </c>
      <c r="N1269" t="s">
        <v>95</v>
      </c>
      <c r="O1269">
        <v>30</v>
      </c>
      <c r="P1269">
        <v>0</v>
      </c>
      <c r="Q1269">
        <v>32.6</v>
      </c>
      <c r="R1269">
        <v>800</v>
      </c>
      <c r="S1269">
        <v>0</v>
      </c>
      <c r="T1269">
        <v>800</v>
      </c>
      <c r="U1269">
        <v>1</v>
      </c>
      <c r="V1269">
        <v>0</v>
      </c>
      <c r="W1269">
        <v>0</v>
      </c>
      <c r="X1269">
        <v>0.85</v>
      </c>
    </row>
    <row r="1270" spans="1:24" x14ac:dyDescent="0.3">
      <c r="A1270" t="s">
        <v>1942</v>
      </c>
      <c r="B1270" s="1">
        <v>45868</v>
      </c>
      <c r="C1270" t="s">
        <v>101</v>
      </c>
      <c r="D1270" t="s">
        <v>57</v>
      </c>
      <c r="E1270" t="s">
        <v>27</v>
      </c>
      <c r="F1270" t="s">
        <v>41</v>
      </c>
      <c r="G1270" t="s">
        <v>42</v>
      </c>
      <c r="H1270" t="s">
        <v>125</v>
      </c>
      <c r="I1270" t="s">
        <v>696</v>
      </c>
      <c r="J1270" t="s">
        <v>62</v>
      </c>
      <c r="K1270" t="s">
        <v>63</v>
      </c>
      <c r="L1270" t="s">
        <v>64</v>
      </c>
      <c r="M1270" t="s">
        <v>71</v>
      </c>
      <c r="N1270" t="s">
        <v>95</v>
      </c>
      <c r="O1270">
        <v>60</v>
      </c>
      <c r="P1270">
        <v>0</v>
      </c>
      <c r="Q1270">
        <v>65.5</v>
      </c>
      <c r="R1270">
        <v>1350</v>
      </c>
      <c r="S1270">
        <v>0</v>
      </c>
      <c r="T1270">
        <v>1350</v>
      </c>
      <c r="U1270">
        <v>1</v>
      </c>
      <c r="V1270">
        <v>0</v>
      </c>
      <c r="W1270">
        <v>0</v>
      </c>
      <c r="X1270">
        <v>0.85</v>
      </c>
    </row>
    <row r="1271" spans="1:24" x14ac:dyDescent="0.3">
      <c r="A1271" t="s">
        <v>1943</v>
      </c>
      <c r="B1271" s="1">
        <v>45806</v>
      </c>
      <c r="C1271" t="s">
        <v>128</v>
      </c>
      <c r="D1271" t="s">
        <v>50</v>
      </c>
      <c r="E1271" t="s">
        <v>27</v>
      </c>
      <c r="F1271" t="s">
        <v>28</v>
      </c>
      <c r="G1271" t="s">
        <v>29</v>
      </c>
      <c r="H1271" t="s">
        <v>210</v>
      </c>
      <c r="I1271" t="s">
        <v>585</v>
      </c>
      <c r="J1271" t="s">
        <v>45</v>
      </c>
      <c r="K1271" t="s">
        <v>104</v>
      </c>
      <c r="L1271" t="s">
        <v>34</v>
      </c>
      <c r="M1271" t="s">
        <v>65</v>
      </c>
      <c r="N1271" t="s">
        <v>36</v>
      </c>
      <c r="O1271">
        <v>45</v>
      </c>
      <c r="P1271">
        <v>45</v>
      </c>
      <c r="Q1271">
        <v>52.3</v>
      </c>
      <c r="R1271">
        <v>1100</v>
      </c>
      <c r="S1271">
        <v>1100</v>
      </c>
      <c r="T1271">
        <v>0</v>
      </c>
      <c r="U1271">
        <v>0</v>
      </c>
      <c r="V1271">
        <v>1</v>
      </c>
      <c r="W1271">
        <v>0</v>
      </c>
      <c r="X1271">
        <v>0.85</v>
      </c>
    </row>
    <row r="1272" spans="1:24" x14ac:dyDescent="0.3">
      <c r="A1272" t="s">
        <v>1944</v>
      </c>
      <c r="B1272" s="1">
        <v>45990</v>
      </c>
      <c r="C1272" t="s">
        <v>38</v>
      </c>
      <c r="D1272" t="s">
        <v>88</v>
      </c>
      <c r="E1272" t="s">
        <v>40</v>
      </c>
      <c r="F1272" t="s">
        <v>28</v>
      </c>
      <c r="G1272" t="s">
        <v>29</v>
      </c>
      <c r="H1272" t="s">
        <v>210</v>
      </c>
      <c r="I1272" t="s">
        <v>279</v>
      </c>
      <c r="J1272" t="s">
        <v>45</v>
      </c>
      <c r="K1272" t="s">
        <v>46</v>
      </c>
      <c r="L1272" t="s">
        <v>34</v>
      </c>
      <c r="M1272" t="s">
        <v>94</v>
      </c>
      <c r="N1272" t="s">
        <v>153</v>
      </c>
      <c r="O1272">
        <v>45</v>
      </c>
      <c r="P1272">
        <v>0</v>
      </c>
      <c r="Q1272">
        <v>57.8</v>
      </c>
      <c r="R1272">
        <v>1100</v>
      </c>
      <c r="S1272">
        <v>0</v>
      </c>
      <c r="T1272">
        <v>0</v>
      </c>
      <c r="U1272">
        <v>0</v>
      </c>
      <c r="V1272">
        <v>0</v>
      </c>
      <c r="W1272">
        <v>0</v>
      </c>
      <c r="X1272">
        <v>0.85</v>
      </c>
    </row>
    <row r="1273" spans="1:24" x14ac:dyDescent="0.3">
      <c r="A1273" t="s">
        <v>1945</v>
      </c>
      <c r="B1273" s="1">
        <v>45872</v>
      </c>
      <c r="C1273" t="s">
        <v>110</v>
      </c>
      <c r="D1273" t="s">
        <v>287</v>
      </c>
      <c r="E1273" t="s">
        <v>83</v>
      </c>
      <c r="F1273" t="s">
        <v>28</v>
      </c>
      <c r="G1273" t="s">
        <v>29</v>
      </c>
      <c r="H1273" t="s">
        <v>210</v>
      </c>
      <c r="I1273" t="s">
        <v>149</v>
      </c>
      <c r="J1273" t="s">
        <v>32</v>
      </c>
      <c r="K1273" t="s">
        <v>85</v>
      </c>
      <c r="L1273" t="s">
        <v>54</v>
      </c>
      <c r="M1273" t="s">
        <v>71</v>
      </c>
      <c r="N1273" t="s">
        <v>36</v>
      </c>
      <c r="O1273">
        <v>60</v>
      </c>
      <c r="P1273">
        <v>60</v>
      </c>
      <c r="Q1273">
        <v>80.599999999999994</v>
      </c>
      <c r="R1273">
        <v>1050</v>
      </c>
      <c r="S1273">
        <v>1050</v>
      </c>
      <c r="T1273">
        <v>0</v>
      </c>
      <c r="U1273">
        <v>0</v>
      </c>
      <c r="V1273">
        <v>1</v>
      </c>
      <c r="W1273">
        <v>0</v>
      </c>
      <c r="X1273">
        <v>0.85</v>
      </c>
    </row>
    <row r="1274" spans="1:24" x14ac:dyDescent="0.3">
      <c r="A1274" t="s">
        <v>1946</v>
      </c>
      <c r="B1274" s="1">
        <v>45778</v>
      </c>
      <c r="C1274" t="s">
        <v>128</v>
      </c>
      <c r="D1274" t="s">
        <v>50</v>
      </c>
      <c r="E1274" t="s">
        <v>83</v>
      </c>
      <c r="F1274" t="s">
        <v>28</v>
      </c>
      <c r="G1274" t="s">
        <v>29</v>
      </c>
      <c r="H1274" t="s">
        <v>102</v>
      </c>
      <c r="I1274" t="s">
        <v>482</v>
      </c>
      <c r="J1274" t="s">
        <v>32</v>
      </c>
      <c r="K1274" t="s">
        <v>46</v>
      </c>
      <c r="L1274" t="s">
        <v>34</v>
      </c>
      <c r="M1274" t="s">
        <v>47</v>
      </c>
      <c r="N1274" t="s">
        <v>36</v>
      </c>
      <c r="O1274">
        <v>45</v>
      </c>
      <c r="P1274">
        <v>45</v>
      </c>
      <c r="Q1274">
        <v>52.7</v>
      </c>
      <c r="R1274">
        <v>950</v>
      </c>
      <c r="S1274">
        <v>950</v>
      </c>
      <c r="T1274">
        <v>0</v>
      </c>
      <c r="U1274">
        <v>0</v>
      </c>
      <c r="V1274">
        <v>1</v>
      </c>
      <c r="W1274">
        <v>0</v>
      </c>
      <c r="X1274">
        <v>0.85</v>
      </c>
    </row>
    <row r="1275" spans="1:24" x14ac:dyDescent="0.3">
      <c r="A1275" t="s">
        <v>1947</v>
      </c>
      <c r="B1275" s="1">
        <v>45808</v>
      </c>
      <c r="C1275" t="s">
        <v>128</v>
      </c>
      <c r="D1275" t="s">
        <v>88</v>
      </c>
      <c r="E1275" t="s">
        <v>83</v>
      </c>
      <c r="F1275" t="s">
        <v>41</v>
      </c>
      <c r="G1275" t="s">
        <v>42</v>
      </c>
      <c r="H1275" t="s">
        <v>51</v>
      </c>
      <c r="I1275" t="s">
        <v>724</v>
      </c>
      <c r="J1275" t="s">
        <v>62</v>
      </c>
      <c r="K1275" t="s">
        <v>104</v>
      </c>
      <c r="L1275" t="s">
        <v>54</v>
      </c>
      <c r="M1275" t="s">
        <v>86</v>
      </c>
      <c r="N1275" t="s">
        <v>36</v>
      </c>
      <c r="O1275">
        <v>60</v>
      </c>
      <c r="P1275">
        <v>60</v>
      </c>
      <c r="Q1275">
        <v>72.3</v>
      </c>
      <c r="R1275">
        <v>1150</v>
      </c>
      <c r="S1275">
        <v>1150</v>
      </c>
      <c r="T1275">
        <v>0</v>
      </c>
      <c r="U1275">
        <v>0</v>
      </c>
      <c r="V1275">
        <v>1</v>
      </c>
      <c r="W1275">
        <v>0</v>
      </c>
      <c r="X1275">
        <v>0.85</v>
      </c>
    </row>
    <row r="1276" spans="1:24" x14ac:dyDescent="0.3">
      <c r="A1276" t="s">
        <v>1948</v>
      </c>
      <c r="B1276" s="1">
        <v>45920</v>
      </c>
      <c r="C1276" t="s">
        <v>49</v>
      </c>
      <c r="D1276" t="s">
        <v>88</v>
      </c>
      <c r="E1276" t="s">
        <v>83</v>
      </c>
      <c r="F1276" t="s">
        <v>41</v>
      </c>
      <c r="G1276" t="s">
        <v>42</v>
      </c>
      <c r="H1276" t="s">
        <v>51</v>
      </c>
      <c r="I1276" t="s">
        <v>633</v>
      </c>
      <c r="J1276" t="s">
        <v>53</v>
      </c>
      <c r="K1276" t="s">
        <v>46</v>
      </c>
      <c r="L1276" t="s">
        <v>34</v>
      </c>
      <c r="M1276" t="s">
        <v>94</v>
      </c>
      <c r="N1276" t="s">
        <v>36</v>
      </c>
      <c r="O1276">
        <v>45</v>
      </c>
      <c r="P1276">
        <v>45</v>
      </c>
      <c r="Q1276">
        <v>50.3</v>
      </c>
      <c r="R1276">
        <v>1200</v>
      </c>
      <c r="S1276">
        <v>1200</v>
      </c>
      <c r="T1276">
        <v>0</v>
      </c>
      <c r="U1276">
        <v>0</v>
      </c>
      <c r="V1276">
        <v>1</v>
      </c>
      <c r="W1276">
        <v>0</v>
      </c>
      <c r="X1276">
        <v>0.85</v>
      </c>
    </row>
    <row r="1277" spans="1:24" x14ac:dyDescent="0.3">
      <c r="A1277" t="s">
        <v>1949</v>
      </c>
      <c r="B1277" s="1">
        <v>45815</v>
      </c>
      <c r="C1277" t="s">
        <v>67</v>
      </c>
      <c r="D1277" t="s">
        <v>88</v>
      </c>
      <c r="E1277" t="s">
        <v>68</v>
      </c>
      <c r="F1277" t="s">
        <v>28</v>
      </c>
      <c r="G1277" t="s">
        <v>29</v>
      </c>
      <c r="H1277" t="s">
        <v>210</v>
      </c>
      <c r="I1277" t="s">
        <v>796</v>
      </c>
      <c r="J1277" t="s">
        <v>99</v>
      </c>
      <c r="K1277" t="s">
        <v>33</v>
      </c>
      <c r="L1277" t="s">
        <v>78</v>
      </c>
      <c r="M1277" t="s">
        <v>71</v>
      </c>
      <c r="N1277" t="s">
        <v>36</v>
      </c>
      <c r="O1277">
        <v>90</v>
      </c>
      <c r="P1277">
        <v>90</v>
      </c>
      <c r="Q1277">
        <v>109.4</v>
      </c>
      <c r="R1277">
        <v>1700</v>
      </c>
      <c r="S1277">
        <v>1700</v>
      </c>
      <c r="T1277">
        <v>0</v>
      </c>
      <c r="U1277">
        <v>0</v>
      </c>
      <c r="V1277">
        <v>1</v>
      </c>
      <c r="W1277">
        <v>0</v>
      </c>
      <c r="X1277">
        <v>0.85</v>
      </c>
    </row>
    <row r="1278" spans="1:24" x14ac:dyDescent="0.3">
      <c r="A1278" t="s">
        <v>1950</v>
      </c>
      <c r="B1278" s="1">
        <v>46016</v>
      </c>
      <c r="C1278" t="s">
        <v>25</v>
      </c>
      <c r="D1278" t="s">
        <v>50</v>
      </c>
      <c r="E1278" t="s">
        <v>40</v>
      </c>
      <c r="F1278" t="s">
        <v>41</v>
      </c>
      <c r="G1278" t="s">
        <v>42</v>
      </c>
      <c r="H1278" t="s">
        <v>111</v>
      </c>
      <c r="I1278" t="s">
        <v>768</v>
      </c>
      <c r="J1278" t="s">
        <v>99</v>
      </c>
      <c r="K1278" t="s">
        <v>70</v>
      </c>
      <c r="L1278" t="s">
        <v>34</v>
      </c>
      <c r="M1278" t="s">
        <v>86</v>
      </c>
      <c r="N1278" t="s">
        <v>95</v>
      </c>
      <c r="O1278">
        <v>45</v>
      </c>
      <c r="P1278">
        <v>0</v>
      </c>
      <c r="Q1278">
        <v>55.2</v>
      </c>
      <c r="R1278">
        <v>1000</v>
      </c>
      <c r="S1278">
        <v>0</v>
      </c>
      <c r="T1278">
        <v>1000</v>
      </c>
      <c r="U1278">
        <v>1</v>
      </c>
      <c r="V1278">
        <v>0</v>
      </c>
      <c r="W1278">
        <v>0</v>
      </c>
      <c r="X1278">
        <v>0.85</v>
      </c>
    </row>
    <row r="1279" spans="1:24" x14ac:dyDescent="0.3">
      <c r="A1279" t="s">
        <v>1951</v>
      </c>
      <c r="B1279" s="1">
        <v>45821</v>
      </c>
      <c r="C1279" t="s">
        <v>67</v>
      </c>
      <c r="D1279" t="s">
        <v>82</v>
      </c>
      <c r="E1279" t="s">
        <v>83</v>
      </c>
      <c r="F1279" t="s">
        <v>58</v>
      </c>
      <c r="G1279" t="s">
        <v>59</v>
      </c>
      <c r="H1279" t="s">
        <v>60</v>
      </c>
      <c r="I1279" t="s">
        <v>1496</v>
      </c>
      <c r="J1279" t="s">
        <v>32</v>
      </c>
      <c r="K1279" t="s">
        <v>46</v>
      </c>
      <c r="L1279" t="s">
        <v>64</v>
      </c>
      <c r="M1279" t="s">
        <v>94</v>
      </c>
      <c r="N1279" t="s">
        <v>36</v>
      </c>
      <c r="O1279">
        <v>45</v>
      </c>
      <c r="P1279">
        <v>45</v>
      </c>
      <c r="Q1279">
        <v>56.9</v>
      </c>
      <c r="R1279">
        <v>1100</v>
      </c>
      <c r="S1279">
        <v>1100</v>
      </c>
      <c r="T1279">
        <v>0</v>
      </c>
      <c r="U1279">
        <v>0</v>
      </c>
      <c r="V1279">
        <v>1</v>
      </c>
      <c r="W1279">
        <v>0</v>
      </c>
      <c r="X1279">
        <v>0.85</v>
      </c>
    </row>
    <row r="1280" spans="1:24" x14ac:dyDescent="0.3">
      <c r="A1280" t="s">
        <v>1952</v>
      </c>
      <c r="B1280" s="1">
        <v>45922</v>
      </c>
      <c r="C1280" t="s">
        <v>49</v>
      </c>
      <c r="D1280" t="s">
        <v>39</v>
      </c>
      <c r="E1280" t="s">
        <v>83</v>
      </c>
      <c r="F1280" t="s">
        <v>58</v>
      </c>
      <c r="G1280" t="s">
        <v>59</v>
      </c>
      <c r="H1280" t="s">
        <v>151</v>
      </c>
      <c r="I1280" t="s">
        <v>820</v>
      </c>
      <c r="J1280" t="s">
        <v>32</v>
      </c>
      <c r="K1280" t="s">
        <v>104</v>
      </c>
      <c r="L1280" t="s">
        <v>34</v>
      </c>
      <c r="M1280" t="s">
        <v>71</v>
      </c>
      <c r="N1280" t="s">
        <v>113</v>
      </c>
      <c r="O1280">
        <v>75</v>
      </c>
      <c r="P1280">
        <v>0</v>
      </c>
      <c r="Q1280">
        <v>96.1</v>
      </c>
      <c r="R1280">
        <v>1900</v>
      </c>
      <c r="S1280">
        <v>0</v>
      </c>
      <c r="T1280">
        <v>1900</v>
      </c>
      <c r="U1280">
        <v>0</v>
      </c>
      <c r="V1280">
        <v>0</v>
      </c>
      <c r="W1280">
        <v>1</v>
      </c>
      <c r="X1280">
        <v>0.85</v>
      </c>
    </row>
    <row r="1281" spans="1:24" x14ac:dyDescent="0.3">
      <c r="A1281" t="s">
        <v>1953</v>
      </c>
      <c r="B1281" s="1">
        <v>45943</v>
      </c>
      <c r="C1281" t="s">
        <v>97</v>
      </c>
      <c r="D1281" t="s">
        <v>39</v>
      </c>
      <c r="E1281" t="s">
        <v>40</v>
      </c>
      <c r="F1281" t="s">
        <v>41</v>
      </c>
      <c r="G1281" t="s">
        <v>42</v>
      </c>
      <c r="H1281" t="s">
        <v>51</v>
      </c>
      <c r="I1281" t="s">
        <v>1954</v>
      </c>
      <c r="J1281" t="s">
        <v>99</v>
      </c>
      <c r="K1281" t="s">
        <v>85</v>
      </c>
      <c r="L1281" t="s">
        <v>64</v>
      </c>
      <c r="M1281" t="s">
        <v>65</v>
      </c>
      <c r="N1281" t="s">
        <v>36</v>
      </c>
      <c r="O1281">
        <v>60</v>
      </c>
      <c r="P1281">
        <v>60</v>
      </c>
      <c r="Q1281">
        <v>71.599999999999994</v>
      </c>
      <c r="R1281">
        <v>1350</v>
      </c>
      <c r="S1281">
        <v>1350</v>
      </c>
      <c r="T1281">
        <v>0</v>
      </c>
      <c r="U1281">
        <v>0</v>
      </c>
      <c r="V1281">
        <v>1</v>
      </c>
      <c r="W1281">
        <v>0</v>
      </c>
      <c r="X1281">
        <v>0.85</v>
      </c>
    </row>
    <row r="1282" spans="1:24" x14ac:dyDescent="0.3">
      <c r="A1282" t="s">
        <v>1955</v>
      </c>
      <c r="B1282" s="1">
        <v>45720</v>
      </c>
      <c r="C1282" t="s">
        <v>56</v>
      </c>
      <c r="D1282" t="s">
        <v>26</v>
      </c>
      <c r="E1282" t="s">
        <v>40</v>
      </c>
      <c r="F1282" t="s">
        <v>28</v>
      </c>
      <c r="G1282" t="s">
        <v>29</v>
      </c>
      <c r="H1282" t="s">
        <v>135</v>
      </c>
      <c r="I1282" t="s">
        <v>551</v>
      </c>
      <c r="J1282" t="s">
        <v>62</v>
      </c>
      <c r="K1282" t="s">
        <v>70</v>
      </c>
      <c r="L1282" t="s">
        <v>34</v>
      </c>
      <c r="M1282" t="s">
        <v>86</v>
      </c>
      <c r="N1282" t="s">
        <v>36</v>
      </c>
      <c r="O1282">
        <v>45</v>
      </c>
      <c r="P1282">
        <v>45</v>
      </c>
      <c r="Q1282">
        <v>52.9</v>
      </c>
      <c r="R1282">
        <v>950</v>
      </c>
      <c r="S1282">
        <v>950</v>
      </c>
      <c r="T1282">
        <v>0</v>
      </c>
      <c r="U1282">
        <v>0</v>
      </c>
      <c r="V1282">
        <v>1</v>
      </c>
      <c r="W1282">
        <v>0</v>
      </c>
      <c r="X1282">
        <v>0.85</v>
      </c>
    </row>
    <row r="1283" spans="1:24" x14ac:dyDescent="0.3">
      <c r="A1283" t="s">
        <v>1956</v>
      </c>
      <c r="B1283" s="1">
        <v>45717</v>
      </c>
      <c r="C1283" t="s">
        <v>56</v>
      </c>
      <c r="D1283" t="s">
        <v>88</v>
      </c>
      <c r="E1283" t="s">
        <v>40</v>
      </c>
      <c r="F1283" t="s">
        <v>28</v>
      </c>
      <c r="G1283" t="s">
        <v>29</v>
      </c>
      <c r="H1283" t="s">
        <v>102</v>
      </c>
      <c r="I1283" t="s">
        <v>1496</v>
      </c>
      <c r="J1283" t="s">
        <v>62</v>
      </c>
      <c r="K1283" t="s">
        <v>85</v>
      </c>
      <c r="L1283" t="s">
        <v>54</v>
      </c>
      <c r="M1283" t="s">
        <v>65</v>
      </c>
      <c r="N1283" t="s">
        <v>36</v>
      </c>
      <c r="O1283">
        <v>60</v>
      </c>
      <c r="P1283">
        <v>60</v>
      </c>
      <c r="Q1283">
        <v>75.099999999999994</v>
      </c>
      <c r="R1283">
        <v>1050</v>
      </c>
      <c r="S1283">
        <v>1050</v>
      </c>
      <c r="T1283">
        <v>0</v>
      </c>
      <c r="U1283">
        <v>0</v>
      </c>
      <c r="V1283">
        <v>1</v>
      </c>
      <c r="W1283">
        <v>0</v>
      </c>
      <c r="X1283">
        <v>0.85</v>
      </c>
    </row>
    <row r="1284" spans="1:24" x14ac:dyDescent="0.3">
      <c r="A1284" t="s">
        <v>1957</v>
      </c>
      <c r="B1284" s="1">
        <v>45730</v>
      </c>
      <c r="C1284" t="s">
        <v>56</v>
      </c>
      <c r="D1284" t="s">
        <v>82</v>
      </c>
      <c r="E1284" t="s">
        <v>27</v>
      </c>
      <c r="F1284" t="s">
        <v>58</v>
      </c>
      <c r="G1284" t="s">
        <v>59</v>
      </c>
      <c r="H1284" t="s">
        <v>60</v>
      </c>
      <c r="I1284" t="s">
        <v>1329</v>
      </c>
      <c r="J1284" t="s">
        <v>62</v>
      </c>
      <c r="K1284" t="s">
        <v>70</v>
      </c>
      <c r="L1284" t="s">
        <v>64</v>
      </c>
      <c r="M1284" t="s">
        <v>65</v>
      </c>
      <c r="N1284" t="s">
        <v>36</v>
      </c>
      <c r="O1284">
        <v>45</v>
      </c>
      <c r="P1284">
        <v>45</v>
      </c>
      <c r="Q1284">
        <v>51.9</v>
      </c>
      <c r="R1284">
        <v>1100</v>
      </c>
      <c r="S1284">
        <v>1100</v>
      </c>
      <c r="T1284">
        <v>0</v>
      </c>
      <c r="U1284">
        <v>0</v>
      </c>
      <c r="V1284">
        <v>1</v>
      </c>
      <c r="W1284">
        <v>0</v>
      </c>
      <c r="X1284">
        <v>0.85</v>
      </c>
    </row>
    <row r="1285" spans="1:24" x14ac:dyDescent="0.3">
      <c r="A1285" t="s">
        <v>1958</v>
      </c>
      <c r="B1285" s="1">
        <v>45677</v>
      </c>
      <c r="C1285" t="s">
        <v>130</v>
      </c>
      <c r="D1285" t="s">
        <v>39</v>
      </c>
      <c r="E1285" t="s">
        <v>27</v>
      </c>
      <c r="F1285" t="s">
        <v>28</v>
      </c>
      <c r="G1285" t="s">
        <v>29</v>
      </c>
      <c r="H1285" t="s">
        <v>30</v>
      </c>
      <c r="I1285" t="s">
        <v>990</v>
      </c>
      <c r="J1285" t="s">
        <v>99</v>
      </c>
      <c r="K1285" t="s">
        <v>46</v>
      </c>
      <c r="L1285" t="s">
        <v>34</v>
      </c>
      <c r="M1285" t="s">
        <v>71</v>
      </c>
      <c r="N1285" t="s">
        <v>36</v>
      </c>
      <c r="O1285">
        <v>45</v>
      </c>
      <c r="P1285">
        <v>45</v>
      </c>
      <c r="Q1285">
        <v>52.2</v>
      </c>
      <c r="R1285">
        <v>950</v>
      </c>
      <c r="S1285">
        <v>950</v>
      </c>
      <c r="T1285">
        <v>0</v>
      </c>
      <c r="U1285">
        <v>0</v>
      </c>
      <c r="V1285">
        <v>1</v>
      </c>
      <c r="W1285">
        <v>0</v>
      </c>
      <c r="X1285">
        <v>0.85</v>
      </c>
    </row>
    <row r="1286" spans="1:24" x14ac:dyDescent="0.3">
      <c r="A1286" t="s">
        <v>1959</v>
      </c>
      <c r="B1286" s="1">
        <v>45901</v>
      </c>
      <c r="C1286" t="s">
        <v>49</v>
      </c>
      <c r="D1286" t="s">
        <v>39</v>
      </c>
      <c r="E1286" t="s">
        <v>40</v>
      </c>
      <c r="F1286" t="s">
        <v>41</v>
      </c>
      <c r="G1286" t="s">
        <v>42</v>
      </c>
      <c r="H1286" t="s">
        <v>51</v>
      </c>
      <c r="I1286" t="s">
        <v>1960</v>
      </c>
      <c r="J1286" t="s">
        <v>53</v>
      </c>
      <c r="K1286" t="s">
        <v>33</v>
      </c>
      <c r="L1286" t="s">
        <v>78</v>
      </c>
      <c r="M1286" t="s">
        <v>94</v>
      </c>
      <c r="N1286" t="s">
        <v>36</v>
      </c>
      <c r="O1286">
        <v>75</v>
      </c>
      <c r="P1286">
        <v>75</v>
      </c>
      <c r="Q1286">
        <v>97.6</v>
      </c>
      <c r="R1286">
        <v>1850</v>
      </c>
      <c r="S1286">
        <v>1850</v>
      </c>
      <c r="T1286">
        <v>0</v>
      </c>
      <c r="U1286">
        <v>0</v>
      </c>
      <c r="V1286">
        <v>1</v>
      </c>
      <c r="W1286">
        <v>0</v>
      </c>
      <c r="X1286">
        <v>0.85</v>
      </c>
    </row>
    <row r="1287" spans="1:24" x14ac:dyDescent="0.3">
      <c r="A1287" t="s">
        <v>1961</v>
      </c>
      <c r="B1287" s="1">
        <v>45971</v>
      </c>
      <c r="C1287" t="s">
        <v>38</v>
      </c>
      <c r="D1287" t="s">
        <v>39</v>
      </c>
      <c r="E1287" t="s">
        <v>40</v>
      </c>
      <c r="F1287" t="s">
        <v>58</v>
      </c>
      <c r="G1287" t="s">
        <v>59</v>
      </c>
      <c r="H1287" t="s">
        <v>151</v>
      </c>
      <c r="I1287" t="s">
        <v>1332</v>
      </c>
      <c r="J1287" t="s">
        <v>62</v>
      </c>
      <c r="K1287" t="s">
        <v>85</v>
      </c>
      <c r="L1287" t="s">
        <v>34</v>
      </c>
      <c r="M1287" t="s">
        <v>94</v>
      </c>
      <c r="N1287" t="s">
        <v>36</v>
      </c>
      <c r="O1287">
        <v>90</v>
      </c>
      <c r="P1287">
        <v>90</v>
      </c>
      <c r="Q1287">
        <v>110</v>
      </c>
      <c r="R1287">
        <v>2250</v>
      </c>
      <c r="S1287">
        <v>2250</v>
      </c>
      <c r="T1287">
        <v>0</v>
      </c>
      <c r="U1287">
        <v>0</v>
      </c>
      <c r="V1287">
        <v>1</v>
      </c>
      <c r="W1287">
        <v>0</v>
      </c>
      <c r="X1287">
        <v>0.85</v>
      </c>
    </row>
    <row r="1288" spans="1:24" x14ac:dyDescent="0.3">
      <c r="A1288" t="s">
        <v>1962</v>
      </c>
      <c r="B1288" s="1">
        <v>45831</v>
      </c>
      <c r="C1288" t="s">
        <v>67</v>
      </c>
      <c r="D1288" t="s">
        <v>39</v>
      </c>
      <c r="E1288" t="s">
        <v>40</v>
      </c>
      <c r="F1288" t="s">
        <v>41</v>
      </c>
      <c r="G1288" t="s">
        <v>42</v>
      </c>
      <c r="H1288" t="s">
        <v>43</v>
      </c>
      <c r="I1288" t="s">
        <v>650</v>
      </c>
      <c r="J1288" t="s">
        <v>62</v>
      </c>
      <c r="K1288" t="s">
        <v>63</v>
      </c>
      <c r="L1288" t="s">
        <v>34</v>
      </c>
      <c r="M1288" t="s">
        <v>35</v>
      </c>
      <c r="N1288" t="s">
        <v>36</v>
      </c>
      <c r="O1288">
        <v>45</v>
      </c>
      <c r="P1288">
        <v>45</v>
      </c>
      <c r="Q1288">
        <v>59.9</v>
      </c>
      <c r="R1288">
        <v>1000</v>
      </c>
      <c r="S1288">
        <v>1000</v>
      </c>
      <c r="T1288">
        <v>0</v>
      </c>
      <c r="U1288">
        <v>0</v>
      </c>
      <c r="V1288">
        <v>1</v>
      </c>
      <c r="W1288">
        <v>0</v>
      </c>
      <c r="X1288">
        <v>0.85</v>
      </c>
    </row>
    <row r="1289" spans="1:24" x14ac:dyDescent="0.3">
      <c r="A1289" t="s">
        <v>1963</v>
      </c>
      <c r="B1289" s="1">
        <v>45964</v>
      </c>
      <c r="C1289" t="s">
        <v>38</v>
      </c>
      <c r="D1289" t="s">
        <v>39</v>
      </c>
      <c r="E1289" t="s">
        <v>40</v>
      </c>
      <c r="F1289" t="s">
        <v>41</v>
      </c>
      <c r="G1289" t="s">
        <v>42</v>
      </c>
      <c r="H1289" t="s">
        <v>51</v>
      </c>
      <c r="I1289" t="s">
        <v>320</v>
      </c>
      <c r="J1289" t="s">
        <v>62</v>
      </c>
      <c r="K1289" t="s">
        <v>85</v>
      </c>
      <c r="L1289" t="s">
        <v>34</v>
      </c>
      <c r="M1289" t="s">
        <v>35</v>
      </c>
      <c r="N1289" t="s">
        <v>36</v>
      </c>
      <c r="O1289">
        <v>30</v>
      </c>
      <c r="P1289">
        <v>30</v>
      </c>
      <c r="Q1289">
        <v>35.700000000000003</v>
      </c>
      <c r="R1289">
        <v>700</v>
      </c>
      <c r="S1289">
        <v>700</v>
      </c>
      <c r="T1289">
        <v>0</v>
      </c>
      <c r="U1289">
        <v>0</v>
      </c>
      <c r="V1289">
        <v>1</v>
      </c>
      <c r="W1289">
        <v>0</v>
      </c>
      <c r="X1289">
        <v>0.85</v>
      </c>
    </row>
    <row r="1290" spans="1:24" x14ac:dyDescent="0.3">
      <c r="A1290" t="s">
        <v>1964</v>
      </c>
      <c r="B1290" s="1">
        <v>45696</v>
      </c>
      <c r="C1290" t="s">
        <v>76</v>
      </c>
      <c r="D1290" t="s">
        <v>88</v>
      </c>
      <c r="E1290" t="s">
        <v>83</v>
      </c>
      <c r="F1290" t="s">
        <v>28</v>
      </c>
      <c r="G1290" t="s">
        <v>29</v>
      </c>
      <c r="H1290" t="s">
        <v>30</v>
      </c>
      <c r="I1290" t="s">
        <v>366</v>
      </c>
      <c r="J1290" t="s">
        <v>62</v>
      </c>
      <c r="K1290" t="s">
        <v>70</v>
      </c>
      <c r="L1290" t="s">
        <v>34</v>
      </c>
      <c r="M1290" t="s">
        <v>35</v>
      </c>
      <c r="N1290" t="s">
        <v>36</v>
      </c>
      <c r="O1290">
        <v>60</v>
      </c>
      <c r="P1290">
        <v>60</v>
      </c>
      <c r="Q1290">
        <v>70.099999999999994</v>
      </c>
      <c r="R1290">
        <v>1250</v>
      </c>
      <c r="S1290">
        <v>1250</v>
      </c>
      <c r="T1290">
        <v>0</v>
      </c>
      <c r="U1290">
        <v>0</v>
      </c>
      <c r="V1290">
        <v>1</v>
      </c>
      <c r="W1290">
        <v>0</v>
      </c>
      <c r="X1290">
        <v>0.85</v>
      </c>
    </row>
    <row r="1291" spans="1:24" x14ac:dyDescent="0.3">
      <c r="A1291" t="s">
        <v>1965</v>
      </c>
      <c r="B1291" s="1">
        <v>45836</v>
      </c>
      <c r="C1291" t="s">
        <v>67</v>
      </c>
      <c r="D1291" t="s">
        <v>88</v>
      </c>
      <c r="E1291" t="s">
        <v>27</v>
      </c>
      <c r="F1291" t="s">
        <v>58</v>
      </c>
      <c r="G1291" t="s">
        <v>59</v>
      </c>
      <c r="H1291" t="s">
        <v>151</v>
      </c>
      <c r="I1291" t="s">
        <v>622</v>
      </c>
      <c r="J1291" t="s">
        <v>45</v>
      </c>
      <c r="K1291" t="s">
        <v>104</v>
      </c>
      <c r="L1291" t="s">
        <v>64</v>
      </c>
      <c r="M1291" t="s">
        <v>47</v>
      </c>
      <c r="N1291" t="s">
        <v>36</v>
      </c>
      <c r="O1291">
        <v>45</v>
      </c>
      <c r="P1291">
        <v>45</v>
      </c>
      <c r="Q1291">
        <v>56.3</v>
      </c>
      <c r="R1291">
        <v>1300</v>
      </c>
      <c r="S1291">
        <v>1300</v>
      </c>
      <c r="T1291">
        <v>0</v>
      </c>
      <c r="U1291">
        <v>0</v>
      </c>
      <c r="V1291">
        <v>1</v>
      </c>
      <c r="W1291">
        <v>0</v>
      </c>
      <c r="X1291">
        <v>0.85</v>
      </c>
    </row>
    <row r="1292" spans="1:24" x14ac:dyDescent="0.3">
      <c r="A1292" t="s">
        <v>1966</v>
      </c>
      <c r="B1292" s="1">
        <v>45909</v>
      </c>
      <c r="C1292" t="s">
        <v>49</v>
      </c>
      <c r="D1292" t="s">
        <v>26</v>
      </c>
      <c r="E1292" t="s">
        <v>27</v>
      </c>
      <c r="F1292" t="s">
        <v>28</v>
      </c>
      <c r="G1292" t="s">
        <v>29</v>
      </c>
      <c r="H1292" t="s">
        <v>135</v>
      </c>
      <c r="I1292" t="s">
        <v>1967</v>
      </c>
      <c r="J1292" t="s">
        <v>53</v>
      </c>
      <c r="K1292" t="s">
        <v>63</v>
      </c>
      <c r="L1292" t="s">
        <v>34</v>
      </c>
      <c r="M1292" t="s">
        <v>86</v>
      </c>
      <c r="N1292" t="s">
        <v>36</v>
      </c>
      <c r="O1292">
        <v>45</v>
      </c>
      <c r="P1292">
        <v>45</v>
      </c>
      <c r="Q1292">
        <v>52.5</v>
      </c>
      <c r="R1292">
        <v>1100</v>
      </c>
      <c r="S1292">
        <v>1100</v>
      </c>
      <c r="T1292">
        <v>0</v>
      </c>
      <c r="U1292">
        <v>0</v>
      </c>
      <c r="V1292">
        <v>1</v>
      </c>
      <c r="W1292">
        <v>0</v>
      </c>
      <c r="X1292">
        <v>0.85</v>
      </c>
    </row>
    <row r="1293" spans="1:24" x14ac:dyDescent="0.3">
      <c r="A1293" t="s">
        <v>1968</v>
      </c>
      <c r="B1293" s="1">
        <v>45775</v>
      </c>
      <c r="C1293" t="s">
        <v>92</v>
      </c>
      <c r="D1293" t="s">
        <v>39</v>
      </c>
      <c r="E1293" t="s">
        <v>68</v>
      </c>
      <c r="F1293" t="s">
        <v>41</v>
      </c>
      <c r="G1293" t="s">
        <v>42</v>
      </c>
      <c r="H1293" t="s">
        <v>89</v>
      </c>
      <c r="I1293" t="s">
        <v>501</v>
      </c>
      <c r="J1293" t="s">
        <v>53</v>
      </c>
      <c r="K1293" t="s">
        <v>104</v>
      </c>
      <c r="L1293" t="s">
        <v>64</v>
      </c>
      <c r="M1293" t="s">
        <v>65</v>
      </c>
      <c r="N1293" t="s">
        <v>113</v>
      </c>
      <c r="O1293">
        <v>60</v>
      </c>
      <c r="P1293">
        <v>0</v>
      </c>
      <c r="Q1293">
        <v>76.2</v>
      </c>
      <c r="R1293">
        <v>1600</v>
      </c>
      <c r="S1293">
        <v>0</v>
      </c>
      <c r="T1293">
        <v>1600</v>
      </c>
      <c r="U1293">
        <v>0</v>
      </c>
      <c r="V1293">
        <v>0</v>
      </c>
      <c r="W1293">
        <v>1</v>
      </c>
      <c r="X1293">
        <v>0.85</v>
      </c>
    </row>
    <row r="1294" spans="1:24" x14ac:dyDescent="0.3">
      <c r="A1294" t="s">
        <v>1969</v>
      </c>
      <c r="B1294" s="1">
        <v>45876</v>
      </c>
      <c r="C1294" t="s">
        <v>110</v>
      </c>
      <c r="D1294" t="s">
        <v>50</v>
      </c>
      <c r="E1294" t="s">
        <v>27</v>
      </c>
      <c r="F1294" t="s">
        <v>28</v>
      </c>
      <c r="G1294" t="s">
        <v>29</v>
      </c>
      <c r="H1294" t="s">
        <v>135</v>
      </c>
      <c r="I1294" t="s">
        <v>863</v>
      </c>
      <c r="J1294" t="s">
        <v>62</v>
      </c>
      <c r="K1294" t="s">
        <v>46</v>
      </c>
      <c r="L1294" t="s">
        <v>34</v>
      </c>
      <c r="M1294" t="s">
        <v>35</v>
      </c>
      <c r="N1294" t="s">
        <v>36</v>
      </c>
      <c r="O1294">
        <v>60</v>
      </c>
      <c r="P1294">
        <v>60</v>
      </c>
      <c r="Q1294">
        <v>73.8</v>
      </c>
      <c r="R1294">
        <v>1250</v>
      </c>
      <c r="S1294">
        <v>1250</v>
      </c>
      <c r="T1294">
        <v>0</v>
      </c>
      <c r="U1294">
        <v>0</v>
      </c>
      <c r="V1294">
        <v>1</v>
      </c>
      <c r="W1294">
        <v>0</v>
      </c>
      <c r="X1294">
        <v>0.85</v>
      </c>
    </row>
    <row r="1295" spans="1:24" x14ac:dyDescent="0.3">
      <c r="A1295" t="s">
        <v>1970</v>
      </c>
      <c r="B1295" s="1">
        <v>45706</v>
      </c>
      <c r="C1295" t="s">
        <v>76</v>
      </c>
      <c r="D1295" t="s">
        <v>26</v>
      </c>
      <c r="E1295" t="s">
        <v>27</v>
      </c>
      <c r="F1295" t="s">
        <v>28</v>
      </c>
      <c r="G1295" t="s">
        <v>29</v>
      </c>
      <c r="H1295" t="s">
        <v>102</v>
      </c>
      <c r="I1295" t="s">
        <v>568</v>
      </c>
      <c r="J1295" t="s">
        <v>45</v>
      </c>
      <c r="K1295" t="s">
        <v>85</v>
      </c>
      <c r="L1295" t="s">
        <v>34</v>
      </c>
      <c r="M1295" t="s">
        <v>71</v>
      </c>
      <c r="N1295" t="s">
        <v>36</v>
      </c>
      <c r="O1295">
        <v>75</v>
      </c>
      <c r="P1295">
        <v>75</v>
      </c>
      <c r="Q1295">
        <v>98.4</v>
      </c>
      <c r="R1295">
        <v>1800</v>
      </c>
      <c r="S1295">
        <v>1800</v>
      </c>
      <c r="T1295">
        <v>0</v>
      </c>
      <c r="U1295">
        <v>0</v>
      </c>
      <c r="V1295">
        <v>1</v>
      </c>
      <c r="W1295">
        <v>0</v>
      </c>
      <c r="X1295">
        <v>0.85</v>
      </c>
    </row>
    <row r="1296" spans="1:24" x14ac:dyDescent="0.3">
      <c r="A1296" t="s">
        <v>1971</v>
      </c>
      <c r="B1296" s="1">
        <v>45932</v>
      </c>
      <c r="C1296" t="s">
        <v>97</v>
      </c>
      <c r="D1296" t="s">
        <v>50</v>
      </c>
      <c r="E1296" t="s">
        <v>83</v>
      </c>
      <c r="F1296" t="s">
        <v>41</v>
      </c>
      <c r="G1296" t="s">
        <v>42</v>
      </c>
      <c r="H1296" t="s">
        <v>125</v>
      </c>
      <c r="I1296" t="s">
        <v>462</v>
      </c>
      <c r="J1296" t="s">
        <v>62</v>
      </c>
      <c r="K1296" t="s">
        <v>104</v>
      </c>
      <c r="L1296" t="s">
        <v>34</v>
      </c>
      <c r="M1296" t="s">
        <v>35</v>
      </c>
      <c r="N1296" t="s">
        <v>36</v>
      </c>
      <c r="O1296">
        <v>60</v>
      </c>
      <c r="P1296">
        <v>60</v>
      </c>
      <c r="Q1296">
        <v>74.2</v>
      </c>
      <c r="R1296">
        <v>1350</v>
      </c>
      <c r="S1296">
        <v>1350</v>
      </c>
      <c r="T1296">
        <v>0</v>
      </c>
      <c r="U1296">
        <v>0</v>
      </c>
      <c r="V1296">
        <v>1</v>
      </c>
      <c r="W1296">
        <v>0</v>
      </c>
      <c r="X1296">
        <v>0.85</v>
      </c>
    </row>
    <row r="1297" spans="1:24" x14ac:dyDescent="0.3">
      <c r="A1297" t="s">
        <v>1972</v>
      </c>
      <c r="B1297" s="1">
        <v>45840</v>
      </c>
      <c r="C1297" t="s">
        <v>101</v>
      </c>
      <c r="D1297" t="s">
        <v>57</v>
      </c>
      <c r="E1297" t="s">
        <v>40</v>
      </c>
      <c r="F1297" t="s">
        <v>28</v>
      </c>
      <c r="G1297" t="s">
        <v>29</v>
      </c>
      <c r="H1297" t="s">
        <v>135</v>
      </c>
      <c r="I1297" t="s">
        <v>149</v>
      </c>
      <c r="J1297" t="s">
        <v>62</v>
      </c>
      <c r="K1297" t="s">
        <v>33</v>
      </c>
      <c r="L1297" t="s">
        <v>34</v>
      </c>
      <c r="M1297" t="s">
        <v>94</v>
      </c>
      <c r="N1297" t="s">
        <v>36</v>
      </c>
      <c r="O1297">
        <v>45</v>
      </c>
      <c r="P1297">
        <v>45</v>
      </c>
      <c r="Q1297">
        <v>52.8</v>
      </c>
      <c r="R1297">
        <v>950</v>
      </c>
      <c r="S1297">
        <v>950</v>
      </c>
      <c r="T1297">
        <v>0</v>
      </c>
      <c r="U1297">
        <v>0</v>
      </c>
      <c r="V1297">
        <v>1</v>
      </c>
      <c r="W1297">
        <v>0</v>
      </c>
      <c r="X1297">
        <v>0.85</v>
      </c>
    </row>
    <row r="1298" spans="1:24" x14ac:dyDescent="0.3">
      <c r="A1298" t="s">
        <v>1973</v>
      </c>
      <c r="B1298" s="1">
        <v>45934</v>
      </c>
      <c r="C1298" t="s">
        <v>97</v>
      </c>
      <c r="D1298" t="s">
        <v>88</v>
      </c>
      <c r="E1298" t="s">
        <v>40</v>
      </c>
      <c r="F1298" t="s">
        <v>41</v>
      </c>
      <c r="G1298" t="s">
        <v>42</v>
      </c>
      <c r="H1298" t="s">
        <v>125</v>
      </c>
      <c r="I1298" t="s">
        <v>666</v>
      </c>
      <c r="J1298" t="s">
        <v>53</v>
      </c>
      <c r="K1298" t="s">
        <v>63</v>
      </c>
      <c r="L1298" t="s">
        <v>34</v>
      </c>
      <c r="M1298" t="s">
        <v>65</v>
      </c>
      <c r="N1298" t="s">
        <v>95</v>
      </c>
      <c r="O1298">
        <v>60</v>
      </c>
      <c r="P1298">
        <v>0</v>
      </c>
      <c r="Q1298">
        <v>65.599999999999994</v>
      </c>
      <c r="R1298">
        <v>1600</v>
      </c>
      <c r="S1298">
        <v>0</v>
      </c>
      <c r="T1298">
        <v>1600</v>
      </c>
      <c r="U1298">
        <v>1</v>
      </c>
      <c r="V1298">
        <v>0</v>
      </c>
      <c r="W1298">
        <v>0</v>
      </c>
      <c r="X1298">
        <v>0.85</v>
      </c>
    </row>
    <row r="1299" spans="1:24" x14ac:dyDescent="0.3">
      <c r="A1299" t="s">
        <v>1974</v>
      </c>
      <c r="B1299" s="1">
        <v>45717</v>
      </c>
      <c r="C1299" t="s">
        <v>56</v>
      </c>
      <c r="D1299" t="s">
        <v>88</v>
      </c>
      <c r="E1299" t="s">
        <v>40</v>
      </c>
      <c r="F1299" t="s">
        <v>28</v>
      </c>
      <c r="G1299" t="s">
        <v>29</v>
      </c>
      <c r="H1299" t="s">
        <v>135</v>
      </c>
      <c r="I1299" t="s">
        <v>1877</v>
      </c>
      <c r="J1299" t="s">
        <v>45</v>
      </c>
      <c r="K1299" t="s">
        <v>85</v>
      </c>
      <c r="L1299" t="s">
        <v>64</v>
      </c>
      <c r="M1299" t="s">
        <v>47</v>
      </c>
      <c r="N1299" t="s">
        <v>36</v>
      </c>
      <c r="O1299">
        <v>60</v>
      </c>
      <c r="P1299">
        <v>60</v>
      </c>
      <c r="Q1299">
        <v>78.5</v>
      </c>
      <c r="R1299">
        <v>1450</v>
      </c>
      <c r="S1299">
        <v>1450</v>
      </c>
      <c r="T1299">
        <v>0</v>
      </c>
      <c r="U1299">
        <v>0</v>
      </c>
      <c r="V1299">
        <v>1</v>
      </c>
      <c r="W1299">
        <v>0</v>
      </c>
      <c r="X1299">
        <v>0.85</v>
      </c>
    </row>
    <row r="1300" spans="1:24" x14ac:dyDescent="0.3">
      <c r="A1300" t="s">
        <v>1975</v>
      </c>
      <c r="B1300" s="1">
        <v>45964</v>
      </c>
      <c r="C1300" t="s">
        <v>38</v>
      </c>
      <c r="D1300" t="s">
        <v>39</v>
      </c>
      <c r="E1300" t="s">
        <v>27</v>
      </c>
      <c r="F1300" t="s">
        <v>41</v>
      </c>
      <c r="G1300" t="s">
        <v>42</v>
      </c>
      <c r="H1300" t="s">
        <v>43</v>
      </c>
      <c r="I1300" t="s">
        <v>1976</v>
      </c>
      <c r="J1300" t="s">
        <v>62</v>
      </c>
      <c r="K1300" t="s">
        <v>33</v>
      </c>
      <c r="L1300" t="s">
        <v>64</v>
      </c>
      <c r="M1300" t="s">
        <v>65</v>
      </c>
      <c r="N1300" t="s">
        <v>113</v>
      </c>
      <c r="O1300">
        <v>60</v>
      </c>
      <c r="P1300">
        <v>0</v>
      </c>
      <c r="Q1300">
        <v>77.599999999999994</v>
      </c>
      <c r="R1300">
        <v>1350</v>
      </c>
      <c r="S1300">
        <v>0</v>
      </c>
      <c r="T1300">
        <v>1350</v>
      </c>
      <c r="U1300">
        <v>0</v>
      </c>
      <c r="V1300">
        <v>0</v>
      </c>
      <c r="W1300">
        <v>1</v>
      </c>
      <c r="X1300">
        <v>0.85</v>
      </c>
    </row>
    <row r="1301" spans="1:24" x14ac:dyDescent="0.3">
      <c r="A1301" t="s">
        <v>1977</v>
      </c>
      <c r="B1301" s="1">
        <v>45852</v>
      </c>
      <c r="C1301" t="s">
        <v>101</v>
      </c>
      <c r="D1301" t="s">
        <v>39</v>
      </c>
      <c r="E1301" t="s">
        <v>83</v>
      </c>
      <c r="F1301" t="s">
        <v>41</v>
      </c>
      <c r="G1301" t="s">
        <v>42</v>
      </c>
      <c r="H1301" t="s">
        <v>51</v>
      </c>
      <c r="I1301" t="s">
        <v>1978</v>
      </c>
      <c r="J1301" t="s">
        <v>45</v>
      </c>
      <c r="K1301" t="s">
        <v>46</v>
      </c>
      <c r="L1301" t="s">
        <v>64</v>
      </c>
      <c r="M1301" t="s">
        <v>65</v>
      </c>
      <c r="N1301" t="s">
        <v>95</v>
      </c>
      <c r="O1301">
        <v>60</v>
      </c>
      <c r="P1301">
        <v>0</v>
      </c>
      <c r="Q1301">
        <v>65.5</v>
      </c>
      <c r="R1301">
        <v>1550</v>
      </c>
      <c r="S1301">
        <v>0</v>
      </c>
      <c r="T1301">
        <v>1550</v>
      </c>
      <c r="U1301">
        <v>1</v>
      </c>
      <c r="V1301">
        <v>0</v>
      </c>
      <c r="W1301">
        <v>0</v>
      </c>
      <c r="X1301">
        <v>0.85</v>
      </c>
    </row>
    <row r="1302" spans="1:24" x14ac:dyDescent="0.3">
      <c r="A1302" t="s">
        <v>1979</v>
      </c>
      <c r="B1302" s="1">
        <v>45986</v>
      </c>
      <c r="C1302" t="s">
        <v>38</v>
      </c>
      <c r="D1302" t="s">
        <v>26</v>
      </c>
      <c r="E1302" t="s">
        <v>27</v>
      </c>
      <c r="F1302" t="s">
        <v>28</v>
      </c>
      <c r="G1302" t="s">
        <v>29</v>
      </c>
      <c r="H1302" t="s">
        <v>135</v>
      </c>
      <c r="I1302" t="s">
        <v>233</v>
      </c>
      <c r="J1302" t="s">
        <v>137</v>
      </c>
      <c r="K1302" t="s">
        <v>33</v>
      </c>
      <c r="L1302" t="s">
        <v>78</v>
      </c>
      <c r="M1302" t="s">
        <v>71</v>
      </c>
      <c r="N1302" t="s">
        <v>113</v>
      </c>
      <c r="O1302">
        <v>60</v>
      </c>
      <c r="P1302">
        <v>0</v>
      </c>
      <c r="Q1302">
        <v>67.8</v>
      </c>
      <c r="R1302">
        <v>1150</v>
      </c>
      <c r="S1302">
        <v>0</v>
      </c>
      <c r="T1302">
        <v>1150</v>
      </c>
      <c r="U1302">
        <v>0</v>
      </c>
      <c r="V1302">
        <v>0</v>
      </c>
      <c r="W1302">
        <v>1</v>
      </c>
      <c r="X1302">
        <v>0.85</v>
      </c>
    </row>
    <row r="1303" spans="1:24" x14ac:dyDescent="0.3">
      <c r="A1303" t="s">
        <v>1980</v>
      </c>
      <c r="B1303" s="1">
        <v>45841</v>
      </c>
      <c r="C1303" t="s">
        <v>101</v>
      </c>
      <c r="D1303" t="s">
        <v>50</v>
      </c>
      <c r="E1303" t="s">
        <v>27</v>
      </c>
      <c r="F1303" t="s">
        <v>41</v>
      </c>
      <c r="G1303" t="s">
        <v>42</v>
      </c>
      <c r="H1303" t="s">
        <v>89</v>
      </c>
      <c r="I1303" t="s">
        <v>1981</v>
      </c>
      <c r="J1303" t="s">
        <v>137</v>
      </c>
      <c r="K1303" t="s">
        <v>104</v>
      </c>
      <c r="L1303" t="s">
        <v>64</v>
      </c>
      <c r="M1303" t="s">
        <v>65</v>
      </c>
      <c r="N1303" t="s">
        <v>36</v>
      </c>
      <c r="O1303">
        <v>45</v>
      </c>
      <c r="P1303">
        <v>45</v>
      </c>
      <c r="Q1303">
        <v>52.6</v>
      </c>
      <c r="R1303">
        <v>1000</v>
      </c>
      <c r="S1303">
        <v>1000</v>
      </c>
      <c r="T1303">
        <v>0</v>
      </c>
      <c r="U1303">
        <v>0</v>
      </c>
      <c r="V1303">
        <v>1</v>
      </c>
      <c r="W1303">
        <v>0</v>
      </c>
      <c r="X1303">
        <v>0.85</v>
      </c>
    </row>
    <row r="1304" spans="1:24" x14ac:dyDescent="0.3">
      <c r="A1304" t="s">
        <v>1982</v>
      </c>
      <c r="B1304" s="1">
        <v>45812</v>
      </c>
      <c r="C1304" t="s">
        <v>67</v>
      </c>
      <c r="D1304" t="s">
        <v>57</v>
      </c>
      <c r="E1304" t="s">
        <v>40</v>
      </c>
      <c r="F1304" t="s">
        <v>28</v>
      </c>
      <c r="G1304" t="s">
        <v>29</v>
      </c>
      <c r="H1304" t="s">
        <v>210</v>
      </c>
      <c r="I1304" t="s">
        <v>669</v>
      </c>
      <c r="J1304" t="s">
        <v>32</v>
      </c>
      <c r="K1304" t="s">
        <v>33</v>
      </c>
      <c r="L1304" t="s">
        <v>54</v>
      </c>
      <c r="M1304" t="s">
        <v>86</v>
      </c>
      <c r="N1304" t="s">
        <v>36</v>
      </c>
      <c r="O1304">
        <v>45</v>
      </c>
      <c r="P1304">
        <v>45</v>
      </c>
      <c r="Q1304">
        <v>55</v>
      </c>
      <c r="R1304">
        <v>800</v>
      </c>
      <c r="S1304">
        <v>800</v>
      </c>
      <c r="T1304">
        <v>0</v>
      </c>
      <c r="U1304">
        <v>0</v>
      </c>
      <c r="V1304">
        <v>1</v>
      </c>
      <c r="W1304">
        <v>0</v>
      </c>
      <c r="X1304">
        <v>0.85</v>
      </c>
    </row>
    <row r="1305" spans="1:24" x14ac:dyDescent="0.3">
      <c r="A1305" t="s">
        <v>1983</v>
      </c>
      <c r="B1305" s="1">
        <v>45978</v>
      </c>
      <c r="C1305" t="s">
        <v>38</v>
      </c>
      <c r="D1305" t="s">
        <v>39</v>
      </c>
      <c r="E1305" t="s">
        <v>83</v>
      </c>
      <c r="F1305" t="s">
        <v>41</v>
      </c>
      <c r="G1305" t="s">
        <v>42</v>
      </c>
      <c r="H1305" t="s">
        <v>111</v>
      </c>
      <c r="I1305" t="s">
        <v>589</v>
      </c>
      <c r="J1305" t="s">
        <v>45</v>
      </c>
      <c r="K1305" t="s">
        <v>104</v>
      </c>
      <c r="L1305" t="s">
        <v>34</v>
      </c>
      <c r="M1305" t="s">
        <v>71</v>
      </c>
      <c r="N1305" t="s">
        <v>36</v>
      </c>
      <c r="O1305">
        <v>60</v>
      </c>
      <c r="P1305">
        <v>60</v>
      </c>
      <c r="Q1305">
        <v>66.5</v>
      </c>
      <c r="R1305">
        <v>1550</v>
      </c>
      <c r="S1305">
        <v>1550</v>
      </c>
      <c r="T1305">
        <v>0</v>
      </c>
      <c r="U1305">
        <v>0</v>
      </c>
      <c r="V1305">
        <v>1</v>
      </c>
      <c r="W1305">
        <v>0</v>
      </c>
      <c r="X1305">
        <v>0.85</v>
      </c>
    </row>
    <row r="1306" spans="1:24" x14ac:dyDescent="0.3">
      <c r="A1306" t="s">
        <v>1984</v>
      </c>
      <c r="B1306" s="1">
        <v>45819</v>
      </c>
      <c r="C1306" t="s">
        <v>67</v>
      </c>
      <c r="D1306" t="s">
        <v>57</v>
      </c>
      <c r="E1306" t="s">
        <v>83</v>
      </c>
      <c r="F1306" t="s">
        <v>28</v>
      </c>
      <c r="G1306" t="s">
        <v>29</v>
      </c>
      <c r="H1306" t="s">
        <v>120</v>
      </c>
      <c r="I1306" t="s">
        <v>519</v>
      </c>
      <c r="J1306" t="s">
        <v>99</v>
      </c>
      <c r="K1306" t="s">
        <v>70</v>
      </c>
      <c r="L1306" t="s">
        <v>54</v>
      </c>
      <c r="M1306" t="s">
        <v>65</v>
      </c>
      <c r="N1306" t="s">
        <v>36</v>
      </c>
      <c r="O1306">
        <v>90</v>
      </c>
      <c r="P1306">
        <v>90</v>
      </c>
      <c r="Q1306">
        <v>104</v>
      </c>
      <c r="R1306">
        <v>1600</v>
      </c>
      <c r="S1306">
        <v>1600</v>
      </c>
      <c r="T1306">
        <v>0</v>
      </c>
      <c r="U1306">
        <v>0</v>
      </c>
      <c r="V1306">
        <v>1</v>
      </c>
      <c r="W1306">
        <v>0</v>
      </c>
      <c r="X1306">
        <v>0.85</v>
      </c>
    </row>
    <row r="1307" spans="1:24" x14ac:dyDescent="0.3">
      <c r="A1307" t="s">
        <v>1985</v>
      </c>
      <c r="B1307" s="1">
        <v>45820</v>
      </c>
      <c r="C1307" t="s">
        <v>67</v>
      </c>
      <c r="D1307" t="s">
        <v>50</v>
      </c>
      <c r="E1307" t="s">
        <v>40</v>
      </c>
      <c r="F1307" t="s">
        <v>28</v>
      </c>
      <c r="G1307" t="s">
        <v>29</v>
      </c>
      <c r="H1307" t="s">
        <v>30</v>
      </c>
      <c r="I1307" t="s">
        <v>701</v>
      </c>
      <c r="J1307" t="s">
        <v>137</v>
      </c>
      <c r="K1307" t="s">
        <v>63</v>
      </c>
      <c r="L1307" t="s">
        <v>64</v>
      </c>
      <c r="M1307" t="s">
        <v>86</v>
      </c>
      <c r="N1307" t="s">
        <v>36</v>
      </c>
      <c r="O1307">
        <v>30</v>
      </c>
      <c r="P1307">
        <v>30</v>
      </c>
      <c r="Q1307">
        <v>33</v>
      </c>
      <c r="R1307">
        <v>600</v>
      </c>
      <c r="S1307">
        <v>600</v>
      </c>
      <c r="T1307">
        <v>0</v>
      </c>
      <c r="U1307">
        <v>0</v>
      </c>
      <c r="V1307">
        <v>1</v>
      </c>
      <c r="W1307">
        <v>0</v>
      </c>
      <c r="X1307">
        <v>0.85</v>
      </c>
    </row>
    <row r="1308" spans="1:24" x14ac:dyDescent="0.3">
      <c r="A1308" t="s">
        <v>1986</v>
      </c>
      <c r="B1308" s="1">
        <v>45674</v>
      </c>
      <c r="C1308" t="s">
        <v>130</v>
      </c>
      <c r="D1308" t="s">
        <v>82</v>
      </c>
      <c r="E1308" t="s">
        <v>68</v>
      </c>
      <c r="F1308" t="s">
        <v>58</v>
      </c>
      <c r="G1308" t="s">
        <v>59</v>
      </c>
      <c r="H1308" t="s">
        <v>117</v>
      </c>
      <c r="I1308" t="s">
        <v>1987</v>
      </c>
      <c r="J1308" t="s">
        <v>53</v>
      </c>
      <c r="K1308" t="s">
        <v>70</v>
      </c>
      <c r="L1308" t="s">
        <v>78</v>
      </c>
      <c r="M1308" t="s">
        <v>65</v>
      </c>
      <c r="N1308" t="s">
        <v>36</v>
      </c>
      <c r="O1308">
        <v>60</v>
      </c>
      <c r="P1308">
        <v>60</v>
      </c>
      <c r="Q1308">
        <v>72.7</v>
      </c>
      <c r="R1308">
        <v>1650</v>
      </c>
      <c r="S1308">
        <v>1650</v>
      </c>
      <c r="T1308">
        <v>0</v>
      </c>
      <c r="U1308">
        <v>0</v>
      </c>
      <c r="V1308">
        <v>1</v>
      </c>
      <c r="W1308">
        <v>0</v>
      </c>
      <c r="X1308">
        <v>0.85</v>
      </c>
    </row>
    <row r="1309" spans="1:24" x14ac:dyDescent="0.3">
      <c r="A1309" t="s">
        <v>1988</v>
      </c>
      <c r="B1309" s="1">
        <v>45695</v>
      </c>
      <c r="C1309" t="s">
        <v>76</v>
      </c>
      <c r="D1309" t="s">
        <v>82</v>
      </c>
      <c r="E1309" t="s">
        <v>40</v>
      </c>
      <c r="F1309" t="s">
        <v>41</v>
      </c>
      <c r="G1309" t="s">
        <v>42</v>
      </c>
      <c r="H1309" t="s">
        <v>43</v>
      </c>
      <c r="I1309" t="s">
        <v>1143</v>
      </c>
      <c r="J1309" t="s">
        <v>62</v>
      </c>
      <c r="K1309" t="s">
        <v>33</v>
      </c>
      <c r="L1309" t="s">
        <v>64</v>
      </c>
      <c r="M1309" t="s">
        <v>65</v>
      </c>
      <c r="N1309" t="s">
        <v>36</v>
      </c>
      <c r="O1309">
        <v>75</v>
      </c>
      <c r="P1309">
        <v>75</v>
      </c>
      <c r="Q1309">
        <v>89.7</v>
      </c>
      <c r="R1309">
        <v>1700</v>
      </c>
      <c r="S1309">
        <v>1700</v>
      </c>
      <c r="T1309">
        <v>0</v>
      </c>
      <c r="U1309">
        <v>0</v>
      </c>
      <c r="V1309">
        <v>1</v>
      </c>
      <c r="W1309">
        <v>0</v>
      </c>
      <c r="X1309">
        <v>0.85</v>
      </c>
    </row>
    <row r="1310" spans="1:24" x14ac:dyDescent="0.3">
      <c r="A1310" t="s">
        <v>1989</v>
      </c>
      <c r="B1310" s="1">
        <v>45700</v>
      </c>
      <c r="C1310" t="s">
        <v>76</v>
      </c>
      <c r="D1310" t="s">
        <v>57</v>
      </c>
      <c r="E1310" t="s">
        <v>68</v>
      </c>
      <c r="F1310" t="s">
        <v>41</v>
      </c>
      <c r="G1310" t="s">
        <v>42</v>
      </c>
      <c r="H1310" t="s">
        <v>51</v>
      </c>
      <c r="I1310" t="s">
        <v>1990</v>
      </c>
      <c r="J1310" t="s">
        <v>53</v>
      </c>
      <c r="K1310" t="s">
        <v>46</v>
      </c>
      <c r="L1310" t="s">
        <v>34</v>
      </c>
      <c r="M1310" t="s">
        <v>94</v>
      </c>
      <c r="N1310" t="s">
        <v>36</v>
      </c>
      <c r="O1310">
        <v>60</v>
      </c>
      <c r="P1310">
        <v>60</v>
      </c>
      <c r="Q1310">
        <v>69.400000000000006</v>
      </c>
      <c r="R1310">
        <v>1600</v>
      </c>
      <c r="S1310">
        <v>1600</v>
      </c>
      <c r="T1310">
        <v>0</v>
      </c>
      <c r="U1310">
        <v>0</v>
      </c>
      <c r="V1310">
        <v>1</v>
      </c>
      <c r="W1310">
        <v>0</v>
      </c>
      <c r="X1310">
        <v>0.85</v>
      </c>
    </row>
    <row r="1311" spans="1:24" x14ac:dyDescent="0.3">
      <c r="A1311" t="s">
        <v>1991</v>
      </c>
      <c r="B1311" s="1">
        <v>45912</v>
      </c>
      <c r="C1311" t="s">
        <v>49</v>
      </c>
      <c r="D1311" t="s">
        <v>82</v>
      </c>
      <c r="E1311" t="s">
        <v>68</v>
      </c>
      <c r="F1311" t="s">
        <v>28</v>
      </c>
      <c r="G1311" t="s">
        <v>29</v>
      </c>
      <c r="H1311" t="s">
        <v>120</v>
      </c>
      <c r="I1311" t="s">
        <v>395</v>
      </c>
      <c r="J1311" t="s">
        <v>62</v>
      </c>
      <c r="K1311" t="s">
        <v>70</v>
      </c>
      <c r="L1311" t="s">
        <v>64</v>
      </c>
      <c r="M1311" t="s">
        <v>65</v>
      </c>
      <c r="N1311" t="s">
        <v>36</v>
      </c>
      <c r="O1311">
        <v>60</v>
      </c>
      <c r="P1311">
        <v>60</v>
      </c>
      <c r="Q1311">
        <v>69.2</v>
      </c>
      <c r="R1311">
        <v>1250</v>
      </c>
      <c r="S1311">
        <v>1250</v>
      </c>
      <c r="T1311">
        <v>0</v>
      </c>
      <c r="U1311">
        <v>0</v>
      </c>
      <c r="V1311">
        <v>1</v>
      </c>
      <c r="W1311">
        <v>0</v>
      </c>
      <c r="X1311">
        <v>0.85</v>
      </c>
    </row>
    <row r="1312" spans="1:24" x14ac:dyDescent="0.3">
      <c r="A1312" t="s">
        <v>1992</v>
      </c>
      <c r="B1312" s="1">
        <v>45973</v>
      </c>
      <c r="C1312" t="s">
        <v>38</v>
      </c>
      <c r="D1312" t="s">
        <v>57</v>
      </c>
      <c r="E1312" t="s">
        <v>40</v>
      </c>
      <c r="F1312" t="s">
        <v>58</v>
      </c>
      <c r="G1312" t="s">
        <v>59</v>
      </c>
      <c r="H1312" t="s">
        <v>296</v>
      </c>
      <c r="I1312" t="s">
        <v>192</v>
      </c>
      <c r="J1312" t="s">
        <v>53</v>
      </c>
      <c r="K1312" t="s">
        <v>70</v>
      </c>
      <c r="L1312" t="s">
        <v>54</v>
      </c>
      <c r="M1312" t="s">
        <v>35</v>
      </c>
      <c r="N1312" t="s">
        <v>36</v>
      </c>
      <c r="O1312">
        <v>75</v>
      </c>
      <c r="P1312">
        <v>75</v>
      </c>
      <c r="Q1312">
        <v>84.7</v>
      </c>
      <c r="R1312">
        <v>1900</v>
      </c>
      <c r="S1312">
        <v>1900</v>
      </c>
      <c r="T1312">
        <v>0</v>
      </c>
      <c r="U1312">
        <v>0</v>
      </c>
      <c r="V1312">
        <v>1</v>
      </c>
      <c r="W1312">
        <v>0</v>
      </c>
      <c r="X1312">
        <v>0.85</v>
      </c>
    </row>
    <row r="1313" spans="1:24" x14ac:dyDescent="0.3">
      <c r="A1313" t="s">
        <v>1993</v>
      </c>
      <c r="B1313" s="1">
        <v>45845</v>
      </c>
      <c r="C1313" t="s">
        <v>101</v>
      </c>
      <c r="D1313" t="s">
        <v>39</v>
      </c>
      <c r="E1313" t="s">
        <v>27</v>
      </c>
      <c r="F1313" t="s">
        <v>41</v>
      </c>
      <c r="G1313" t="s">
        <v>42</v>
      </c>
      <c r="H1313" t="s">
        <v>125</v>
      </c>
      <c r="I1313" t="s">
        <v>213</v>
      </c>
      <c r="J1313" t="s">
        <v>32</v>
      </c>
      <c r="K1313" t="s">
        <v>63</v>
      </c>
      <c r="L1313" t="s">
        <v>64</v>
      </c>
      <c r="M1313" t="s">
        <v>94</v>
      </c>
      <c r="N1313" t="s">
        <v>95</v>
      </c>
      <c r="O1313">
        <v>75</v>
      </c>
      <c r="P1313">
        <v>0</v>
      </c>
      <c r="Q1313">
        <v>93.7</v>
      </c>
      <c r="R1313">
        <v>1700</v>
      </c>
      <c r="S1313">
        <v>0</v>
      </c>
      <c r="T1313">
        <v>1700</v>
      </c>
      <c r="U1313">
        <v>1</v>
      </c>
      <c r="V1313">
        <v>0</v>
      </c>
      <c r="W1313">
        <v>0</v>
      </c>
      <c r="X1313">
        <v>0.85</v>
      </c>
    </row>
    <row r="1314" spans="1:24" x14ac:dyDescent="0.3">
      <c r="A1314" t="s">
        <v>1994</v>
      </c>
      <c r="B1314" s="1">
        <v>45693</v>
      </c>
      <c r="C1314" t="s">
        <v>76</v>
      </c>
      <c r="D1314" t="s">
        <v>57</v>
      </c>
      <c r="E1314" t="s">
        <v>40</v>
      </c>
      <c r="F1314" t="s">
        <v>41</v>
      </c>
      <c r="G1314" t="s">
        <v>42</v>
      </c>
      <c r="H1314" t="s">
        <v>43</v>
      </c>
      <c r="I1314" t="s">
        <v>178</v>
      </c>
      <c r="J1314" t="s">
        <v>32</v>
      </c>
      <c r="K1314" t="s">
        <v>104</v>
      </c>
      <c r="L1314" t="s">
        <v>64</v>
      </c>
      <c r="M1314" t="s">
        <v>47</v>
      </c>
      <c r="N1314" t="s">
        <v>36</v>
      </c>
      <c r="O1314">
        <v>90</v>
      </c>
      <c r="P1314">
        <v>90</v>
      </c>
      <c r="Q1314">
        <v>99.8</v>
      </c>
      <c r="R1314">
        <v>2000</v>
      </c>
      <c r="S1314">
        <v>2000</v>
      </c>
      <c r="T1314">
        <v>0</v>
      </c>
      <c r="U1314">
        <v>0</v>
      </c>
      <c r="V1314">
        <v>1</v>
      </c>
      <c r="W1314">
        <v>0</v>
      </c>
      <c r="X1314">
        <v>0.85</v>
      </c>
    </row>
    <row r="1315" spans="1:24" x14ac:dyDescent="0.3">
      <c r="A1315" t="s">
        <v>1995</v>
      </c>
      <c r="B1315" s="1">
        <v>45888</v>
      </c>
      <c r="C1315" t="s">
        <v>110</v>
      </c>
      <c r="D1315" t="s">
        <v>26</v>
      </c>
      <c r="E1315" t="s">
        <v>27</v>
      </c>
      <c r="F1315" t="s">
        <v>41</v>
      </c>
      <c r="G1315" t="s">
        <v>42</v>
      </c>
      <c r="H1315" t="s">
        <v>125</v>
      </c>
      <c r="I1315" t="s">
        <v>1996</v>
      </c>
      <c r="J1315" t="s">
        <v>62</v>
      </c>
      <c r="K1315" t="s">
        <v>63</v>
      </c>
      <c r="L1315" t="s">
        <v>34</v>
      </c>
      <c r="M1315" t="s">
        <v>94</v>
      </c>
      <c r="N1315" t="s">
        <v>36</v>
      </c>
      <c r="O1315">
        <v>45</v>
      </c>
      <c r="P1315">
        <v>45</v>
      </c>
      <c r="Q1315">
        <v>49.5</v>
      </c>
      <c r="R1315">
        <v>1000</v>
      </c>
      <c r="S1315">
        <v>1000</v>
      </c>
      <c r="T1315">
        <v>0</v>
      </c>
      <c r="U1315">
        <v>0</v>
      </c>
      <c r="V1315">
        <v>1</v>
      </c>
      <c r="W1315">
        <v>0</v>
      </c>
      <c r="X1315">
        <v>0.85</v>
      </c>
    </row>
    <row r="1316" spans="1:24" x14ac:dyDescent="0.3">
      <c r="A1316" t="s">
        <v>1997</v>
      </c>
      <c r="B1316" s="1">
        <v>45983</v>
      </c>
      <c r="C1316" t="s">
        <v>38</v>
      </c>
      <c r="D1316" t="s">
        <v>88</v>
      </c>
      <c r="E1316" t="s">
        <v>83</v>
      </c>
      <c r="F1316" t="s">
        <v>58</v>
      </c>
      <c r="G1316" t="s">
        <v>59</v>
      </c>
      <c r="H1316" t="s">
        <v>151</v>
      </c>
      <c r="I1316" t="s">
        <v>830</v>
      </c>
      <c r="J1316" t="s">
        <v>32</v>
      </c>
      <c r="K1316" t="s">
        <v>33</v>
      </c>
      <c r="L1316" t="s">
        <v>54</v>
      </c>
      <c r="M1316" t="s">
        <v>65</v>
      </c>
      <c r="N1316" t="s">
        <v>36</v>
      </c>
      <c r="O1316">
        <v>60</v>
      </c>
      <c r="P1316">
        <v>60</v>
      </c>
      <c r="Q1316">
        <v>68.099999999999994</v>
      </c>
      <c r="R1316">
        <v>1300</v>
      </c>
      <c r="S1316">
        <v>1300</v>
      </c>
      <c r="T1316">
        <v>0</v>
      </c>
      <c r="U1316">
        <v>0</v>
      </c>
      <c r="V1316">
        <v>1</v>
      </c>
      <c r="W1316">
        <v>0</v>
      </c>
      <c r="X1316">
        <v>0.85</v>
      </c>
    </row>
    <row r="1317" spans="1:24" x14ac:dyDescent="0.3">
      <c r="A1317" t="s">
        <v>1998</v>
      </c>
      <c r="B1317" s="1">
        <v>45723</v>
      </c>
      <c r="C1317" t="s">
        <v>56</v>
      </c>
      <c r="D1317" t="s">
        <v>82</v>
      </c>
      <c r="E1317" t="s">
        <v>27</v>
      </c>
      <c r="F1317" t="s">
        <v>41</v>
      </c>
      <c r="G1317" t="s">
        <v>42</v>
      </c>
      <c r="H1317" t="s">
        <v>89</v>
      </c>
      <c r="I1317" t="s">
        <v>1999</v>
      </c>
      <c r="J1317" t="s">
        <v>99</v>
      </c>
      <c r="K1317" t="s">
        <v>33</v>
      </c>
      <c r="L1317" t="s">
        <v>34</v>
      </c>
      <c r="M1317" t="s">
        <v>86</v>
      </c>
      <c r="N1317" t="s">
        <v>36</v>
      </c>
      <c r="O1317">
        <v>60</v>
      </c>
      <c r="P1317">
        <v>60</v>
      </c>
      <c r="Q1317">
        <v>66.400000000000006</v>
      </c>
      <c r="R1317">
        <v>1350</v>
      </c>
      <c r="S1317">
        <v>1350</v>
      </c>
      <c r="T1317">
        <v>0</v>
      </c>
      <c r="U1317">
        <v>0</v>
      </c>
      <c r="V1317">
        <v>1</v>
      </c>
      <c r="W1317">
        <v>0</v>
      </c>
      <c r="X1317">
        <v>0.85</v>
      </c>
    </row>
    <row r="1318" spans="1:24" x14ac:dyDescent="0.3">
      <c r="A1318" t="s">
        <v>2000</v>
      </c>
      <c r="B1318" s="1">
        <v>45905</v>
      </c>
      <c r="C1318" t="s">
        <v>49</v>
      </c>
      <c r="D1318" t="s">
        <v>82</v>
      </c>
      <c r="E1318" t="s">
        <v>83</v>
      </c>
      <c r="F1318" t="s">
        <v>41</v>
      </c>
      <c r="G1318" t="s">
        <v>42</v>
      </c>
      <c r="H1318" t="s">
        <v>125</v>
      </c>
      <c r="I1318" t="s">
        <v>155</v>
      </c>
      <c r="J1318" t="s">
        <v>62</v>
      </c>
      <c r="K1318" t="s">
        <v>85</v>
      </c>
      <c r="L1318" t="s">
        <v>54</v>
      </c>
      <c r="M1318" t="s">
        <v>47</v>
      </c>
      <c r="N1318" t="s">
        <v>95</v>
      </c>
      <c r="O1318">
        <v>75</v>
      </c>
      <c r="P1318">
        <v>0</v>
      </c>
      <c r="Q1318">
        <v>98.7</v>
      </c>
      <c r="R1318">
        <v>1450</v>
      </c>
      <c r="S1318">
        <v>0</v>
      </c>
      <c r="T1318">
        <v>1450</v>
      </c>
      <c r="U1318">
        <v>1</v>
      </c>
      <c r="V1318">
        <v>0</v>
      </c>
      <c r="W1318">
        <v>0</v>
      </c>
      <c r="X1318">
        <v>0.85</v>
      </c>
    </row>
    <row r="1319" spans="1:24" x14ac:dyDescent="0.3">
      <c r="A1319" t="s">
        <v>2001</v>
      </c>
      <c r="B1319" s="1">
        <v>45980</v>
      </c>
      <c r="C1319" t="s">
        <v>38</v>
      </c>
      <c r="D1319" t="s">
        <v>57</v>
      </c>
      <c r="E1319" t="s">
        <v>40</v>
      </c>
      <c r="F1319" t="s">
        <v>41</v>
      </c>
      <c r="G1319" t="s">
        <v>42</v>
      </c>
      <c r="H1319" t="s">
        <v>51</v>
      </c>
      <c r="I1319" t="s">
        <v>163</v>
      </c>
      <c r="J1319" t="s">
        <v>99</v>
      </c>
      <c r="K1319" t="s">
        <v>63</v>
      </c>
      <c r="L1319" t="s">
        <v>64</v>
      </c>
      <c r="M1319" t="s">
        <v>94</v>
      </c>
      <c r="N1319" t="s">
        <v>36</v>
      </c>
      <c r="O1319">
        <v>60</v>
      </c>
      <c r="P1319">
        <v>60</v>
      </c>
      <c r="Q1319">
        <v>66.099999999999994</v>
      </c>
      <c r="R1319">
        <v>1350</v>
      </c>
      <c r="S1319">
        <v>1350</v>
      </c>
      <c r="T1319">
        <v>0</v>
      </c>
      <c r="U1319">
        <v>0</v>
      </c>
      <c r="V1319">
        <v>1</v>
      </c>
      <c r="W1319">
        <v>0</v>
      </c>
      <c r="X1319">
        <v>0.85</v>
      </c>
    </row>
    <row r="1320" spans="1:24" x14ac:dyDescent="0.3">
      <c r="A1320" t="s">
        <v>2002</v>
      </c>
      <c r="B1320" s="1">
        <v>45785</v>
      </c>
      <c r="C1320" t="s">
        <v>128</v>
      </c>
      <c r="D1320" t="s">
        <v>50</v>
      </c>
      <c r="E1320" t="s">
        <v>40</v>
      </c>
      <c r="F1320" t="s">
        <v>41</v>
      </c>
      <c r="G1320" t="s">
        <v>42</v>
      </c>
      <c r="H1320" t="s">
        <v>43</v>
      </c>
      <c r="I1320" t="s">
        <v>1603</v>
      </c>
      <c r="J1320" t="s">
        <v>62</v>
      </c>
      <c r="K1320" t="s">
        <v>70</v>
      </c>
      <c r="L1320" t="s">
        <v>54</v>
      </c>
      <c r="M1320" t="s">
        <v>71</v>
      </c>
      <c r="N1320" t="s">
        <v>95</v>
      </c>
      <c r="O1320">
        <v>45</v>
      </c>
      <c r="P1320">
        <v>0</v>
      </c>
      <c r="Q1320">
        <v>52.2</v>
      </c>
      <c r="R1320">
        <v>850</v>
      </c>
      <c r="S1320">
        <v>0</v>
      </c>
      <c r="T1320">
        <v>850</v>
      </c>
      <c r="U1320">
        <v>1</v>
      </c>
      <c r="V1320">
        <v>0</v>
      </c>
      <c r="W1320">
        <v>0</v>
      </c>
      <c r="X1320">
        <v>0.85</v>
      </c>
    </row>
    <row r="1321" spans="1:24" x14ac:dyDescent="0.3">
      <c r="A1321" t="s">
        <v>2003</v>
      </c>
      <c r="B1321" s="1">
        <v>45971</v>
      </c>
      <c r="C1321" t="s">
        <v>38</v>
      </c>
      <c r="D1321" t="s">
        <v>39</v>
      </c>
      <c r="E1321" t="s">
        <v>40</v>
      </c>
      <c r="F1321" t="s">
        <v>58</v>
      </c>
      <c r="G1321" t="s">
        <v>59</v>
      </c>
      <c r="H1321" t="s">
        <v>117</v>
      </c>
      <c r="I1321" t="s">
        <v>1181</v>
      </c>
      <c r="J1321" t="s">
        <v>32</v>
      </c>
      <c r="K1321" t="s">
        <v>70</v>
      </c>
      <c r="L1321" t="s">
        <v>34</v>
      </c>
      <c r="M1321" t="s">
        <v>71</v>
      </c>
      <c r="N1321" t="s">
        <v>36</v>
      </c>
      <c r="O1321">
        <v>60</v>
      </c>
      <c r="P1321">
        <v>60</v>
      </c>
      <c r="Q1321">
        <v>76.3</v>
      </c>
      <c r="R1321">
        <v>1500</v>
      </c>
      <c r="S1321">
        <v>1500</v>
      </c>
      <c r="T1321">
        <v>0</v>
      </c>
      <c r="U1321">
        <v>0</v>
      </c>
      <c r="V1321">
        <v>1</v>
      </c>
      <c r="W1321">
        <v>0</v>
      </c>
      <c r="X1321">
        <v>0.85</v>
      </c>
    </row>
    <row r="1322" spans="1:24" x14ac:dyDescent="0.3">
      <c r="A1322" t="s">
        <v>2004</v>
      </c>
      <c r="B1322" s="1">
        <v>45775</v>
      </c>
      <c r="C1322" t="s">
        <v>92</v>
      </c>
      <c r="D1322" t="s">
        <v>39</v>
      </c>
      <c r="E1322" t="s">
        <v>68</v>
      </c>
      <c r="F1322" t="s">
        <v>58</v>
      </c>
      <c r="G1322" t="s">
        <v>59</v>
      </c>
      <c r="H1322" t="s">
        <v>296</v>
      </c>
      <c r="I1322" t="s">
        <v>453</v>
      </c>
      <c r="J1322" t="s">
        <v>45</v>
      </c>
      <c r="K1322" t="s">
        <v>63</v>
      </c>
      <c r="L1322" t="s">
        <v>64</v>
      </c>
      <c r="M1322" t="s">
        <v>47</v>
      </c>
      <c r="N1322" t="s">
        <v>95</v>
      </c>
      <c r="O1322">
        <v>45</v>
      </c>
      <c r="P1322">
        <v>0</v>
      </c>
      <c r="Q1322">
        <v>55.6</v>
      </c>
      <c r="R1322">
        <v>1300</v>
      </c>
      <c r="S1322">
        <v>0</v>
      </c>
      <c r="T1322">
        <v>1300</v>
      </c>
      <c r="U1322">
        <v>1</v>
      </c>
      <c r="V1322">
        <v>0</v>
      </c>
      <c r="W1322">
        <v>0</v>
      </c>
      <c r="X1322">
        <v>0.85</v>
      </c>
    </row>
    <row r="1323" spans="1:24" x14ac:dyDescent="0.3">
      <c r="A1323" t="s">
        <v>2005</v>
      </c>
      <c r="B1323" s="1">
        <v>45971</v>
      </c>
      <c r="C1323" t="s">
        <v>38</v>
      </c>
      <c r="D1323" t="s">
        <v>39</v>
      </c>
      <c r="E1323" t="s">
        <v>27</v>
      </c>
      <c r="F1323" t="s">
        <v>28</v>
      </c>
      <c r="G1323" t="s">
        <v>29</v>
      </c>
      <c r="H1323" t="s">
        <v>120</v>
      </c>
      <c r="I1323" t="s">
        <v>372</v>
      </c>
      <c r="J1323" t="s">
        <v>45</v>
      </c>
      <c r="K1323" t="s">
        <v>70</v>
      </c>
      <c r="L1323" t="s">
        <v>78</v>
      </c>
      <c r="M1323" t="s">
        <v>47</v>
      </c>
      <c r="N1323" t="s">
        <v>95</v>
      </c>
      <c r="O1323">
        <v>45</v>
      </c>
      <c r="P1323">
        <v>0</v>
      </c>
      <c r="Q1323">
        <v>49.1</v>
      </c>
      <c r="R1323">
        <v>1000</v>
      </c>
      <c r="S1323">
        <v>0</v>
      </c>
      <c r="T1323">
        <v>1000</v>
      </c>
      <c r="U1323">
        <v>1</v>
      </c>
      <c r="V1323">
        <v>0</v>
      </c>
      <c r="W1323">
        <v>0</v>
      </c>
      <c r="X1323">
        <v>0.85</v>
      </c>
    </row>
    <row r="1324" spans="1:24" x14ac:dyDescent="0.3">
      <c r="A1324" t="s">
        <v>2006</v>
      </c>
      <c r="B1324" s="1">
        <v>45943</v>
      </c>
      <c r="C1324" t="s">
        <v>97</v>
      </c>
      <c r="D1324" t="s">
        <v>39</v>
      </c>
      <c r="E1324" t="s">
        <v>68</v>
      </c>
      <c r="F1324" t="s">
        <v>58</v>
      </c>
      <c r="G1324" t="s">
        <v>59</v>
      </c>
      <c r="H1324" t="s">
        <v>296</v>
      </c>
      <c r="I1324" t="s">
        <v>424</v>
      </c>
      <c r="J1324" t="s">
        <v>62</v>
      </c>
      <c r="K1324" t="s">
        <v>63</v>
      </c>
      <c r="L1324" t="s">
        <v>34</v>
      </c>
      <c r="M1324" t="s">
        <v>71</v>
      </c>
      <c r="N1324" t="s">
        <v>95</v>
      </c>
      <c r="O1324">
        <v>45</v>
      </c>
      <c r="P1324">
        <v>0</v>
      </c>
      <c r="Q1324">
        <v>55.5</v>
      </c>
      <c r="R1324">
        <v>1100</v>
      </c>
      <c r="S1324">
        <v>0</v>
      </c>
      <c r="T1324">
        <v>1100</v>
      </c>
      <c r="U1324">
        <v>1</v>
      </c>
      <c r="V1324">
        <v>0</v>
      </c>
      <c r="W1324">
        <v>0</v>
      </c>
      <c r="X1324">
        <v>0.85</v>
      </c>
    </row>
    <row r="1325" spans="1:24" x14ac:dyDescent="0.3">
      <c r="A1325" t="s">
        <v>2007</v>
      </c>
      <c r="B1325" s="1">
        <v>45993</v>
      </c>
      <c r="C1325" t="s">
        <v>25</v>
      </c>
      <c r="D1325" t="s">
        <v>26</v>
      </c>
      <c r="E1325" t="s">
        <v>83</v>
      </c>
      <c r="F1325" t="s">
        <v>28</v>
      </c>
      <c r="G1325" t="s">
        <v>29</v>
      </c>
      <c r="H1325" t="s">
        <v>30</v>
      </c>
      <c r="I1325" t="s">
        <v>475</v>
      </c>
      <c r="J1325" t="s">
        <v>62</v>
      </c>
      <c r="K1325" t="s">
        <v>104</v>
      </c>
      <c r="L1325" t="s">
        <v>34</v>
      </c>
      <c r="M1325" t="s">
        <v>86</v>
      </c>
      <c r="N1325" t="s">
        <v>95</v>
      </c>
      <c r="O1325">
        <v>60</v>
      </c>
      <c r="P1325">
        <v>0</v>
      </c>
      <c r="Q1325">
        <v>78.400000000000006</v>
      </c>
      <c r="R1325">
        <v>1250</v>
      </c>
      <c r="S1325">
        <v>0</v>
      </c>
      <c r="T1325">
        <v>1250</v>
      </c>
      <c r="U1325">
        <v>1</v>
      </c>
      <c r="V1325">
        <v>0</v>
      </c>
      <c r="W1325">
        <v>0</v>
      </c>
      <c r="X1325">
        <v>0.85</v>
      </c>
    </row>
    <row r="1326" spans="1:24" x14ac:dyDescent="0.3">
      <c r="A1326" t="s">
        <v>2008</v>
      </c>
      <c r="B1326" s="1">
        <v>45761</v>
      </c>
      <c r="C1326" t="s">
        <v>92</v>
      </c>
      <c r="D1326" t="s">
        <v>39</v>
      </c>
      <c r="E1326" t="s">
        <v>40</v>
      </c>
      <c r="F1326" t="s">
        <v>41</v>
      </c>
      <c r="G1326" t="s">
        <v>42</v>
      </c>
      <c r="H1326" t="s">
        <v>125</v>
      </c>
      <c r="I1326" t="s">
        <v>930</v>
      </c>
      <c r="J1326" t="s">
        <v>32</v>
      </c>
      <c r="K1326" t="s">
        <v>33</v>
      </c>
      <c r="L1326" t="s">
        <v>34</v>
      </c>
      <c r="M1326" t="s">
        <v>47</v>
      </c>
      <c r="N1326" t="s">
        <v>95</v>
      </c>
      <c r="O1326">
        <v>60</v>
      </c>
      <c r="P1326">
        <v>0</v>
      </c>
      <c r="Q1326">
        <v>72</v>
      </c>
      <c r="R1326">
        <v>1350</v>
      </c>
      <c r="S1326">
        <v>0</v>
      </c>
      <c r="T1326">
        <v>1350</v>
      </c>
      <c r="U1326">
        <v>1</v>
      </c>
      <c r="V1326">
        <v>0</v>
      </c>
      <c r="W1326">
        <v>0</v>
      </c>
      <c r="X1326">
        <v>0.85</v>
      </c>
    </row>
    <row r="1327" spans="1:24" x14ac:dyDescent="0.3">
      <c r="A1327" t="s">
        <v>2009</v>
      </c>
      <c r="B1327" s="1">
        <v>45833</v>
      </c>
      <c r="C1327" t="s">
        <v>67</v>
      </c>
      <c r="D1327" t="s">
        <v>57</v>
      </c>
      <c r="E1327" t="s">
        <v>40</v>
      </c>
      <c r="F1327" t="s">
        <v>58</v>
      </c>
      <c r="G1327" t="s">
        <v>59</v>
      </c>
      <c r="H1327" t="s">
        <v>296</v>
      </c>
      <c r="I1327" t="s">
        <v>2010</v>
      </c>
      <c r="J1327" t="s">
        <v>45</v>
      </c>
      <c r="K1327" t="s">
        <v>33</v>
      </c>
      <c r="L1327" t="s">
        <v>64</v>
      </c>
      <c r="M1327" t="s">
        <v>71</v>
      </c>
      <c r="N1327" t="s">
        <v>36</v>
      </c>
      <c r="O1327">
        <v>45</v>
      </c>
      <c r="P1327">
        <v>45</v>
      </c>
      <c r="Q1327">
        <v>60.6</v>
      </c>
      <c r="R1327">
        <v>1300</v>
      </c>
      <c r="S1327">
        <v>1300</v>
      </c>
      <c r="T1327">
        <v>0</v>
      </c>
      <c r="U1327">
        <v>0</v>
      </c>
      <c r="V1327">
        <v>1</v>
      </c>
      <c r="W1327">
        <v>0</v>
      </c>
      <c r="X1327">
        <v>0.85</v>
      </c>
    </row>
    <row r="1328" spans="1:24" x14ac:dyDescent="0.3">
      <c r="A1328" t="s">
        <v>2011</v>
      </c>
      <c r="B1328" s="1">
        <v>45707</v>
      </c>
      <c r="C1328" t="s">
        <v>76</v>
      </c>
      <c r="D1328" t="s">
        <v>57</v>
      </c>
      <c r="E1328" t="s">
        <v>68</v>
      </c>
      <c r="F1328" t="s">
        <v>58</v>
      </c>
      <c r="G1328" t="s">
        <v>59</v>
      </c>
      <c r="H1328" t="s">
        <v>60</v>
      </c>
      <c r="I1328" t="s">
        <v>560</v>
      </c>
      <c r="J1328" t="s">
        <v>53</v>
      </c>
      <c r="K1328" t="s">
        <v>63</v>
      </c>
      <c r="L1328" t="s">
        <v>64</v>
      </c>
      <c r="M1328" t="s">
        <v>35</v>
      </c>
      <c r="N1328" t="s">
        <v>36</v>
      </c>
      <c r="O1328">
        <v>60</v>
      </c>
      <c r="P1328">
        <v>60</v>
      </c>
      <c r="Q1328">
        <v>77.400000000000006</v>
      </c>
      <c r="R1328">
        <v>1800</v>
      </c>
      <c r="S1328">
        <v>1800</v>
      </c>
      <c r="T1328">
        <v>0</v>
      </c>
      <c r="U1328">
        <v>0</v>
      </c>
      <c r="V1328">
        <v>1</v>
      </c>
      <c r="W1328">
        <v>0</v>
      </c>
      <c r="X1328">
        <v>0.85</v>
      </c>
    </row>
    <row r="1329" spans="1:24" x14ac:dyDescent="0.3">
      <c r="A1329" t="s">
        <v>2012</v>
      </c>
      <c r="B1329" s="1">
        <v>45706</v>
      </c>
      <c r="C1329" t="s">
        <v>76</v>
      </c>
      <c r="D1329" t="s">
        <v>26</v>
      </c>
      <c r="E1329" t="s">
        <v>40</v>
      </c>
      <c r="F1329" t="s">
        <v>28</v>
      </c>
      <c r="G1329" t="s">
        <v>29</v>
      </c>
      <c r="H1329" t="s">
        <v>135</v>
      </c>
      <c r="I1329" t="s">
        <v>1259</v>
      </c>
      <c r="J1329" t="s">
        <v>53</v>
      </c>
      <c r="K1329" t="s">
        <v>104</v>
      </c>
      <c r="L1329" t="s">
        <v>64</v>
      </c>
      <c r="M1329" t="s">
        <v>65</v>
      </c>
      <c r="N1329" t="s">
        <v>36</v>
      </c>
      <c r="O1329">
        <v>45</v>
      </c>
      <c r="P1329">
        <v>45</v>
      </c>
      <c r="Q1329">
        <v>59.2</v>
      </c>
      <c r="R1329">
        <v>1100</v>
      </c>
      <c r="S1329">
        <v>1100</v>
      </c>
      <c r="T1329">
        <v>0</v>
      </c>
      <c r="U1329">
        <v>0</v>
      </c>
      <c r="V1329">
        <v>1</v>
      </c>
      <c r="W1329">
        <v>0</v>
      </c>
      <c r="X1329">
        <v>0.85</v>
      </c>
    </row>
    <row r="1330" spans="1:24" x14ac:dyDescent="0.3">
      <c r="A1330" t="s">
        <v>2013</v>
      </c>
      <c r="B1330" s="1">
        <v>45982</v>
      </c>
      <c r="C1330" t="s">
        <v>38</v>
      </c>
      <c r="D1330" t="s">
        <v>82</v>
      </c>
      <c r="E1330" t="s">
        <v>68</v>
      </c>
      <c r="F1330" t="s">
        <v>41</v>
      </c>
      <c r="G1330" t="s">
        <v>42</v>
      </c>
      <c r="H1330" t="s">
        <v>51</v>
      </c>
      <c r="I1330" t="s">
        <v>517</v>
      </c>
      <c r="J1330" t="s">
        <v>62</v>
      </c>
      <c r="K1330" t="s">
        <v>85</v>
      </c>
      <c r="L1330" t="s">
        <v>34</v>
      </c>
      <c r="M1330" t="s">
        <v>71</v>
      </c>
      <c r="N1330" t="s">
        <v>113</v>
      </c>
      <c r="O1330">
        <v>90</v>
      </c>
      <c r="P1330">
        <v>0</v>
      </c>
      <c r="Q1330">
        <v>118.2</v>
      </c>
      <c r="R1330">
        <v>2000</v>
      </c>
      <c r="S1330">
        <v>0</v>
      </c>
      <c r="T1330">
        <v>2000</v>
      </c>
      <c r="U1330">
        <v>0</v>
      </c>
      <c r="V1330">
        <v>0</v>
      </c>
      <c r="W1330">
        <v>1</v>
      </c>
      <c r="X1330">
        <v>0.85</v>
      </c>
    </row>
    <row r="1331" spans="1:24" x14ac:dyDescent="0.3">
      <c r="A1331" t="s">
        <v>2014</v>
      </c>
      <c r="B1331" s="1">
        <v>45965</v>
      </c>
      <c r="C1331" t="s">
        <v>38</v>
      </c>
      <c r="D1331" t="s">
        <v>26</v>
      </c>
      <c r="E1331" t="s">
        <v>68</v>
      </c>
      <c r="F1331" t="s">
        <v>41</v>
      </c>
      <c r="G1331" t="s">
        <v>42</v>
      </c>
      <c r="H1331" t="s">
        <v>43</v>
      </c>
      <c r="I1331" t="s">
        <v>1373</v>
      </c>
      <c r="J1331" t="s">
        <v>62</v>
      </c>
      <c r="K1331" t="s">
        <v>63</v>
      </c>
      <c r="L1331" t="s">
        <v>78</v>
      </c>
      <c r="M1331" t="s">
        <v>47</v>
      </c>
      <c r="N1331" t="s">
        <v>36</v>
      </c>
      <c r="O1331">
        <v>45</v>
      </c>
      <c r="P1331">
        <v>45</v>
      </c>
      <c r="Q1331">
        <v>60.2</v>
      </c>
      <c r="R1331">
        <v>950</v>
      </c>
      <c r="S1331">
        <v>950</v>
      </c>
      <c r="T1331">
        <v>0</v>
      </c>
      <c r="U1331">
        <v>0</v>
      </c>
      <c r="V1331">
        <v>1</v>
      </c>
      <c r="W1331">
        <v>0</v>
      </c>
      <c r="X1331">
        <v>0.85</v>
      </c>
    </row>
    <row r="1332" spans="1:24" x14ac:dyDescent="0.3">
      <c r="A1332" t="s">
        <v>2015</v>
      </c>
      <c r="B1332" s="1">
        <v>45940</v>
      </c>
      <c r="C1332" t="s">
        <v>97</v>
      </c>
      <c r="D1332" t="s">
        <v>82</v>
      </c>
      <c r="E1332" t="s">
        <v>40</v>
      </c>
      <c r="F1332" t="s">
        <v>41</v>
      </c>
      <c r="G1332" t="s">
        <v>42</v>
      </c>
      <c r="H1332" t="s">
        <v>111</v>
      </c>
      <c r="I1332" t="s">
        <v>340</v>
      </c>
      <c r="J1332" t="s">
        <v>53</v>
      </c>
      <c r="K1332" t="s">
        <v>104</v>
      </c>
      <c r="L1332" t="s">
        <v>64</v>
      </c>
      <c r="M1332" t="s">
        <v>86</v>
      </c>
      <c r="N1332" t="s">
        <v>36</v>
      </c>
      <c r="O1332">
        <v>60</v>
      </c>
      <c r="P1332">
        <v>60</v>
      </c>
      <c r="Q1332">
        <v>77.3</v>
      </c>
      <c r="R1332">
        <v>1600</v>
      </c>
      <c r="S1332">
        <v>1600</v>
      </c>
      <c r="T1332">
        <v>0</v>
      </c>
      <c r="U1332">
        <v>0</v>
      </c>
      <c r="V1332">
        <v>1</v>
      </c>
      <c r="W1332">
        <v>0</v>
      </c>
      <c r="X1332">
        <v>0.85</v>
      </c>
    </row>
    <row r="1333" spans="1:24" x14ac:dyDescent="0.3">
      <c r="A1333" t="s">
        <v>2016</v>
      </c>
      <c r="B1333" s="1">
        <v>45978</v>
      </c>
      <c r="C1333" t="s">
        <v>38</v>
      </c>
      <c r="D1333" t="s">
        <v>39</v>
      </c>
      <c r="E1333" t="s">
        <v>27</v>
      </c>
      <c r="F1333" t="s">
        <v>41</v>
      </c>
      <c r="G1333" t="s">
        <v>42</v>
      </c>
      <c r="H1333" t="s">
        <v>51</v>
      </c>
      <c r="I1333" t="s">
        <v>2017</v>
      </c>
      <c r="J1333" t="s">
        <v>32</v>
      </c>
      <c r="K1333" t="s">
        <v>104</v>
      </c>
      <c r="L1333" t="s">
        <v>64</v>
      </c>
      <c r="M1333" t="s">
        <v>35</v>
      </c>
      <c r="N1333" t="s">
        <v>36</v>
      </c>
      <c r="O1333">
        <v>45</v>
      </c>
      <c r="P1333">
        <v>45</v>
      </c>
      <c r="Q1333">
        <v>54.5</v>
      </c>
      <c r="R1333">
        <v>1000</v>
      </c>
      <c r="S1333">
        <v>1000</v>
      </c>
      <c r="T1333">
        <v>0</v>
      </c>
      <c r="U1333">
        <v>0</v>
      </c>
      <c r="V1333">
        <v>1</v>
      </c>
      <c r="W1333">
        <v>0</v>
      </c>
      <c r="X1333">
        <v>0.85</v>
      </c>
    </row>
    <row r="1334" spans="1:24" x14ac:dyDescent="0.3">
      <c r="A1334" t="s">
        <v>2018</v>
      </c>
      <c r="B1334" s="1">
        <v>45885</v>
      </c>
      <c r="C1334" t="s">
        <v>110</v>
      </c>
      <c r="D1334" t="s">
        <v>88</v>
      </c>
      <c r="E1334" t="s">
        <v>83</v>
      </c>
      <c r="F1334" t="s">
        <v>41</v>
      </c>
      <c r="G1334" t="s">
        <v>42</v>
      </c>
      <c r="H1334" t="s">
        <v>111</v>
      </c>
      <c r="I1334" t="s">
        <v>1465</v>
      </c>
      <c r="J1334" t="s">
        <v>99</v>
      </c>
      <c r="K1334" t="s">
        <v>104</v>
      </c>
      <c r="L1334" t="s">
        <v>54</v>
      </c>
      <c r="M1334" t="s">
        <v>65</v>
      </c>
      <c r="N1334" t="s">
        <v>36</v>
      </c>
      <c r="O1334">
        <v>75</v>
      </c>
      <c r="P1334">
        <v>75</v>
      </c>
      <c r="Q1334">
        <v>83</v>
      </c>
      <c r="R1334">
        <v>1450</v>
      </c>
      <c r="S1334">
        <v>1450</v>
      </c>
      <c r="T1334">
        <v>0</v>
      </c>
      <c r="U1334">
        <v>0</v>
      </c>
      <c r="V1334">
        <v>1</v>
      </c>
      <c r="W1334">
        <v>0</v>
      </c>
      <c r="X1334">
        <v>0.85</v>
      </c>
    </row>
    <row r="1335" spans="1:24" x14ac:dyDescent="0.3">
      <c r="A1335" t="s">
        <v>2019</v>
      </c>
      <c r="B1335" s="1">
        <v>45972</v>
      </c>
      <c r="C1335" t="s">
        <v>38</v>
      </c>
      <c r="D1335" t="s">
        <v>26</v>
      </c>
      <c r="E1335" t="s">
        <v>40</v>
      </c>
      <c r="F1335" t="s">
        <v>41</v>
      </c>
      <c r="G1335" t="s">
        <v>42</v>
      </c>
      <c r="H1335" t="s">
        <v>125</v>
      </c>
      <c r="I1335" t="s">
        <v>184</v>
      </c>
      <c r="J1335" t="s">
        <v>45</v>
      </c>
      <c r="K1335" t="s">
        <v>33</v>
      </c>
      <c r="L1335" t="s">
        <v>64</v>
      </c>
      <c r="M1335" t="s">
        <v>47</v>
      </c>
      <c r="N1335" t="s">
        <v>36</v>
      </c>
      <c r="O1335">
        <v>90</v>
      </c>
      <c r="P1335">
        <v>90</v>
      </c>
      <c r="Q1335">
        <v>115.9</v>
      </c>
      <c r="R1335">
        <v>2350</v>
      </c>
      <c r="S1335">
        <v>2350</v>
      </c>
      <c r="T1335">
        <v>0</v>
      </c>
      <c r="U1335">
        <v>0</v>
      </c>
      <c r="V1335">
        <v>1</v>
      </c>
      <c r="W1335">
        <v>0</v>
      </c>
      <c r="X1335">
        <v>0.85</v>
      </c>
    </row>
    <row r="1336" spans="1:24" x14ac:dyDescent="0.3">
      <c r="A1336" t="s">
        <v>2020</v>
      </c>
      <c r="B1336" s="1">
        <v>45708</v>
      </c>
      <c r="C1336" t="s">
        <v>76</v>
      </c>
      <c r="D1336" t="s">
        <v>50</v>
      </c>
      <c r="E1336" t="s">
        <v>40</v>
      </c>
      <c r="F1336" t="s">
        <v>58</v>
      </c>
      <c r="G1336" t="s">
        <v>59</v>
      </c>
      <c r="H1336" t="s">
        <v>296</v>
      </c>
      <c r="I1336" t="s">
        <v>1085</v>
      </c>
      <c r="J1336" t="s">
        <v>62</v>
      </c>
      <c r="K1336" t="s">
        <v>46</v>
      </c>
      <c r="L1336" t="s">
        <v>34</v>
      </c>
      <c r="M1336" t="s">
        <v>71</v>
      </c>
      <c r="N1336" t="s">
        <v>36</v>
      </c>
      <c r="O1336">
        <v>60</v>
      </c>
      <c r="P1336">
        <v>60</v>
      </c>
      <c r="Q1336">
        <v>75.8</v>
      </c>
      <c r="R1336">
        <v>1500</v>
      </c>
      <c r="S1336">
        <v>1500</v>
      </c>
      <c r="T1336">
        <v>0</v>
      </c>
      <c r="U1336">
        <v>0</v>
      </c>
      <c r="V1336">
        <v>1</v>
      </c>
      <c r="W1336">
        <v>0</v>
      </c>
      <c r="X1336">
        <v>0.85</v>
      </c>
    </row>
    <row r="1337" spans="1:24" x14ac:dyDescent="0.3">
      <c r="A1337" t="s">
        <v>2021</v>
      </c>
      <c r="B1337" s="1">
        <v>45902</v>
      </c>
      <c r="C1337" t="s">
        <v>49</v>
      </c>
      <c r="D1337" t="s">
        <v>26</v>
      </c>
      <c r="E1337" t="s">
        <v>68</v>
      </c>
      <c r="F1337" t="s">
        <v>58</v>
      </c>
      <c r="G1337" t="s">
        <v>59</v>
      </c>
      <c r="H1337" t="s">
        <v>296</v>
      </c>
      <c r="I1337" t="s">
        <v>1020</v>
      </c>
      <c r="J1337" t="s">
        <v>32</v>
      </c>
      <c r="K1337" t="s">
        <v>46</v>
      </c>
      <c r="L1337" t="s">
        <v>34</v>
      </c>
      <c r="M1337" t="s">
        <v>35</v>
      </c>
      <c r="N1337" t="s">
        <v>36</v>
      </c>
      <c r="O1337">
        <v>30</v>
      </c>
      <c r="P1337">
        <v>30</v>
      </c>
      <c r="Q1337">
        <v>35.5</v>
      </c>
      <c r="R1337">
        <v>750</v>
      </c>
      <c r="S1337">
        <v>750</v>
      </c>
      <c r="T1337">
        <v>0</v>
      </c>
      <c r="U1337">
        <v>0</v>
      </c>
      <c r="V1337">
        <v>1</v>
      </c>
      <c r="W1337">
        <v>0</v>
      </c>
      <c r="X1337">
        <v>0.85</v>
      </c>
    </row>
    <row r="1338" spans="1:24" x14ac:dyDescent="0.3">
      <c r="A1338" t="s">
        <v>2022</v>
      </c>
      <c r="B1338" s="1">
        <v>45905</v>
      </c>
      <c r="C1338" t="s">
        <v>49</v>
      </c>
      <c r="D1338" t="s">
        <v>82</v>
      </c>
      <c r="E1338" t="s">
        <v>27</v>
      </c>
      <c r="F1338" t="s">
        <v>41</v>
      </c>
      <c r="G1338" t="s">
        <v>42</v>
      </c>
      <c r="H1338" t="s">
        <v>89</v>
      </c>
      <c r="I1338" t="s">
        <v>1786</v>
      </c>
      <c r="J1338" t="s">
        <v>62</v>
      </c>
      <c r="K1338" t="s">
        <v>104</v>
      </c>
      <c r="L1338" t="s">
        <v>34</v>
      </c>
      <c r="M1338" t="s">
        <v>94</v>
      </c>
      <c r="N1338" t="s">
        <v>153</v>
      </c>
      <c r="O1338">
        <v>45</v>
      </c>
      <c r="P1338">
        <v>0</v>
      </c>
      <c r="Q1338">
        <v>58.2</v>
      </c>
      <c r="R1338">
        <v>1000</v>
      </c>
      <c r="S1338">
        <v>0</v>
      </c>
      <c r="T1338">
        <v>0</v>
      </c>
      <c r="U1338">
        <v>0</v>
      </c>
      <c r="V1338">
        <v>0</v>
      </c>
      <c r="W1338">
        <v>0</v>
      </c>
      <c r="X1338">
        <v>0.85</v>
      </c>
    </row>
    <row r="1339" spans="1:24" x14ac:dyDescent="0.3">
      <c r="A1339" t="s">
        <v>2023</v>
      </c>
      <c r="B1339" s="1">
        <v>45789</v>
      </c>
      <c r="C1339" t="s">
        <v>128</v>
      </c>
      <c r="D1339" t="s">
        <v>39</v>
      </c>
      <c r="E1339" t="s">
        <v>40</v>
      </c>
      <c r="F1339" t="s">
        <v>41</v>
      </c>
      <c r="G1339" t="s">
        <v>42</v>
      </c>
      <c r="H1339" t="s">
        <v>43</v>
      </c>
      <c r="I1339" t="s">
        <v>84</v>
      </c>
      <c r="J1339" t="s">
        <v>137</v>
      </c>
      <c r="K1339" t="s">
        <v>63</v>
      </c>
      <c r="L1339" t="s">
        <v>34</v>
      </c>
      <c r="M1339" t="s">
        <v>35</v>
      </c>
      <c r="N1339" t="s">
        <v>95</v>
      </c>
      <c r="O1339">
        <v>60</v>
      </c>
      <c r="P1339">
        <v>0</v>
      </c>
      <c r="Q1339">
        <v>69</v>
      </c>
      <c r="R1339">
        <v>1350</v>
      </c>
      <c r="S1339">
        <v>0</v>
      </c>
      <c r="T1339">
        <v>1350</v>
      </c>
      <c r="U1339">
        <v>1</v>
      </c>
      <c r="V1339">
        <v>0</v>
      </c>
      <c r="W1339">
        <v>0</v>
      </c>
      <c r="X1339">
        <v>0.85</v>
      </c>
    </row>
    <row r="1340" spans="1:24" x14ac:dyDescent="0.3">
      <c r="A1340" t="s">
        <v>2024</v>
      </c>
      <c r="B1340" s="1">
        <v>46000</v>
      </c>
      <c r="C1340" t="s">
        <v>25</v>
      </c>
      <c r="D1340" t="s">
        <v>26</v>
      </c>
      <c r="E1340" t="s">
        <v>27</v>
      </c>
      <c r="F1340" t="s">
        <v>41</v>
      </c>
      <c r="G1340" t="s">
        <v>42</v>
      </c>
      <c r="H1340" t="s">
        <v>89</v>
      </c>
      <c r="I1340" t="s">
        <v>1159</v>
      </c>
      <c r="J1340" t="s">
        <v>53</v>
      </c>
      <c r="K1340" t="s">
        <v>46</v>
      </c>
      <c r="L1340" t="s">
        <v>78</v>
      </c>
      <c r="M1340" t="s">
        <v>86</v>
      </c>
      <c r="N1340" t="s">
        <v>153</v>
      </c>
      <c r="O1340">
        <v>45</v>
      </c>
      <c r="P1340">
        <v>0</v>
      </c>
      <c r="Q1340">
        <v>56.4</v>
      </c>
      <c r="R1340">
        <v>1100</v>
      </c>
      <c r="S1340">
        <v>0</v>
      </c>
      <c r="T1340">
        <v>0</v>
      </c>
      <c r="U1340">
        <v>0</v>
      </c>
      <c r="V1340">
        <v>0</v>
      </c>
      <c r="W1340">
        <v>0</v>
      </c>
      <c r="X1340">
        <v>0.85</v>
      </c>
    </row>
    <row r="1341" spans="1:24" x14ac:dyDescent="0.3">
      <c r="A1341" t="s">
        <v>2025</v>
      </c>
      <c r="B1341" s="1">
        <v>45700</v>
      </c>
      <c r="C1341" t="s">
        <v>76</v>
      </c>
      <c r="D1341" t="s">
        <v>57</v>
      </c>
      <c r="E1341" t="s">
        <v>27</v>
      </c>
      <c r="F1341" t="s">
        <v>41</v>
      </c>
      <c r="G1341" t="s">
        <v>42</v>
      </c>
      <c r="H1341" t="s">
        <v>51</v>
      </c>
      <c r="I1341" t="s">
        <v>1259</v>
      </c>
      <c r="J1341" t="s">
        <v>62</v>
      </c>
      <c r="K1341" t="s">
        <v>104</v>
      </c>
      <c r="L1341" t="s">
        <v>78</v>
      </c>
      <c r="M1341" t="s">
        <v>86</v>
      </c>
      <c r="N1341" t="s">
        <v>153</v>
      </c>
      <c r="O1341">
        <v>60</v>
      </c>
      <c r="P1341">
        <v>0</v>
      </c>
      <c r="Q1341">
        <v>75.2</v>
      </c>
      <c r="R1341">
        <v>1250</v>
      </c>
      <c r="S1341">
        <v>0</v>
      </c>
      <c r="T1341">
        <v>0</v>
      </c>
      <c r="U1341">
        <v>0</v>
      </c>
      <c r="V1341">
        <v>0</v>
      </c>
      <c r="W1341">
        <v>0</v>
      </c>
      <c r="X1341">
        <v>0.85</v>
      </c>
    </row>
    <row r="1342" spans="1:24" x14ac:dyDescent="0.3">
      <c r="A1342" t="s">
        <v>2026</v>
      </c>
      <c r="B1342" s="1">
        <v>45838</v>
      </c>
      <c r="C1342" t="s">
        <v>67</v>
      </c>
      <c r="D1342" t="s">
        <v>39</v>
      </c>
      <c r="E1342" t="s">
        <v>83</v>
      </c>
      <c r="F1342" t="s">
        <v>41</v>
      </c>
      <c r="G1342" t="s">
        <v>42</v>
      </c>
      <c r="H1342" t="s">
        <v>89</v>
      </c>
      <c r="I1342" t="s">
        <v>477</v>
      </c>
      <c r="J1342" t="s">
        <v>45</v>
      </c>
      <c r="K1342" t="s">
        <v>46</v>
      </c>
      <c r="L1342" t="s">
        <v>78</v>
      </c>
      <c r="M1342" t="s">
        <v>35</v>
      </c>
      <c r="N1342" t="s">
        <v>95</v>
      </c>
      <c r="O1342">
        <v>60</v>
      </c>
      <c r="P1342">
        <v>0</v>
      </c>
      <c r="Q1342">
        <v>72.7</v>
      </c>
      <c r="R1342">
        <v>1450</v>
      </c>
      <c r="S1342">
        <v>0</v>
      </c>
      <c r="T1342">
        <v>1450</v>
      </c>
      <c r="U1342">
        <v>1</v>
      </c>
      <c r="V1342">
        <v>0</v>
      </c>
      <c r="W1342">
        <v>0</v>
      </c>
      <c r="X1342">
        <v>0.85</v>
      </c>
    </row>
    <row r="1343" spans="1:24" x14ac:dyDescent="0.3">
      <c r="A1343" t="s">
        <v>2027</v>
      </c>
      <c r="B1343" s="1">
        <v>45980</v>
      </c>
      <c r="C1343" t="s">
        <v>38</v>
      </c>
      <c r="D1343" t="s">
        <v>57</v>
      </c>
      <c r="E1343" t="s">
        <v>68</v>
      </c>
      <c r="F1343" t="s">
        <v>28</v>
      </c>
      <c r="G1343" t="s">
        <v>29</v>
      </c>
      <c r="H1343" t="s">
        <v>120</v>
      </c>
      <c r="I1343" t="s">
        <v>532</v>
      </c>
      <c r="J1343" t="s">
        <v>62</v>
      </c>
      <c r="K1343" t="s">
        <v>63</v>
      </c>
      <c r="L1343" t="s">
        <v>64</v>
      </c>
      <c r="M1343" t="s">
        <v>65</v>
      </c>
      <c r="N1343" t="s">
        <v>95</v>
      </c>
      <c r="O1343">
        <v>45</v>
      </c>
      <c r="P1343">
        <v>0</v>
      </c>
      <c r="Q1343">
        <v>50.4</v>
      </c>
      <c r="R1343">
        <v>950</v>
      </c>
      <c r="S1343">
        <v>0</v>
      </c>
      <c r="T1343">
        <v>950</v>
      </c>
      <c r="U1343">
        <v>1</v>
      </c>
      <c r="V1343">
        <v>0</v>
      </c>
      <c r="W1343">
        <v>0</v>
      </c>
      <c r="X1343">
        <v>0.85</v>
      </c>
    </row>
    <row r="1344" spans="1:24" x14ac:dyDescent="0.3">
      <c r="A1344" t="s">
        <v>2028</v>
      </c>
      <c r="B1344" s="1">
        <v>45958</v>
      </c>
      <c r="C1344" t="s">
        <v>97</v>
      </c>
      <c r="D1344" t="s">
        <v>26</v>
      </c>
      <c r="E1344" t="s">
        <v>40</v>
      </c>
      <c r="F1344" t="s">
        <v>58</v>
      </c>
      <c r="G1344" t="s">
        <v>59</v>
      </c>
      <c r="H1344" t="s">
        <v>60</v>
      </c>
      <c r="I1344" t="s">
        <v>1999</v>
      </c>
      <c r="J1344" t="s">
        <v>53</v>
      </c>
      <c r="K1344" t="s">
        <v>46</v>
      </c>
      <c r="L1344" t="s">
        <v>54</v>
      </c>
      <c r="M1344" t="s">
        <v>65</v>
      </c>
      <c r="N1344" t="s">
        <v>36</v>
      </c>
      <c r="O1344">
        <v>60</v>
      </c>
      <c r="P1344">
        <v>60</v>
      </c>
      <c r="Q1344">
        <v>71.900000000000006</v>
      </c>
      <c r="R1344">
        <v>1550</v>
      </c>
      <c r="S1344">
        <v>1550</v>
      </c>
      <c r="T1344">
        <v>0</v>
      </c>
      <c r="U1344">
        <v>0</v>
      </c>
      <c r="V1344">
        <v>1</v>
      </c>
      <c r="W1344">
        <v>0</v>
      </c>
      <c r="X1344">
        <v>0.85</v>
      </c>
    </row>
    <row r="1345" spans="1:24" x14ac:dyDescent="0.3">
      <c r="A1345" t="s">
        <v>2029</v>
      </c>
      <c r="B1345" s="1">
        <v>45658</v>
      </c>
      <c r="C1345" t="s">
        <v>130</v>
      </c>
      <c r="D1345" t="s">
        <v>57</v>
      </c>
      <c r="E1345" t="s">
        <v>40</v>
      </c>
      <c r="F1345" t="s">
        <v>41</v>
      </c>
      <c r="G1345" t="s">
        <v>42</v>
      </c>
      <c r="H1345" t="s">
        <v>89</v>
      </c>
      <c r="I1345" t="s">
        <v>1263</v>
      </c>
      <c r="J1345" t="s">
        <v>62</v>
      </c>
      <c r="K1345" t="s">
        <v>70</v>
      </c>
      <c r="L1345" t="s">
        <v>78</v>
      </c>
      <c r="M1345" t="s">
        <v>94</v>
      </c>
      <c r="N1345" t="s">
        <v>36</v>
      </c>
      <c r="O1345">
        <v>75</v>
      </c>
      <c r="P1345">
        <v>75</v>
      </c>
      <c r="Q1345">
        <v>88.1</v>
      </c>
      <c r="R1345">
        <v>1550</v>
      </c>
      <c r="S1345">
        <v>1550</v>
      </c>
      <c r="T1345">
        <v>0</v>
      </c>
      <c r="U1345">
        <v>0</v>
      </c>
      <c r="V1345">
        <v>1</v>
      </c>
      <c r="W1345">
        <v>0</v>
      </c>
      <c r="X1345">
        <v>0.85</v>
      </c>
    </row>
    <row r="1346" spans="1:24" x14ac:dyDescent="0.3">
      <c r="A1346" t="s">
        <v>2030</v>
      </c>
      <c r="B1346" s="1">
        <v>45965</v>
      </c>
      <c r="C1346" t="s">
        <v>38</v>
      </c>
      <c r="D1346" t="s">
        <v>26</v>
      </c>
      <c r="E1346" t="s">
        <v>68</v>
      </c>
      <c r="F1346" t="s">
        <v>58</v>
      </c>
      <c r="G1346" t="s">
        <v>59</v>
      </c>
      <c r="H1346" t="s">
        <v>296</v>
      </c>
      <c r="I1346" t="s">
        <v>1666</v>
      </c>
      <c r="J1346" t="s">
        <v>62</v>
      </c>
      <c r="K1346" t="s">
        <v>46</v>
      </c>
      <c r="L1346" t="s">
        <v>54</v>
      </c>
      <c r="M1346" t="s">
        <v>65</v>
      </c>
      <c r="N1346" t="s">
        <v>36</v>
      </c>
      <c r="O1346">
        <v>60</v>
      </c>
      <c r="P1346">
        <v>60</v>
      </c>
      <c r="Q1346">
        <v>71.099999999999994</v>
      </c>
      <c r="R1346">
        <v>1300</v>
      </c>
      <c r="S1346">
        <v>1300</v>
      </c>
      <c r="T1346">
        <v>0</v>
      </c>
      <c r="U1346">
        <v>0</v>
      </c>
      <c r="V1346">
        <v>1</v>
      </c>
      <c r="W1346">
        <v>0</v>
      </c>
      <c r="X1346">
        <v>0.85</v>
      </c>
    </row>
    <row r="1347" spans="1:24" x14ac:dyDescent="0.3">
      <c r="A1347" t="s">
        <v>2031</v>
      </c>
      <c r="B1347" s="1">
        <v>45667</v>
      </c>
      <c r="C1347" t="s">
        <v>130</v>
      </c>
      <c r="D1347" t="s">
        <v>82</v>
      </c>
      <c r="E1347" t="s">
        <v>27</v>
      </c>
      <c r="F1347" t="s">
        <v>28</v>
      </c>
      <c r="G1347" t="s">
        <v>29</v>
      </c>
      <c r="H1347" t="s">
        <v>102</v>
      </c>
      <c r="I1347" t="s">
        <v>444</v>
      </c>
      <c r="J1347" t="s">
        <v>62</v>
      </c>
      <c r="K1347" t="s">
        <v>104</v>
      </c>
      <c r="L1347" t="s">
        <v>54</v>
      </c>
      <c r="M1347" t="s">
        <v>35</v>
      </c>
      <c r="N1347" t="s">
        <v>36</v>
      </c>
      <c r="O1347">
        <v>45</v>
      </c>
      <c r="P1347">
        <v>45</v>
      </c>
      <c r="Q1347">
        <v>51.2</v>
      </c>
      <c r="R1347">
        <v>800</v>
      </c>
      <c r="S1347">
        <v>800</v>
      </c>
      <c r="T1347">
        <v>0</v>
      </c>
      <c r="U1347">
        <v>0</v>
      </c>
      <c r="V1347">
        <v>1</v>
      </c>
      <c r="W1347">
        <v>0</v>
      </c>
      <c r="X1347">
        <v>0.85</v>
      </c>
    </row>
    <row r="1348" spans="1:24" x14ac:dyDescent="0.3">
      <c r="A1348" t="s">
        <v>2032</v>
      </c>
      <c r="B1348" s="1">
        <v>45992</v>
      </c>
      <c r="C1348" t="s">
        <v>25</v>
      </c>
      <c r="D1348" t="s">
        <v>39</v>
      </c>
      <c r="E1348" t="s">
        <v>83</v>
      </c>
      <c r="F1348" t="s">
        <v>41</v>
      </c>
      <c r="G1348" t="s">
        <v>42</v>
      </c>
      <c r="H1348" t="s">
        <v>111</v>
      </c>
      <c r="I1348" t="s">
        <v>2033</v>
      </c>
      <c r="J1348" t="s">
        <v>62</v>
      </c>
      <c r="K1348" t="s">
        <v>46</v>
      </c>
      <c r="L1348" t="s">
        <v>34</v>
      </c>
      <c r="M1348" t="s">
        <v>86</v>
      </c>
      <c r="N1348" t="s">
        <v>36</v>
      </c>
      <c r="O1348">
        <v>45</v>
      </c>
      <c r="P1348">
        <v>45</v>
      </c>
      <c r="Q1348">
        <v>55.3</v>
      </c>
      <c r="R1348">
        <v>1000</v>
      </c>
      <c r="S1348">
        <v>1000</v>
      </c>
      <c r="T1348">
        <v>0</v>
      </c>
      <c r="U1348">
        <v>0</v>
      </c>
      <c r="V1348">
        <v>1</v>
      </c>
      <c r="W1348">
        <v>0</v>
      </c>
      <c r="X1348">
        <v>0.85</v>
      </c>
    </row>
    <row r="1349" spans="1:24" x14ac:dyDescent="0.3">
      <c r="A1349" t="s">
        <v>2034</v>
      </c>
      <c r="B1349" s="1">
        <v>45956</v>
      </c>
      <c r="C1349" t="s">
        <v>97</v>
      </c>
      <c r="D1349" t="s">
        <v>287</v>
      </c>
      <c r="E1349" t="s">
        <v>68</v>
      </c>
      <c r="F1349" t="s">
        <v>28</v>
      </c>
      <c r="G1349" t="s">
        <v>29</v>
      </c>
      <c r="H1349" t="s">
        <v>102</v>
      </c>
      <c r="I1349" t="s">
        <v>2035</v>
      </c>
      <c r="J1349" t="s">
        <v>53</v>
      </c>
      <c r="K1349" t="s">
        <v>46</v>
      </c>
      <c r="L1349" t="s">
        <v>34</v>
      </c>
      <c r="M1349" t="s">
        <v>65</v>
      </c>
      <c r="N1349" t="s">
        <v>113</v>
      </c>
      <c r="O1349">
        <v>60</v>
      </c>
      <c r="P1349">
        <v>0</v>
      </c>
      <c r="Q1349">
        <v>70.900000000000006</v>
      </c>
      <c r="R1349">
        <v>1500</v>
      </c>
      <c r="S1349">
        <v>0</v>
      </c>
      <c r="T1349">
        <v>1500</v>
      </c>
      <c r="U1349">
        <v>0</v>
      </c>
      <c r="V1349">
        <v>0</v>
      </c>
      <c r="W1349">
        <v>1</v>
      </c>
      <c r="X1349">
        <v>0.85</v>
      </c>
    </row>
    <row r="1350" spans="1:24" x14ac:dyDescent="0.3">
      <c r="A1350" t="s">
        <v>2036</v>
      </c>
      <c r="B1350" s="1">
        <v>45747</v>
      </c>
      <c r="C1350" t="s">
        <v>56</v>
      </c>
      <c r="D1350" t="s">
        <v>39</v>
      </c>
      <c r="E1350" t="s">
        <v>40</v>
      </c>
      <c r="F1350" t="s">
        <v>28</v>
      </c>
      <c r="G1350" t="s">
        <v>29</v>
      </c>
      <c r="H1350" t="s">
        <v>102</v>
      </c>
      <c r="I1350" t="s">
        <v>372</v>
      </c>
      <c r="J1350" t="s">
        <v>45</v>
      </c>
      <c r="K1350" t="s">
        <v>33</v>
      </c>
      <c r="L1350" t="s">
        <v>64</v>
      </c>
      <c r="M1350" t="s">
        <v>86</v>
      </c>
      <c r="N1350" t="s">
        <v>36</v>
      </c>
      <c r="O1350">
        <v>60</v>
      </c>
      <c r="P1350">
        <v>60</v>
      </c>
      <c r="Q1350">
        <v>76</v>
      </c>
      <c r="R1350">
        <v>1450</v>
      </c>
      <c r="S1350">
        <v>1450</v>
      </c>
      <c r="T1350">
        <v>0</v>
      </c>
      <c r="U1350">
        <v>0</v>
      </c>
      <c r="V1350">
        <v>1</v>
      </c>
      <c r="W1350">
        <v>0</v>
      </c>
      <c r="X1350">
        <v>0.85</v>
      </c>
    </row>
    <row r="1351" spans="1:24" x14ac:dyDescent="0.3">
      <c r="A1351" t="s">
        <v>2037</v>
      </c>
      <c r="B1351" s="1">
        <v>45979</v>
      </c>
      <c r="C1351" t="s">
        <v>38</v>
      </c>
      <c r="D1351" t="s">
        <v>26</v>
      </c>
      <c r="E1351" t="s">
        <v>27</v>
      </c>
      <c r="F1351" t="s">
        <v>58</v>
      </c>
      <c r="G1351" t="s">
        <v>59</v>
      </c>
      <c r="H1351" t="s">
        <v>73</v>
      </c>
      <c r="I1351" t="s">
        <v>182</v>
      </c>
      <c r="J1351" t="s">
        <v>137</v>
      </c>
      <c r="K1351" t="s">
        <v>85</v>
      </c>
      <c r="L1351" t="s">
        <v>54</v>
      </c>
      <c r="M1351" t="s">
        <v>71</v>
      </c>
      <c r="N1351" t="s">
        <v>36</v>
      </c>
      <c r="O1351">
        <v>60</v>
      </c>
      <c r="P1351">
        <v>60</v>
      </c>
      <c r="Q1351">
        <v>76.5</v>
      </c>
      <c r="R1351">
        <v>1300</v>
      </c>
      <c r="S1351">
        <v>1300</v>
      </c>
      <c r="T1351">
        <v>0</v>
      </c>
      <c r="U1351">
        <v>0</v>
      </c>
      <c r="V1351">
        <v>1</v>
      </c>
      <c r="W1351">
        <v>0</v>
      </c>
      <c r="X1351">
        <v>0.85</v>
      </c>
    </row>
    <row r="1352" spans="1:24" x14ac:dyDescent="0.3">
      <c r="A1352" t="s">
        <v>2038</v>
      </c>
      <c r="B1352" s="1">
        <v>45965</v>
      </c>
      <c r="C1352" t="s">
        <v>38</v>
      </c>
      <c r="D1352" t="s">
        <v>26</v>
      </c>
      <c r="E1352" t="s">
        <v>68</v>
      </c>
      <c r="F1352" t="s">
        <v>28</v>
      </c>
      <c r="G1352" t="s">
        <v>29</v>
      </c>
      <c r="H1352" t="s">
        <v>102</v>
      </c>
      <c r="I1352" t="s">
        <v>1059</v>
      </c>
      <c r="J1352" t="s">
        <v>99</v>
      </c>
      <c r="K1352" t="s">
        <v>33</v>
      </c>
      <c r="L1352" t="s">
        <v>64</v>
      </c>
      <c r="M1352" t="s">
        <v>35</v>
      </c>
      <c r="N1352" t="s">
        <v>36</v>
      </c>
      <c r="O1352">
        <v>60</v>
      </c>
      <c r="P1352">
        <v>60</v>
      </c>
      <c r="Q1352">
        <v>80.2</v>
      </c>
      <c r="R1352">
        <v>1250</v>
      </c>
      <c r="S1352">
        <v>1250</v>
      </c>
      <c r="T1352">
        <v>0</v>
      </c>
      <c r="U1352">
        <v>0</v>
      </c>
      <c r="V1352">
        <v>1</v>
      </c>
      <c r="W1352">
        <v>0</v>
      </c>
      <c r="X1352">
        <v>0.85</v>
      </c>
    </row>
    <row r="1353" spans="1:24" x14ac:dyDescent="0.3">
      <c r="A1353" t="s">
        <v>2039</v>
      </c>
      <c r="B1353" s="1">
        <v>45693</v>
      </c>
      <c r="C1353" t="s">
        <v>76</v>
      </c>
      <c r="D1353" t="s">
        <v>57</v>
      </c>
      <c r="E1353" t="s">
        <v>83</v>
      </c>
      <c r="F1353" t="s">
        <v>58</v>
      </c>
      <c r="G1353" t="s">
        <v>59</v>
      </c>
      <c r="H1353" t="s">
        <v>151</v>
      </c>
      <c r="I1353" t="s">
        <v>2040</v>
      </c>
      <c r="J1353" t="s">
        <v>53</v>
      </c>
      <c r="K1353" t="s">
        <v>104</v>
      </c>
      <c r="L1353" t="s">
        <v>54</v>
      </c>
      <c r="M1353" t="s">
        <v>47</v>
      </c>
      <c r="N1353" t="s">
        <v>95</v>
      </c>
      <c r="O1353">
        <v>45</v>
      </c>
      <c r="P1353">
        <v>0</v>
      </c>
      <c r="Q1353">
        <v>51.6</v>
      </c>
      <c r="R1353">
        <v>1150</v>
      </c>
      <c r="S1353">
        <v>0</v>
      </c>
      <c r="T1353">
        <v>1150</v>
      </c>
      <c r="U1353">
        <v>1</v>
      </c>
      <c r="V1353">
        <v>0</v>
      </c>
      <c r="W1353">
        <v>0</v>
      </c>
      <c r="X1353">
        <v>0.85</v>
      </c>
    </row>
    <row r="1354" spans="1:24" x14ac:dyDescent="0.3">
      <c r="A1354" t="s">
        <v>2041</v>
      </c>
      <c r="B1354" s="1">
        <v>45716</v>
      </c>
      <c r="C1354" t="s">
        <v>76</v>
      </c>
      <c r="D1354" t="s">
        <v>82</v>
      </c>
      <c r="E1354" t="s">
        <v>68</v>
      </c>
      <c r="F1354" t="s">
        <v>28</v>
      </c>
      <c r="G1354" t="s">
        <v>29</v>
      </c>
      <c r="H1354" t="s">
        <v>210</v>
      </c>
      <c r="I1354" t="s">
        <v>2042</v>
      </c>
      <c r="J1354" t="s">
        <v>99</v>
      </c>
      <c r="K1354" t="s">
        <v>46</v>
      </c>
      <c r="L1354" t="s">
        <v>78</v>
      </c>
      <c r="M1354" t="s">
        <v>71</v>
      </c>
      <c r="N1354" t="s">
        <v>36</v>
      </c>
      <c r="O1354">
        <v>45</v>
      </c>
      <c r="P1354">
        <v>45</v>
      </c>
      <c r="Q1354">
        <v>53.2</v>
      </c>
      <c r="R1354">
        <v>850</v>
      </c>
      <c r="S1354">
        <v>850</v>
      </c>
      <c r="T1354">
        <v>0</v>
      </c>
      <c r="U1354">
        <v>0</v>
      </c>
      <c r="V1354">
        <v>1</v>
      </c>
      <c r="W1354">
        <v>0</v>
      </c>
      <c r="X1354">
        <v>0.85</v>
      </c>
    </row>
    <row r="1355" spans="1:24" x14ac:dyDescent="0.3">
      <c r="A1355" t="s">
        <v>2043</v>
      </c>
      <c r="B1355" s="1">
        <v>45898</v>
      </c>
      <c r="C1355" t="s">
        <v>110</v>
      </c>
      <c r="D1355" t="s">
        <v>82</v>
      </c>
      <c r="E1355" t="s">
        <v>83</v>
      </c>
      <c r="F1355" t="s">
        <v>41</v>
      </c>
      <c r="G1355" t="s">
        <v>42</v>
      </c>
      <c r="H1355" t="s">
        <v>89</v>
      </c>
      <c r="I1355" t="s">
        <v>2044</v>
      </c>
      <c r="J1355" t="s">
        <v>32</v>
      </c>
      <c r="K1355" t="s">
        <v>85</v>
      </c>
      <c r="L1355" t="s">
        <v>34</v>
      </c>
      <c r="M1355" t="s">
        <v>94</v>
      </c>
      <c r="N1355" t="s">
        <v>95</v>
      </c>
      <c r="O1355">
        <v>60</v>
      </c>
      <c r="P1355">
        <v>0</v>
      </c>
      <c r="Q1355">
        <v>78.5</v>
      </c>
      <c r="R1355">
        <v>1350</v>
      </c>
      <c r="S1355">
        <v>0</v>
      </c>
      <c r="T1355">
        <v>1350</v>
      </c>
      <c r="U1355">
        <v>1</v>
      </c>
      <c r="V1355">
        <v>0</v>
      </c>
      <c r="W1355">
        <v>0</v>
      </c>
      <c r="X1355">
        <v>0.85</v>
      </c>
    </row>
    <row r="1356" spans="1:24" x14ac:dyDescent="0.3">
      <c r="A1356" t="s">
        <v>2045</v>
      </c>
      <c r="B1356" s="1">
        <v>45681</v>
      </c>
      <c r="C1356" t="s">
        <v>130</v>
      </c>
      <c r="D1356" t="s">
        <v>82</v>
      </c>
      <c r="E1356" t="s">
        <v>68</v>
      </c>
      <c r="F1356" t="s">
        <v>28</v>
      </c>
      <c r="G1356" t="s">
        <v>29</v>
      </c>
      <c r="H1356" t="s">
        <v>30</v>
      </c>
      <c r="I1356" t="s">
        <v>456</v>
      </c>
      <c r="J1356" t="s">
        <v>62</v>
      </c>
      <c r="K1356" t="s">
        <v>70</v>
      </c>
      <c r="L1356" t="s">
        <v>54</v>
      </c>
      <c r="M1356" t="s">
        <v>71</v>
      </c>
      <c r="N1356" t="s">
        <v>153</v>
      </c>
      <c r="O1356">
        <v>90</v>
      </c>
      <c r="P1356">
        <v>0</v>
      </c>
      <c r="Q1356">
        <v>106.3</v>
      </c>
      <c r="R1356">
        <v>1600</v>
      </c>
      <c r="S1356">
        <v>0</v>
      </c>
      <c r="T1356">
        <v>0</v>
      </c>
      <c r="U1356">
        <v>0</v>
      </c>
      <c r="V1356">
        <v>0</v>
      </c>
      <c r="W1356">
        <v>0</v>
      </c>
      <c r="X1356">
        <v>0.85</v>
      </c>
    </row>
    <row r="1357" spans="1:24" x14ac:dyDescent="0.3">
      <c r="A1357" t="s">
        <v>2046</v>
      </c>
      <c r="B1357" s="1">
        <v>45667</v>
      </c>
      <c r="C1357" t="s">
        <v>130</v>
      </c>
      <c r="D1357" t="s">
        <v>82</v>
      </c>
      <c r="E1357" t="s">
        <v>40</v>
      </c>
      <c r="F1357" t="s">
        <v>58</v>
      </c>
      <c r="G1357" t="s">
        <v>59</v>
      </c>
      <c r="H1357" t="s">
        <v>73</v>
      </c>
      <c r="I1357" t="s">
        <v>2047</v>
      </c>
      <c r="J1357" t="s">
        <v>62</v>
      </c>
      <c r="K1357" t="s">
        <v>63</v>
      </c>
      <c r="L1357" t="s">
        <v>78</v>
      </c>
      <c r="M1357" t="s">
        <v>35</v>
      </c>
      <c r="N1357" t="s">
        <v>36</v>
      </c>
      <c r="O1357">
        <v>60</v>
      </c>
      <c r="P1357">
        <v>60</v>
      </c>
      <c r="Q1357">
        <v>69</v>
      </c>
      <c r="R1357">
        <v>1400</v>
      </c>
      <c r="S1357">
        <v>1400</v>
      </c>
      <c r="T1357">
        <v>0</v>
      </c>
      <c r="U1357">
        <v>0</v>
      </c>
      <c r="V1357">
        <v>1</v>
      </c>
      <c r="W1357">
        <v>0</v>
      </c>
      <c r="X1357">
        <v>0.85</v>
      </c>
    </row>
    <row r="1358" spans="1:24" x14ac:dyDescent="0.3">
      <c r="A1358" t="s">
        <v>2048</v>
      </c>
      <c r="B1358" s="1">
        <v>45843</v>
      </c>
      <c r="C1358" t="s">
        <v>101</v>
      </c>
      <c r="D1358" t="s">
        <v>88</v>
      </c>
      <c r="E1358" t="s">
        <v>68</v>
      </c>
      <c r="F1358" t="s">
        <v>28</v>
      </c>
      <c r="G1358" t="s">
        <v>29</v>
      </c>
      <c r="H1358" t="s">
        <v>120</v>
      </c>
      <c r="I1358" t="s">
        <v>433</v>
      </c>
      <c r="J1358" t="s">
        <v>53</v>
      </c>
      <c r="K1358" t="s">
        <v>70</v>
      </c>
      <c r="L1358" t="s">
        <v>34</v>
      </c>
      <c r="M1358" t="s">
        <v>47</v>
      </c>
      <c r="N1358" t="s">
        <v>95</v>
      </c>
      <c r="O1358">
        <v>75</v>
      </c>
      <c r="P1358">
        <v>0</v>
      </c>
      <c r="Q1358">
        <v>94.8</v>
      </c>
      <c r="R1358">
        <v>1900</v>
      </c>
      <c r="S1358">
        <v>0</v>
      </c>
      <c r="T1358">
        <v>1900</v>
      </c>
      <c r="U1358">
        <v>1</v>
      </c>
      <c r="V1358">
        <v>0</v>
      </c>
      <c r="W1358">
        <v>0</v>
      </c>
      <c r="X1358">
        <v>0.85</v>
      </c>
    </row>
    <row r="1359" spans="1:24" x14ac:dyDescent="0.3">
      <c r="A1359" t="s">
        <v>2049</v>
      </c>
      <c r="B1359" s="1">
        <v>45953</v>
      </c>
      <c r="C1359" t="s">
        <v>97</v>
      </c>
      <c r="D1359" t="s">
        <v>50</v>
      </c>
      <c r="E1359" t="s">
        <v>68</v>
      </c>
      <c r="F1359" t="s">
        <v>58</v>
      </c>
      <c r="G1359" t="s">
        <v>59</v>
      </c>
      <c r="H1359" t="s">
        <v>151</v>
      </c>
      <c r="I1359" t="s">
        <v>1460</v>
      </c>
      <c r="J1359" t="s">
        <v>62</v>
      </c>
      <c r="K1359" t="s">
        <v>46</v>
      </c>
      <c r="L1359" t="s">
        <v>34</v>
      </c>
      <c r="M1359" t="s">
        <v>94</v>
      </c>
      <c r="N1359" t="s">
        <v>36</v>
      </c>
      <c r="O1359">
        <v>45</v>
      </c>
      <c r="P1359">
        <v>45</v>
      </c>
      <c r="Q1359">
        <v>58.8</v>
      </c>
      <c r="R1359">
        <v>1100</v>
      </c>
      <c r="S1359">
        <v>1100</v>
      </c>
      <c r="T1359">
        <v>0</v>
      </c>
      <c r="U1359">
        <v>0</v>
      </c>
      <c r="V1359">
        <v>1</v>
      </c>
      <c r="W1359">
        <v>0</v>
      </c>
      <c r="X1359">
        <v>0.85</v>
      </c>
    </row>
    <row r="1360" spans="1:24" x14ac:dyDescent="0.3">
      <c r="A1360" t="s">
        <v>2050</v>
      </c>
      <c r="B1360" s="1">
        <v>45901</v>
      </c>
      <c r="C1360" t="s">
        <v>49</v>
      </c>
      <c r="D1360" t="s">
        <v>39</v>
      </c>
      <c r="E1360" t="s">
        <v>40</v>
      </c>
      <c r="F1360" t="s">
        <v>41</v>
      </c>
      <c r="G1360" t="s">
        <v>42</v>
      </c>
      <c r="H1360" t="s">
        <v>51</v>
      </c>
      <c r="I1360" t="s">
        <v>1347</v>
      </c>
      <c r="J1360" t="s">
        <v>62</v>
      </c>
      <c r="K1360" t="s">
        <v>46</v>
      </c>
      <c r="L1360" t="s">
        <v>34</v>
      </c>
      <c r="M1360" t="s">
        <v>65</v>
      </c>
      <c r="N1360" t="s">
        <v>36</v>
      </c>
      <c r="O1360">
        <v>60</v>
      </c>
      <c r="P1360">
        <v>60</v>
      </c>
      <c r="Q1360">
        <v>69</v>
      </c>
      <c r="R1360">
        <v>1350</v>
      </c>
      <c r="S1360">
        <v>1350</v>
      </c>
      <c r="T1360">
        <v>0</v>
      </c>
      <c r="U1360">
        <v>0</v>
      </c>
      <c r="V1360">
        <v>1</v>
      </c>
      <c r="W1360">
        <v>0</v>
      </c>
      <c r="X1360">
        <v>0.85</v>
      </c>
    </row>
    <row r="1361" spans="1:24" x14ac:dyDescent="0.3">
      <c r="A1361" t="s">
        <v>2051</v>
      </c>
      <c r="B1361" s="1">
        <v>45720</v>
      </c>
      <c r="C1361" t="s">
        <v>56</v>
      </c>
      <c r="D1361" t="s">
        <v>26</v>
      </c>
      <c r="E1361" t="s">
        <v>40</v>
      </c>
      <c r="F1361" t="s">
        <v>28</v>
      </c>
      <c r="G1361" t="s">
        <v>29</v>
      </c>
      <c r="H1361" t="s">
        <v>102</v>
      </c>
      <c r="I1361" t="s">
        <v>505</v>
      </c>
      <c r="J1361" t="s">
        <v>45</v>
      </c>
      <c r="K1361" t="s">
        <v>33</v>
      </c>
      <c r="L1361" t="s">
        <v>64</v>
      </c>
      <c r="M1361" t="s">
        <v>35</v>
      </c>
      <c r="N1361" t="s">
        <v>36</v>
      </c>
      <c r="O1361">
        <v>30</v>
      </c>
      <c r="P1361">
        <v>30</v>
      </c>
      <c r="Q1361">
        <v>37.299999999999997</v>
      </c>
      <c r="R1361">
        <v>700</v>
      </c>
      <c r="S1361">
        <v>700</v>
      </c>
      <c r="T1361">
        <v>0</v>
      </c>
      <c r="U1361">
        <v>0</v>
      </c>
      <c r="V1361">
        <v>1</v>
      </c>
      <c r="W1361">
        <v>0</v>
      </c>
      <c r="X1361">
        <v>0.85</v>
      </c>
    </row>
    <row r="1362" spans="1:24" x14ac:dyDescent="0.3">
      <c r="A1362" t="s">
        <v>2052</v>
      </c>
      <c r="B1362" s="1">
        <v>45824</v>
      </c>
      <c r="C1362" t="s">
        <v>67</v>
      </c>
      <c r="D1362" t="s">
        <v>39</v>
      </c>
      <c r="E1362" t="s">
        <v>27</v>
      </c>
      <c r="F1362" t="s">
        <v>41</v>
      </c>
      <c r="G1362" t="s">
        <v>42</v>
      </c>
      <c r="H1362" t="s">
        <v>51</v>
      </c>
      <c r="I1362" t="s">
        <v>1219</v>
      </c>
      <c r="J1362" t="s">
        <v>32</v>
      </c>
      <c r="K1362" t="s">
        <v>104</v>
      </c>
      <c r="L1362" t="s">
        <v>54</v>
      </c>
      <c r="M1362" t="s">
        <v>65</v>
      </c>
      <c r="N1362" t="s">
        <v>36</v>
      </c>
      <c r="O1362">
        <v>45</v>
      </c>
      <c r="P1362">
        <v>45</v>
      </c>
      <c r="Q1362">
        <v>57.5</v>
      </c>
      <c r="R1362">
        <v>850</v>
      </c>
      <c r="S1362">
        <v>850</v>
      </c>
      <c r="T1362">
        <v>0</v>
      </c>
      <c r="U1362">
        <v>0</v>
      </c>
      <c r="V1362">
        <v>1</v>
      </c>
      <c r="W1362">
        <v>0</v>
      </c>
      <c r="X1362">
        <v>0.85</v>
      </c>
    </row>
    <row r="1363" spans="1:24" x14ac:dyDescent="0.3">
      <c r="A1363" t="s">
        <v>2053</v>
      </c>
      <c r="B1363" s="1">
        <v>45768</v>
      </c>
      <c r="C1363" t="s">
        <v>92</v>
      </c>
      <c r="D1363" t="s">
        <v>39</v>
      </c>
      <c r="E1363" t="s">
        <v>83</v>
      </c>
      <c r="F1363" t="s">
        <v>58</v>
      </c>
      <c r="G1363" t="s">
        <v>59</v>
      </c>
      <c r="H1363" t="s">
        <v>117</v>
      </c>
      <c r="I1363" t="s">
        <v>261</v>
      </c>
      <c r="J1363" t="s">
        <v>62</v>
      </c>
      <c r="K1363" t="s">
        <v>46</v>
      </c>
      <c r="L1363" t="s">
        <v>34</v>
      </c>
      <c r="M1363" t="s">
        <v>94</v>
      </c>
      <c r="N1363" t="s">
        <v>36</v>
      </c>
      <c r="O1363">
        <v>90</v>
      </c>
      <c r="P1363">
        <v>90</v>
      </c>
      <c r="Q1363">
        <v>99.1</v>
      </c>
      <c r="R1363">
        <v>2250</v>
      </c>
      <c r="S1363">
        <v>2250</v>
      </c>
      <c r="T1363">
        <v>0</v>
      </c>
      <c r="U1363">
        <v>0</v>
      </c>
      <c r="V1363">
        <v>1</v>
      </c>
      <c r="W1363">
        <v>0</v>
      </c>
      <c r="X1363">
        <v>0.85</v>
      </c>
    </row>
    <row r="1364" spans="1:24" x14ac:dyDescent="0.3">
      <c r="A1364" t="s">
        <v>2054</v>
      </c>
      <c r="B1364" s="1">
        <v>45908</v>
      </c>
      <c r="C1364" t="s">
        <v>49</v>
      </c>
      <c r="D1364" t="s">
        <v>39</v>
      </c>
      <c r="E1364" t="s">
        <v>83</v>
      </c>
      <c r="F1364" t="s">
        <v>58</v>
      </c>
      <c r="G1364" t="s">
        <v>59</v>
      </c>
      <c r="H1364" t="s">
        <v>60</v>
      </c>
      <c r="I1364" t="s">
        <v>744</v>
      </c>
      <c r="J1364" t="s">
        <v>62</v>
      </c>
      <c r="K1364" t="s">
        <v>70</v>
      </c>
      <c r="L1364" t="s">
        <v>54</v>
      </c>
      <c r="M1364" t="s">
        <v>86</v>
      </c>
      <c r="N1364" t="s">
        <v>36</v>
      </c>
      <c r="O1364">
        <v>75</v>
      </c>
      <c r="P1364">
        <v>75</v>
      </c>
      <c r="Q1364">
        <v>101.3</v>
      </c>
      <c r="R1364">
        <v>1600</v>
      </c>
      <c r="S1364">
        <v>1600</v>
      </c>
      <c r="T1364">
        <v>0</v>
      </c>
      <c r="U1364">
        <v>0</v>
      </c>
      <c r="V1364">
        <v>1</v>
      </c>
      <c r="W1364">
        <v>0</v>
      </c>
      <c r="X1364">
        <v>0.85</v>
      </c>
    </row>
    <row r="1365" spans="1:24" x14ac:dyDescent="0.3">
      <c r="A1365" t="s">
        <v>2055</v>
      </c>
      <c r="B1365" s="1">
        <v>45730</v>
      </c>
      <c r="C1365" t="s">
        <v>56</v>
      </c>
      <c r="D1365" t="s">
        <v>82</v>
      </c>
      <c r="E1365" t="s">
        <v>83</v>
      </c>
      <c r="F1365" t="s">
        <v>58</v>
      </c>
      <c r="G1365" t="s">
        <v>59</v>
      </c>
      <c r="H1365" t="s">
        <v>73</v>
      </c>
      <c r="I1365" t="s">
        <v>2056</v>
      </c>
      <c r="J1365" t="s">
        <v>62</v>
      </c>
      <c r="K1365" t="s">
        <v>33</v>
      </c>
      <c r="L1365" t="s">
        <v>64</v>
      </c>
      <c r="M1365" t="s">
        <v>35</v>
      </c>
      <c r="N1365" t="s">
        <v>36</v>
      </c>
      <c r="O1365">
        <v>90</v>
      </c>
      <c r="P1365">
        <v>90</v>
      </c>
      <c r="Q1365">
        <v>116.1</v>
      </c>
      <c r="R1365">
        <v>2250</v>
      </c>
      <c r="S1365">
        <v>2250</v>
      </c>
      <c r="T1365">
        <v>0</v>
      </c>
      <c r="U1365">
        <v>0</v>
      </c>
      <c r="V1365">
        <v>1</v>
      </c>
      <c r="W1365">
        <v>0</v>
      </c>
      <c r="X1365">
        <v>0.85</v>
      </c>
    </row>
    <row r="1366" spans="1:24" x14ac:dyDescent="0.3">
      <c r="A1366" t="s">
        <v>2057</v>
      </c>
      <c r="B1366" s="1">
        <v>45892</v>
      </c>
      <c r="C1366" t="s">
        <v>110</v>
      </c>
      <c r="D1366" t="s">
        <v>88</v>
      </c>
      <c r="E1366" t="s">
        <v>40</v>
      </c>
      <c r="F1366" t="s">
        <v>41</v>
      </c>
      <c r="G1366" t="s">
        <v>42</v>
      </c>
      <c r="H1366" t="s">
        <v>111</v>
      </c>
      <c r="I1366" t="s">
        <v>1347</v>
      </c>
      <c r="J1366" t="s">
        <v>62</v>
      </c>
      <c r="K1366" t="s">
        <v>33</v>
      </c>
      <c r="L1366" t="s">
        <v>34</v>
      </c>
      <c r="M1366" t="s">
        <v>86</v>
      </c>
      <c r="N1366" t="s">
        <v>36</v>
      </c>
      <c r="O1366">
        <v>75</v>
      </c>
      <c r="P1366">
        <v>75</v>
      </c>
      <c r="Q1366">
        <v>85</v>
      </c>
      <c r="R1366">
        <v>1700</v>
      </c>
      <c r="S1366">
        <v>1700</v>
      </c>
      <c r="T1366">
        <v>0</v>
      </c>
      <c r="U1366">
        <v>0</v>
      </c>
      <c r="V1366">
        <v>1</v>
      </c>
      <c r="W1366">
        <v>0</v>
      </c>
      <c r="X1366">
        <v>0.85</v>
      </c>
    </row>
    <row r="1367" spans="1:24" x14ac:dyDescent="0.3">
      <c r="A1367" t="s">
        <v>2058</v>
      </c>
      <c r="B1367" s="1">
        <v>45876</v>
      </c>
      <c r="C1367" t="s">
        <v>110</v>
      </c>
      <c r="D1367" t="s">
        <v>50</v>
      </c>
      <c r="E1367" t="s">
        <v>83</v>
      </c>
      <c r="F1367" t="s">
        <v>28</v>
      </c>
      <c r="G1367" t="s">
        <v>29</v>
      </c>
      <c r="H1367" t="s">
        <v>102</v>
      </c>
      <c r="I1367" t="s">
        <v>2059</v>
      </c>
      <c r="J1367" t="s">
        <v>45</v>
      </c>
      <c r="K1367" t="s">
        <v>104</v>
      </c>
      <c r="L1367" t="s">
        <v>64</v>
      </c>
      <c r="M1367" t="s">
        <v>71</v>
      </c>
      <c r="N1367" t="s">
        <v>36</v>
      </c>
      <c r="O1367">
        <v>90</v>
      </c>
      <c r="P1367">
        <v>90</v>
      </c>
      <c r="Q1367">
        <v>113.5</v>
      </c>
      <c r="R1367">
        <v>2150</v>
      </c>
      <c r="S1367">
        <v>2150</v>
      </c>
      <c r="T1367">
        <v>0</v>
      </c>
      <c r="U1367">
        <v>0</v>
      </c>
      <c r="V1367">
        <v>1</v>
      </c>
      <c r="W1367">
        <v>0</v>
      </c>
      <c r="X1367">
        <v>0.85</v>
      </c>
    </row>
    <row r="1368" spans="1:24" x14ac:dyDescent="0.3">
      <c r="A1368" t="s">
        <v>2060</v>
      </c>
      <c r="B1368" s="1">
        <v>45714</v>
      </c>
      <c r="C1368" t="s">
        <v>76</v>
      </c>
      <c r="D1368" t="s">
        <v>57</v>
      </c>
      <c r="E1368" t="s">
        <v>40</v>
      </c>
      <c r="F1368" t="s">
        <v>58</v>
      </c>
      <c r="G1368" t="s">
        <v>59</v>
      </c>
      <c r="H1368" t="s">
        <v>151</v>
      </c>
      <c r="I1368" t="s">
        <v>692</v>
      </c>
      <c r="J1368" t="s">
        <v>62</v>
      </c>
      <c r="K1368" t="s">
        <v>33</v>
      </c>
      <c r="L1368" t="s">
        <v>78</v>
      </c>
      <c r="M1368" t="s">
        <v>47</v>
      </c>
      <c r="N1368" t="s">
        <v>36</v>
      </c>
      <c r="O1368">
        <v>60</v>
      </c>
      <c r="P1368">
        <v>60</v>
      </c>
      <c r="Q1368">
        <v>67.099999999999994</v>
      </c>
      <c r="R1368">
        <v>1400</v>
      </c>
      <c r="S1368">
        <v>1400</v>
      </c>
      <c r="T1368">
        <v>0</v>
      </c>
      <c r="U1368">
        <v>0</v>
      </c>
      <c r="V1368">
        <v>1</v>
      </c>
      <c r="W1368">
        <v>0</v>
      </c>
      <c r="X1368">
        <v>0.85</v>
      </c>
    </row>
    <row r="1369" spans="1:24" x14ac:dyDescent="0.3">
      <c r="A1369" t="s">
        <v>2061</v>
      </c>
      <c r="B1369" s="1">
        <v>45894</v>
      </c>
      <c r="C1369" t="s">
        <v>110</v>
      </c>
      <c r="D1369" t="s">
        <v>39</v>
      </c>
      <c r="E1369" t="s">
        <v>40</v>
      </c>
      <c r="F1369" t="s">
        <v>28</v>
      </c>
      <c r="G1369" t="s">
        <v>29</v>
      </c>
      <c r="H1369" t="s">
        <v>120</v>
      </c>
      <c r="I1369" t="s">
        <v>720</v>
      </c>
      <c r="J1369" t="s">
        <v>32</v>
      </c>
      <c r="K1369" t="s">
        <v>46</v>
      </c>
      <c r="L1369" t="s">
        <v>78</v>
      </c>
      <c r="M1369" t="s">
        <v>65</v>
      </c>
      <c r="N1369" t="s">
        <v>95</v>
      </c>
      <c r="O1369">
        <v>45</v>
      </c>
      <c r="P1369">
        <v>0</v>
      </c>
      <c r="Q1369">
        <v>60.7</v>
      </c>
      <c r="R1369">
        <v>850</v>
      </c>
      <c r="S1369">
        <v>0</v>
      </c>
      <c r="T1369">
        <v>850</v>
      </c>
      <c r="U1369">
        <v>1</v>
      </c>
      <c r="V1369">
        <v>0</v>
      </c>
      <c r="W1369">
        <v>0</v>
      </c>
      <c r="X1369">
        <v>0.85</v>
      </c>
    </row>
    <row r="1370" spans="1:24" x14ac:dyDescent="0.3">
      <c r="A1370" t="s">
        <v>2062</v>
      </c>
      <c r="B1370" s="1">
        <v>45924</v>
      </c>
      <c r="C1370" t="s">
        <v>49</v>
      </c>
      <c r="D1370" t="s">
        <v>57</v>
      </c>
      <c r="E1370" t="s">
        <v>83</v>
      </c>
      <c r="F1370" t="s">
        <v>28</v>
      </c>
      <c r="G1370" t="s">
        <v>29</v>
      </c>
      <c r="H1370" t="s">
        <v>30</v>
      </c>
      <c r="I1370" t="s">
        <v>616</v>
      </c>
      <c r="J1370" t="s">
        <v>99</v>
      </c>
      <c r="K1370" t="s">
        <v>46</v>
      </c>
      <c r="L1370" t="s">
        <v>34</v>
      </c>
      <c r="M1370" t="s">
        <v>71</v>
      </c>
      <c r="N1370" t="s">
        <v>36</v>
      </c>
      <c r="O1370">
        <v>60</v>
      </c>
      <c r="P1370">
        <v>60</v>
      </c>
      <c r="Q1370">
        <v>72.2</v>
      </c>
      <c r="R1370">
        <v>1250</v>
      </c>
      <c r="S1370">
        <v>1250</v>
      </c>
      <c r="T1370">
        <v>0</v>
      </c>
      <c r="U1370">
        <v>0</v>
      </c>
      <c r="V1370">
        <v>1</v>
      </c>
      <c r="W1370">
        <v>0</v>
      </c>
      <c r="X1370">
        <v>0.85</v>
      </c>
    </row>
    <row r="1371" spans="1:24" x14ac:dyDescent="0.3">
      <c r="A1371" t="s">
        <v>2063</v>
      </c>
      <c r="B1371" s="1">
        <v>45798</v>
      </c>
      <c r="C1371" t="s">
        <v>128</v>
      </c>
      <c r="D1371" t="s">
        <v>57</v>
      </c>
      <c r="E1371" t="s">
        <v>83</v>
      </c>
      <c r="F1371" t="s">
        <v>28</v>
      </c>
      <c r="G1371" t="s">
        <v>29</v>
      </c>
      <c r="H1371" t="s">
        <v>30</v>
      </c>
      <c r="I1371" t="s">
        <v>2064</v>
      </c>
      <c r="J1371" t="s">
        <v>99</v>
      </c>
      <c r="K1371" t="s">
        <v>104</v>
      </c>
      <c r="L1371" t="s">
        <v>34</v>
      </c>
      <c r="M1371" t="s">
        <v>47</v>
      </c>
      <c r="N1371" t="s">
        <v>95</v>
      </c>
      <c r="O1371">
        <v>60</v>
      </c>
      <c r="P1371">
        <v>0</v>
      </c>
      <c r="Q1371">
        <v>66.400000000000006</v>
      </c>
      <c r="R1371">
        <v>1250</v>
      </c>
      <c r="S1371">
        <v>0</v>
      </c>
      <c r="T1371">
        <v>1250</v>
      </c>
      <c r="U1371">
        <v>1</v>
      </c>
      <c r="V1371">
        <v>0</v>
      </c>
      <c r="W1371">
        <v>0</v>
      </c>
      <c r="X1371">
        <v>0.85</v>
      </c>
    </row>
    <row r="1372" spans="1:24" x14ac:dyDescent="0.3">
      <c r="A1372" t="s">
        <v>2065</v>
      </c>
      <c r="B1372" s="1">
        <v>45875</v>
      </c>
      <c r="C1372" t="s">
        <v>110</v>
      </c>
      <c r="D1372" t="s">
        <v>57</v>
      </c>
      <c r="E1372" t="s">
        <v>27</v>
      </c>
      <c r="F1372" t="s">
        <v>58</v>
      </c>
      <c r="G1372" t="s">
        <v>59</v>
      </c>
      <c r="H1372" t="s">
        <v>60</v>
      </c>
      <c r="I1372" t="s">
        <v>1813</v>
      </c>
      <c r="J1372" t="s">
        <v>53</v>
      </c>
      <c r="K1372" t="s">
        <v>104</v>
      </c>
      <c r="L1372" t="s">
        <v>64</v>
      </c>
      <c r="M1372" t="s">
        <v>86</v>
      </c>
      <c r="N1372" t="s">
        <v>36</v>
      </c>
      <c r="O1372">
        <v>60</v>
      </c>
      <c r="P1372">
        <v>60</v>
      </c>
      <c r="Q1372">
        <v>67.900000000000006</v>
      </c>
      <c r="R1372">
        <v>1800</v>
      </c>
      <c r="S1372">
        <v>1800</v>
      </c>
      <c r="T1372">
        <v>0</v>
      </c>
      <c r="U1372">
        <v>0</v>
      </c>
      <c r="V1372">
        <v>1</v>
      </c>
      <c r="W1372">
        <v>0</v>
      </c>
      <c r="X1372">
        <v>0.85</v>
      </c>
    </row>
    <row r="1373" spans="1:24" x14ac:dyDescent="0.3">
      <c r="A1373" t="s">
        <v>2066</v>
      </c>
      <c r="B1373" s="1">
        <v>45924</v>
      </c>
      <c r="C1373" t="s">
        <v>49</v>
      </c>
      <c r="D1373" t="s">
        <v>57</v>
      </c>
      <c r="E1373" t="s">
        <v>40</v>
      </c>
      <c r="F1373" t="s">
        <v>28</v>
      </c>
      <c r="G1373" t="s">
        <v>29</v>
      </c>
      <c r="H1373" t="s">
        <v>120</v>
      </c>
      <c r="I1373" t="s">
        <v>837</v>
      </c>
      <c r="J1373" t="s">
        <v>32</v>
      </c>
      <c r="K1373" t="s">
        <v>46</v>
      </c>
      <c r="L1373" t="s">
        <v>64</v>
      </c>
      <c r="M1373" t="s">
        <v>71</v>
      </c>
      <c r="N1373" t="s">
        <v>36</v>
      </c>
      <c r="O1373">
        <v>30</v>
      </c>
      <c r="P1373">
        <v>30</v>
      </c>
      <c r="Q1373">
        <v>36.4</v>
      </c>
      <c r="R1373">
        <v>600</v>
      </c>
      <c r="S1373">
        <v>600</v>
      </c>
      <c r="T1373">
        <v>0</v>
      </c>
      <c r="U1373">
        <v>0</v>
      </c>
      <c r="V1373">
        <v>1</v>
      </c>
      <c r="W1373">
        <v>0</v>
      </c>
      <c r="X1373">
        <v>0.85</v>
      </c>
    </row>
    <row r="1374" spans="1:24" x14ac:dyDescent="0.3">
      <c r="A1374" t="s">
        <v>2067</v>
      </c>
      <c r="B1374" s="1">
        <v>45834</v>
      </c>
      <c r="C1374" t="s">
        <v>67</v>
      </c>
      <c r="D1374" t="s">
        <v>50</v>
      </c>
      <c r="E1374" t="s">
        <v>83</v>
      </c>
      <c r="F1374" t="s">
        <v>41</v>
      </c>
      <c r="G1374" t="s">
        <v>42</v>
      </c>
      <c r="H1374" t="s">
        <v>43</v>
      </c>
      <c r="I1374" t="s">
        <v>2068</v>
      </c>
      <c r="J1374" t="s">
        <v>62</v>
      </c>
      <c r="K1374" t="s">
        <v>33</v>
      </c>
      <c r="L1374" t="s">
        <v>34</v>
      </c>
      <c r="M1374" t="s">
        <v>65</v>
      </c>
      <c r="N1374" t="s">
        <v>36</v>
      </c>
      <c r="O1374">
        <v>60</v>
      </c>
      <c r="P1374">
        <v>60</v>
      </c>
      <c r="Q1374">
        <v>75.2</v>
      </c>
      <c r="R1374">
        <v>1350</v>
      </c>
      <c r="S1374">
        <v>1350</v>
      </c>
      <c r="T1374">
        <v>0</v>
      </c>
      <c r="U1374">
        <v>0</v>
      </c>
      <c r="V1374">
        <v>1</v>
      </c>
      <c r="W1374">
        <v>0</v>
      </c>
      <c r="X1374">
        <v>0.85</v>
      </c>
    </row>
    <row r="1375" spans="1:24" x14ac:dyDescent="0.3">
      <c r="A1375" t="s">
        <v>2069</v>
      </c>
      <c r="B1375" s="1">
        <v>45661</v>
      </c>
      <c r="C1375" t="s">
        <v>130</v>
      </c>
      <c r="D1375" t="s">
        <v>88</v>
      </c>
      <c r="E1375" t="s">
        <v>40</v>
      </c>
      <c r="F1375" t="s">
        <v>58</v>
      </c>
      <c r="G1375" t="s">
        <v>59</v>
      </c>
      <c r="H1375" t="s">
        <v>151</v>
      </c>
      <c r="I1375" t="s">
        <v>442</v>
      </c>
      <c r="J1375" t="s">
        <v>32</v>
      </c>
      <c r="K1375" t="s">
        <v>63</v>
      </c>
      <c r="L1375" t="s">
        <v>64</v>
      </c>
      <c r="M1375" t="s">
        <v>94</v>
      </c>
      <c r="N1375" t="s">
        <v>36</v>
      </c>
      <c r="O1375">
        <v>90</v>
      </c>
      <c r="P1375">
        <v>90</v>
      </c>
      <c r="Q1375">
        <v>104.3</v>
      </c>
      <c r="R1375">
        <v>2250</v>
      </c>
      <c r="S1375">
        <v>2250</v>
      </c>
      <c r="T1375">
        <v>0</v>
      </c>
      <c r="U1375">
        <v>0</v>
      </c>
      <c r="V1375">
        <v>1</v>
      </c>
      <c r="W1375">
        <v>0</v>
      </c>
      <c r="X1375">
        <v>0.85</v>
      </c>
    </row>
    <row r="1376" spans="1:24" x14ac:dyDescent="0.3">
      <c r="A1376" t="s">
        <v>2070</v>
      </c>
      <c r="B1376" s="1">
        <v>45695</v>
      </c>
      <c r="C1376" t="s">
        <v>76</v>
      </c>
      <c r="D1376" t="s">
        <v>82</v>
      </c>
      <c r="E1376" t="s">
        <v>27</v>
      </c>
      <c r="F1376" t="s">
        <v>58</v>
      </c>
      <c r="G1376" t="s">
        <v>59</v>
      </c>
      <c r="H1376" t="s">
        <v>60</v>
      </c>
      <c r="I1376" t="s">
        <v>616</v>
      </c>
      <c r="J1376" t="s">
        <v>62</v>
      </c>
      <c r="K1376" t="s">
        <v>33</v>
      </c>
      <c r="L1376" t="s">
        <v>34</v>
      </c>
      <c r="M1376" t="s">
        <v>35</v>
      </c>
      <c r="N1376" t="s">
        <v>36</v>
      </c>
      <c r="O1376">
        <v>45</v>
      </c>
      <c r="P1376">
        <v>45</v>
      </c>
      <c r="Q1376">
        <v>54.3</v>
      </c>
      <c r="R1376">
        <v>1100</v>
      </c>
      <c r="S1376">
        <v>1100</v>
      </c>
      <c r="T1376">
        <v>0</v>
      </c>
      <c r="U1376">
        <v>0</v>
      </c>
      <c r="V1376">
        <v>1</v>
      </c>
      <c r="W1376">
        <v>0</v>
      </c>
      <c r="X1376">
        <v>0.85</v>
      </c>
    </row>
    <row r="1377" spans="1:24" x14ac:dyDescent="0.3">
      <c r="A1377" t="s">
        <v>2071</v>
      </c>
      <c r="B1377" s="1">
        <v>45694</v>
      </c>
      <c r="C1377" t="s">
        <v>76</v>
      </c>
      <c r="D1377" t="s">
        <v>50</v>
      </c>
      <c r="E1377" t="s">
        <v>40</v>
      </c>
      <c r="F1377" t="s">
        <v>58</v>
      </c>
      <c r="G1377" t="s">
        <v>59</v>
      </c>
      <c r="H1377" t="s">
        <v>296</v>
      </c>
      <c r="I1377" t="s">
        <v>917</v>
      </c>
      <c r="J1377" t="s">
        <v>45</v>
      </c>
      <c r="K1377" t="s">
        <v>85</v>
      </c>
      <c r="L1377" t="s">
        <v>54</v>
      </c>
      <c r="M1377" t="s">
        <v>65</v>
      </c>
      <c r="N1377" t="s">
        <v>113</v>
      </c>
      <c r="O1377">
        <v>30</v>
      </c>
      <c r="P1377">
        <v>0</v>
      </c>
      <c r="Q1377">
        <v>36.799999999999997</v>
      </c>
      <c r="R1377">
        <v>750</v>
      </c>
      <c r="S1377">
        <v>0</v>
      </c>
      <c r="T1377">
        <v>750</v>
      </c>
      <c r="U1377">
        <v>0</v>
      </c>
      <c r="V1377">
        <v>0</v>
      </c>
      <c r="W1377">
        <v>1</v>
      </c>
      <c r="X1377">
        <v>0.85</v>
      </c>
    </row>
    <row r="1378" spans="1:24" x14ac:dyDescent="0.3">
      <c r="A1378" t="s">
        <v>2072</v>
      </c>
      <c r="B1378" s="1">
        <v>45965</v>
      </c>
      <c r="C1378" t="s">
        <v>38</v>
      </c>
      <c r="D1378" t="s">
        <v>26</v>
      </c>
      <c r="E1378" t="s">
        <v>68</v>
      </c>
      <c r="F1378" t="s">
        <v>41</v>
      </c>
      <c r="G1378" t="s">
        <v>42</v>
      </c>
      <c r="H1378" t="s">
        <v>51</v>
      </c>
      <c r="I1378" t="s">
        <v>768</v>
      </c>
      <c r="J1378" t="s">
        <v>99</v>
      </c>
      <c r="K1378" t="s">
        <v>104</v>
      </c>
      <c r="L1378" t="s">
        <v>64</v>
      </c>
      <c r="M1378" t="s">
        <v>71</v>
      </c>
      <c r="N1378" t="s">
        <v>36</v>
      </c>
      <c r="O1378">
        <v>45</v>
      </c>
      <c r="P1378">
        <v>45</v>
      </c>
      <c r="Q1378">
        <v>50.8</v>
      </c>
      <c r="R1378">
        <v>1000</v>
      </c>
      <c r="S1378">
        <v>1000</v>
      </c>
      <c r="T1378">
        <v>0</v>
      </c>
      <c r="U1378">
        <v>0</v>
      </c>
      <c r="V1378">
        <v>1</v>
      </c>
      <c r="W1378">
        <v>0</v>
      </c>
      <c r="X1378">
        <v>0.85</v>
      </c>
    </row>
    <row r="1379" spans="1:24" x14ac:dyDescent="0.3">
      <c r="A1379" t="s">
        <v>2073</v>
      </c>
      <c r="B1379" s="1">
        <v>45898</v>
      </c>
      <c r="C1379" t="s">
        <v>110</v>
      </c>
      <c r="D1379" t="s">
        <v>82</v>
      </c>
      <c r="E1379" t="s">
        <v>68</v>
      </c>
      <c r="F1379" t="s">
        <v>28</v>
      </c>
      <c r="G1379" t="s">
        <v>29</v>
      </c>
      <c r="H1379" t="s">
        <v>120</v>
      </c>
      <c r="I1379" t="s">
        <v>1666</v>
      </c>
      <c r="J1379" t="s">
        <v>53</v>
      </c>
      <c r="K1379" t="s">
        <v>85</v>
      </c>
      <c r="L1379" t="s">
        <v>54</v>
      </c>
      <c r="M1379" t="s">
        <v>94</v>
      </c>
      <c r="N1379" t="s">
        <v>36</v>
      </c>
      <c r="O1379">
        <v>45</v>
      </c>
      <c r="P1379">
        <v>45</v>
      </c>
      <c r="Q1379">
        <v>55</v>
      </c>
      <c r="R1379">
        <v>950</v>
      </c>
      <c r="S1379">
        <v>950</v>
      </c>
      <c r="T1379">
        <v>0</v>
      </c>
      <c r="U1379">
        <v>0</v>
      </c>
      <c r="V1379">
        <v>1</v>
      </c>
      <c r="W1379">
        <v>0</v>
      </c>
      <c r="X1379">
        <v>0.85</v>
      </c>
    </row>
    <row r="1380" spans="1:24" x14ac:dyDescent="0.3">
      <c r="A1380" t="s">
        <v>2074</v>
      </c>
      <c r="B1380" s="1">
        <v>45748</v>
      </c>
      <c r="C1380" t="s">
        <v>92</v>
      </c>
      <c r="D1380" t="s">
        <v>26</v>
      </c>
      <c r="E1380" t="s">
        <v>83</v>
      </c>
      <c r="F1380" t="s">
        <v>58</v>
      </c>
      <c r="G1380" t="s">
        <v>59</v>
      </c>
      <c r="H1380" t="s">
        <v>73</v>
      </c>
      <c r="I1380" t="s">
        <v>1746</v>
      </c>
      <c r="J1380" t="s">
        <v>137</v>
      </c>
      <c r="K1380" t="s">
        <v>85</v>
      </c>
      <c r="L1380" t="s">
        <v>34</v>
      </c>
      <c r="M1380" t="s">
        <v>47</v>
      </c>
      <c r="N1380" t="s">
        <v>36</v>
      </c>
      <c r="O1380">
        <v>45</v>
      </c>
      <c r="P1380">
        <v>45</v>
      </c>
      <c r="Q1380">
        <v>54.9</v>
      </c>
      <c r="R1380">
        <v>1100</v>
      </c>
      <c r="S1380">
        <v>1100</v>
      </c>
      <c r="T1380">
        <v>0</v>
      </c>
      <c r="U1380">
        <v>0</v>
      </c>
      <c r="V1380">
        <v>1</v>
      </c>
      <c r="W1380">
        <v>0</v>
      </c>
      <c r="X1380">
        <v>0.85</v>
      </c>
    </row>
    <row r="1381" spans="1:24" x14ac:dyDescent="0.3">
      <c r="A1381" t="s">
        <v>2075</v>
      </c>
      <c r="B1381" s="1">
        <v>45999</v>
      </c>
      <c r="C1381" t="s">
        <v>25</v>
      </c>
      <c r="D1381" t="s">
        <v>39</v>
      </c>
      <c r="E1381" t="s">
        <v>40</v>
      </c>
      <c r="F1381" t="s">
        <v>28</v>
      </c>
      <c r="G1381" t="s">
        <v>29</v>
      </c>
      <c r="H1381" t="s">
        <v>120</v>
      </c>
      <c r="I1381" t="s">
        <v>163</v>
      </c>
      <c r="J1381" t="s">
        <v>32</v>
      </c>
      <c r="K1381" t="s">
        <v>33</v>
      </c>
      <c r="L1381" t="s">
        <v>78</v>
      </c>
      <c r="M1381" t="s">
        <v>94</v>
      </c>
      <c r="N1381" t="s">
        <v>113</v>
      </c>
      <c r="O1381">
        <v>45</v>
      </c>
      <c r="P1381">
        <v>0</v>
      </c>
      <c r="Q1381">
        <v>49.3</v>
      </c>
      <c r="R1381">
        <v>850</v>
      </c>
      <c r="S1381">
        <v>0</v>
      </c>
      <c r="T1381">
        <v>850</v>
      </c>
      <c r="U1381">
        <v>0</v>
      </c>
      <c r="V1381">
        <v>0</v>
      </c>
      <c r="W1381">
        <v>1</v>
      </c>
      <c r="X1381">
        <v>0.85</v>
      </c>
    </row>
    <row r="1382" spans="1:24" x14ac:dyDescent="0.3">
      <c r="A1382" t="s">
        <v>2076</v>
      </c>
      <c r="B1382" s="1">
        <v>45855</v>
      </c>
      <c r="C1382" t="s">
        <v>101</v>
      </c>
      <c r="D1382" t="s">
        <v>50</v>
      </c>
      <c r="E1382" t="s">
        <v>83</v>
      </c>
      <c r="F1382" t="s">
        <v>28</v>
      </c>
      <c r="G1382" t="s">
        <v>29</v>
      </c>
      <c r="H1382" t="s">
        <v>135</v>
      </c>
      <c r="I1382" t="s">
        <v>870</v>
      </c>
      <c r="J1382" t="s">
        <v>99</v>
      </c>
      <c r="K1382" t="s">
        <v>70</v>
      </c>
      <c r="L1382" t="s">
        <v>34</v>
      </c>
      <c r="M1382" t="s">
        <v>71</v>
      </c>
      <c r="N1382" t="s">
        <v>36</v>
      </c>
      <c r="O1382">
        <v>45</v>
      </c>
      <c r="P1382">
        <v>45</v>
      </c>
      <c r="Q1382">
        <v>60.3</v>
      </c>
      <c r="R1382">
        <v>950</v>
      </c>
      <c r="S1382">
        <v>950</v>
      </c>
      <c r="T1382">
        <v>0</v>
      </c>
      <c r="U1382">
        <v>0</v>
      </c>
      <c r="V1382">
        <v>1</v>
      </c>
      <c r="W1382">
        <v>0</v>
      </c>
      <c r="X1382">
        <v>0.85</v>
      </c>
    </row>
    <row r="1383" spans="1:24" x14ac:dyDescent="0.3">
      <c r="A1383" t="s">
        <v>2077</v>
      </c>
      <c r="B1383" s="1">
        <v>45874</v>
      </c>
      <c r="C1383" t="s">
        <v>110</v>
      </c>
      <c r="D1383" t="s">
        <v>26</v>
      </c>
      <c r="E1383" t="s">
        <v>27</v>
      </c>
      <c r="F1383" t="s">
        <v>28</v>
      </c>
      <c r="G1383" t="s">
        <v>29</v>
      </c>
      <c r="H1383" t="s">
        <v>135</v>
      </c>
      <c r="I1383" t="s">
        <v>118</v>
      </c>
      <c r="J1383" t="s">
        <v>62</v>
      </c>
      <c r="K1383" t="s">
        <v>63</v>
      </c>
      <c r="L1383" t="s">
        <v>64</v>
      </c>
      <c r="M1383" t="s">
        <v>47</v>
      </c>
      <c r="N1383" t="s">
        <v>113</v>
      </c>
      <c r="O1383">
        <v>30</v>
      </c>
      <c r="P1383">
        <v>0</v>
      </c>
      <c r="Q1383">
        <v>37.200000000000003</v>
      </c>
      <c r="R1383">
        <v>600</v>
      </c>
      <c r="S1383">
        <v>0</v>
      </c>
      <c r="T1383">
        <v>600</v>
      </c>
      <c r="U1383">
        <v>0</v>
      </c>
      <c r="V1383">
        <v>0</v>
      </c>
      <c r="W1383">
        <v>1</v>
      </c>
      <c r="X1383">
        <v>0.85</v>
      </c>
    </row>
    <row r="1384" spans="1:24" x14ac:dyDescent="0.3">
      <c r="A1384" t="s">
        <v>2078</v>
      </c>
      <c r="B1384" s="1">
        <v>45748</v>
      </c>
      <c r="C1384" t="s">
        <v>92</v>
      </c>
      <c r="D1384" t="s">
        <v>26</v>
      </c>
      <c r="E1384" t="s">
        <v>40</v>
      </c>
      <c r="F1384" t="s">
        <v>58</v>
      </c>
      <c r="G1384" t="s">
        <v>59</v>
      </c>
      <c r="H1384" t="s">
        <v>73</v>
      </c>
      <c r="I1384" t="s">
        <v>848</v>
      </c>
      <c r="J1384" t="s">
        <v>99</v>
      </c>
      <c r="K1384" t="s">
        <v>104</v>
      </c>
      <c r="L1384" t="s">
        <v>78</v>
      </c>
      <c r="M1384" t="s">
        <v>86</v>
      </c>
      <c r="N1384" t="s">
        <v>36</v>
      </c>
      <c r="O1384">
        <v>60</v>
      </c>
      <c r="P1384">
        <v>60</v>
      </c>
      <c r="Q1384">
        <v>67.7</v>
      </c>
      <c r="R1384">
        <v>1400</v>
      </c>
      <c r="S1384">
        <v>1400</v>
      </c>
      <c r="T1384">
        <v>0</v>
      </c>
      <c r="U1384">
        <v>0</v>
      </c>
      <c r="V1384">
        <v>1</v>
      </c>
      <c r="W1384">
        <v>0</v>
      </c>
      <c r="X1384">
        <v>0.85</v>
      </c>
    </row>
    <row r="1385" spans="1:24" x14ac:dyDescent="0.3">
      <c r="A1385" t="s">
        <v>2079</v>
      </c>
      <c r="B1385" s="1">
        <v>45710</v>
      </c>
      <c r="C1385" t="s">
        <v>76</v>
      </c>
      <c r="D1385" t="s">
        <v>88</v>
      </c>
      <c r="E1385" t="s">
        <v>27</v>
      </c>
      <c r="F1385" t="s">
        <v>41</v>
      </c>
      <c r="G1385" t="s">
        <v>42</v>
      </c>
      <c r="H1385" t="s">
        <v>125</v>
      </c>
      <c r="I1385" t="s">
        <v>1052</v>
      </c>
      <c r="J1385" t="s">
        <v>62</v>
      </c>
      <c r="K1385" t="s">
        <v>33</v>
      </c>
      <c r="L1385" t="s">
        <v>64</v>
      </c>
      <c r="M1385" t="s">
        <v>94</v>
      </c>
      <c r="N1385" t="s">
        <v>95</v>
      </c>
      <c r="O1385">
        <v>30</v>
      </c>
      <c r="P1385">
        <v>0</v>
      </c>
      <c r="Q1385">
        <v>33.799999999999997</v>
      </c>
      <c r="R1385">
        <v>700</v>
      </c>
      <c r="S1385">
        <v>0</v>
      </c>
      <c r="T1385">
        <v>700</v>
      </c>
      <c r="U1385">
        <v>1</v>
      </c>
      <c r="V1385">
        <v>0</v>
      </c>
      <c r="W1385">
        <v>0</v>
      </c>
      <c r="X1385">
        <v>0.85</v>
      </c>
    </row>
    <row r="1386" spans="1:24" x14ac:dyDescent="0.3">
      <c r="A1386" t="s">
        <v>2080</v>
      </c>
      <c r="B1386" s="1">
        <v>45699</v>
      </c>
      <c r="C1386" t="s">
        <v>76</v>
      </c>
      <c r="D1386" t="s">
        <v>26</v>
      </c>
      <c r="E1386" t="s">
        <v>27</v>
      </c>
      <c r="F1386" t="s">
        <v>28</v>
      </c>
      <c r="G1386" t="s">
        <v>29</v>
      </c>
      <c r="H1386" t="s">
        <v>102</v>
      </c>
      <c r="I1386" t="s">
        <v>513</v>
      </c>
      <c r="J1386" t="s">
        <v>99</v>
      </c>
      <c r="K1386" t="s">
        <v>33</v>
      </c>
      <c r="L1386" t="s">
        <v>34</v>
      </c>
      <c r="M1386" t="s">
        <v>86</v>
      </c>
      <c r="N1386" t="s">
        <v>36</v>
      </c>
      <c r="O1386">
        <v>30</v>
      </c>
      <c r="P1386">
        <v>30</v>
      </c>
      <c r="Q1386">
        <v>34.1</v>
      </c>
      <c r="R1386">
        <v>600</v>
      </c>
      <c r="S1386">
        <v>600</v>
      </c>
      <c r="T1386">
        <v>0</v>
      </c>
      <c r="U1386">
        <v>0</v>
      </c>
      <c r="V1386">
        <v>1</v>
      </c>
      <c r="W1386">
        <v>0</v>
      </c>
      <c r="X1386">
        <v>0.85</v>
      </c>
    </row>
    <row r="1387" spans="1:24" x14ac:dyDescent="0.3">
      <c r="A1387" t="s">
        <v>2081</v>
      </c>
      <c r="B1387" s="1">
        <v>45818</v>
      </c>
      <c r="C1387" t="s">
        <v>67</v>
      </c>
      <c r="D1387" t="s">
        <v>26</v>
      </c>
      <c r="E1387" t="s">
        <v>68</v>
      </c>
      <c r="F1387" t="s">
        <v>41</v>
      </c>
      <c r="G1387" t="s">
        <v>42</v>
      </c>
      <c r="H1387" t="s">
        <v>51</v>
      </c>
      <c r="I1387" t="s">
        <v>401</v>
      </c>
      <c r="J1387" t="s">
        <v>99</v>
      </c>
      <c r="K1387" t="s">
        <v>46</v>
      </c>
      <c r="L1387" t="s">
        <v>34</v>
      </c>
      <c r="M1387" t="s">
        <v>47</v>
      </c>
      <c r="N1387" t="s">
        <v>36</v>
      </c>
      <c r="O1387">
        <v>60</v>
      </c>
      <c r="P1387">
        <v>60</v>
      </c>
      <c r="Q1387">
        <v>68.3</v>
      </c>
      <c r="R1387">
        <v>1350</v>
      </c>
      <c r="S1387">
        <v>1350</v>
      </c>
      <c r="T1387">
        <v>0</v>
      </c>
      <c r="U1387">
        <v>0</v>
      </c>
      <c r="V1387">
        <v>1</v>
      </c>
      <c r="W1387">
        <v>0</v>
      </c>
      <c r="X1387">
        <v>0.85</v>
      </c>
    </row>
    <row r="1388" spans="1:24" x14ac:dyDescent="0.3">
      <c r="A1388" t="s">
        <v>2082</v>
      </c>
      <c r="B1388" s="1">
        <v>45708</v>
      </c>
      <c r="C1388" t="s">
        <v>76</v>
      </c>
      <c r="D1388" t="s">
        <v>50</v>
      </c>
      <c r="E1388" t="s">
        <v>83</v>
      </c>
      <c r="F1388" t="s">
        <v>28</v>
      </c>
      <c r="G1388" t="s">
        <v>29</v>
      </c>
      <c r="H1388" t="s">
        <v>30</v>
      </c>
      <c r="I1388" t="s">
        <v>1100</v>
      </c>
      <c r="J1388" t="s">
        <v>62</v>
      </c>
      <c r="K1388" t="s">
        <v>104</v>
      </c>
      <c r="L1388" t="s">
        <v>34</v>
      </c>
      <c r="M1388" t="s">
        <v>47</v>
      </c>
      <c r="N1388" t="s">
        <v>36</v>
      </c>
      <c r="O1388">
        <v>45</v>
      </c>
      <c r="P1388">
        <v>45</v>
      </c>
      <c r="Q1388">
        <v>55</v>
      </c>
      <c r="R1388">
        <v>950</v>
      </c>
      <c r="S1388">
        <v>950</v>
      </c>
      <c r="T1388">
        <v>0</v>
      </c>
      <c r="U1388">
        <v>0</v>
      </c>
      <c r="V1388">
        <v>1</v>
      </c>
      <c r="W1388">
        <v>0</v>
      </c>
      <c r="X1388">
        <v>0.85</v>
      </c>
    </row>
    <row r="1389" spans="1:24" x14ac:dyDescent="0.3">
      <c r="A1389" t="s">
        <v>2083</v>
      </c>
      <c r="B1389" s="1">
        <v>45818</v>
      </c>
      <c r="C1389" t="s">
        <v>67</v>
      </c>
      <c r="D1389" t="s">
        <v>26</v>
      </c>
      <c r="E1389" t="s">
        <v>40</v>
      </c>
      <c r="F1389" t="s">
        <v>28</v>
      </c>
      <c r="G1389" t="s">
        <v>29</v>
      </c>
      <c r="H1389" t="s">
        <v>210</v>
      </c>
      <c r="I1389" t="s">
        <v>1600</v>
      </c>
      <c r="J1389" t="s">
        <v>137</v>
      </c>
      <c r="K1389" t="s">
        <v>63</v>
      </c>
      <c r="L1389" t="s">
        <v>54</v>
      </c>
      <c r="M1389" t="s">
        <v>94</v>
      </c>
      <c r="N1389" t="s">
        <v>36</v>
      </c>
      <c r="O1389">
        <v>30</v>
      </c>
      <c r="P1389">
        <v>30</v>
      </c>
      <c r="Q1389">
        <v>39.299999999999997</v>
      </c>
      <c r="R1389">
        <v>550</v>
      </c>
      <c r="S1389">
        <v>550</v>
      </c>
      <c r="T1389">
        <v>0</v>
      </c>
      <c r="U1389">
        <v>0</v>
      </c>
      <c r="V1389">
        <v>1</v>
      </c>
      <c r="W1389">
        <v>0</v>
      </c>
      <c r="X1389">
        <v>0.85</v>
      </c>
    </row>
    <row r="1390" spans="1:24" x14ac:dyDescent="0.3">
      <c r="A1390" t="s">
        <v>2084</v>
      </c>
      <c r="B1390" s="1">
        <v>46007</v>
      </c>
      <c r="C1390" t="s">
        <v>25</v>
      </c>
      <c r="D1390" t="s">
        <v>26</v>
      </c>
      <c r="E1390" t="s">
        <v>40</v>
      </c>
      <c r="F1390" t="s">
        <v>41</v>
      </c>
      <c r="G1390" t="s">
        <v>42</v>
      </c>
      <c r="H1390" t="s">
        <v>43</v>
      </c>
      <c r="I1390" t="s">
        <v>1361</v>
      </c>
      <c r="J1390" t="s">
        <v>62</v>
      </c>
      <c r="K1390" t="s">
        <v>85</v>
      </c>
      <c r="L1390" t="s">
        <v>34</v>
      </c>
      <c r="M1390" t="s">
        <v>86</v>
      </c>
      <c r="N1390" t="s">
        <v>113</v>
      </c>
      <c r="O1390">
        <v>75</v>
      </c>
      <c r="P1390">
        <v>0</v>
      </c>
      <c r="Q1390">
        <v>91.2</v>
      </c>
      <c r="R1390">
        <v>1700</v>
      </c>
      <c r="S1390">
        <v>0</v>
      </c>
      <c r="T1390">
        <v>1700</v>
      </c>
      <c r="U1390">
        <v>0</v>
      </c>
      <c r="V1390">
        <v>0</v>
      </c>
      <c r="W1390">
        <v>1</v>
      </c>
      <c r="X1390">
        <v>0.85</v>
      </c>
    </row>
    <row r="1391" spans="1:24" x14ac:dyDescent="0.3">
      <c r="A1391" t="s">
        <v>2085</v>
      </c>
      <c r="B1391" s="1">
        <v>45891</v>
      </c>
      <c r="C1391" t="s">
        <v>110</v>
      </c>
      <c r="D1391" t="s">
        <v>82</v>
      </c>
      <c r="E1391" t="s">
        <v>83</v>
      </c>
      <c r="F1391" t="s">
        <v>41</v>
      </c>
      <c r="G1391" t="s">
        <v>42</v>
      </c>
      <c r="H1391" t="s">
        <v>43</v>
      </c>
      <c r="I1391" t="s">
        <v>259</v>
      </c>
      <c r="J1391" t="s">
        <v>53</v>
      </c>
      <c r="K1391" t="s">
        <v>46</v>
      </c>
      <c r="L1391" t="s">
        <v>78</v>
      </c>
      <c r="M1391" t="s">
        <v>86</v>
      </c>
      <c r="N1391" t="s">
        <v>36</v>
      </c>
      <c r="O1391">
        <v>75</v>
      </c>
      <c r="P1391">
        <v>75</v>
      </c>
      <c r="Q1391">
        <v>94.9</v>
      </c>
      <c r="R1391">
        <v>1850</v>
      </c>
      <c r="S1391">
        <v>1850</v>
      </c>
      <c r="T1391">
        <v>0</v>
      </c>
      <c r="U1391">
        <v>0</v>
      </c>
      <c r="V1391">
        <v>1</v>
      </c>
      <c r="W1391">
        <v>0</v>
      </c>
      <c r="X1391">
        <v>0.85</v>
      </c>
    </row>
    <row r="1392" spans="1:24" x14ac:dyDescent="0.3">
      <c r="A1392" t="s">
        <v>2086</v>
      </c>
      <c r="B1392" s="1">
        <v>45714</v>
      </c>
      <c r="C1392" t="s">
        <v>76</v>
      </c>
      <c r="D1392" t="s">
        <v>57</v>
      </c>
      <c r="E1392" t="s">
        <v>40</v>
      </c>
      <c r="F1392" t="s">
        <v>58</v>
      </c>
      <c r="G1392" t="s">
        <v>59</v>
      </c>
      <c r="H1392" t="s">
        <v>117</v>
      </c>
      <c r="I1392" t="s">
        <v>2087</v>
      </c>
      <c r="J1392" t="s">
        <v>45</v>
      </c>
      <c r="K1392" t="s">
        <v>33</v>
      </c>
      <c r="L1392" t="s">
        <v>54</v>
      </c>
      <c r="M1392" t="s">
        <v>65</v>
      </c>
      <c r="N1392" t="s">
        <v>36</v>
      </c>
      <c r="O1392">
        <v>75</v>
      </c>
      <c r="P1392">
        <v>75</v>
      </c>
      <c r="Q1392">
        <v>100.4</v>
      </c>
      <c r="R1392">
        <v>1850</v>
      </c>
      <c r="S1392">
        <v>1850</v>
      </c>
      <c r="T1392">
        <v>0</v>
      </c>
      <c r="U1392">
        <v>0</v>
      </c>
      <c r="V1392">
        <v>1</v>
      </c>
      <c r="W1392">
        <v>0</v>
      </c>
      <c r="X1392">
        <v>0.85</v>
      </c>
    </row>
    <row r="1393" spans="1:24" x14ac:dyDescent="0.3">
      <c r="A1393" t="s">
        <v>2088</v>
      </c>
      <c r="B1393" s="1">
        <v>45932</v>
      </c>
      <c r="C1393" t="s">
        <v>97</v>
      </c>
      <c r="D1393" t="s">
        <v>50</v>
      </c>
      <c r="E1393" t="s">
        <v>83</v>
      </c>
      <c r="F1393" t="s">
        <v>41</v>
      </c>
      <c r="G1393" t="s">
        <v>42</v>
      </c>
      <c r="H1393" t="s">
        <v>89</v>
      </c>
      <c r="I1393" t="s">
        <v>482</v>
      </c>
      <c r="J1393" t="s">
        <v>99</v>
      </c>
      <c r="K1393" t="s">
        <v>63</v>
      </c>
      <c r="L1393" t="s">
        <v>64</v>
      </c>
      <c r="M1393" t="s">
        <v>86</v>
      </c>
      <c r="N1393" t="s">
        <v>36</v>
      </c>
      <c r="O1393">
        <v>30</v>
      </c>
      <c r="P1393">
        <v>30</v>
      </c>
      <c r="Q1393">
        <v>40.4</v>
      </c>
      <c r="R1393">
        <v>700</v>
      </c>
      <c r="S1393">
        <v>700</v>
      </c>
      <c r="T1393">
        <v>0</v>
      </c>
      <c r="U1393">
        <v>0</v>
      </c>
      <c r="V1393">
        <v>1</v>
      </c>
      <c r="W1393">
        <v>0</v>
      </c>
      <c r="X1393">
        <v>0.85</v>
      </c>
    </row>
    <row r="1394" spans="1:24" x14ac:dyDescent="0.3">
      <c r="A1394" t="s">
        <v>2089</v>
      </c>
      <c r="B1394" s="1">
        <v>45824</v>
      </c>
      <c r="C1394" t="s">
        <v>67</v>
      </c>
      <c r="D1394" t="s">
        <v>39</v>
      </c>
      <c r="E1394" t="s">
        <v>40</v>
      </c>
      <c r="F1394" t="s">
        <v>58</v>
      </c>
      <c r="G1394" t="s">
        <v>59</v>
      </c>
      <c r="H1394" t="s">
        <v>60</v>
      </c>
      <c r="I1394" t="s">
        <v>1922</v>
      </c>
      <c r="J1394" t="s">
        <v>99</v>
      </c>
      <c r="K1394" t="s">
        <v>33</v>
      </c>
      <c r="L1394" t="s">
        <v>64</v>
      </c>
      <c r="M1394" t="s">
        <v>94</v>
      </c>
      <c r="N1394" t="s">
        <v>36</v>
      </c>
      <c r="O1394">
        <v>60</v>
      </c>
      <c r="P1394">
        <v>60</v>
      </c>
      <c r="Q1394">
        <v>65.7</v>
      </c>
      <c r="R1394">
        <v>1500</v>
      </c>
      <c r="S1394">
        <v>1500</v>
      </c>
      <c r="T1394">
        <v>0</v>
      </c>
      <c r="U1394">
        <v>0</v>
      </c>
      <c r="V1394">
        <v>1</v>
      </c>
      <c r="W1394">
        <v>0</v>
      </c>
      <c r="X1394">
        <v>0.85</v>
      </c>
    </row>
    <row r="1395" spans="1:24" x14ac:dyDescent="0.3">
      <c r="A1395" t="s">
        <v>2090</v>
      </c>
      <c r="B1395" s="1">
        <v>45833</v>
      </c>
      <c r="C1395" t="s">
        <v>67</v>
      </c>
      <c r="D1395" t="s">
        <v>57</v>
      </c>
      <c r="E1395" t="s">
        <v>40</v>
      </c>
      <c r="F1395" t="s">
        <v>41</v>
      </c>
      <c r="G1395" t="s">
        <v>42</v>
      </c>
      <c r="H1395" t="s">
        <v>89</v>
      </c>
      <c r="I1395" t="s">
        <v>555</v>
      </c>
      <c r="J1395" t="s">
        <v>32</v>
      </c>
      <c r="K1395" t="s">
        <v>85</v>
      </c>
      <c r="L1395" t="s">
        <v>78</v>
      </c>
      <c r="M1395" t="s">
        <v>94</v>
      </c>
      <c r="N1395" t="s">
        <v>36</v>
      </c>
      <c r="O1395">
        <v>60</v>
      </c>
      <c r="P1395">
        <v>60</v>
      </c>
      <c r="Q1395">
        <v>76.900000000000006</v>
      </c>
      <c r="R1395">
        <v>1250</v>
      </c>
      <c r="S1395">
        <v>1250</v>
      </c>
      <c r="T1395">
        <v>0</v>
      </c>
      <c r="U1395">
        <v>0</v>
      </c>
      <c r="V1395">
        <v>1</v>
      </c>
      <c r="W1395">
        <v>0</v>
      </c>
      <c r="X1395">
        <v>0.85</v>
      </c>
    </row>
    <row r="1396" spans="1:24" x14ac:dyDescent="0.3">
      <c r="A1396" t="s">
        <v>2091</v>
      </c>
      <c r="B1396" s="1">
        <v>45698</v>
      </c>
      <c r="C1396" t="s">
        <v>76</v>
      </c>
      <c r="D1396" t="s">
        <v>39</v>
      </c>
      <c r="E1396" t="s">
        <v>68</v>
      </c>
      <c r="F1396" t="s">
        <v>28</v>
      </c>
      <c r="G1396" t="s">
        <v>29</v>
      </c>
      <c r="H1396" t="s">
        <v>102</v>
      </c>
      <c r="I1396" t="s">
        <v>558</v>
      </c>
      <c r="J1396" t="s">
        <v>62</v>
      </c>
      <c r="K1396" t="s">
        <v>63</v>
      </c>
      <c r="L1396" t="s">
        <v>64</v>
      </c>
      <c r="M1396" t="s">
        <v>71</v>
      </c>
      <c r="N1396" t="s">
        <v>95</v>
      </c>
      <c r="O1396">
        <v>60</v>
      </c>
      <c r="P1396">
        <v>0</v>
      </c>
      <c r="Q1396">
        <v>72.5</v>
      </c>
      <c r="R1396">
        <v>1250</v>
      </c>
      <c r="S1396">
        <v>0</v>
      </c>
      <c r="T1396">
        <v>1250</v>
      </c>
      <c r="U1396">
        <v>1</v>
      </c>
      <c r="V1396">
        <v>0</v>
      </c>
      <c r="W1396">
        <v>0</v>
      </c>
      <c r="X1396">
        <v>0.85</v>
      </c>
    </row>
    <row r="1397" spans="1:24" x14ac:dyDescent="0.3">
      <c r="A1397" t="s">
        <v>2092</v>
      </c>
      <c r="B1397" s="1">
        <v>45853</v>
      </c>
      <c r="C1397" t="s">
        <v>101</v>
      </c>
      <c r="D1397" t="s">
        <v>26</v>
      </c>
      <c r="E1397" t="s">
        <v>27</v>
      </c>
      <c r="F1397" t="s">
        <v>58</v>
      </c>
      <c r="G1397" t="s">
        <v>59</v>
      </c>
      <c r="H1397" t="s">
        <v>296</v>
      </c>
      <c r="I1397" t="s">
        <v>265</v>
      </c>
      <c r="J1397" t="s">
        <v>32</v>
      </c>
      <c r="K1397" t="s">
        <v>46</v>
      </c>
      <c r="L1397" t="s">
        <v>34</v>
      </c>
      <c r="M1397" t="s">
        <v>86</v>
      </c>
      <c r="N1397" t="s">
        <v>36</v>
      </c>
      <c r="O1397">
        <v>60</v>
      </c>
      <c r="P1397">
        <v>60</v>
      </c>
      <c r="Q1397">
        <v>70.599999999999994</v>
      </c>
      <c r="R1397">
        <v>1500</v>
      </c>
      <c r="S1397">
        <v>1500</v>
      </c>
      <c r="T1397">
        <v>0</v>
      </c>
      <c r="U1397">
        <v>0</v>
      </c>
      <c r="V1397">
        <v>1</v>
      </c>
      <c r="W1397">
        <v>0</v>
      </c>
      <c r="X1397">
        <v>0.85</v>
      </c>
    </row>
    <row r="1398" spans="1:24" x14ac:dyDescent="0.3">
      <c r="A1398" t="s">
        <v>2093</v>
      </c>
      <c r="B1398" s="1">
        <v>45727</v>
      </c>
      <c r="C1398" t="s">
        <v>56</v>
      </c>
      <c r="D1398" t="s">
        <v>26</v>
      </c>
      <c r="E1398" t="s">
        <v>40</v>
      </c>
      <c r="F1398" t="s">
        <v>58</v>
      </c>
      <c r="G1398" t="s">
        <v>59</v>
      </c>
      <c r="H1398" t="s">
        <v>117</v>
      </c>
      <c r="I1398" t="s">
        <v>1518</v>
      </c>
      <c r="J1398" t="s">
        <v>62</v>
      </c>
      <c r="K1398" t="s">
        <v>70</v>
      </c>
      <c r="L1398" t="s">
        <v>34</v>
      </c>
      <c r="M1398" t="s">
        <v>94</v>
      </c>
      <c r="N1398" t="s">
        <v>36</v>
      </c>
      <c r="O1398">
        <v>45</v>
      </c>
      <c r="P1398">
        <v>45</v>
      </c>
      <c r="Q1398">
        <v>51.3</v>
      </c>
      <c r="R1398">
        <v>1100</v>
      </c>
      <c r="S1398">
        <v>1100</v>
      </c>
      <c r="T1398">
        <v>0</v>
      </c>
      <c r="U1398">
        <v>0</v>
      </c>
      <c r="V1398">
        <v>1</v>
      </c>
      <c r="W1398">
        <v>0</v>
      </c>
      <c r="X1398">
        <v>0.85</v>
      </c>
    </row>
    <row r="1399" spans="1:24" x14ac:dyDescent="0.3">
      <c r="A1399" t="s">
        <v>2094</v>
      </c>
      <c r="B1399" s="1">
        <v>45714</v>
      </c>
      <c r="C1399" t="s">
        <v>76</v>
      </c>
      <c r="D1399" t="s">
        <v>57</v>
      </c>
      <c r="E1399" t="s">
        <v>27</v>
      </c>
      <c r="F1399" t="s">
        <v>58</v>
      </c>
      <c r="G1399" t="s">
        <v>59</v>
      </c>
      <c r="H1399" t="s">
        <v>60</v>
      </c>
      <c r="I1399" t="s">
        <v>505</v>
      </c>
      <c r="J1399" t="s">
        <v>45</v>
      </c>
      <c r="K1399" t="s">
        <v>85</v>
      </c>
      <c r="L1399" t="s">
        <v>64</v>
      </c>
      <c r="M1399" t="s">
        <v>71</v>
      </c>
      <c r="N1399" t="s">
        <v>36</v>
      </c>
      <c r="O1399">
        <v>45</v>
      </c>
      <c r="P1399">
        <v>45</v>
      </c>
      <c r="Q1399">
        <v>55.6</v>
      </c>
      <c r="R1399">
        <v>1300</v>
      </c>
      <c r="S1399">
        <v>1300</v>
      </c>
      <c r="T1399">
        <v>0</v>
      </c>
      <c r="U1399">
        <v>0</v>
      </c>
      <c r="V1399">
        <v>1</v>
      </c>
      <c r="W1399">
        <v>0</v>
      </c>
      <c r="X1399">
        <v>0.85</v>
      </c>
    </row>
    <row r="1400" spans="1:24" x14ac:dyDescent="0.3">
      <c r="A1400" t="s">
        <v>2095</v>
      </c>
      <c r="B1400" s="1">
        <v>45888</v>
      </c>
      <c r="C1400" t="s">
        <v>110</v>
      </c>
      <c r="D1400" t="s">
        <v>26</v>
      </c>
      <c r="E1400" t="s">
        <v>27</v>
      </c>
      <c r="F1400" t="s">
        <v>28</v>
      </c>
      <c r="G1400" t="s">
        <v>29</v>
      </c>
      <c r="H1400" t="s">
        <v>102</v>
      </c>
      <c r="I1400" t="s">
        <v>473</v>
      </c>
      <c r="J1400" t="s">
        <v>53</v>
      </c>
      <c r="K1400" t="s">
        <v>46</v>
      </c>
      <c r="L1400" t="s">
        <v>64</v>
      </c>
      <c r="M1400" t="s">
        <v>71</v>
      </c>
      <c r="N1400" t="s">
        <v>95</v>
      </c>
      <c r="O1400">
        <v>60</v>
      </c>
      <c r="P1400">
        <v>0</v>
      </c>
      <c r="Q1400">
        <v>73.599999999999994</v>
      </c>
      <c r="R1400">
        <v>1500</v>
      </c>
      <c r="S1400">
        <v>0</v>
      </c>
      <c r="T1400">
        <v>1500</v>
      </c>
      <c r="U1400">
        <v>1</v>
      </c>
      <c r="V1400">
        <v>0</v>
      </c>
      <c r="W1400">
        <v>0</v>
      </c>
      <c r="X1400">
        <v>0.85</v>
      </c>
    </row>
    <row r="1401" spans="1:24" x14ac:dyDescent="0.3">
      <c r="A1401" t="s">
        <v>2096</v>
      </c>
      <c r="B1401" s="1">
        <v>45936</v>
      </c>
      <c r="C1401" t="s">
        <v>97</v>
      </c>
      <c r="D1401" t="s">
        <v>39</v>
      </c>
      <c r="E1401" t="s">
        <v>27</v>
      </c>
      <c r="F1401" t="s">
        <v>41</v>
      </c>
      <c r="G1401" t="s">
        <v>42</v>
      </c>
      <c r="H1401" t="s">
        <v>125</v>
      </c>
      <c r="I1401" t="s">
        <v>93</v>
      </c>
      <c r="J1401" t="s">
        <v>137</v>
      </c>
      <c r="K1401" t="s">
        <v>63</v>
      </c>
      <c r="L1401" t="s">
        <v>78</v>
      </c>
      <c r="M1401" t="s">
        <v>71</v>
      </c>
      <c r="N1401" t="s">
        <v>36</v>
      </c>
      <c r="O1401">
        <v>45</v>
      </c>
      <c r="P1401">
        <v>45</v>
      </c>
      <c r="Q1401">
        <v>57.4</v>
      </c>
      <c r="R1401">
        <v>950</v>
      </c>
      <c r="S1401">
        <v>950</v>
      </c>
      <c r="T1401">
        <v>0</v>
      </c>
      <c r="U1401">
        <v>0</v>
      </c>
      <c r="V1401">
        <v>1</v>
      </c>
      <c r="W1401">
        <v>0</v>
      </c>
      <c r="X1401">
        <v>0.85</v>
      </c>
    </row>
    <row r="1402" spans="1:24" x14ac:dyDescent="0.3">
      <c r="A1402" t="s">
        <v>2097</v>
      </c>
      <c r="B1402" s="1">
        <v>45672</v>
      </c>
      <c r="C1402" t="s">
        <v>130</v>
      </c>
      <c r="D1402" t="s">
        <v>57</v>
      </c>
      <c r="E1402" t="s">
        <v>40</v>
      </c>
      <c r="F1402" t="s">
        <v>58</v>
      </c>
      <c r="G1402" t="s">
        <v>59</v>
      </c>
      <c r="H1402" t="s">
        <v>296</v>
      </c>
      <c r="I1402" t="s">
        <v>462</v>
      </c>
      <c r="J1402" t="s">
        <v>53</v>
      </c>
      <c r="K1402" t="s">
        <v>63</v>
      </c>
      <c r="L1402" t="s">
        <v>54</v>
      </c>
      <c r="M1402" t="s">
        <v>35</v>
      </c>
      <c r="N1402" t="s">
        <v>36</v>
      </c>
      <c r="O1402">
        <v>45</v>
      </c>
      <c r="P1402">
        <v>45</v>
      </c>
      <c r="Q1402">
        <v>55.8</v>
      </c>
      <c r="R1402">
        <v>1150</v>
      </c>
      <c r="S1402">
        <v>1150</v>
      </c>
      <c r="T1402">
        <v>0</v>
      </c>
      <c r="U1402">
        <v>0</v>
      </c>
      <c r="V1402">
        <v>1</v>
      </c>
      <c r="W1402">
        <v>0</v>
      </c>
      <c r="X1402">
        <v>0.85</v>
      </c>
    </row>
    <row r="1403" spans="1:24" x14ac:dyDescent="0.3">
      <c r="A1403" t="s">
        <v>2098</v>
      </c>
      <c r="B1403" s="1">
        <v>45722</v>
      </c>
      <c r="C1403" t="s">
        <v>56</v>
      </c>
      <c r="D1403" t="s">
        <v>50</v>
      </c>
      <c r="E1403" t="s">
        <v>27</v>
      </c>
      <c r="F1403" t="s">
        <v>28</v>
      </c>
      <c r="G1403" t="s">
        <v>29</v>
      </c>
      <c r="H1403" t="s">
        <v>120</v>
      </c>
      <c r="I1403" t="s">
        <v>1487</v>
      </c>
      <c r="J1403" t="s">
        <v>62</v>
      </c>
      <c r="K1403" t="s">
        <v>85</v>
      </c>
      <c r="L1403" t="s">
        <v>54</v>
      </c>
      <c r="M1403" t="s">
        <v>47</v>
      </c>
      <c r="N1403" t="s">
        <v>95</v>
      </c>
      <c r="O1403">
        <v>60</v>
      </c>
      <c r="P1403">
        <v>0</v>
      </c>
      <c r="Q1403">
        <v>80.400000000000006</v>
      </c>
      <c r="R1403">
        <v>1050</v>
      </c>
      <c r="S1403">
        <v>0</v>
      </c>
      <c r="T1403">
        <v>1050</v>
      </c>
      <c r="U1403">
        <v>1</v>
      </c>
      <c r="V1403">
        <v>0</v>
      </c>
      <c r="W1403">
        <v>0</v>
      </c>
      <c r="X1403">
        <v>0.85</v>
      </c>
    </row>
    <row r="1404" spans="1:24" x14ac:dyDescent="0.3">
      <c r="A1404" t="s">
        <v>2099</v>
      </c>
      <c r="B1404" s="1">
        <v>45936</v>
      </c>
      <c r="C1404" t="s">
        <v>97</v>
      </c>
      <c r="D1404" t="s">
        <v>39</v>
      </c>
      <c r="E1404" t="s">
        <v>27</v>
      </c>
      <c r="F1404" t="s">
        <v>58</v>
      </c>
      <c r="G1404" t="s">
        <v>59</v>
      </c>
      <c r="H1404" t="s">
        <v>151</v>
      </c>
      <c r="I1404" t="s">
        <v>1207</v>
      </c>
      <c r="J1404" t="s">
        <v>62</v>
      </c>
      <c r="K1404" t="s">
        <v>85</v>
      </c>
      <c r="L1404" t="s">
        <v>34</v>
      </c>
      <c r="M1404" t="s">
        <v>35</v>
      </c>
      <c r="N1404" t="s">
        <v>153</v>
      </c>
      <c r="O1404">
        <v>60</v>
      </c>
      <c r="P1404">
        <v>0</v>
      </c>
      <c r="Q1404">
        <v>76.099999999999994</v>
      </c>
      <c r="R1404">
        <v>1500</v>
      </c>
      <c r="S1404">
        <v>0</v>
      </c>
      <c r="T1404">
        <v>0</v>
      </c>
      <c r="U1404">
        <v>0</v>
      </c>
      <c r="V1404">
        <v>0</v>
      </c>
      <c r="W1404">
        <v>0</v>
      </c>
      <c r="X1404">
        <v>0.85</v>
      </c>
    </row>
    <row r="1405" spans="1:24" x14ac:dyDescent="0.3">
      <c r="A1405" t="s">
        <v>2100</v>
      </c>
      <c r="B1405" s="1">
        <v>45729</v>
      </c>
      <c r="C1405" t="s">
        <v>56</v>
      </c>
      <c r="D1405" t="s">
        <v>50</v>
      </c>
      <c r="E1405" t="s">
        <v>27</v>
      </c>
      <c r="F1405" t="s">
        <v>41</v>
      </c>
      <c r="G1405" t="s">
        <v>42</v>
      </c>
      <c r="H1405" t="s">
        <v>125</v>
      </c>
      <c r="I1405" t="s">
        <v>2101</v>
      </c>
      <c r="J1405" t="s">
        <v>45</v>
      </c>
      <c r="K1405" t="s">
        <v>70</v>
      </c>
      <c r="L1405" t="s">
        <v>64</v>
      </c>
      <c r="M1405" t="s">
        <v>65</v>
      </c>
      <c r="N1405" t="s">
        <v>36</v>
      </c>
      <c r="O1405">
        <v>60</v>
      </c>
      <c r="P1405">
        <v>60</v>
      </c>
      <c r="Q1405">
        <v>69.3</v>
      </c>
      <c r="R1405">
        <v>1550</v>
      </c>
      <c r="S1405">
        <v>1550</v>
      </c>
      <c r="T1405">
        <v>0</v>
      </c>
      <c r="U1405">
        <v>0</v>
      </c>
      <c r="V1405">
        <v>1</v>
      </c>
      <c r="W1405">
        <v>0</v>
      </c>
      <c r="X1405">
        <v>0.85</v>
      </c>
    </row>
    <row r="1406" spans="1:24" x14ac:dyDescent="0.3">
      <c r="A1406" t="s">
        <v>2102</v>
      </c>
      <c r="B1406" s="1">
        <v>45894</v>
      </c>
      <c r="C1406" t="s">
        <v>110</v>
      </c>
      <c r="D1406" t="s">
        <v>39</v>
      </c>
      <c r="E1406" t="s">
        <v>83</v>
      </c>
      <c r="F1406" t="s">
        <v>41</v>
      </c>
      <c r="G1406" t="s">
        <v>42</v>
      </c>
      <c r="H1406" t="s">
        <v>51</v>
      </c>
      <c r="I1406" t="s">
        <v>1126</v>
      </c>
      <c r="J1406" t="s">
        <v>32</v>
      </c>
      <c r="K1406" t="s">
        <v>63</v>
      </c>
      <c r="L1406" t="s">
        <v>34</v>
      </c>
      <c r="M1406" t="s">
        <v>47</v>
      </c>
      <c r="N1406" t="s">
        <v>95</v>
      </c>
      <c r="O1406">
        <v>30</v>
      </c>
      <c r="P1406">
        <v>0</v>
      </c>
      <c r="Q1406">
        <v>39</v>
      </c>
      <c r="R1406">
        <v>700</v>
      </c>
      <c r="S1406">
        <v>0</v>
      </c>
      <c r="T1406">
        <v>700</v>
      </c>
      <c r="U1406">
        <v>1</v>
      </c>
      <c r="V1406">
        <v>0</v>
      </c>
      <c r="W1406">
        <v>0</v>
      </c>
      <c r="X1406">
        <v>0.85</v>
      </c>
    </row>
    <row r="1407" spans="1:24" x14ac:dyDescent="0.3">
      <c r="A1407" t="s">
        <v>2103</v>
      </c>
      <c r="B1407" s="1">
        <v>45972</v>
      </c>
      <c r="C1407" t="s">
        <v>38</v>
      </c>
      <c r="D1407" t="s">
        <v>26</v>
      </c>
      <c r="E1407" t="s">
        <v>83</v>
      </c>
      <c r="F1407" t="s">
        <v>58</v>
      </c>
      <c r="G1407" t="s">
        <v>59</v>
      </c>
      <c r="H1407" t="s">
        <v>73</v>
      </c>
      <c r="I1407" t="s">
        <v>1430</v>
      </c>
      <c r="J1407" t="s">
        <v>45</v>
      </c>
      <c r="K1407" t="s">
        <v>63</v>
      </c>
      <c r="L1407" t="s">
        <v>34</v>
      </c>
      <c r="M1407" t="s">
        <v>47</v>
      </c>
      <c r="N1407" t="s">
        <v>36</v>
      </c>
      <c r="O1407">
        <v>75</v>
      </c>
      <c r="P1407">
        <v>75</v>
      </c>
      <c r="Q1407">
        <v>87.5</v>
      </c>
      <c r="R1407">
        <v>2150</v>
      </c>
      <c r="S1407">
        <v>2150</v>
      </c>
      <c r="T1407">
        <v>0</v>
      </c>
      <c r="U1407">
        <v>0</v>
      </c>
      <c r="V1407">
        <v>1</v>
      </c>
      <c r="W1407">
        <v>0</v>
      </c>
      <c r="X1407">
        <v>0.85</v>
      </c>
    </row>
    <row r="1408" spans="1:24" x14ac:dyDescent="0.3">
      <c r="A1408" t="s">
        <v>2104</v>
      </c>
      <c r="B1408" s="1">
        <v>45936</v>
      </c>
      <c r="C1408" t="s">
        <v>97</v>
      </c>
      <c r="D1408" t="s">
        <v>39</v>
      </c>
      <c r="E1408" t="s">
        <v>27</v>
      </c>
      <c r="F1408" t="s">
        <v>41</v>
      </c>
      <c r="G1408" t="s">
        <v>42</v>
      </c>
      <c r="H1408" t="s">
        <v>43</v>
      </c>
      <c r="I1408" t="s">
        <v>986</v>
      </c>
      <c r="J1408" t="s">
        <v>62</v>
      </c>
      <c r="K1408" t="s">
        <v>85</v>
      </c>
      <c r="L1408" t="s">
        <v>34</v>
      </c>
      <c r="M1408" t="s">
        <v>65</v>
      </c>
      <c r="N1408" t="s">
        <v>36</v>
      </c>
      <c r="O1408">
        <v>75</v>
      </c>
      <c r="P1408">
        <v>75</v>
      </c>
      <c r="Q1408">
        <v>88.2</v>
      </c>
      <c r="R1408">
        <v>1700</v>
      </c>
      <c r="S1408">
        <v>1700</v>
      </c>
      <c r="T1408">
        <v>0</v>
      </c>
      <c r="U1408">
        <v>0</v>
      </c>
      <c r="V1408">
        <v>1</v>
      </c>
      <c r="W1408">
        <v>0</v>
      </c>
      <c r="X1408">
        <v>0.85</v>
      </c>
    </row>
    <row r="1409" spans="1:24" x14ac:dyDescent="0.3">
      <c r="A1409" t="s">
        <v>2105</v>
      </c>
      <c r="B1409" s="1">
        <v>45698</v>
      </c>
      <c r="C1409" t="s">
        <v>76</v>
      </c>
      <c r="D1409" t="s">
        <v>39</v>
      </c>
      <c r="E1409" t="s">
        <v>83</v>
      </c>
      <c r="F1409" t="s">
        <v>58</v>
      </c>
      <c r="G1409" t="s">
        <v>59</v>
      </c>
      <c r="H1409" t="s">
        <v>151</v>
      </c>
      <c r="I1409" t="s">
        <v>696</v>
      </c>
      <c r="J1409" t="s">
        <v>62</v>
      </c>
      <c r="K1409" t="s">
        <v>33</v>
      </c>
      <c r="L1409" t="s">
        <v>34</v>
      </c>
      <c r="M1409" t="s">
        <v>35</v>
      </c>
      <c r="N1409" t="s">
        <v>36</v>
      </c>
      <c r="O1409">
        <v>30</v>
      </c>
      <c r="P1409">
        <v>30</v>
      </c>
      <c r="Q1409">
        <v>37.799999999999997</v>
      </c>
      <c r="R1409">
        <v>750</v>
      </c>
      <c r="S1409">
        <v>750</v>
      </c>
      <c r="T1409">
        <v>0</v>
      </c>
      <c r="U1409">
        <v>0</v>
      </c>
      <c r="V1409">
        <v>1</v>
      </c>
      <c r="W1409">
        <v>0</v>
      </c>
      <c r="X1409">
        <v>0.85</v>
      </c>
    </row>
    <row r="1410" spans="1:24" x14ac:dyDescent="0.3">
      <c r="A1410" t="s">
        <v>2106</v>
      </c>
      <c r="B1410" s="1">
        <v>45874</v>
      </c>
      <c r="C1410" t="s">
        <v>110</v>
      </c>
      <c r="D1410" t="s">
        <v>26</v>
      </c>
      <c r="E1410" t="s">
        <v>40</v>
      </c>
      <c r="F1410" t="s">
        <v>28</v>
      </c>
      <c r="G1410" t="s">
        <v>29</v>
      </c>
      <c r="H1410" t="s">
        <v>102</v>
      </c>
      <c r="I1410" t="s">
        <v>2107</v>
      </c>
      <c r="J1410" t="s">
        <v>45</v>
      </c>
      <c r="K1410" t="s">
        <v>33</v>
      </c>
      <c r="L1410" t="s">
        <v>34</v>
      </c>
      <c r="M1410" t="s">
        <v>94</v>
      </c>
      <c r="N1410" t="s">
        <v>36</v>
      </c>
      <c r="O1410">
        <v>60</v>
      </c>
      <c r="P1410">
        <v>60</v>
      </c>
      <c r="Q1410">
        <v>68.8</v>
      </c>
      <c r="R1410">
        <v>1450</v>
      </c>
      <c r="S1410">
        <v>1450</v>
      </c>
      <c r="T1410">
        <v>0</v>
      </c>
      <c r="U1410">
        <v>0</v>
      </c>
      <c r="V1410">
        <v>1</v>
      </c>
      <c r="W1410">
        <v>0</v>
      </c>
      <c r="X1410">
        <v>0.85</v>
      </c>
    </row>
    <row r="1411" spans="1:24" x14ac:dyDescent="0.3">
      <c r="A1411" t="s">
        <v>2108</v>
      </c>
      <c r="B1411" s="1">
        <v>45791</v>
      </c>
      <c r="C1411" t="s">
        <v>128</v>
      </c>
      <c r="D1411" t="s">
        <v>57</v>
      </c>
      <c r="E1411" t="s">
        <v>27</v>
      </c>
      <c r="F1411" t="s">
        <v>28</v>
      </c>
      <c r="G1411" t="s">
        <v>29</v>
      </c>
      <c r="H1411" t="s">
        <v>210</v>
      </c>
      <c r="I1411" t="s">
        <v>1289</v>
      </c>
      <c r="J1411" t="s">
        <v>53</v>
      </c>
      <c r="K1411" t="s">
        <v>46</v>
      </c>
      <c r="L1411" t="s">
        <v>34</v>
      </c>
      <c r="M1411" t="s">
        <v>35</v>
      </c>
      <c r="N1411" t="s">
        <v>153</v>
      </c>
      <c r="O1411">
        <v>30</v>
      </c>
      <c r="P1411">
        <v>0</v>
      </c>
      <c r="Q1411">
        <v>37.6</v>
      </c>
      <c r="R1411">
        <v>750</v>
      </c>
      <c r="S1411">
        <v>0</v>
      </c>
      <c r="T1411">
        <v>0</v>
      </c>
      <c r="U1411">
        <v>0</v>
      </c>
      <c r="V1411">
        <v>0</v>
      </c>
      <c r="W1411">
        <v>0</v>
      </c>
      <c r="X1411">
        <v>0.85</v>
      </c>
    </row>
    <row r="1412" spans="1:24" x14ac:dyDescent="0.3">
      <c r="A1412" t="s">
        <v>2109</v>
      </c>
      <c r="B1412" s="1">
        <v>45777</v>
      </c>
      <c r="C1412" t="s">
        <v>92</v>
      </c>
      <c r="D1412" t="s">
        <v>57</v>
      </c>
      <c r="E1412" t="s">
        <v>40</v>
      </c>
      <c r="F1412" t="s">
        <v>58</v>
      </c>
      <c r="G1412" t="s">
        <v>59</v>
      </c>
      <c r="H1412" t="s">
        <v>60</v>
      </c>
      <c r="I1412" t="s">
        <v>2110</v>
      </c>
      <c r="J1412" t="s">
        <v>32</v>
      </c>
      <c r="K1412" t="s">
        <v>70</v>
      </c>
      <c r="L1412" t="s">
        <v>34</v>
      </c>
      <c r="M1412" t="s">
        <v>65</v>
      </c>
      <c r="N1412" t="s">
        <v>95</v>
      </c>
      <c r="O1412">
        <v>60</v>
      </c>
      <c r="P1412">
        <v>0</v>
      </c>
      <c r="Q1412">
        <v>68.099999999999994</v>
      </c>
      <c r="R1412">
        <v>1500</v>
      </c>
      <c r="S1412">
        <v>0</v>
      </c>
      <c r="T1412">
        <v>1500</v>
      </c>
      <c r="U1412">
        <v>1</v>
      </c>
      <c r="V1412">
        <v>0</v>
      </c>
      <c r="W1412">
        <v>0</v>
      </c>
      <c r="X1412">
        <v>0.85</v>
      </c>
    </row>
    <row r="1413" spans="1:24" x14ac:dyDescent="0.3">
      <c r="A1413" t="s">
        <v>2111</v>
      </c>
      <c r="B1413" s="1">
        <v>45761</v>
      </c>
      <c r="C1413" t="s">
        <v>92</v>
      </c>
      <c r="D1413" t="s">
        <v>39</v>
      </c>
      <c r="E1413" t="s">
        <v>40</v>
      </c>
      <c r="F1413" t="s">
        <v>28</v>
      </c>
      <c r="G1413" t="s">
        <v>29</v>
      </c>
      <c r="H1413" t="s">
        <v>210</v>
      </c>
      <c r="I1413" t="s">
        <v>1562</v>
      </c>
      <c r="J1413" t="s">
        <v>45</v>
      </c>
      <c r="K1413" t="s">
        <v>70</v>
      </c>
      <c r="L1413" t="s">
        <v>64</v>
      </c>
      <c r="M1413" t="s">
        <v>94</v>
      </c>
      <c r="N1413" t="s">
        <v>36</v>
      </c>
      <c r="O1413">
        <v>60</v>
      </c>
      <c r="P1413">
        <v>60</v>
      </c>
      <c r="Q1413">
        <v>74.900000000000006</v>
      </c>
      <c r="R1413">
        <v>1450</v>
      </c>
      <c r="S1413">
        <v>1450</v>
      </c>
      <c r="T1413">
        <v>0</v>
      </c>
      <c r="U1413">
        <v>0</v>
      </c>
      <c r="V1413">
        <v>1</v>
      </c>
      <c r="W1413">
        <v>0</v>
      </c>
      <c r="X1413">
        <v>0.85</v>
      </c>
    </row>
    <row r="1414" spans="1:24" x14ac:dyDescent="0.3">
      <c r="A1414" t="s">
        <v>2112</v>
      </c>
      <c r="B1414" s="1">
        <v>45852</v>
      </c>
      <c r="C1414" t="s">
        <v>101</v>
      </c>
      <c r="D1414" t="s">
        <v>39</v>
      </c>
      <c r="E1414" t="s">
        <v>83</v>
      </c>
      <c r="F1414" t="s">
        <v>58</v>
      </c>
      <c r="G1414" t="s">
        <v>59</v>
      </c>
      <c r="H1414" t="s">
        <v>296</v>
      </c>
      <c r="I1414" t="s">
        <v>2113</v>
      </c>
      <c r="J1414" t="s">
        <v>62</v>
      </c>
      <c r="K1414" t="s">
        <v>70</v>
      </c>
      <c r="L1414" t="s">
        <v>64</v>
      </c>
      <c r="M1414" t="s">
        <v>35</v>
      </c>
      <c r="N1414" t="s">
        <v>95</v>
      </c>
      <c r="O1414">
        <v>45</v>
      </c>
      <c r="P1414">
        <v>0</v>
      </c>
      <c r="Q1414">
        <v>60.4</v>
      </c>
      <c r="R1414">
        <v>1100</v>
      </c>
      <c r="S1414">
        <v>0</v>
      </c>
      <c r="T1414">
        <v>1100</v>
      </c>
      <c r="U1414">
        <v>1</v>
      </c>
      <c r="V1414">
        <v>0</v>
      </c>
      <c r="W1414">
        <v>0</v>
      </c>
      <c r="X1414">
        <v>0.85</v>
      </c>
    </row>
    <row r="1415" spans="1:24" x14ac:dyDescent="0.3">
      <c r="A1415" t="s">
        <v>2114</v>
      </c>
      <c r="B1415" s="1">
        <v>45675</v>
      </c>
      <c r="C1415" t="s">
        <v>130</v>
      </c>
      <c r="D1415" t="s">
        <v>88</v>
      </c>
      <c r="E1415" t="s">
        <v>68</v>
      </c>
      <c r="F1415" t="s">
        <v>41</v>
      </c>
      <c r="G1415" t="s">
        <v>42</v>
      </c>
      <c r="H1415" t="s">
        <v>89</v>
      </c>
      <c r="I1415" t="s">
        <v>1741</v>
      </c>
      <c r="J1415" t="s">
        <v>53</v>
      </c>
      <c r="K1415" t="s">
        <v>104</v>
      </c>
      <c r="L1415" t="s">
        <v>34</v>
      </c>
      <c r="M1415" t="s">
        <v>35</v>
      </c>
      <c r="N1415" t="s">
        <v>95</v>
      </c>
      <c r="O1415">
        <v>90</v>
      </c>
      <c r="P1415">
        <v>0</v>
      </c>
      <c r="Q1415">
        <v>118.7</v>
      </c>
      <c r="R1415">
        <v>2450</v>
      </c>
      <c r="S1415">
        <v>0</v>
      </c>
      <c r="T1415">
        <v>2450</v>
      </c>
      <c r="U1415">
        <v>1</v>
      </c>
      <c r="V1415">
        <v>0</v>
      </c>
      <c r="W1415">
        <v>0</v>
      </c>
      <c r="X1415">
        <v>0.85</v>
      </c>
    </row>
    <row r="1416" spans="1:24" x14ac:dyDescent="0.3">
      <c r="A1416" t="s">
        <v>2115</v>
      </c>
      <c r="B1416" s="1">
        <v>45927</v>
      </c>
      <c r="C1416" t="s">
        <v>49</v>
      </c>
      <c r="D1416" t="s">
        <v>88</v>
      </c>
      <c r="E1416" t="s">
        <v>27</v>
      </c>
      <c r="F1416" t="s">
        <v>41</v>
      </c>
      <c r="G1416" t="s">
        <v>42</v>
      </c>
      <c r="H1416" t="s">
        <v>43</v>
      </c>
      <c r="I1416" t="s">
        <v>1498</v>
      </c>
      <c r="J1416" t="s">
        <v>32</v>
      </c>
      <c r="K1416" t="s">
        <v>70</v>
      </c>
      <c r="L1416" t="s">
        <v>34</v>
      </c>
      <c r="M1416" t="s">
        <v>65</v>
      </c>
      <c r="N1416" t="s">
        <v>36</v>
      </c>
      <c r="O1416">
        <v>60</v>
      </c>
      <c r="P1416">
        <v>60</v>
      </c>
      <c r="Q1416">
        <v>78.7</v>
      </c>
      <c r="R1416">
        <v>1350</v>
      </c>
      <c r="S1416">
        <v>1350</v>
      </c>
      <c r="T1416">
        <v>0</v>
      </c>
      <c r="U1416">
        <v>0</v>
      </c>
      <c r="V1416">
        <v>1</v>
      </c>
      <c r="W1416">
        <v>0</v>
      </c>
      <c r="X1416">
        <v>0.85</v>
      </c>
    </row>
    <row r="1417" spans="1:24" x14ac:dyDescent="0.3">
      <c r="A1417" t="s">
        <v>2116</v>
      </c>
      <c r="B1417" s="1">
        <v>46004</v>
      </c>
      <c r="C1417" t="s">
        <v>25</v>
      </c>
      <c r="D1417" t="s">
        <v>88</v>
      </c>
      <c r="E1417" t="s">
        <v>83</v>
      </c>
      <c r="F1417" t="s">
        <v>58</v>
      </c>
      <c r="G1417" t="s">
        <v>59</v>
      </c>
      <c r="H1417" t="s">
        <v>151</v>
      </c>
      <c r="I1417" t="s">
        <v>395</v>
      </c>
      <c r="J1417" t="s">
        <v>62</v>
      </c>
      <c r="K1417" t="s">
        <v>104</v>
      </c>
      <c r="L1417" t="s">
        <v>34</v>
      </c>
      <c r="M1417" t="s">
        <v>86</v>
      </c>
      <c r="N1417" t="s">
        <v>153</v>
      </c>
      <c r="O1417">
        <v>45</v>
      </c>
      <c r="P1417">
        <v>0</v>
      </c>
      <c r="Q1417">
        <v>50.6</v>
      </c>
      <c r="R1417">
        <v>1100</v>
      </c>
      <c r="S1417">
        <v>0</v>
      </c>
      <c r="T1417">
        <v>0</v>
      </c>
      <c r="U1417">
        <v>0</v>
      </c>
      <c r="V1417">
        <v>0</v>
      </c>
      <c r="W1417">
        <v>0</v>
      </c>
      <c r="X1417">
        <v>0.85</v>
      </c>
    </row>
    <row r="1418" spans="1:24" x14ac:dyDescent="0.3">
      <c r="A1418" t="s">
        <v>2117</v>
      </c>
      <c r="B1418" s="1">
        <v>45696</v>
      </c>
      <c r="C1418" t="s">
        <v>76</v>
      </c>
      <c r="D1418" t="s">
        <v>88</v>
      </c>
      <c r="E1418" t="s">
        <v>83</v>
      </c>
      <c r="F1418" t="s">
        <v>41</v>
      </c>
      <c r="G1418" t="s">
        <v>42</v>
      </c>
      <c r="H1418" t="s">
        <v>125</v>
      </c>
      <c r="I1418" t="s">
        <v>2118</v>
      </c>
      <c r="J1418" t="s">
        <v>32</v>
      </c>
      <c r="K1418" t="s">
        <v>85</v>
      </c>
      <c r="L1418" t="s">
        <v>64</v>
      </c>
      <c r="M1418" t="s">
        <v>35</v>
      </c>
      <c r="N1418" t="s">
        <v>95</v>
      </c>
      <c r="O1418">
        <v>60</v>
      </c>
      <c r="P1418">
        <v>0</v>
      </c>
      <c r="Q1418">
        <v>80.099999999999994</v>
      </c>
      <c r="R1418">
        <v>1350</v>
      </c>
      <c r="S1418">
        <v>0</v>
      </c>
      <c r="T1418">
        <v>1350</v>
      </c>
      <c r="U1418">
        <v>1</v>
      </c>
      <c r="V1418">
        <v>0</v>
      </c>
      <c r="W1418">
        <v>0</v>
      </c>
      <c r="X1418">
        <v>0.85</v>
      </c>
    </row>
    <row r="1419" spans="1:24" x14ac:dyDescent="0.3">
      <c r="A1419" t="s">
        <v>2119</v>
      </c>
      <c r="B1419" s="1">
        <v>45841</v>
      </c>
      <c r="C1419" t="s">
        <v>101</v>
      </c>
      <c r="D1419" t="s">
        <v>50</v>
      </c>
      <c r="E1419" t="s">
        <v>27</v>
      </c>
      <c r="F1419" t="s">
        <v>58</v>
      </c>
      <c r="G1419" t="s">
        <v>59</v>
      </c>
      <c r="H1419" t="s">
        <v>296</v>
      </c>
      <c r="I1419" t="s">
        <v>2120</v>
      </c>
      <c r="J1419" t="s">
        <v>45</v>
      </c>
      <c r="K1419" t="s">
        <v>33</v>
      </c>
      <c r="L1419" t="s">
        <v>64</v>
      </c>
      <c r="M1419" t="s">
        <v>94</v>
      </c>
      <c r="N1419" t="s">
        <v>36</v>
      </c>
      <c r="O1419">
        <v>60</v>
      </c>
      <c r="P1419">
        <v>60</v>
      </c>
      <c r="Q1419">
        <v>75.7</v>
      </c>
      <c r="R1419">
        <v>1700</v>
      </c>
      <c r="S1419">
        <v>1700</v>
      </c>
      <c r="T1419">
        <v>0</v>
      </c>
      <c r="U1419">
        <v>0</v>
      </c>
      <c r="V1419">
        <v>1</v>
      </c>
      <c r="W1419">
        <v>0</v>
      </c>
      <c r="X1419">
        <v>0.85</v>
      </c>
    </row>
    <row r="1420" spans="1:24" x14ac:dyDescent="0.3">
      <c r="A1420" t="s">
        <v>2121</v>
      </c>
      <c r="B1420" s="1">
        <v>45920</v>
      </c>
      <c r="C1420" t="s">
        <v>49</v>
      </c>
      <c r="D1420" t="s">
        <v>88</v>
      </c>
      <c r="E1420" t="s">
        <v>83</v>
      </c>
      <c r="F1420" t="s">
        <v>28</v>
      </c>
      <c r="G1420" t="s">
        <v>29</v>
      </c>
      <c r="H1420" t="s">
        <v>102</v>
      </c>
      <c r="I1420" t="s">
        <v>1286</v>
      </c>
      <c r="J1420" t="s">
        <v>137</v>
      </c>
      <c r="K1420" t="s">
        <v>46</v>
      </c>
      <c r="L1420" t="s">
        <v>54</v>
      </c>
      <c r="M1420" t="s">
        <v>94</v>
      </c>
      <c r="N1420" t="s">
        <v>36</v>
      </c>
      <c r="O1420">
        <v>60</v>
      </c>
      <c r="P1420">
        <v>60</v>
      </c>
      <c r="Q1420">
        <v>73.099999999999994</v>
      </c>
      <c r="R1420">
        <v>1050</v>
      </c>
      <c r="S1420">
        <v>1050</v>
      </c>
      <c r="T1420">
        <v>0</v>
      </c>
      <c r="U1420">
        <v>0</v>
      </c>
      <c r="V1420">
        <v>1</v>
      </c>
      <c r="W1420">
        <v>0</v>
      </c>
      <c r="X1420">
        <v>0.85</v>
      </c>
    </row>
    <row r="1421" spans="1:24" x14ac:dyDescent="0.3">
      <c r="A1421" t="s">
        <v>2122</v>
      </c>
      <c r="B1421" s="1">
        <v>45907</v>
      </c>
      <c r="C1421" t="s">
        <v>49</v>
      </c>
      <c r="D1421" t="s">
        <v>287</v>
      </c>
      <c r="E1421" t="s">
        <v>27</v>
      </c>
      <c r="F1421" t="s">
        <v>28</v>
      </c>
      <c r="G1421" t="s">
        <v>29</v>
      </c>
      <c r="H1421" t="s">
        <v>210</v>
      </c>
      <c r="I1421" t="s">
        <v>460</v>
      </c>
      <c r="J1421" t="s">
        <v>62</v>
      </c>
      <c r="K1421" t="s">
        <v>85</v>
      </c>
      <c r="L1421" t="s">
        <v>64</v>
      </c>
      <c r="M1421" t="s">
        <v>94</v>
      </c>
      <c r="N1421" t="s">
        <v>36</v>
      </c>
      <c r="O1421">
        <v>45</v>
      </c>
      <c r="P1421">
        <v>45</v>
      </c>
      <c r="Q1421">
        <v>50.2</v>
      </c>
      <c r="R1421">
        <v>950</v>
      </c>
      <c r="S1421">
        <v>950</v>
      </c>
      <c r="T1421">
        <v>0</v>
      </c>
      <c r="U1421">
        <v>0</v>
      </c>
      <c r="V1421">
        <v>1</v>
      </c>
      <c r="W1421">
        <v>0</v>
      </c>
      <c r="X1421">
        <v>0.85</v>
      </c>
    </row>
    <row r="1422" spans="1:24" x14ac:dyDescent="0.3">
      <c r="A1422" t="s">
        <v>2123</v>
      </c>
      <c r="B1422" s="1">
        <v>45780</v>
      </c>
      <c r="C1422" t="s">
        <v>128</v>
      </c>
      <c r="D1422" t="s">
        <v>88</v>
      </c>
      <c r="E1422" t="s">
        <v>83</v>
      </c>
      <c r="F1422" t="s">
        <v>28</v>
      </c>
      <c r="G1422" t="s">
        <v>29</v>
      </c>
      <c r="H1422" t="s">
        <v>102</v>
      </c>
      <c r="I1422" t="s">
        <v>1788</v>
      </c>
      <c r="J1422" t="s">
        <v>53</v>
      </c>
      <c r="K1422" t="s">
        <v>70</v>
      </c>
      <c r="L1422" t="s">
        <v>34</v>
      </c>
      <c r="M1422" t="s">
        <v>71</v>
      </c>
      <c r="N1422" t="s">
        <v>36</v>
      </c>
      <c r="O1422">
        <v>30</v>
      </c>
      <c r="P1422">
        <v>30</v>
      </c>
      <c r="Q1422">
        <v>36.9</v>
      </c>
      <c r="R1422">
        <v>750</v>
      </c>
      <c r="S1422">
        <v>750</v>
      </c>
      <c r="T1422">
        <v>0</v>
      </c>
      <c r="U1422">
        <v>0</v>
      </c>
      <c r="V1422">
        <v>1</v>
      </c>
      <c r="W1422">
        <v>0</v>
      </c>
      <c r="X1422">
        <v>0.85</v>
      </c>
    </row>
    <row r="1423" spans="1:24" x14ac:dyDescent="0.3">
      <c r="A1423" t="s">
        <v>2124</v>
      </c>
      <c r="B1423" s="1">
        <v>45714</v>
      </c>
      <c r="C1423" t="s">
        <v>76</v>
      </c>
      <c r="D1423" t="s">
        <v>57</v>
      </c>
      <c r="E1423" t="s">
        <v>40</v>
      </c>
      <c r="F1423" t="s">
        <v>41</v>
      </c>
      <c r="G1423" t="s">
        <v>42</v>
      </c>
      <c r="H1423" t="s">
        <v>125</v>
      </c>
      <c r="I1423" t="s">
        <v>1219</v>
      </c>
      <c r="J1423" t="s">
        <v>45</v>
      </c>
      <c r="K1423" t="s">
        <v>46</v>
      </c>
      <c r="L1423" t="s">
        <v>78</v>
      </c>
      <c r="M1423" t="s">
        <v>35</v>
      </c>
      <c r="N1423" t="s">
        <v>153</v>
      </c>
      <c r="O1423">
        <v>60</v>
      </c>
      <c r="P1423">
        <v>0</v>
      </c>
      <c r="Q1423">
        <v>74.599999999999994</v>
      </c>
      <c r="R1423">
        <v>1450</v>
      </c>
      <c r="S1423">
        <v>0</v>
      </c>
      <c r="T1423">
        <v>0</v>
      </c>
      <c r="U1423">
        <v>0</v>
      </c>
      <c r="V1423">
        <v>0</v>
      </c>
      <c r="W1423">
        <v>0</v>
      </c>
      <c r="X1423">
        <v>0.85</v>
      </c>
    </row>
    <row r="1424" spans="1:24" x14ac:dyDescent="0.3">
      <c r="A1424" t="s">
        <v>2125</v>
      </c>
      <c r="B1424" s="1">
        <v>45712</v>
      </c>
      <c r="C1424" t="s">
        <v>76</v>
      </c>
      <c r="D1424" t="s">
        <v>39</v>
      </c>
      <c r="E1424" t="s">
        <v>68</v>
      </c>
      <c r="F1424" t="s">
        <v>41</v>
      </c>
      <c r="G1424" t="s">
        <v>42</v>
      </c>
      <c r="H1424" t="s">
        <v>89</v>
      </c>
      <c r="I1424" t="s">
        <v>1332</v>
      </c>
      <c r="J1424" t="s">
        <v>45</v>
      </c>
      <c r="K1424" t="s">
        <v>46</v>
      </c>
      <c r="L1424" t="s">
        <v>64</v>
      </c>
      <c r="M1424" t="s">
        <v>47</v>
      </c>
      <c r="N1424" t="s">
        <v>36</v>
      </c>
      <c r="O1424">
        <v>75</v>
      </c>
      <c r="P1424">
        <v>75</v>
      </c>
      <c r="Q1424">
        <v>93.6</v>
      </c>
      <c r="R1424">
        <v>1950</v>
      </c>
      <c r="S1424">
        <v>1950</v>
      </c>
      <c r="T1424">
        <v>0</v>
      </c>
      <c r="U1424">
        <v>0</v>
      </c>
      <c r="V1424">
        <v>1</v>
      </c>
      <c r="W1424">
        <v>0</v>
      </c>
      <c r="X1424">
        <v>0.85</v>
      </c>
    </row>
    <row r="1425" spans="1:24" x14ac:dyDescent="0.3">
      <c r="A1425" t="s">
        <v>2126</v>
      </c>
      <c r="B1425" s="1">
        <v>45731</v>
      </c>
      <c r="C1425" t="s">
        <v>56</v>
      </c>
      <c r="D1425" t="s">
        <v>88</v>
      </c>
      <c r="E1425" t="s">
        <v>27</v>
      </c>
      <c r="F1425" t="s">
        <v>28</v>
      </c>
      <c r="G1425" t="s">
        <v>29</v>
      </c>
      <c r="H1425" t="s">
        <v>120</v>
      </c>
      <c r="I1425" t="s">
        <v>580</v>
      </c>
      <c r="J1425" t="s">
        <v>99</v>
      </c>
      <c r="K1425" t="s">
        <v>63</v>
      </c>
      <c r="L1425" t="s">
        <v>64</v>
      </c>
      <c r="M1425" t="s">
        <v>71</v>
      </c>
      <c r="N1425" t="s">
        <v>36</v>
      </c>
      <c r="O1425">
        <v>60</v>
      </c>
      <c r="P1425">
        <v>60</v>
      </c>
      <c r="Q1425">
        <v>71.2</v>
      </c>
      <c r="R1425">
        <v>1250</v>
      </c>
      <c r="S1425">
        <v>1250</v>
      </c>
      <c r="T1425">
        <v>0</v>
      </c>
      <c r="U1425">
        <v>0</v>
      </c>
      <c r="V1425">
        <v>1</v>
      </c>
      <c r="W1425">
        <v>0</v>
      </c>
      <c r="X1425">
        <v>0.85</v>
      </c>
    </row>
    <row r="1426" spans="1:24" x14ac:dyDescent="0.3">
      <c r="A1426" t="s">
        <v>2127</v>
      </c>
      <c r="B1426" s="1">
        <v>45997</v>
      </c>
      <c r="C1426" t="s">
        <v>25</v>
      </c>
      <c r="D1426" t="s">
        <v>88</v>
      </c>
      <c r="E1426" t="s">
        <v>68</v>
      </c>
      <c r="F1426" t="s">
        <v>28</v>
      </c>
      <c r="G1426" t="s">
        <v>29</v>
      </c>
      <c r="H1426" t="s">
        <v>210</v>
      </c>
      <c r="I1426" t="s">
        <v>2128</v>
      </c>
      <c r="J1426" t="s">
        <v>137</v>
      </c>
      <c r="K1426" t="s">
        <v>46</v>
      </c>
      <c r="L1426" t="s">
        <v>78</v>
      </c>
      <c r="M1426" t="s">
        <v>71</v>
      </c>
      <c r="N1426" t="s">
        <v>36</v>
      </c>
      <c r="O1426">
        <v>60</v>
      </c>
      <c r="P1426">
        <v>60</v>
      </c>
      <c r="Q1426">
        <v>79.5</v>
      </c>
      <c r="R1426">
        <v>1150</v>
      </c>
      <c r="S1426">
        <v>1150</v>
      </c>
      <c r="T1426">
        <v>0</v>
      </c>
      <c r="U1426">
        <v>0</v>
      </c>
      <c r="V1426">
        <v>1</v>
      </c>
      <c r="W1426">
        <v>0</v>
      </c>
      <c r="X1426">
        <v>0.85</v>
      </c>
    </row>
    <row r="1427" spans="1:24" x14ac:dyDescent="0.3">
      <c r="A1427" t="s">
        <v>2129</v>
      </c>
      <c r="B1427" s="1">
        <v>45664</v>
      </c>
      <c r="C1427" t="s">
        <v>130</v>
      </c>
      <c r="D1427" t="s">
        <v>26</v>
      </c>
      <c r="E1427" t="s">
        <v>68</v>
      </c>
      <c r="F1427" t="s">
        <v>28</v>
      </c>
      <c r="G1427" t="s">
        <v>29</v>
      </c>
      <c r="H1427" t="s">
        <v>210</v>
      </c>
      <c r="I1427" t="s">
        <v>750</v>
      </c>
      <c r="J1427" t="s">
        <v>99</v>
      </c>
      <c r="K1427" t="s">
        <v>63</v>
      </c>
      <c r="L1427" t="s">
        <v>54</v>
      </c>
      <c r="M1427" t="s">
        <v>94</v>
      </c>
      <c r="N1427" t="s">
        <v>36</v>
      </c>
      <c r="O1427">
        <v>45</v>
      </c>
      <c r="P1427">
        <v>45</v>
      </c>
      <c r="Q1427">
        <v>57.6</v>
      </c>
      <c r="R1427">
        <v>800</v>
      </c>
      <c r="S1427">
        <v>800</v>
      </c>
      <c r="T1427">
        <v>0</v>
      </c>
      <c r="U1427">
        <v>0</v>
      </c>
      <c r="V1427">
        <v>1</v>
      </c>
      <c r="W1427">
        <v>0</v>
      </c>
      <c r="X1427">
        <v>0.85</v>
      </c>
    </row>
    <row r="1428" spans="1:24" x14ac:dyDescent="0.3">
      <c r="A1428" t="s">
        <v>2130</v>
      </c>
      <c r="B1428" s="1">
        <v>45835</v>
      </c>
      <c r="C1428" t="s">
        <v>67</v>
      </c>
      <c r="D1428" t="s">
        <v>82</v>
      </c>
      <c r="E1428" t="s">
        <v>40</v>
      </c>
      <c r="F1428" t="s">
        <v>28</v>
      </c>
      <c r="G1428" t="s">
        <v>29</v>
      </c>
      <c r="H1428" t="s">
        <v>30</v>
      </c>
      <c r="I1428" t="s">
        <v>1293</v>
      </c>
      <c r="J1428" t="s">
        <v>99</v>
      </c>
      <c r="K1428" t="s">
        <v>46</v>
      </c>
      <c r="L1428" t="s">
        <v>54</v>
      </c>
      <c r="M1428" t="s">
        <v>47</v>
      </c>
      <c r="N1428" t="s">
        <v>95</v>
      </c>
      <c r="O1428">
        <v>75</v>
      </c>
      <c r="P1428">
        <v>0</v>
      </c>
      <c r="Q1428">
        <v>93.6</v>
      </c>
      <c r="R1428">
        <v>1350</v>
      </c>
      <c r="S1428">
        <v>0</v>
      </c>
      <c r="T1428">
        <v>1350</v>
      </c>
      <c r="U1428">
        <v>1</v>
      </c>
      <c r="V1428">
        <v>0</v>
      </c>
      <c r="W1428">
        <v>0</v>
      </c>
      <c r="X1428">
        <v>0.85</v>
      </c>
    </row>
    <row r="1429" spans="1:24" x14ac:dyDescent="0.3">
      <c r="A1429" t="s">
        <v>2131</v>
      </c>
      <c r="B1429" s="1">
        <v>45771</v>
      </c>
      <c r="C1429" t="s">
        <v>92</v>
      </c>
      <c r="D1429" t="s">
        <v>50</v>
      </c>
      <c r="E1429" t="s">
        <v>27</v>
      </c>
      <c r="F1429" t="s">
        <v>28</v>
      </c>
      <c r="G1429" t="s">
        <v>29</v>
      </c>
      <c r="H1429" t="s">
        <v>30</v>
      </c>
      <c r="I1429" t="s">
        <v>1240</v>
      </c>
      <c r="J1429" t="s">
        <v>32</v>
      </c>
      <c r="K1429" t="s">
        <v>46</v>
      </c>
      <c r="L1429" t="s">
        <v>78</v>
      </c>
      <c r="M1429" t="s">
        <v>35</v>
      </c>
      <c r="N1429" t="s">
        <v>113</v>
      </c>
      <c r="O1429">
        <v>45</v>
      </c>
      <c r="P1429">
        <v>0</v>
      </c>
      <c r="Q1429">
        <v>51.7</v>
      </c>
      <c r="R1429">
        <v>850</v>
      </c>
      <c r="S1429">
        <v>0</v>
      </c>
      <c r="T1429">
        <v>850</v>
      </c>
      <c r="U1429">
        <v>0</v>
      </c>
      <c r="V1429">
        <v>0</v>
      </c>
      <c r="W1429">
        <v>1</v>
      </c>
      <c r="X1429">
        <v>0.85</v>
      </c>
    </row>
    <row r="1430" spans="1:24" x14ac:dyDescent="0.3">
      <c r="A1430" t="s">
        <v>2132</v>
      </c>
      <c r="B1430" s="1">
        <v>45980</v>
      </c>
      <c r="C1430" t="s">
        <v>38</v>
      </c>
      <c r="D1430" t="s">
        <v>57</v>
      </c>
      <c r="E1430" t="s">
        <v>83</v>
      </c>
      <c r="F1430" t="s">
        <v>28</v>
      </c>
      <c r="G1430" t="s">
        <v>29</v>
      </c>
      <c r="H1430" t="s">
        <v>102</v>
      </c>
      <c r="I1430" t="s">
        <v>1376</v>
      </c>
      <c r="J1430" t="s">
        <v>53</v>
      </c>
      <c r="K1430" t="s">
        <v>104</v>
      </c>
      <c r="L1430" t="s">
        <v>78</v>
      </c>
      <c r="M1430" t="s">
        <v>94</v>
      </c>
      <c r="N1430" t="s">
        <v>36</v>
      </c>
      <c r="O1430">
        <v>45</v>
      </c>
      <c r="P1430">
        <v>45</v>
      </c>
      <c r="Q1430">
        <v>51</v>
      </c>
      <c r="R1430">
        <v>1050</v>
      </c>
      <c r="S1430">
        <v>1050</v>
      </c>
      <c r="T1430">
        <v>0</v>
      </c>
      <c r="U1430">
        <v>0</v>
      </c>
      <c r="V1430">
        <v>1</v>
      </c>
      <c r="W1430">
        <v>0</v>
      </c>
      <c r="X1430">
        <v>0.85</v>
      </c>
    </row>
    <row r="1431" spans="1:24" x14ac:dyDescent="0.3">
      <c r="A1431" t="s">
        <v>2133</v>
      </c>
      <c r="B1431" s="1">
        <v>45783</v>
      </c>
      <c r="C1431" t="s">
        <v>128</v>
      </c>
      <c r="D1431" t="s">
        <v>26</v>
      </c>
      <c r="E1431" t="s">
        <v>83</v>
      </c>
      <c r="F1431" t="s">
        <v>41</v>
      </c>
      <c r="G1431" t="s">
        <v>42</v>
      </c>
      <c r="H1431" t="s">
        <v>43</v>
      </c>
      <c r="I1431" t="s">
        <v>1999</v>
      </c>
      <c r="J1431" t="s">
        <v>53</v>
      </c>
      <c r="K1431" t="s">
        <v>46</v>
      </c>
      <c r="L1431" t="s">
        <v>34</v>
      </c>
      <c r="M1431" t="s">
        <v>71</v>
      </c>
      <c r="N1431" t="s">
        <v>36</v>
      </c>
      <c r="O1431">
        <v>45</v>
      </c>
      <c r="P1431">
        <v>45</v>
      </c>
      <c r="Q1431">
        <v>50.2</v>
      </c>
      <c r="R1431">
        <v>1200</v>
      </c>
      <c r="S1431">
        <v>1200</v>
      </c>
      <c r="T1431">
        <v>0</v>
      </c>
      <c r="U1431">
        <v>0</v>
      </c>
      <c r="V1431">
        <v>1</v>
      </c>
      <c r="W1431">
        <v>0</v>
      </c>
      <c r="X1431">
        <v>0.85</v>
      </c>
    </row>
    <row r="1432" spans="1:24" x14ac:dyDescent="0.3">
      <c r="A1432" t="s">
        <v>2134</v>
      </c>
      <c r="B1432" s="1">
        <v>45775</v>
      </c>
      <c r="C1432" t="s">
        <v>92</v>
      </c>
      <c r="D1432" t="s">
        <v>39</v>
      </c>
      <c r="E1432" t="s">
        <v>68</v>
      </c>
      <c r="F1432" t="s">
        <v>41</v>
      </c>
      <c r="G1432" t="s">
        <v>42</v>
      </c>
      <c r="H1432" t="s">
        <v>43</v>
      </c>
      <c r="I1432" t="s">
        <v>1899</v>
      </c>
      <c r="J1432" t="s">
        <v>32</v>
      </c>
      <c r="K1432" t="s">
        <v>104</v>
      </c>
      <c r="L1432" t="s">
        <v>34</v>
      </c>
      <c r="M1432" t="s">
        <v>71</v>
      </c>
      <c r="N1432" t="s">
        <v>36</v>
      </c>
      <c r="O1432">
        <v>45</v>
      </c>
      <c r="P1432">
        <v>45</v>
      </c>
      <c r="Q1432">
        <v>54.7</v>
      </c>
      <c r="R1432">
        <v>1000</v>
      </c>
      <c r="S1432">
        <v>1000</v>
      </c>
      <c r="T1432">
        <v>0</v>
      </c>
      <c r="U1432">
        <v>0</v>
      </c>
      <c r="V1432">
        <v>1</v>
      </c>
      <c r="W1432">
        <v>0</v>
      </c>
      <c r="X1432">
        <v>0.85</v>
      </c>
    </row>
    <row r="1433" spans="1:24" x14ac:dyDescent="0.3">
      <c r="A1433" t="s">
        <v>2135</v>
      </c>
      <c r="B1433" s="1">
        <v>45719</v>
      </c>
      <c r="C1433" t="s">
        <v>56</v>
      </c>
      <c r="D1433" t="s">
        <v>39</v>
      </c>
      <c r="E1433" t="s">
        <v>27</v>
      </c>
      <c r="F1433" t="s">
        <v>28</v>
      </c>
      <c r="G1433" t="s">
        <v>29</v>
      </c>
      <c r="H1433" t="s">
        <v>210</v>
      </c>
      <c r="I1433" t="s">
        <v>1229</v>
      </c>
      <c r="J1433" t="s">
        <v>62</v>
      </c>
      <c r="K1433" t="s">
        <v>104</v>
      </c>
      <c r="L1433" t="s">
        <v>78</v>
      </c>
      <c r="M1433" t="s">
        <v>71</v>
      </c>
      <c r="N1433" t="s">
        <v>36</v>
      </c>
      <c r="O1433">
        <v>45</v>
      </c>
      <c r="P1433">
        <v>45</v>
      </c>
      <c r="Q1433">
        <v>58.3</v>
      </c>
      <c r="R1433">
        <v>850</v>
      </c>
      <c r="S1433">
        <v>850</v>
      </c>
      <c r="T1433">
        <v>0</v>
      </c>
      <c r="U1433">
        <v>0</v>
      </c>
      <c r="V1433">
        <v>1</v>
      </c>
      <c r="W1433">
        <v>0</v>
      </c>
      <c r="X1433">
        <v>0.85</v>
      </c>
    </row>
    <row r="1434" spans="1:24" x14ac:dyDescent="0.3">
      <c r="A1434" t="s">
        <v>2136</v>
      </c>
      <c r="B1434" s="1">
        <v>45827</v>
      </c>
      <c r="C1434" t="s">
        <v>67</v>
      </c>
      <c r="D1434" t="s">
        <v>50</v>
      </c>
      <c r="E1434" t="s">
        <v>83</v>
      </c>
      <c r="F1434" t="s">
        <v>41</v>
      </c>
      <c r="G1434" t="s">
        <v>42</v>
      </c>
      <c r="H1434" t="s">
        <v>51</v>
      </c>
      <c r="I1434" t="s">
        <v>1120</v>
      </c>
      <c r="J1434" t="s">
        <v>62</v>
      </c>
      <c r="K1434" t="s">
        <v>46</v>
      </c>
      <c r="L1434" t="s">
        <v>64</v>
      </c>
      <c r="M1434" t="s">
        <v>71</v>
      </c>
      <c r="N1434" t="s">
        <v>36</v>
      </c>
      <c r="O1434">
        <v>45</v>
      </c>
      <c r="P1434">
        <v>45</v>
      </c>
      <c r="Q1434">
        <v>51.4</v>
      </c>
      <c r="R1434">
        <v>1000</v>
      </c>
      <c r="S1434">
        <v>1000</v>
      </c>
      <c r="T1434">
        <v>0</v>
      </c>
      <c r="U1434">
        <v>0</v>
      </c>
      <c r="V1434">
        <v>1</v>
      </c>
      <c r="W1434">
        <v>0</v>
      </c>
      <c r="X1434">
        <v>0.85</v>
      </c>
    </row>
    <row r="1435" spans="1:24" x14ac:dyDescent="0.3">
      <c r="A1435" t="s">
        <v>2137</v>
      </c>
      <c r="B1435" s="1">
        <v>45768</v>
      </c>
      <c r="C1435" t="s">
        <v>92</v>
      </c>
      <c r="D1435" t="s">
        <v>39</v>
      </c>
      <c r="E1435" t="s">
        <v>40</v>
      </c>
      <c r="F1435" t="s">
        <v>58</v>
      </c>
      <c r="G1435" t="s">
        <v>59</v>
      </c>
      <c r="H1435" t="s">
        <v>296</v>
      </c>
      <c r="I1435" t="s">
        <v>2138</v>
      </c>
      <c r="J1435" t="s">
        <v>99</v>
      </c>
      <c r="K1435" t="s">
        <v>70</v>
      </c>
      <c r="L1435" t="s">
        <v>34</v>
      </c>
      <c r="M1435" t="s">
        <v>86</v>
      </c>
      <c r="N1435" t="s">
        <v>36</v>
      </c>
      <c r="O1435">
        <v>60</v>
      </c>
      <c r="P1435">
        <v>60</v>
      </c>
      <c r="Q1435">
        <v>65.400000000000006</v>
      </c>
      <c r="R1435">
        <v>1500</v>
      </c>
      <c r="S1435">
        <v>1500</v>
      </c>
      <c r="T1435">
        <v>0</v>
      </c>
      <c r="U1435">
        <v>0</v>
      </c>
      <c r="V1435">
        <v>1</v>
      </c>
      <c r="W1435">
        <v>0</v>
      </c>
      <c r="X1435">
        <v>0.85</v>
      </c>
    </row>
    <row r="1436" spans="1:24" x14ac:dyDescent="0.3">
      <c r="A1436" t="s">
        <v>2139</v>
      </c>
      <c r="B1436" s="1">
        <v>45821</v>
      </c>
      <c r="C1436" t="s">
        <v>67</v>
      </c>
      <c r="D1436" t="s">
        <v>82</v>
      </c>
      <c r="E1436" t="s">
        <v>68</v>
      </c>
      <c r="F1436" t="s">
        <v>58</v>
      </c>
      <c r="G1436" t="s">
        <v>59</v>
      </c>
      <c r="H1436" t="s">
        <v>117</v>
      </c>
      <c r="I1436" t="s">
        <v>1095</v>
      </c>
      <c r="J1436" t="s">
        <v>62</v>
      </c>
      <c r="K1436" t="s">
        <v>104</v>
      </c>
      <c r="L1436" t="s">
        <v>34</v>
      </c>
      <c r="M1436" t="s">
        <v>86</v>
      </c>
      <c r="N1436" t="s">
        <v>36</v>
      </c>
      <c r="O1436">
        <v>60</v>
      </c>
      <c r="P1436">
        <v>60</v>
      </c>
      <c r="Q1436">
        <v>65.8</v>
      </c>
      <c r="R1436">
        <v>1500</v>
      </c>
      <c r="S1436">
        <v>1500</v>
      </c>
      <c r="T1436">
        <v>0</v>
      </c>
      <c r="U1436">
        <v>0</v>
      </c>
      <c r="V1436">
        <v>1</v>
      </c>
      <c r="W1436">
        <v>0</v>
      </c>
      <c r="X1436">
        <v>0.85</v>
      </c>
    </row>
    <row r="1437" spans="1:24" x14ac:dyDescent="0.3">
      <c r="A1437" t="s">
        <v>2140</v>
      </c>
      <c r="B1437" s="1">
        <v>46006</v>
      </c>
      <c r="C1437" t="s">
        <v>25</v>
      </c>
      <c r="D1437" t="s">
        <v>39</v>
      </c>
      <c r="E1437" t="s">
        <v>83</v>
      </c>
      <c r="F1437" t="s">
        <v>41</v>
      </c>
      <c r="G1437" t="s">
        <v>42</v>
      </c>
      <c r="H1437" t="s">
        <v>51</v>
      </c>
      <c r="I1437" t="s">
        <v>1538</v>
      </c>
      <c r="J1437" t="s">
        <v>62</v>
      </c>
      <c r="K1437" t="s">
        <v>85</v>
      </c>
      <c r="L1437" t="s">
        <v>78</v>
      </c>
      <c r="M1437" t="s">
        <v>47</v>
      </c>
      <c r="N1437" t="s">
        <v>95</v>
      </c>
      <c r="O1437">
        <v>60</v>
      </c>
      <c r="P1437">
        <v>0</v>
      </c>
      <c r="Q1437">
        <v>69.7</v>
      </c>
      <c r="R1437">
        <v>1250</v>
      </c>
      <c r="S1437">
        <v>0</v>
      </c>
      <c r="T1437">
        <v>1250</v>
      </c>
      <c r="U1437">
        <v>1</v>
      </c>
      <c r="V1437">
        <v>0</v>
      </c>
      <c r="W1437">
        <v>0</v>
      </c>
      <c r="X1437">
        <v>0.85</v>
      </c>
    </row>
    <row r="1438" spans="1:24" x14ac:dyDescent="0.3">
      <c r="A1438" t="s">
        <v>2141</v>
      </c>
      <c r="B1438" s="1">
        <v>45863</v>
      </c>
      <c r="C1438" t="s">
        <v>101</v>
      </c>
      <c r="D1438" t="s">
        <v>82</v>
      </c>
      <c r="E1438" t="s">
        <v>68</v>
      </c>
      <c r="F1438" t="s">
        <v>41</v>
      </c>
      <c r="G1438" t="s">
        <v>42</v>
      </c>
      <c r="H1438" t="s">
        <v>43</v>
      </c>
      <c r="I1438" t="s">
        <v>131</v>
      </c>
      <c r="J1438" t="s">
        <v>62</v>
      </c>
      <c r="K1438" t="s">
        <v>33</v>
      </c>
      <c r="L1438" t="s">
        <v>78</v>
      </c>
      <c r="M1438" t="s">
        <v>86</v>
      </c>
      <c r="N1438" t="s">
        <v>36</v>
      </c>
      <c r="O1438">
        <v>75</v>
      </c>
      <c r="P1438">
        <v>75</v>
      </c>
      <c r="Q1438">
        <v>87.7</v>
      </c>
      <c r="R1438">
        <v>1550</v>
      </c>
      <c r="S1438">
        <v>1550</v>
      </c>
      <c r="T1438">
        <v>0</v>
      </c>
      <c r="U1438">
        <v>0</v>
      </c>
      <c r="V1438">
        <v>1</v>
      </c>
      <c r="W1438">
        <v>0</v>
      </c>
      <c r="X1438">
        <v>0.85</v>
      </c>
    </row>
    <row r="1439" spans="1:24" x14ac:dyDescent="0.3">
      <c r="A1439" t="s">
        <v>2142</v>
      </c>
      <c r="B1439" s="1">
        <v>45680</v>
      </c>
      <c r="C1439" t="s">
        <v>130</v>
      </c>
      <c r="D1439" t="s">
        <v>50</v>
      </c>
      <c r="E1439" t="s">
        <v>68</v>
      </c>
      <c r="F1439" t="s">
        <v>58</v>
      </c>
      <c r="G1439" t="s">
        <v>59</v>
      </c>
      <c r="H1439" t="s">
        <v>151</v>
      </c>
      <c r="I1439" t="s">
        <v>1393</v>
      </c>
      <c r="J1439" t="s">
        <v>62</v>
      </c>
      <c r="K1439" t="s">
        <v>104</v>
      </c>
      <c r="L1439" t="s">
        <v>34</v>
      </c>
      <c r="M1439" t="s">
        <v>86</v>
      </c>
      <c r="N1439" t="s">
        <v>95</v>
      </c>
      <c r="O1439">
        <v>30</v>
      </c>
      <c r="P1439">
        <v>0</v>
      </c>
      <c r="Q1439">
        <v>38.799999999999997</v>
      </c>
      <c r="R1439">
        <v>750</v>
      </c>
      <c r="S1439">
        <v>0</v>
      </c>
      <c r="T1439">
        <v>750</v>
      </c>
      <c r="U1439">
        <v>1</v>
      </c>
      <c r="V1439">
        <v>0</v>
      </c>
      <c r="W1439">
        <v>0</v>
      </c>
      <c r="X1439">
        <v>0.85</v>
      </c>
    </row>
    <row r="1440" spans="1:24" x14ac:dyDescent="0.3">
      <c r="A1440" t="s">
        <v>2143</v>
      </c>
      <c r="B1440" s="1">
        <v>45971</v>
      </c>
      <c r="C1440" t="s">
        <v>38</v>
      </c>
      <c r="D1440" t="s">
        <v>39</v>
      </c>
      <c r="E1440" t="s">
        <v>68</v>
      </c>
      <c r="F1440" t="s">
        <v>58</v>
      </c>
      <c r="G1440" t="s">
        <v>59</v>
      </c>
      <c r="H1440" t="s">
        <v>296</v>
      </c>
      <c r="I1440" t="s">
        <v>1120</v>
      </c>
      <c r="J1440" t="s">
        <v>99</v>
      </c>
      <c r="K1440" t="s">
        <v>46</v>
      </c>
      <c r="L1440" t="s">
        <v>54</v>
      </c>
      <c r="M1440" t="s">
        <v>94</v>
      </c>
      <c r="N1440" t="s">
        <v>36</v>
      </c>
      <c r="O1440">
        <v>60</v>
      </c>
      <c r="P1440">
        <v>60</v>
      </c>
      <c r="Q1440">
        <v>76.7</v>
      </c>
      <c r="R1440">
        <v>1300</v>
      </c>
      <c r="S1440">
        <v>1300</v>
      </c>
      <c r="T1440">
        <v>0</v>
      </c>
      <c r="U1440">
        <v>0</v>
      </c>
      <c r="V1440">
        <v>1</v>
      </c>
      <c r="W1440">
        <v>0</v>
      </c>
      <c r="X1440">
        <v>0.85</v>
      </c>
    </row>
    <row r="1441" spans="1:24" x14ac:dyDescent="0.3">
      <c r="A1441" t="s">
        <v>2144</v>
      </c>
      <c r="B1441" s="1">
        <v>45804</v>
      </c>
      <c r="C1441" t="s">
        <v>128</v>
      </c>
      <c r="D1441" t="s">
        <v>26</v>
      </c>
      <c r="E1441" t="s">
        <v>83</v>
      </c>
      <c r="F1441" t="s">
        <v>28</v>
      </c>
      <c r="G1441" t="s">
        <v>29</v>
      </c>
      <c r="H1441" t="s">
        <v>30</v>
      </c>
      <c r="I1441" t="s">
        <v>1996</v>
      </c>
      <c r="J1441" t="s">
        <v>99</v>
      </c>
      <c r="K1441" t="s">
        <v>46</v>
      </c>
      <c r="L1441" t="s">
        <v>34</v>
      </c>
      <c r="M1441" t="s">
        <v>86</v>
      </c>
      <c r="N1441" t="s">
        <v>36</v>
      </c>
      <c r="O1441">
        <v>30</v>
      </c>
      <c r="P1441">
        <v>30</v>
      </c>
      <c r="Q1441">
        <v>32.799999999999997</v>
      </c>
      <c r="R1441">
        <v>600</v>
      </c>
      <c r="S1441">
        <v>600</v>
      </c>
      <c r="T1441">
        <v>0</v>
      </c>
      <c r="U1441">
        <v>0</v>
      </c>
      <c r="V1441">
        <v>1</v>
      </c>
      <c r="W1441">
        <v>0</v>
      </c>
      <c r="X1441">
        <v>0.85</v>
      </c>
    </row>
    <row r="1442" spans="1:24" x14ac:dyDescent="0.3">
      <c r="A1442" t="s">
        <v>2145</v>
      </c>
      <c r="B1442" s="1">
        <v>45969</v>
      </c>
      <c r="C1442" t="s">
        <v>38</v>
      </c>
      <c r="D1442" t="s">
        <v>88</v>
      </c>
      <c r="E1442" t="s">
        <v>40</v>
      </c>
      <c r="F1442" t="s">
        <v>41</v>
      </c>
      <c r="G1442" t="s">
        <v>42</v>
      </c>
      <c r="H1442" t="s">
        <v>89</v>
      </c>
      <c r="I1442" t="s">
        <v>1487</v>
      </c>
      <c r="J1442" t="s">
        <v>137</v>
      </c>
      <c r="K1442" t="s">
        <v>104</v>
      </c>
      <c r="L1442" t="s">
        <v>78</v>
      </c>
      <c r="M1442" t="s">
        <v>65</v>
      </c>
      <c r="N1442" t="s">
        <v>36</v>
      </c>
      <c r="O1442">
        <v>60</v>
      </c>
      <c r="P1442">
        <v>60</v>
      </c>
      <c r="Q1442">
        <v>72.3</v>
      </c>
      <c r="R1442">
        <v>1250</v>
      </c>
      <c r="S1442">
        <v>1250</v>
      </c>
      <c r="T1442">
        <v>0</v>
      </c>
      <c r="U1442">
        <v>0</v>
      </c>
      <c r="V1442">
        <v>1</v>
      </c>
      <c r="W1442">
        <v>0</v>
      </c>
      <c r="X1442">
        <v>0.85</v>
      </c>
    </row>
    <row r="1443" spans="1:24" x14ac:dyDescent="0.3">
      <c r="A1443" t="s">
        <v>2146</v>
      </c>
      <c r="B1443" s="1">
        <v>46014</v>
      </c>
      <c r="C1443" t="s">
        <v>25</v>
      </c>
      <c r="D1443" t="s">
        <v>26</v>
      </c>
      <c r="E1443" t="s">
        <v>68</v>
      </c>
      <c r="F1443" t="s">
        <v>41</v>
      </c>
      <c r="G1443" t="s">
        <v>42</v>
      </c>
      <c r="H1443" t="s">
        <v>43</v>
      </c>
      <c r="I1443" t="s">
        <v>1289</v>
      </c>
      <c r="J1443" t="s">
        <v>32</v>
      </c>
      <c r="K1443" t="s">
        <v>85</v>
      </c>
      <c r="L1443" t="s">
        <v>64</v>
      </c>
      <c r="M1443" t="s">
        <v>71</v>
      </c>
      <c r="N1443" t="s">
        <v>36</v>
      </c>
      <c r="O1443">
        <v>60</v>
      </c>
      <c r="P1443">
        <v>60</v>
      </c>
      <c r="Q1443">
        <v>69.400000000000006</v>
      </c>
      <c r="R1443">
        <v>1350</v>
      </c>
      <c r="S1443">
        <v>1350</v>
      </c>
      <c r="T1443">
        <v>0</v>
      </c>
      <c r="U1443">
        <v>0</v>
      </c>
      <c r="V1443">
        <v>1</v>
      </c>
      <c r="W1443">
        <v>0</v>
      </c>
      <c r="X1443">
        <v>0.85</v>
      </c>
    </row>
    <row r="1444" spans="1:24" x14ac:dyDescent="0.3">
      <c r="A1444" t="s">
        <v>2147</v>
      </c>
      <c r="B1444" s="1">
        <v>45698</v>
      </c>
      <c r="C1444" t="s">
        <v>76</v>
      </c>
      <c r="D1444" t="s">
        <v>39</v>
      </c>
      <c r="E1444" t="s">
        <v>68</v>
      </c>
      <c r="F1444" t="s">
        <v>28</v>
      </c>
      <c r="G1444" t="s">
        <v>29</v>
      </c>
      <c r="H1444" t="s">
        <v>120</v>
      </c>
      <c r="I1444" t="s">
        <v>650</v>
      </c>
      <c r="J1444" t="s">
        <v>137</v>
      </c>
      <c r="K1444" t="s">
        <v>63</v>
      </c>
      <c r="L1444" t="s">
        <v>34</v>
      </c>
      <c r="M1444" t="s">
        <v>35</v>
      </c>
      <c r="N1444" t="s">
        <v>95</v>
      </c>
      <c r="O1444">
        <v>75</v>
      </c>
      <c r="P1444">
        <v>0</v>
      </c>
      <c r="Q1444">
        <v>83.9</v>
      </c>
      <c r="R1444">
        <v>1550</v>
      </c>
      <c r="S1444">
        <v>0</v>
      </c>
      <c r="T1444">
        <v>1550</v>
      </c>
      <c r="U1444">
        <v>1</v>
      </c>
      <c r="V1444">
        <v>0</v>
      </c>
      <c r="W1444">
        <v>0</v>
      </c>
      <c r="X1444">
        <v>0.85</v>
      </c>
    </row>
    <row r="1445" spans="1:24" x14ac:dyDescent="0.3">
      <c r="A1445" t="s">
        <v>2148</v>
      </c>
      <c r="B1445" s="1">
        <v>45922</v>
      </c>
      <c r="C1445" t="s">
        <v>49</v>
      </c>
      <c r="D1445" t="s">
        <v>39</v>
      </c>
      <c r="E1445" t="s">
        <v>40</v>
      </c>
      <c r="F1445" t="s">
        <v>28</v>
      </c>
      <c r="G1445" t="s">
        <v>29</v>
      </c>
      <c r="H1445" t="s">
        <v>102</v>
      </c>
      <c r="I1445" t="s">
        <v>194</v>
      </c>
      <c r="J1445" t="s">
        <v>45</v>
      </c>
      <c r="K1445" t="s">
        <v>33</v>
      </c>
      <c r="L1445" t="s">
        <v>54</v>
      </c>
      <c r="M1445" t="s">
        <v>65</v>
      </c>
      <c r="N1445" t="s">
        <v>36</v>
      </c>
      <c r="O1445">
        <v>45</v>
      </c>
      <c r="P1445">
        <v>45</v>
      </c>
      <c r="Q1445">
        <v>59.2</v>
      </c>
      <c r="R1445">
        <v>900</v>
      </c>
      <c r="S1445">
        <v>900</v>
      </c>
      <c r="T1445">
        <v>0</v>
      </c>
      <c r="U1445">
        <v>0</v>
      </c>
      <c r="V1445">
        <v>1</v>
      </c>
      <c r="W1445">
        <v>0</v>
      </c>
      <c r="X1445">
        <v>0.85</v>
      </c>
    </row>
    <row r="1446" spans="1:24" x14ac:dyDescent="0.3">
      <c r="A1446" t="s">
        <v>2149</v>
      </c>
      <c r="B1446" s="1">
        <v>45815</v>
      </c>
      <c r="C1446" t="s">
        <v>67</v>
      </c>
      <c r="D1446" t="s">
        <v>88</v>
      </c>
      <c r="E1446" t="s">
        <v>83</v>
      </c>
      <c r="F1446" t="s">
        <v>58</v>
      </c>
      <c r="G1446" t="s">
        <v>59</v>
      </c>
      <c r="H1446" t="s">
        <v>73</v>
      </c>
      <c r="I1446" t="s">
        <v>387</v>
      </c>
      <c r="J1446" t="s">
        <v>99</v>
      </c>
      <c r="K1446" t="s">
        <v>70</v>
      </c>
      <c r="L1446" t="s">
        <v>78</v>
      </c>
      <c r="M1446" t="s">
        <v>86</v>
      </c>
      <c r="N1446" t="s">
        <v>36</v>
      </c>
      <c r="O1446">
        <v>60</v>
      </c>
      <c r="P1446">
        <v>60</v>
      </c>
      <c r="Q1446">
        <v>77.900000000000006</v>
      </c>
      <c r="R1446">
        <v>1400</v>
      </c>
      <c r="S1446">
        <v>1400</v>
      </c>
      <c r="T1446">
        <v>0</v>
      </c>
      <c r="U1446">
        <v>0</v>
      </c>
      <c r="V1446">
        <v>1</v>
      </c>
      <c r="W1446">
        <v>0</v>
      </c>
      <c r="X1446">
        <v>0.85</v>
      </c>
    </row>
    <row r="1447" spans="1:24" x14ac:dyDescent="0.3">
      <c r="A1447" t="s">
        <v>2150</v>
      </c>
      <c r="B1447" s="1">
        <v>45750</v>
      </c>
      <c r="C1447" t="s">
        <v>92</v>
      </c>
      <c r="D1447" t="s">
        <v>50</v>
      </c>
      <c r="E1447" t="s">
        <v>83</v>
      </c>
      <c r="F1447" t="s">
        <v>58</v>
      </c>
      <c r="G1447" t="s">
        <v>59</v>
      </c>
      <c r="H1447" t="s">
        <v>73</v>
      </c>
      <c r="I1447" t="s">
        <v>560</v>
      </c>
      <c r="J1447" t="s">
        <v>32</v>
      </c>
      <c r="K1447" t="s">
        <v>104</v>
      </c>
      <c r="L1447" t="s">
        <v>78</v>
      </c>
      <c r="M1447" t="s">
        <v>86</v>
      </c>
      <c r="N1447" t="s">
        <v>36</v>
      </c>
      <c r="O1447">
        <v>75</v>
      </c>
      <c r="P1447">
        <v>75</v>
      </c>
      <c r="Q1447">
        <v>89.2</v>
      </c>
      <c r="R1447">
        <v>1700</v>
      </c>
      <c r="S1447">
        <v>1700</v>
      </c>
      <c r="T1447">
        <v>0</v>
      </c>
      <c r="U1447">
        <v>0</v>
      </c>
      <c r="V1447">
        <v>1</v>
      </c>
      <c r="W1447">
        <v>0</v>
      </c>
      <c r="X1447">
        <v>0.85</v>
      </c>
    </row>
    <row r="1448" spans="1:24" x14ac:dyDescent="0.3">
      <c r="A1448" t="s">
        <v>2151</v>
      </c>
      <c r="B1448" s="1">
        <v>45959</v>
      </c>
      <c r="C1448" t="s">
        <v>97</v>
      </c>
      <c r="D1448" t="s">
        <v>57</v>
      </c>
      <c r="E1448" t="s">
        <v>83</v>
      </c>
      <c r="F1448" t="s">
        <v>28</v>
      </c>
      <c r="G1448" t="s">
        <v>29</v>
      </c>
      <c r="H1448" t="s">
        <v>30</v>
      </c>
      <c r="I1448" t="s">
        <v>519</v>
      </c>
      <c r="J1448" t="s">
        <v>62</v>
      </c>
      <c r="K1448" t="s">
        <v>104</v>
      </c>
      <c r="L1448" t="s">
        <v>34</v>
      </c>
      <c r="M1448" t="s">
        <v>94</v>
      </c>
      <c r="N1448" t="s">
        <v>153</v>
      </c>
      <c r="O1448">
        <v>60</v>
      </c>
      <c r="P1448">
        <v>0</v>
      </c>
      <c r="Q1448">
        <v>80.099999999999994</v>
      </c>
      <c r="R1448">
        <v>1250</v>
      </c>
      <c r="S1448">
        <v>0</v>
      </c>
      <c r="T1448">
        <v>0</v>
      </c>
      <c r="U1448">
        <v>0</v>
      </c>
      <c r="V1448">
        <v>0</v>
      </c>
      <c r="W1448">
        <v>0</v>
      </c>
      <c r="X1448">
        <v>0.85</v>
      </c>
    </row>
    <row r="1449" spans="1:24" x14ac:dyDescent="0.3">
      <c r="A1449" t="s">
        <v>2152</v>
      </c>
      <c r="B1449" s="1">
        <v>45887</v>
      </c>
      <c r="C1449" t="s">
        <v>110</v>
      </c>
      <c r="D1449" t="s">
        <v>39</v>
      </c>
      <c r="E1449" t="s">
        <v>40</v>
      </c>
      <c r="F1449" t="s">
        <v>58</v>
      </c>
      <c r="G1449" t="s">
        <v>59</v>
      </c>
      <c r="H1449" t="s">
        <v>60</v>
      </c>
      <c r="I1449" t="s">
        <v>636</v>
      </c>
      <c r="J1449" t="s">
        <v>62</v>
      </c>
      <c r="K1449" t="s">
        <v>70</v>
      </c>
      <c r="L1449" t="s">
        <v>34</v>
      </c>
      <c r="M1449" t="s">
        <v>94</v>
      </c>
      <c r="N1449" t="s">
        <v>113</v>
      </c>
      <c r="O1449">
        <v>60</v>
      </c>
      <c r="P1449">
        <v>0</v>
      </c>
      <c r="Q1449">
        <v>69.900000000000006</v>
      </c>
      <c r="R1449">
        <v>1500</v>
      </c>
      <c r="S1449">
        <v>0</v>
      </c>
      <c r="T1449">
        <v>1500</v>
      </c>
      <c r="U1449">
        <v>0</v>
      </c>
      <c r="V1449">
        <v>0</v>
      </c>
      <c r="W1449">
        <v>1</v>
      </c>
      <c r="X1449">
        <v>0.85</v>
      </c>
    </row>
    <row r="1450" spans="1:24" x14ac:dyDescent="0.3">
      <c r="A1450" t="s">
        <v>2153</v>
      </c>
      <c r="B1450" s="1">
        <v>45658</v>
      </c>
      <c r="C1450" t="s">
        <v>130</v>
      </c>
      <c r="D1450" t="s">
        <v>57</v>
      </c>
      <c r="E1450" t="s">
        <v>83</v>
      </c>
      <c r="F1450" t="s">
        <v>28</v>
      </c>
      <c r="G1450" t="s">
        <v>29</v>
      </c>
      <c r="H1450" t="s">
        <v>135</v>
      </c>
      <c r="I1450" t="s">
        <v>1170</v>
      </c>
      <c r="J1450" t="s">
        <v>45</v>
      </c>
      <c r="K1450" t="s">
        <v>63</v>
      </c>
      <c r="L1450" t="s">
        <v>78</v>
      </c>
      <c r="M1450" t="s">
        <v>71</v>
      </c>
      <c r="N1450" t="s">
        <v>36</v>
      </c>
      <c r="O1450">
        <v>30</v>
      </c>
      <c r="P1450">
        <v>30</v>
      </c>
      <c r="Q1450">
        <v>38.6</v>
      </c>
      <c r="R1450">
        <v>650</v>
      </c>
      <c r="S1450">
        <v>650</v>
      </c>
      <c r="T1450">
        <v>0</v>
      </c>
      <c r="U1450">
        <v>0</v>
      </c>
      <c r="V1450">
        <v>1</v>
      </c>
      <c r="W1450">
        <v>0</v>
      </c>
      <c r="X1450">
        <v>0.85</v>
      </c>
    </row>
    <row r="1451" spans="1:24" x14ac:dyDescent="0.3">
      <c r="A1451" t="s">
        <v>2154</v>
      </c>
      <c r="B1451" s="1">
        <v>45712</v>
      </c>
      <c r="C1451" t="s">
        <v>76</v>
      </c>
      <c r="D1451" t="s">
        <v>39</v>
      </c>
      <c r="E1451" t="s">
        <v>40</v>
      </c>
      <c r="F1451" t="s">
        <v>58</v>
      </c>
      <c r="G1451" t="s">
        <v>59</v>
      </c>
      <c r="H1451" t="s">
        <v>117</v>
      </c>
      <c r="I1451" t="s">
        <v>2155</v>
      </c>
      <c r="J1451" t="s">
        <v>32</v>
      </c>
      <c r="K1451" t="s">
        <v>85</v>
      </c>
      <c r="L1451" t="s">
        <v>34</v>
      </c>
      <c r="M1451" t="s">
        <v>94</v>
      </c>
      <c r="N1451" t="s">
        <v>36</v>
      </c>
      <c r="O1451">
        <v>60</v>
      </c>
      <c r="P1451">
        <v>60</v>
      </c>
      <c r="Q1451">
        <v>69.099999999999994</v>
      </c>
      <c r="R1451">
        <v>1500</v>
      </c>
      <c r="S1451">
        <v>1500</v>
      </c>
      <c r="T1451">
        <v>0</v>
      </c>
      <c r="U1451">
        <v>0</v>
      </c>
      <c r="V1451">
        <v>1</v>
      </c>
      <c r="W1451">
        <v>0</v>
      </c>
      <c r="X1451">
        <v>0.85</v>
      </c>
    </row>
    <row r="1452" spans="1:24" x14ac:dyDescent="0.3">
      <c r="A1452" t="s">
        <v>2156</v>
      </c>
      <c r="B1452" s="1">
        <v>45888</v>
      </c>
      <c r="C1452" t="s">
        <v>110</v>
      </c>
      <c r="D1452" t="s">
        <v>26</v>
      </c>
      <c r="E1452" t="s">
        <v>83</v>
      </c>
      <c r="F1452" t="s">
        <v>41</v>
      </c>
      <c r="G1452" t="s">
        <v>42</v>
      </c>
      <c r="H1452" t="s">
        <v>125</v>
      </c>
      <c r="I1452" t="s">
        <v>1752</v>
      </c>
      <c r="J1452" t="s">
        <v>53</v>
      </c>
      <c r="K1452" t="s">
        <v>70</v>
      </c>
      <c r="L1452" t="s">
        <v>64</v>
      </c>
      <c r="M1452" t="s">
        <v>94</v>
      </c>
      <c r="N1452" t="s">
        <v>36</v>
      </c>
      <c r="O1452">
        <v>45</v>
      </c>
      <c r="P1452">
        <v>45</v>
      </c>
      <c r="Q1452">
        <v>49.2</v>
      </c>
      <c r="R1452">
        <v>1200</v>
      </c>
      <c r="S1452">
        <v>1200</v>
      </c>
      <c r="T1452">
        <v>0</v>
      </c>
      <c r="U1452">
        <v>0</v>
      </c>
      <c r="V1452">
        <v>1</v>
      </c>
      <c r="W1452">
        <v>0</v>
      </c>
      <c r="X1452">
        <v>0.85</v>
      </c>
    </row>
    <row r="1453" spans="1:24" x14ac:dyDescent="0.3">
      <c r="A1453" t="s">
        <v>2157</v>
      </c>
      <c r="B1453" s="1">
        <v>45723</v>
      </c>
      <c r="C1453" t="s">
        <v>56</v>
      </c>
      <c r="D1453" t="s">
        <v>82</v>
      </c>
      <c r="E1453" t="s">
        <v>40</v>
      </c>
      <c r="F1453" t="s">
        <v>41</v>
      </c>
      <c r="G1453" t="s">
        <v>42</v>
      </c>
      <c r="H1453" t="s">
        <v>89</v>
      </c>
      <c r="I1453" t="s">
        <v>245</v>
      </c>
      <c r="J1453" t="s">
        <v>45</v>
      </c>
      <c r="K1453" t="s">
        <v>70</v>
      </c>
      <c r="L1453" t="s">
        <v>34</v>
      </c>
      <c r="M1453" t="s">
        <v>94</v>
      </c>
      <c r="N1453" t="s">
        <v>36</v>
      </c>
      <c r="O1453">
        <v>90</v>
      </c>
      <c r="P1453">
        <v>90</v>
      </c>
      <c r="Q1453">
        <v>115.9</v>
      </c>
      <c r="R1453">
        <v>2350</v>
      </c>
      <c r="S1453">
        <v>2350</v>
      </c>
      <c r="T1453">
        <v>0</v>
      </c>
      <c r="U1453">
        <v>0</v>
      </c>
      <c r="V1453">
        <v>1</v>
      </c>
      <c r="W1453">
        <v>0</v>
      </c>
      <c r="X1453">
        <v>0.85</v>
      </c>
    </row>
    <row r="1454" spans="1:24" x14ac:dyDescent="0.3">
      <c r="A1454" t="s">
        <v>2158</v>
      </c>
      <c r="B1454" s="1">
        <v>45827</v>
      </c>
      <c r="C1454" t="s">
        <v>67</v>
      </c>
      <c r="D1454" t="s">
        <v>50</v>
      </c>
      <c r="E1454" t="s">
        <v>27</v>
      </c>
      <c r="F1454" t="s">
        <v>28</v>
      </c>
      <c r="G1454" t="s">
        <v>29</v>
      </c>
      <c r="H1454" t="s">
        <v>120</v>
      </c>
      <c r="I1454" t="s">
        <v>283</v>
      </c>
      <c r="J1454" t="s">
        <v>45</v>
      </c>
      <c r="K1454" t="s">
        <v>70</v>
      </c>
      <c r="L1454" t="s">
        <v>64</v>
      </c>
      <c r="M1454" t="s">
        <v>94</v>
      </c>
      <c r="N1454" t="s">
        <v>36</v>
      </c>
      <c r="O1454">
        <v>60</v>
      </c>
      <c r="P1454">
        <v>60</v>
      </c>
      <c r="Q1454">
        <v>68.3</v>
      </c>
      <c r="R1454">
        <v>1450</v>
      </c>
      <c r="S1454">
        <v>1450</v>
      </c>
      <c r="T1454">
        <v>0</v>
      </c>
      <c r="U1454">
        <v>0</v>
      </c>
      <c r="V1454">
        <v>1</v>
      </c>
      <c r="W1454">
        <v>0</v>
      </c>
      <c r="X1454">
        <v>0.85</v>
      </c>
    </row>
    <row r="1455" spans="1:24" x14ac:dyDescent="0.3">
      <c r="A1455" t="s">
        <v>2159</v>
      </c>
      <c r="B1455" s="1">
        <v>45771</v>
      </c>
      <c r="C1455" t="s">
        <v>92</v>
      </c>
      <c r="D1455" t="s">
        <v>50</v>
      </c>
      <c r="E1455" t="s">
        <v>83</v>
      </c>
      <c r="F1455" t="s">
        <v>28</v>
      </c>
      <c r="G1455" t="s">
        <v>29</v>
      </c>
      <c r="H1455" t="s">
        <v>135</v>
      </c>
      <c r="I1455" t="s">
        <v>126</v>
      </c>
      <c r="J1455" t="s">
        <v>53</v>
      </c>
      <c r="K1455" t="s">
        <v>104</v>
      </c>
      <c r="L1455" t="s">
        <v>64</v>
      </c>
      <c r="M1455" t="s">
        <v>47</v>
      </c>
      <c r="N1455" t="s">
        <v>36</v>
      </c>
      <c r="O1455">
        <v>30</v>
      </c>
      <c r="P1455">
        <v>30</v>
      </c>
      <c r="Q1455">
        <v>36.799999999999997</v>
      </c>
      <c r="R1455">
        <v>750</v>
      </c>
      <c r="S1455">
        <v>750</v>
      </c>
      <c r="T1455">
        <v>0</v>
      </c>
      <c r="U1455">
        <v>0</v>
      </c>
      <c r="V1455">
        <v>1</v>
      </c>
      <c r="W1455">
        <v>0</v>
      </c>
      <c r="X1455">
        <v>0.85</v>
      </c>
    </row>
    <row r="1456" spans="1:24" x14ac:dyDescent="0.3">
      <c r="A1456" t="s">
        <v>2160</v>
      </c>
      <c r="B1456" s="1">
        <v>45943</v>
      </c>
      <c r="C1456" t="s">
        <v>97</v>
      </c>
      <c r="D1456" t="s">
        <v>39</v>
      </c>
      <c r="E1456" t="s">
        <v>27</v>
      </c>
      <c r="F1456" t="s">
        <v>41</v>
      </c>
      <c r="G1456" t="s">
        <v>42</v>
      </c>
      <c r="H1456" t="s">
        <v>43</v>
      </c>
      <c r="I1456" t="s">
        <v>1811</v>
      </c>
      <c r="J1456" t="s">
        <v>137</v>
      </c>
      <c r="K1456" t="s">
        <v>85</v>
      </c>
      <c r="L1456" t="s">
        <v>78</v>
      </c>
      <c r="M1456" t="s">
        <v>86</v>
      </c>
      <c r="N1456" t="s">
        <v>36</v>
      </c>
      <c r="O1456">
        <v>45</v>
      </c>
      <c r="P1456">
        <v>45</v>
      </c>
      <c r="Q1456">
        <v>51.9</v>
      </c>
      <c r="R1456">
        <v>950</v>
      </c>
      <c r="S1456">
        <v>950</v>
      </c>
      <c r="T1456">
        <v>0</v>
      </c>
      <c r="U1456">
        <v>0</v>
      </c>
      <c r="V1456">
        <v>1</v>
      </c>
      <c r="W1456">
        <v>0</v>
      </c>
      <c r="X1456">
        <v>0.85</v>
      </c>
    </row>
    <row r="1457" spans="1:24" x14ac:dyDescent="0.3">
      <c r="A1457" t="s">
        <v>2161</v>
      </c>
      <c r="B1457" s="1">
        <v>45878</v>
      </c>
      <c r="C1457" t="s">
        <v>110</v>
      </c>
      <c r="D1457" t="s">
        <v>88</v>
      </c>
      <c r="E1457" t="s">
        <v>40</v>
      </c>
      <c r="F1457" t="s">
        <v>41</v>
      </c>
      <c r="G1457" t="s">
        <v>42</v>
      </c>
      <c r="H1457" t="s">
        <v>51</v>
      </c>
      <c r="I1457" t="s">
        <v>1240</v>
      </c>
      <c r="J1457" t="s">
        <v>45</v>
      </c>
      <c r="K1457" t="s">
        <v>46</v>
      </c>
      <c r="L1457" t="s">
        <v>64</v>
      </c>
      <c r="M1457" t="s">
        <v>86</v>
      </c>
      <c r="N1457" t="s">
        <v>95</v>
      </c>
      <c r="O1457">
        <v>60</v>
      </c>
      <c r="P1457">
        <v>0</v>
      </c>
      <c r="Q1457">
        <v>66.599999999999994</v>
      </c>
      <c r="R1457">
        <v>1550</v>
      </c>
      <c r="S1457">
        <v>0</v>
      </c>
      <c r="T1457">
        <v>1550</v>
      </c>
      <c r="U1457">
        <v>1</v>
      </c>
      <c r="V1457">
        <v>0</v>
      </c>
      <c r="W1457">
        <v>0</v>
      </c>
      <c r="X1457">
        <v>0.85</v>
      </c>
    </row>
    <row r="1458" spans="1:24" x14ac:dyDescent="0.3">
      <c r="A1458" t="s">
        <v>2162</v>
      </c>
      <c r="B1458" s="1">
        <v>46006</v>
      </c>
      <c r="C1458" t="s">
        <v>25</v>
      </c>
      <c r="D1458" t="s">
        <v>39</v>
      </c>
      <c r="E1458" t="s">
        <v>83</v>
      </c>
      <c r="F1458" t="s">
        <v>58</v>
      </c>
      <c r="G1458" t="s">
        <v>59</v>
      </c>
      <c r="H1458" t="s">
        <v>117</v>
      </c>
      <c r="I1458" t="s">
        <v>2163</v>
      </c>
      <c r="J1458" t="s">
        <v>137</v>
      </c>
      <c r="K1458" t="s">
        <v>33</v>
      </c>
      <c r="L1458" t="s">
        <v>64</v>
      </c>
      <c r="M1458" t="s">
        <v>47</v>
      </c>
      <c r="N1458" t="s">
        <v>36</v>
      </c>
      <c r="O1458">
        <v>45</v>
      </c>
      <c r="P1458">
        <v>45</v>
      </c>
      <c r="Q1458">
        <v>55.9</v>
      </c>
      <c r="R1458">
        <v>1100</v>
      </c>
      <c r="S1458">
        <v>1100</v>
      </c>
      <c r="T1458">
        <v>0</v>
      </c>
      <c r="U1458">
        <v>0</v>
      </c>
      <c r="V1458">
        <v>1</v>
      </c>
      <c r="W1458">
        <v>0</v>
      </c>
      <c r="X1458">
        <v>0.85</v>
      </c>
    </row>
    <row r="1459" spans="1:24" x14ac:dyDescent="0.3">
      <c r="A1459" t="s">
        <v>2164</v>
      </c>
      <c r="B1459" s="1">
        <v>45919</v>
      </c>
      <c r="C1459" t="s">
        <v>49</v>
      </c>
      <c r="D1459" t="s">
        <v>82</v>
      </c>
      <c r="E1459" t="s">
        <v>68</v>
      </c>
      <c r="F1459" t="s">
        <v>41</v>
      </c>
      <c r="G1459" t="s">
        <v>42</v>
      </c>
      <c r="H1459" t="s">
        <v>89</v>
      </c>
      <c r="I1459" t="s">
        <v>2165</v>
      </c>
      <c r="J1459" t="s">
        <v>45</v>
      </c>
      <c r="K1459" t="s">
        <v>104</v>
      </c>
      <c r="L1459" t="s">
        <v>34</v>
      </c>
      <c r="M1459" t="s">
        <v>71</v>
      </c>
      <c r="N1459" t="s">
        <v>36</v>
      </c>
      <c r="O1459">
        <v>45</v>
      </c>
      <c r="P1459">
        <v>45</v>
      </c>
      <c r="Q1459">
        <v>56.2</v>
      </c>
      <c r="R1459">
        <v>1150</v>
      </c>
      <c r="S1459">
        <v>1150</v>
      </c>
      <c r="T1459">
        <v>0</v>
      </c>
      <c r="U1459">
        <v>0</v>
      </c>
      <c r="V1459">
        <v>1</v>
      </c>
      <c r="W1459">
        <v>0</v>
      </c>
      <c r="X1459">
        <v>0.85</v>
      </c>
    </row>
    <row r="1460" spans="1:24" x14ac:dyDescent="0.3">
      <c r="A1460" t="s">
        <v>2166</v>
      </c>
      <c r="B1460" s="1">
        <v>45895</v>
      </c>
      <c r="C1460" t="s">
        <v>110</v>
      </c>
      <c r="D1460" t="s">
        <v>26</v>
      </c>
      <c r="E1460" t="s">
        <v>40</v>
      </c>
      <c r="F1460" t="s">
        <v>58</v>
      </c>
      <c r="G1460" t="s">
        <v>59</v>
      </c>
      <c r="H1460" t="s">
        <v>296</v>
      </c>
      <c r="I1460" t="s">
        <v>1168</v>
      </c>
      <c r="J1460" t="s">
        <v>45</v>
      </c>
      <c r="K1460" t="s">
        <v>104</v>
      </c>
      <c r="L1460" t="s">
        <v>78</v>
      </c>
      <c r="M1460" t="s">
        <v>47</v>
      </c>
      <c r="N1460" t="s">
        <v>95</v>
      </c>
      <c r="O1460">
        <v>60</v>
      </c>
      <c r="P1460">
        <v>0</v>
      </c>
      <c r="Q1460">
        <v>77</v>
      </c>
      <c r="R1460">
        <v>1600</v>
      </c>
      <c r="S1460">
        <v>0</v>
      </c>
      <c r="T1460">
        <v>1600</v>
      </c>
      <c r="U1460">
        <v>1</v>
      </c>
      <c r="V1460">
        <v>0</v>
      </c>
      <c r="W1460">
        <v>0</v>
      </c>
      <c r="X1460">
        <v>0.85</v>
      </c>
    </row>
    <row r="1461" spans="1:24" x14ac:dyDescent="0.3">
      <c r="A1461" t="s">
        <v>2167</v>
      </c>
      <c r="B1461" s="1">
        <v>45754</v>
      </c>
      <c r="C1461" t="s">
        <v>92</v>
      </c>
      <c r="D1461" t="s">
        <v>39</v>
      </c>
      <c r="E1461" t="s">
        <v>83</v>
      </c>
      <c r="F1461" t="s">
        <v>28</v>
      </c>
      <c r="G1461" t="s">
        <v>29</v>
      </c>
      <c r="H1461" t="s">
        <v>210</v>
      </c>
      <c r="I1461" t="s">
        <v>437</v>
      </c>
      <c r="J1461" t="s">
        <v>32</v>
      </c>
      <c r="K1461" t="s">
        <v>63</v>
      </c>
      <c r="L1461" t="s">
        <v>78</v>
      </c>
      <c r="M1461" t="s">
        <v>86</v>
      </c>
      <c r="N1461" t="s">
        <v>95</v>
      </c>
      <c r="O1461">
        <v>60</v>
      </c>
      <c r="P1461">
        <v>0</v>
      </c>
      <c r="Q1461">
        <v>68.099999999999994</v>
      </c>
      <c r="R1461">
        <v>1150</v>
      </c>
      <c r="S1461">
        <v>0</v>
      </c>
      <c r="T1461">
        <v>1150</v>
      </c>
      <c r="U1461">
        <v>1</v>
      </c>
      <c r="V1461">
        <v>0</v>
      </c>
      <c r="W1461">
        <v>0</v>
      </c>
      <c r="X1461">
        <v>0.85</v>
      </c>
    </row>
    <row r="1462" spans="1:24" x14ac:dyDescent="0.3">
      <c r="A1462" t="s">
        <v>2168</v>
      </c>
      <c r="B1462" s="1">
        <v>45674</v>
      </c>
      <c r="C1462" t="s">
        <v>130</v>
      </c>
      <c r="D1462" t="s">
        <v>82</v>
      </c>
      <c r="E1462" t="s">
        <v>68</v>
      </c>
      <c r="F1462" t="s">
        <v>41</v>
      </c>
      <c r="G1462" t="s">
        <v>42</v>
      </c>
      <c r="H1462" t="s">
        <v>43</v>
      </c>
      <c r="I1462" t="s">
        <v>580</v>
      </c>
      <c r="J1462" t="s">
        <v>53</v>
      </c>
      <c r="K1462" t="s">
        <v>63</v>
      </c>
      <c r="L1462" t="s">
        <v>78</v>
      </c>
      <c r="M1462" t="s">
        <v>65</v>
      </c>
      <c r="N1462" t="s">
        <v>36</v>
      </c>
      <c r="O1462">
        <v>90</v>
      </c>
      <c r="P1462">
        <v>90</v>
      </c>
      <c r="Q1462">
        <v>101.7</v>
      </c>
      <c r="R1462">
        <v>2250</v>
      </c>
      <c r="S1462">
        <v>2250</v>
      </c>
      <c r="T1462">
        <v>0</v>
      </c>
      <c r="U1462">
        <v>0</v>
      </c>
      <c r="V1462">
        <v>1</v>
      </c>
      <c r="W1462">
        <v>0</v>
      </c>
      <c r="X1462">
        <v>0.85</v>
      </c>
    </row>
    <row r="1463" spans="1:24" x14ac:dyDescent="0.3">
      <c r="A1463" t="s">
        <v>2169</v>
      </c>
      <c r="B1463" s="1">
        <v>45915</v>
      </c>
      <c r="C1463" t="s">
        <v>49</v>
      </c>
      <c r="D1463" t="s">
        <v>39</v>
      </c>
      <c r="E1463" t="s">
        <v>83</v>
      </c>
      <c r="F1463" t="s">
        <v>58</v>
      </c>
      <c r="G1463" t="s">
        <v>59</v>
      </c>
      <c r="H1463" t="s">
        <v>117</v>
      </c>
      <c r="I1463" t="s">
        <v>395</v>
      </c>
      <c r="J1463" t="s">
        <v>62</v>
      </c>
      <c r="K1463" t="s">
        <v>85</v>
      </c>
      <c r="L1463" t="s">
        <v>78</v>
      </c>
      <c r="M1463" t="s">
        <v>71</v>
      </c>
      <c r="N1463" t="s">
        <v>36</v>
      </c>
      <c r="O1463">
        <v>45</v>
      </c>
      <c r="P1463">
        <v>45</v>
      </c>
      <c r="Q1463">
        <v>60.1</v>
      </c>
      <c r="R1463">
        <v>1050</v>
      </c>
      <c r="S1463">
        <v>1050</v>
      </c>
      <c r="T1463">
        <v>0</v>
      </c>
      <c r="U1463">
        <v>0</v>
      </c>
      <c r="V1463">
        <v>1</v>
      </c>
      <c r="W1463">
        <v>0</v>
      </c>
      <c r="X1463">
        <v>0.85</v>
      </c>
    </row>
    <row r="1464" spans="1:24" x14ac:dyDescent="0.3">
      <c r="A1464" t="s">
        <v>2170</v>
      </c>
      <c r="B1464" s="1">
        <v>45938</v>
      </c>
      <c r="C1464" t="s">
        <v>97</v>
      </c>
      <c r="D1464" t="s">
        <v>57</v>
      </c>
      <c r="E1464" t="s">
        <v>68</v>
      </c>
      <c r="F1464" t="s">
        <v>41</v>
      </c>
      <c r="G1464" t="s">
        <v>42</v>
      </c>
      <c r="H1464" t="s">
        <v>51</v>
      </c>
      <c r="I1464" t="s">
        <v>2171</v>
      </c>
      <c r="J1464" t="s">
        <v>45</v>
      </c>
      <c r="K1464" t="s">
        <v>33</v>
      </c>
      <c r="L1464" t="s">
        <v>54</v>
      </c>
      <c r="M1464" t="s">
        <v>47</v>
      </c>
      <c r="N1464" t="s">
        <v>36</v>
      </c>
      <c r="O1464">
        <v>45</v>
      </c>
      <c r="P1464">
        <v>45</v>
      </c>
      <c r="Q1464">
        <v>54.6</v>
      </c>
      <c r="R1464">
        <v>1000</v>
      </c>
      <c r="S1464">
        <v>1000</v>
      </c>
      <c r="T1464">
        <v>0</v>
      </c>
      <c r="U1464">
        <v>0</v>
      </c>
      <c r="V1464">
        <v>1</v>
      </c>
      <c r="W1464">
        <v>0</v>
      </c>
      <c r="X1464">
        <v>0.85</v>
      </c>
    </row>
    <row r="1465" spans="1:24" x14ac:dyDescent="0.3">
      <c r="A1465" t="s">
        <v>2172</v>
      </c>
      <c r="B1465" s="1">
        <v>45810</v>
      </c>
      <c r="C1465" t="s">
        <v>67</v>
      </c>
      <c r="D1465" t="s">
        <v>39</v>
      </c>
      <c r="E1465" t="s">
        <v>27</v>
      </c>
      <c r="F1465" t="s">
        <v>41</v>
      </c>
      <c r="G1465" t="s">
        <v>42</v>
      </c>
      <c r="H1465" t="s">
        <v>51</v>
      </c>
      <c r="I1465" t="s">
        <v>1403</v>
      </c>
      <c r="J1465" t="s">
        <v>99</v>
      </c>
      <c r="K1465" t="s">
        <v>33</v>
      </c>
      <c r="L1465" t="s">
        <v>34</v>
      </c>
      <c r="M1465" t="s">
        <v>35</v>
      </c>
      <c r="N1465" t="s">
        <v>36</v>
      </c>
      <c r="O1465">
        <v>60</v>
      </c>
      <c r="P1465">
        <v>60</v>
      </c>
      <c r="Q1465">
        <v>73.5</v>
      </c>
      <c r="R1465">
        <v>1350</v>
      </c>
      <c r="S1465">
        <v>1350</v>
      </c>
      <c r="T1465">
        <v>0</v>
      </c>
      <c r="U1465">
        <v>0</v>
      </c>
      <c r="V1465">
        <v>1</v>
      </c>
      <c r="W1465">
        <v>0</v>
      </c>
      <c r="X1465">
        <v>0.85</v>
      </c>
    </row>
    <row r="1466" spans="1:24" x14ac:dyDescent="0.3">
      <c r="A1466" t="s">
        <v>2173</v>
      </c>
      <c r="B1466" s="1">
        <v>45958</v>
      </c>
      <c r="C1466" t="s">
        <v>97</v>
      </c>
      <c r="D1466" t="s">
        <v>26</v>
      </c>
      <c r="E1466" t="s">
        <v>27</v>
      </c>
      <c r="F1466" t="s">
        <v>41</v>
      </c>
      <c r="G1466" t="s">
        <v>42</v>
      </c>
      <c r="H1466" t="s">
        <v>111</v>
      </c>
      <c r="I1466" t="s">
        <v>2174</v>
      </c>
      <c r="J1466" t="s">
        <v>53</v>
      </c>
      <c r="K1466" t="s">
        <v>85</v>
      </c>
      <c r="L1466" t="s">
        <v>54</v>
      </c>
      <c r="M1466" t="s">
        <v>86</v>
      </c>
      <c r="N1466" t="s">
        <v>36</v>
      </c>
      <c r="O1466">
        <v>90</v>
      </c>
      <c r="P1466">
        <v>90</v>
      </c>
      <c r="Q1466">
        <v>101.2</v>
      </c>
      <c r="R1466">
        <v>2050</v>
      </c>
      <c r="S1466">
        <v>2050</v>
      </c>
      <c r="T1466">
        <v>0</v>
      </c>
      <c r="U1466">
        <v>0</v>
      </c>
      <c r="V1466">
        <v>1</v>
      </c>
      <c r="W1466">
        <v>0</v>
      </c>
      <c r="X1466">
        <v>0.85</v>
      </c>
    </row>
    <row r="1467" spans="1:24" x14ac:dyDescent="0.3">
      <c r="A1467" t="s">
        <v>2175</v>
      </c>
      <c r="B1467" s="1">
        <v>45997</v>
      </c>
      <c r="C1467" t="s">
        <v>25</v>
      </c>
      <c r="D1467" t="s">
        <v>88</v>
      </c>
      <c r="E1467" t="s">
        <v>27</v>
      </c>
      <c r="F1467" t="s">
        <v>41</v>
      </c>
      <c r="G1467" t="s">
        <v>42</v>
      </c>
      <c r="H1467" t="s">
        <v>125</v>
      </c>
      <c r="I1467" t="s">
        <v>1981</v>
      </c>
      <c r="J1467" t="s">
        <v>53</v>
      </c>
      <c r="K1467" t="s">
        <v>63</v>
      </c>
      <c r="L1467" t="s">
        <v>54</v>
      </c>
      <c r="M1467" t="s">
        <v>71</v>
      </c>
      <c r="N1467" t="s">
        <v>36</v>
      </c>
      <c r="O1467">
        <v>30</v>
      </c>
      <c r="P1467">
        <v>30</v>
      </c>
      <c r="Q1467">
        <v>40</v>
      </c>
      <c r="R1467">
        <v>700</v>
      </c>
      <c r="S1467">
        <v>700</v>
      </c>
      <c r="T1467">
        <v>0</v>
      </c>
      <c r="U1467">
        <v>0</v>
      </c>
      <c r="V1467">
        <v>1</v>
      </c>
      <c r="W1467">
        <v>0</v>
      </c>
      <c r="X1467">
        <v>0.85</v>
      </c>
    </row>
    <row r="1468" spans="1:24" x14ac:dyDescent="0.3">
      <c r="A1468" t="s">
        <v>2176</v>
      </c>
      <c r="B1468" s="1">
        <v>45840</v>
      </c>
      <c r="C1468" t="s">
        <v>101</v>
      </c>
      <c r="D1468" t="s">
        <v>57</v>
      </c>
      <c r="E1468" t="s">
        <v>68</v>
      </c>
      <c r="F1468" t="s">
        <v>28</v>
      </c>
      <c r="G1468" t="s">
        <v>29</v>
      </c>
      <c r="H1468" t="s">
        <v>210</v>
      </c>
      <c r="I1468" t="s">
        <v>1434</v>
      </c>
      <c r="J1468" t="s">
        <v>62</v>
      </c>
      <c r="K1468" t="s">
        <v>85</v>
      </c>
      <c r="L1468" t="s">
        <v>78</v>
      </c>
      <c r="M1468" t="s">
        <v>86</v>
      </c>
      <c r="N1468" t="s">
        <v>36</v>
      </c>
      <c r="O1468">
        <v>60</v>
      </c>
      <c r="P1468">
        <v>60</v>
      </c>
      <c r="Q1468">
        <v>78</v>
      </c>
      <c r="R1468">
        <v>1150</v>
      </c>
      <c r="S1468">
        <v>1150</v>
      </c>
      <c r="T1468">
        <v>0</v>
      </c>
      <c r="U1468">
        <v>0</v>
      </c>
      <c r="V1468">
        <v>1</v>
      </c>
      <c r="W1468">
        <v>0</v>
      </c>
      <c r="X1468">
        <v>0.85</v>
      </c>
    </row>
    <row r="1469" spans="1:24" x14ac:dyDescent="0.3">
      <c r="A1469" t="s">
        <v>2177</v>
      </c>
      <c r="B1469" s="1">
        <v>45818</v>
      </c>
      <c r="C1469" t="s">
        <v>67</v>
      </c>
      <c r="D1469" t="s">
        <v>26</v>
      </c>
      <c r="E1469" t="s">
        <v>27</v>
      </c>
      <c r="F1469" t="s">
        <v>58</v>
      </c>
      <c r="G1469" t="s">
        <v>59</v>
      </c>
      <c r="H1469" t="s">
        <v>73</v>
      </c>
      <c r="I1469" t="s">
        <v>84</v>
      </c>
      <c r="J1469" t="s">
        <v>45</v>
      </c>
      <c r="K1469" t="s">
        <v>63</v>
      </c>
      <c r="L1469" t="s">
        <v>34</v>
      </c>
      <c r="M1469" t="s">
        <v>47</v>
      </c>
      <c r="N1469" t="s">
        <v>36</v>
      </c>
      <c r="O1469">
        <v>90</v>
      </c>
      <c r="P1469">
        <v>90</v>
      </c>
      <c r="Q1469">
        <v>118.6</v>
      </c>
      <c r="R1469">
        <v>2600</v>
      </c>
      <c r="S1469">
        <v>2600</v>
      </c>
      <c r="T1469">
        <v>0</v>
      </c>
      <c r="U1469">
        <v>0</v>
      </c>
      <c r="V1469">
        <v>1</v>
      </c>
      <c r="W1469">
        <v>0</v>
      </c>
      <c r="X1469">
        <v>0.85</v>
      </c>
    </row>
    <row r="1470" spans="1:24" x14ac:dyDescent="0.3">
      <c r="A1470" t="s">
        <v>2178</v>
      </c>
      <c r="B1470" s="1">
        <v>45953</v>
      </c>
      <c r="C1470" t="s">
        <v>97</v>
      </c>
      <c r="D1470" t="s">
        <v>50</v>
      </c>
      <c r="E1470" t="s">
        <v>83</v>
      </c>
      <c r="F1470" t="s">
        <v>41</v>
      </c>
      <c r="G1470" t="s">
        <v>42</v>
      </c>
      <c r="H1470" t="s">
        <v>51</v>
      </c>
      <c r="I1470" t="s">
        <v>1741</v>
      </c>
      <c r="J1470" t="s">
        <v>62</v>
      </c>
      <c r="K1470" t="s">
        <v>33</v>
      </c>
      <c r="L1470" t="s">
        <v>34</v>
      </c>
      <c r="M1470" t="s">
        <v>94</v>
      </c>
      <c r="N1470" t="s">
        <v>36</v>
      </c>
      <c r="O1470">
        <v>90</v>
      </c>
      <c r="P1470">
        <v>90</v>
      </c>
      <c r="Q1470">
        <v>109</v>
      </c>
      <c r="R1470">
        <v>2000</v>
      </c>
      <c r="S1470">
        <v>2000</v>
      </c>
      <c r="T1470">
        <v>0</v>
      </c>
      <c r="U1470">
        <v>0</v>
      </c>
      <c r="V1470">
        <v>1</v>
      </c>
      <c r="W1470">
        <v>0</v>
      </c>
      <c r="X1470">
        <v>0.85</v>
      </c>
    </row>
    <row r="1471" spans="1:24" x14ac:dyDescent="0.3">
      <c r="A1471" t="s">
        <v>2179</v>
      </c>
      <c r="B1471" s="1">
        <v>45890</v>
      </c>
      <c r="C1471" t="s">
        <v>110</v>
      </c>
      <c r="D1471" t="s">
        <v>50</v>
      </c>
      <c r="E1471" t="s">
        <v>83</v>
      </c>
      <c r="F1471" t="s">
        <v>28</v>
      </c>
      <c r="G1471" t="s">
        <v>29</v>
      </c>
      <c r="H1471" t="s">
        <v>102</v>
      </c>
      <c r="I1471" t="s">
        <v>690</v>
      </c>
      <c r="J1471" t="s">
        <v>62</v>
      </c>
      <c r="K1471" t="s">
        <v>63</v>
      </c>
      <c r="L1471" t="s">
        <v>78</v>
      </c>
      <c r="M1471" t="s">
        <v>86</v>
      </c>
      <c r="N1471" t="s">
        <v>95</v>
      </c>
      <c r="O1471">
        <v>60</v>
      </c>
      <c r="P1471">
        <v>0</v>
      </c>
      <c r="Q1471">
        <v>72.5</v>
      </c>
      <c r="R1471">
        <v>1150</v>
      </c>
      <c r="S1471">
        <v>0</v>
      </c>
      <c r="T1471">
        <v>1150</v>
      </c>
      <c r="U1471">
        <v>1</v>
      </c>
      <c r="V1471">
        <v>0</v>
      </c>
      <c r="W1471">
        <v>0</v>
      </c>
      <c r="X1471">
        <v>0.85</v>
      </c>
    </row>
    <row r="1472" spans="1:24" x14ac:dyDescent="0.3">
      <c r="A1472" t="s">
        <v>2180</v>
      </c>
      <c r="B1472" s="1">
        <v>45707</v>
      </c>
      <c r="C1472" t="s">
        <v>76</v>
      </c>
      <c r="D1472" t="s">
        <v>57</v>
      </c>
      <c r="E1472" t="s">
        <v>27</v>
      </c>
      <c r="F1472" t="s">
        <v>28</v>
      </c>
      <c r="G1472" t="s">
        <v>29</v>
      </c>
      <c r="H1472" t="s">
        <v>102</v>
      </c>
      <c r="I1472" t="s">
        <v>1990</v>
      </c>
      <c r="J1472" t="s">
        <v>53</v>
      </c>
      <c r="K1472" t="s">
        <v>104</v>
      </c>
      <c r="L1472" t="s">
        <v>54</v>
      </c>
      <c r="M1472" t="s">
        <v>94</v>
      </c>
      <c r="N1472" t="s">
        <v>36</v>
      </c>
      <c r="O1472">
        <v>45</v>
      </c>
      <c r="P1472">
        <v>45</v>
      </c>
      <c r="Q1472">
        <v>49.9</v>
      </c>
      <c r="R1472">
        <v>950</v>
      </c>
      <c r="S1472">
        <v>950</v>
      </c>
      <c r="T1472">
        <v>0</v>
      </c>
      <c r="U1472">
        <v>0</v>
      </c>
      <c r="V1472">
        <v>1</v>
      </c>
      <c r="W1472">
        <v>0</v>
      </c>
      <c r="X1472">
        <v>0.85</v>
      </c>
    </row>
    <row r="1473" spans="1:24" x14ac:dyDescent="0.3">
      <c r="A1473" t="s">
        <v>2181</v>
      </c>
      <c r="B1473" s="1">
        <v>45860</v>
      </c>
      <c r="C1473" t="s">
        <v>101</v>
      </c>
      <c r="D1473" t="s">
        <v>26</v>
      </c>
      <c r="E1473" t="s">
        <v>27</v>
      </c>
      <c r="F1473" t="s">
        <v>41</v>
      </c>
      <c r="G1473" t="s">
        <v>42</v>
      </c>
      <c r="H1473" t="s">
        <v>51</v>
      </c>
      <c r="I1473" t="s">
        <v>245</v>
      </c>
      <c r="J1473" t="s">
        <v>53</v>
      </c>
      <c r="K1473" t="s">
        <v>70</v>
      </c>
      <c r="L1473" t="s">
        <v>64</v>
      </c>
      <c r="M1473" t="s">
        <v>65</v>
      </c>
      <c r="N1473" t="s">
        <v>95</v>
      </c>
      <c r="O1473">
        <v>45</v>
      </c>
      <c r="P1473">
        <v>0</v>
      </c>
      <c r="Q1473">
        <v>57.3</v>
      </c>
      <c r="R1473">
        <v>1200</v>
      </c>
      <c r="S1473">
        <v>0</v>
      </c>
      <c r="T1473">
        <v>1200</v>
      </c>
      <c r="U1473">
        <v>1</v>
      </c>
      <c r="V1473">
        <v>0</v>
      </c>
      <c r="W1473">
        <v>0</v>
      </c>
      <c r="X1473">
        <v>0.85</v>
      </c>
    </row>
    <row r="1474" spans="1:24" x14ac:dyDescent="0.3">
      <c r="A1474" t="s">
        <v>2182</v>
      </c>
      <c r="B1474" s="1">
        <v>45759</v>
      </c>
      <c r="C1474" t="s">
        <v>92</v>
      </c>
      <c r="D1474" t="s">
        <v>88</v>
      </c>
      <c r="E1474" t="s">
        <v>68</v>
      </c>
      <c r="F1474" t="s">
        <v>58</v>
      </c>
      <c r="G1474" t="s">
        <v>59</v>
      </c>
      <c r="H1474" t="s">
        <v>296</v>
      </c>
      <c r="I1474" t="s">
        <v>848</v>
      </c>
      <c r="J1474" t="s">
        <v>99</v>
      </c>
      <c r="K1474" t="s">
        <v>63</v>
      </c>
      <c r="L1474" t="s">
        <v>64</v>
      </c>
      <c r="M1474" t="s">
        <v>86</v>
      </c>
      <c r="N1474" t="s">
        <v>113</v>
      </c>
      <c r="O1474">
        <v>60</v>
      </c>
      <c r="P1474">
        <v>0</v>
      </c>
      <c r="Q1474">
        <v>68</v>
      </c>
      <c r="R1474">
        <v>1500</v>
      </c>
      <c r="S1474">
        <v>0</v>
      </c>
      <c r="T1474">
        <v>1500</v>
      </c>
      <c r="U1474">
        <v>0</v>
      </c>
      <c r="V1474">
        <v>0</v>
      </c>
      <c r="W1474">
        <v>1</v>
      </c>
      <c r="X1474">
        <v>0.85</v>
      </c>
    </row>
    <row r="1475" spans="1:24" x14ac:dyDescent="0.3">
      <c r="A1475" t="s">
        <v>2183</v>
      </c>
      <c r="B1475" s="1">
        <v>45819</v>
      </c>
      <c r="C1475" t="s">
        <v>67</v>
      </c>
      <c r="D1475" t="s">
        <v>57</v>
      </c>
      <c r="E1475" t="s">
        <v>68</v>
      </c>
      <c r="F1475" t="s">
        <v>41</v>
      </c>
      <c r="G1475" t="s">
        <v>42</v>
      </c>
      <c r="H1475" t="s">
        <v>111</v>
      </c>
      <c r="I1475" t="s">
        <v>1877</v>
      </c>
      <c r="J1475" t="s">
        <v>45</v>
      </c>
      <c r="K1475" t="s">
        <v>33</v>
      </c>
      <c r="L1475" t="s">
        <v>78</v>
      </c>
      <c r="M1475" t="s">
        <v>86</v>
      </c>
      <c r="N1475" t="s">
        <v>36</v>
      </c>
      <c r="O1475">
        <v>60</v>
      </c>
      <c r="P1475">
        <v>60</v>
      </c>
      <c r="Q1475">
        <v>66.099999999999994</v>
      </c>
      <c r="R1475">
        <v>1450</v>
      </c>
      <c r="S1475">
        <v>1450</v>
      </c>
      <c r="T1475">
        <v>0</v>
      </c>
      <c r="U1475">
        <v>0</v>
      </c>
      <c r="V1475">
        <v>1</v>
      </c>
      <c r="W1475">
        <v>0</v>
      </c>
      <c r="X1475">
        <v>0.85</v>
      </c>
    </row>
    <row r="1476" spans="1:24" x14ac:dyDescent="0.3">
      <c r="A1476" t="s">
        <v>2184</v>
      </c>
      <c r="B1476" s="1">
        <v>45663</v>
      </c>
      <c r="C1476" t="s">
        <v>130</v>
      </c>
      <c r="D1476" t="s">
        <v>39</v>
      </c>
      <c r="E1476" t="s">
        <v>40</v>
      </c>
      <c r="F1476" t="s">
        <v>41</v>
      </c>
      <c r="G1476" t="s">
        <v>42</v>
      </c>
      <c r="H1476" t="s">
        <v>125</v>
      </c>
      <c r="I1476" t="s">
        <v>192</v>
      </c>
      <c r="J1476" t="s">
        <v>62</v>
      </c>
      <c r="K1476" t="s">
        <v>63</v>
      </c>
      <c r="L1476" t="s">
        <v>34</v>
      </c>
      <c r="M1476" t="s">
        <v>86</v>
      </c>
      <c r="N1476" t="s">
        <v>36</v>
      </c>
      <c r="O1476">
        <v>60</v>
      </c>
      <c r="P1476">
        <v>60</v>
      </c>
      <c r="Q1476">
        <v>78.3</v>
      </c>
      <c r="R1476">
        <v>1350</v>
      </c>
      <c r="S1476">
        <v>1350</v>
      </c>
      <c r="T1476">
        <v>0</v>
      </c>
      <c r="U1476">
        <v>0</v>
      </c>
      <c r="V1476">
        <v>1</v>
      </c>
      <c r="W1476">
        <v>0</v>
      </c>
      <c r="X1476">
        <v>0.85</v>
      </c>
    </row>
    <row r="1477" spans="1:24" x14ac:dyDescent="0.3">
      <c r="A1477" t="s">
        <v>2185</v>
      </c>
      <c r="B1477" s="1">
        <v>45855</v>
      </c>
      <c r="C1477" t="s">
        <v>101</v>
      </c>
      <c r="D1477" t="s">
        <v>50</v>
      </c>
      <c r="E1477" t="s">
        <v>27</v>
      </c>
      <c r="F1477" t="s">
        <v>58</v>
      </c>
      <c r="G1477" t="s">
        <v>59</v>
      </c>
      <c r="H1477" t="s">
        <v>60</v>
      </c>
      <c r="I1477" t="s">
        <v>873</v>
      </c>
      <c r="J1477" t="s">
        <v>62</v>
      </c>
      <c r="K1477" t="s">
        <v>70</v>
      </c>
      <c r="L1477" t="s">
        <v>64</v>
      </c>
      <c r="M1477" t="s">
        <v>47</v>
      </c>
      <c r="N1477" t="s">
        <v>36</v>
      </c>
      <c r="O1477">
        <v>45</v>
      </c>
      <c r="P1477">
        <v>45</v>
      </c>
      <c r="Q1477">
        <v>49.2</v>
      </c>
      <c r="R1477">
        <v>1100</v>
      </c>
      <c r="S1477">
        <v>1100</v>
      </c>
      <c r="T1477">
        <v>0</v>
      </c>
      <c r="U1477">
        <v>0</v>
      </c>
      <c r="V1477">
        <v>1</v>
      </c>
      <c r="W1477">
        <v>0</v>
      </c>
      <c r="X1477">
        <v>0.85</v>
      </c>
    </row>
    <row r="1478" spans="1:24" x14ac:dyDescent="0.3">
      <c r="A1478" t="s">
        <v>2186</v>
      </c>
      <c r="B1478" s="1">
        <v>45871</v>
      </c>
      <c r="C1478" t="s">
        <v>110</v>
      </c>
      <c r="D1478" t="s">
        <v>88</v>
      </c>
      <c r="E1478" t="s">
        <v>68</v>
      </c>
      <c r="F1478" t="s">
        <v>58</v>
      </c>
      <c r="G1478" t="s">
        <v>59</v>
      </c>
      <c r="H1478" t="s">
        <v>117</v>
      </c>
      <c r="I1478" t="s">
        <v>395</v>
      </c>
      <c r="J1478" t="s">
        <v>32</v>
      </c>
      <c r="K1478" t="s">
        <v>70</v>
      </c>
      <c r="L1478" t="s">
        <v>34</v>
      </c>
      <c r="M1478" t="s">
        <v>35</v>
      </c>
      <c r="N1478" t="s">
        <v>36</v>
      </c>
      <c r="O1478">
        <v>60</v>
      </c>
      <c r="P1478">
        <v>60</v>
      </c>
      <c r="Q1478">
        <v>71.400000000000006</v>
      </c>
      <c r="R1478">
        <v>1500</v>
      </c>
      <c r="S1478">
        <v>1500</v>
      </c>
      <c r="T1478">
        <v>0</v>
      </c>
      <c r="U1478">
        <v>0</v>
      </c>
      <c r="V1478">
        <v>1</v>
      </c>
      <c r="W1478">
        <v>0</v>
      </c>
      <c r="X1478">
        <v>0.85</v>
      </c>
    </row>
    <row r="1479" spans="1:24" x14ac:dyDescent="0.3">
      <c r="A1479" t="s">
        <v>2187</v>
      </c>
      <c r="B1479" s="1">
        <v>45667</v>
      </c>
      <c r="C1479" t="s">
        <v>130</v>
      </c>
      <c r="D1479" t="s">
        <v>82</v>
      </c>
      <c r="E1479" t="s">
        <v>68</v>
      </c>
      <c r="F1479" t="s">
        <v>58</v>
      </c>
      <c r="G1479" t="s">
        <v>59</v>
      </c>
      <c r="H1479" t="s">
        <v>117</v>
      </c>
      <c r="I1479" t="s">
        <v>393</v>
      </c>
      <c r="J1479" t="s">
        <v>32</v>
      </c>
      <c r="K1479" t="s">
        <v>104</v>
      </c>
      <c r="L1479" t="s">
        <v>34</v>
      </c>
      <c r="M1479" t="s">
        <v>71</v>
      </c>
      <c r="N1479" t="s">
        <v>36</v>
      </c>
      <c r="O1479">
        <v>30</v>
      </c>
      <c r="P1479">
        <v>30</v>
      </c>
      <c r="Q1479">
        <v>38.700000000000003</v>
      </c>
      <c r="R1479">
        <v>750</v>
      </c>
      <c r="S1479">
        <v>750</v>
      </c>
      <c r="T1479">
        <v>0</v>
      </c>
      <c r="U1479">
        <v>0</v>
      </c>
      <c r="V1479">
        <v>1</v>
      </c>
      <c r="W1479">
        <v>0</v>
      </c>
      <c r="X1479">
        <v>0.85</v>
      </c>
    </row>
    <row r="1480" spans="1:24" x14ac:dyDescent="0.3">
      <c r="A1480" t="s">
        <v>2188</v>
      </c>
      <c r="B1480" s="1">
        <v>45777</v>
      </c>
      <c r="C1480" t="s">
        <v>92</v>
      </c>
      <c r="D1480" t="s">
        <v>57</v>
      </c>
      <c r="E1480" t="s">
        <v>27</v>
      </c>
      <c r="F1480" t="s">
        <v>41</v>
      </c>
      <c r="G1480" t="s">
        <v>42</v>
      </c>
      <c r="H1480" t="s">
        <v>111</v>
      </c>
      <c r="I1480" t="s">
        <v>418</v>
      </c>
      <c r="J1480" t="s">
        <v>99</v>
      </c>
      <c r="K1480" t="s">
        <v>33</v>
      </c>
      <c r="L1480" t="s">
        <v>34</v>
      </c>
      <c r="M1480" t="s">
        <v>94</v>
      </c>
      <c r="N1480" t="s">
        <v>36</v>
      </c>
      <c r="O1480">
        <v>30</v>
      </c>
      <c r="P1480">
        <v>30</v>
      </c>
      <c r="Q1480">
        <v>34.200000000000003</v>
      </c>
      <c r="R1480">
        <v>700</v>
      </c>
      <c r="S1480">
        <v>700</v>
      </c>
      <c r="T1480">
        <v>0</v>
      </c>
      <c r="U1480">
        <v>0</v>
      </c>
      <c r="V1480">
        <v>1</v>
      </c>
      <c r="W1480">
        <v>0</v>
      </c>
      <c r="X1480">
        <v>0.85</v>
      </c>
    </row>
    <row r="1481" spans="1:24" x14ac:dyDescent="0.3">
      <c r="A1481" t="s">
        <v>2189</v>
      </c>
      <c r="B1481" s="1">
        <v>45852</v>
      </c>
      <c r="C1481" t="s">
        <v>101</v>
      </c>
      <c r="D1481" t="s">
        <v>39</v>
      </c>
      <c r="E1481" t="s">
        <v>40</v>
      </c>
      <c r="F1481" t="s">
        <v>58</v>
      </c>
      <c r="G1481" t="s">
        <v>59</v>
      </c>
      <c r="H1481" t="s">
        <v>73</v>
      </c>
      <c r="I1481" t="s">
        <v>863</v>
      </c>
      <c r="J1481" t="s">
        <v>62</v>
      </c>
      <c r="K1481" t="s">
        <v>46</v>
      </c>
      <c r="L1481" t="s">
        <v>54</v>
      </c>
      <c r="M1481" t="s">
        <v>94</v>
      </c>
      <c r="N1481" t="s">
        <v>36</v>
      </c>
      <c r="O1481">
        <v>45</v>
      </c>
      <c r="P1481">
        <v>45</v>
      </c>
      <c r="Q1481">
        <v>53.9</v>
      </c>
      <c r="R1481">
        <v>950</v>
      </c>
      <c r="S1481">
        <v>950</v>
      </c>
      <c r="T1481">
        <v>0</v>
      </c>
      <c r="U1481">
        <v>0</v>
      </c>
      <c r="V1481">
        <v>1</v>
      </c>
      <c r="W1481">
        <v>0</v>
      </c>
      <c r="X1481">
        <v>0.85</v>
      </c>
    </row>
    <row r="1482" spans="1:24" x14ac:dyDescent="0.3">
      <c r="A1482" t="s">
        <v>2190</v>
      </c>
      <c r="B1482" s="1">
        <v>45971</v>
      </c>
      <c r="C1482" t="s">
        <v>38</v>
      </c>
      <c r="D1482" t="s">
        <v>39</v>
      </c>
      <c r="E1482" t="s">
        <v>83</v>
      </c>
      <c r="F1482" t="s">
        <v>28</v>
      </c>
      <c r="G1482" t="s">
        <v>29</v>
      </c>
      <c r="H1482" t="s">
        <v>30</v>
      </c>
      <c r="I1482" t="s">
        <v>131</v>
      </c>
      <c r="J1482" t="s">
        <v>62</v>
      </c>
      <c r="K1482" t="s">
        <v>70</v>
      </c>
      <c r="L1482" t="s">
        <v>78</v>
      </c>
      <c r="M1482" t="s">
        <v>86</v>
      </c>
      <c r="N1482" t="s">
        <v>36</v>
      </c>
      <c r="O1482">
        <v>60</v>
      </c>
      <c r="P1482">
        <v>60</v>
      </c>
      <c r="Q1482">
        <v>78.400000000000006</v>
      </c>
      <c r="R1482">
        <v>1150</v>
      </c>
      <c r="S1482">
        <v>1150</v>
      </c>
      <c r="T1482">
        <v>0</v>
      </c>
      <c r="U1482">
        <v>0</v>
      </c>
      <c r="V1482">
        <v>1</v>
      </c>
      <c r="W1482">
        <v>0</v>
      </c>
      <c r="X1482">
        <v>0.85</v>
      </c>
    </row>
    <row r="1483" spans="1:24" x14ac:dyDescent="0.3">
      <c r="A1483" t="s">
        <v>2191</v>
      </c>
      <c r="B1483" s="1">
        <v>45828</v>
      </c>
      <c r="C1483" t="s">
        <v>67</v>
      </c>
      <c r="D1483" t="s">
        <v>82</v>
      </c>
      <c r="E1483" t="s">
        <v>27</v>
      </c>
      <c r="F1483" t="s">
        <v>28</v>
      </c>
      <c r="G1483" t="s">
        <v>29</v>
      </c>
      <c r="H1483" t="s">
        <v>30</v>
      </c>
      <c r="I1483" t="s">
        <v>696</v>
      </c>
      <c r="J1483" t="s">
        <v>53</v>
      </c>
      <c r="K1483" t="s">
        <v>46</v>
      </c>
      <c r="L1483" t="s">
        <v>64</v>
      </c>
      <c r="M1483" t="s">
        <v>86</v>
      </c>
      <c r="N1483" t="s">
        <v>36</v>
      </c>
      <c r="O1483">
        <v>60</v>
      </c>
      <c r="P1483">
        <v>60</v>
      </c>
      <c r="Q1483">
        <v>67.2</v>
      </c>
      <c r="R1483">
        <v>1500</v>
      </c>
      <c r="S1483">
        <v>1500</v>
      </c>
      <c r="T1483">
        <v>0</v>
      </c>
      <c r="U1483">
        <v>0</v>
      </c>
      <c r="V1483">
        <v>1</v>
      </c>
      <c r="W1483">
        <v>0</v>
      </c>
      <c r="X1483">
        <v>0.85</v>
      </c>
    </row>
    <row r="1484" spans="1:24" x14ac:dyDescent="0.3">
      <c r="A1484" t="s">
        <v>2192</v>
      </c>
      <c r="B1484" s="1">
        <v>45961</v>
      </c>
      <c r="C1484" t="s">
        <v>97</v>
      </c>
      <c r="D1484" t="s">
        <v>82</v>
      </c>
      <c r="E1484" t="s">
        <v>68</v>
      </c>
      <c r="F1484" t="s">
        <v>58</v>
      </c>
      <c r="G1484" t="s">
        <v>59</v>
      </c>
      <c r="H1484" t="s">
        <v>151</v>
      </c>
      <c r="I1484" t="s">
        <v>724</v>
      </c>
      <c r="J1484" t="s">
        <v>32</v>
      </c>
      <c r="K1484" t="s">
        <v>85</v>
      </c>
      <c r="L1484" t="s">
        <v>54</v>
      </c>
      <c r="M1484" t="s">
        <v>71</v>
      </c>
      <c r="N1484" t="s">
        <v>36</v>
      </c>
      <c r="O1484">
        <v>45</v>
      </c>
      <c r="P1484">
        <v>45</v>
      </c>
      <c r="Q1484">
        <v>52.7</v>
      </c>
      <c r="R1484">
        <v>950</v>
      </c>
      <c r="S1484">
        <v>950</v>
      </c>
      <c r="T1484">
        <v>0</v>
      </c>
      <c r="U1484">
        <v>0</v>
      </c>
      <c r="V1484">
        <v>1</v>
      </c>
      <c r="W1484">
        <v>0</v>
      </c>
      <c r="X1484">
        <v>0.85</v>
      </c>
    </row>
    <row r="1485" spans="1:24" x14ac:dyDescent="0.3">
      <c r="A1485" t="s">
        <v>2193</v>
      </c>
      <c r="B1485" s="1">
        <v>45726</v>
      </c>
      <c r="C1485" t="s">
        <v>56</v>
      </c>
      <c r="D1485" t="s">
        <v>39</v>
      </c>
      <c r="E1485" t="s">
        <v>27</v>
      </c>
      <c r="F1485" t="s">
        <v>28</v>
      </c>
      <c r="G1485" t="s">
        <v>29</v>
      </c>
      <c r="H1485" t="s">
        <v>30</v>
      </c>
      <c r="I1485" t="s">
        <v>604</v>
      </c>
      <c r="J1485" t="s">
        <v>137</v>
      </c>
      <c r="K1485" t="s">
        <v>63</v>
      </c>
      <c r="L1485" t="s">
        <v>78</v>
      </c>
      <c r="M1485" t="s">
        <v>71</v>
      </c>
      <c r="N1485" t="s">
        <v>36</v>
      </c>
      <c r="O1485">
        <v>30</v>
      </c>
      <c r="P1485">
        <v>30</v>
      </c>
      <c r="Q1485">
        <v>35.700000000000003</v>
      </c>
      <c r="R1485">
        <v>600</v>
      </c>
      <c r="S1485">
        <v>600</v>
      </c>
      <c r="T1485">
        <v>0</v>
      </c>
      <c r="U1485">
        <v>0</v>
      </c>
      <c r="V1485">
        <v>1</v>
      </c>
      <c r="W1485">
        <v>0</v>
      </c>
      <c r="X1485">
        <v>0.85</v>
      </c>
    </row>
    <row r="1486" spans="1:24" x14ac:dyDescent="0.3">
      <c r="A1486" t="s">
        <v>2194</v>
      </c>
      <c r="B1486" s="1">
        <v>45839</v>
      </c>
      <c r="C1486" t="s">
        <v>101</v>
      </c>
      <c r="D1486" t="s">
        <v>26</v>
      </c>
      <c r="E1486" t="s">
        <v>68</v>
      </c>
      <c r="F1486" t="s">
        <v>28</v>
      </c>
      <c r="G1486" t="s">
        <v>29</v>
      </c>
      <c r="H1486" t="s">
        <v>102</v>
      </c>
      <c r="I1486" t="s">
        <v>911</v>
      </c>
      <c r="J1486" t="s">
        <v>62</v>
      </c>
      <c r="K1486" t="s">
        <v>104</v>
      </c>
      <c r="L1486" t="s">
        <v>64</v>
      </c>
      <c r="M1486" t="s">
        <v>94</v>
      </c>
      <c r="N1486" t="s">
        <v>95</v>
      </c>
      <c r="O1486">
        <v>45</v>
      </c>
      <c r="P1486">
        <v>0</v>
      </c>
      <c r="Q1486">
        <v>52.5</v>
      </c>
      <c r="R1486">
        <v>950</v>
      </c>
      <c r="S1486">
        <v>0</v>
      </c>
      <c r="T1486">
        <v>950</v>
      </c>
      <c r="U1486">
        <v>1</v>
      </c>
      <c r="V1486">
        <v>0</v>
      </c>
      <c r="W1486">
        <v>0</v>
      </c>
      <c r="X1486">
        <v>0.85</v>
      </c>
    </row>
    <row r="1487" spans="1:24" x14ac:dyDescent="0.3">
      <c r="A1487" t="s">
        <v>2195</v>
      </c>
      <c r="B1487" s="1">
        <v>45915</v>
      </c>
      <c r="C1487" t="s">
        <v>49</v>
      </c>
      <c r="D1487" t="s">
        <v>39</v>
      </c>
      <c r="E1487" t="s">
        <v>40</v>
      </c>
      <c r="F1487" t="s">
        <v>58</v>
      </c>
      <c r="G1487" t="s">
        <v>59</v>
      </c>
      <c r="H1487" t="s">
        <v>60</v>
      </c>
      <c r="I1487" t="s">
        <v>1249</v>
      </c>
      <c r="J1487" t="s">
        <v>99</v>
      </c>
      <c r="K1487" t="s">
        <v>85</v>
      </c>
      <c r="L1487" t="s">
        <v>34</v>
      </c>
      <c r="M1487" t="s">
        <v>94</v>
      </c>
      <c r="N1487" t="s">
        <v>95</v>
      </c>
      <c r="O1487">
        <v>45</v>
      </c>
      <c r="P1487">
        <v>0</v>
      </c>
      <c r="Q1487">
        <v>54.1</v>
      </c>
      <c r="R1487">
        <v>1100</v>
      </c>
      <c r="S1487">
        <v>0</v>
      </c>
      <c r="T1487">
        <v>1100</v>
      </c>
      <c r="U1487">
        <v>1</v>
      </c>
      <c r="V1487">
        <v>0</v>
      </c>
      <c r="W1487">
        <v>0</v>
      </c>
      <c r="X1487">
        <v>0.85</v>
      </c>
    </row>
    <row r="1488" spans="1:24" x14ac:dyDescent="0.3">
      <c r="A1488" t="s">
        <v>2196</v>
      </c>
      <c r="B1488" s="1">
        <v>45880</v>
      </c>
      <c r="C1488" t="s">
        <v>110</v>
      </c>
      <c r="D1488" t="s">
        <v>39</v>
      </c>
      <c r="E1488" t="s">
        <v>40</v>
      </c>
      <c r="F1488" t="s">
        <v>41</v>
      </c>
      <c r="G1488" t="s">
        <v>42</v>
      </c>
      <c r="H1488" t="s">
        <v>125</v>
      </c>
      <c r="I1488" t="s">
        <v>778</v>
      </c>
      <c r="J1488" t="s">
        <v>62</v>
      </c>
      <c r="K1488" t="s">
        <v>46</v>
      </c>
      <c r="L1488" t="s">
        <v>34</v>
      </c>
      <c r="M1488" t="s">
        <v>35</v>
      </c>
      <c r="N1488" t="s">
        <v>36</v>
      </c>
      <c r="O1488">
        <v>45</v>
      </c>
      <c r="P1488">
        <v>45</v>
      </c>
      <c r="Q1488">
        <v>50.8</v>
      </c>
      <c r="R1488">
        <v>1000</v>
      </c>
      <c r="S1488">
        <v>1000</v>
      </c>
      <c r="T1488">
        <v>0</v>
      </c>
      <c r="U1488">
        <v>0</v>
      </c>
      <c r="V1488">
        <v>1</v>
      </c>
      <c r="W1488">
        <v>0</v>
      </c>
      <c r="X1488">
        <v>0.85</v>
      </c>
    </row>
    <row r="1489" spans="1:24" x14ac:dyDescent="0.3">
      <c r="A1489" t="s">
        <v>2197</v>
      </c>
      <c r="B1489" s="1">
        <v>45980</v>
      </c>
      <c r="C1489" t="s">
        <v>38</v>
      </c>
      <c r="D1489" t="s">
        <v>57</v>
      </c>
      <c r="E1489" t="s">
        <v>40</v>
      </c>
      <c r="F1489" t="s">
        <v>58</v>
      </c>
      <c r="G1489" t="s">
        <v>59</v>
      </c>
      <c r="H1489" t="s">
        <v>151</v>
      </c>
      <c r="I1489" t="s">
        <v>387</v>
      </c>
      <c r="J1489" t="s">
        <v>62</v>
      </c>
      <c r="K1489" t="s">
        <v>46</v>
      </c>
      <c r="L1489" t="s">
        <v>78</v>
      </c>
      <c r="M1489" t="s">
        <v>47</v>
      </c>
      <c r="N1489" t="s">
        <v>36</v>
      </c>
      <c r="O1489">
        <v>60</v>
      </c>
      <c r="P1489">
        <v>60</v>
      </c>
      <c r="Q1489">
        <v>79</v>
      </c>
      <c r="R1489">
        <v>1400</v>
      </c>
      <c r="S1489">
        <v>1400</v>
      </c>
      <c r="T1489">
        <v>0</v>
      </c>
      <c r="U1489">
        <v>0</v>
      </c>
      <c r="V1489">
        <v>1</v>
      </c>
      <c r="W1489">
        <v>0</v>
      </c>
      <c r="X1489">
        <v>0.85</v>
      </c>
    </row>
    <row r="1490" spans="1:24" x14ac:dyDescent="0.3">
      <c r="A1490" t="s">
        <v>2198</v>
      </c>
      <c r="B1490" s="1">
        <v>45935</v>
      </c>
      <c r="C1490" t="s">
        <v>97</v>
      </c>
      <c r="D1490" t="s">
        <v>287</v>
      </c>
      <c r="E1490" t="s">
        <v>83</v>
      </c>
      <c r="F1490" t="s">
        <v>58</v>
      </c>
      <c r="G1490" t="s">
        <v>59</v>
      </c>
      <c r="H1490" t="s">
        <v>151</v>
      </c>
      <c r="I1490" t="s">
        <v>136</v>
      </c>
      <c r="J1490" t="s">
        <v>53</v>
      </c>
      <c r="K1490" t="s">
        <v>63</v>
      </c>
      <c r="L1490" t="s">
        <v>64</v>
      </c>
      <c r="M1490" t="s">
        <v>65</v>
      </c>
      <c r="N1490" t="s">
        <v>36</v>
      </c>
      <c r="O1490">
        <v>30</v>
      </c>
      <c r="P1490">
        <v>30</v>
      </c>
      <c r="Q1490">
        <v>40.4</v>
      </c>
      <c r="R1490">
        <v>900</v>
      </c>
      <c r="S1490">
        <v>900</v>
      </c>
      <c r="T1490">
        <v>0</v>
      </c>
      <c r="U1490">
        <v>0</v>
      </c>
      <c r="V1490">
        <v>1</v>
      </c>
      <c r="W1490">
        <v>0</v>
      </c>
      <c r="X1490">
        <v>0.85</v>
      </c>
    </row>
    <row r="1491" spans="1:24" x14ac:dyDescent="0.3">
      <c r="A1491" t="s">
        <v>2199</v>
      </c>
      <c r="B1491" s="1">
        <v>45798</v>
      </c>
      <c r="C1491" t="s">
        <v>128</v>
      </c>
      <c r="D1491" t="s">
        <v>57</v>
      </c>
      <c r="E1491" t="s">
        <v>40</v>
      </c>
      <c r="F1491" t="s">
        <v>58</v>
      </c>
      <c r="G1491" t="s">
        <v>59</v>
      </c>
      <c r="H1491" t="s">
        <v>151</v>
      </c>
      <c r="I1491" t="s">
        <v>663</v>
      </c>
      <c r="J1491" t="s">
        <v>62</v>
      </c>
      <c r="K1491" t="s">
        <v>104</v>
      </c>
      <c r="L1491" t="s">
        <v>64</v>
      </c>
      <c r="M1491" t="s">
        <v>35</v>
      </c>
      <c r="N1491" t="s">
        <v>36</v>
      </c>
      <c r="O1491">
        <v>45</v>
      </c>
      <c r="P1491">
        <v>45</v>
      </c>
      <c r="Q1491">
        <v>51.6</v>
      </c>
      <c r="R1491">
        <v>1100</v>
      </c>
      <c r="S1491">
        <v>1100</v>
      </c>
      <c r="T1491">
        <v>0</v>
      </c>
      <c r="U1491">
        <v>0</v>
      </c>
      <c r="V1491">
        <v>1</v>
      </c>
      <c r="W1491">
        <v>0</v>
      </c>
      <c r="X1491">
        <v>0.85</v>
      </c>
    </row>
    <row r="1492" spans="1:24" x14ac:dyDescent="0.3">
      <c r="A1492" t="s">
        <v>2200</v>
      </c>
      <c r="B1492" s="1">
        <v>45889</v>
      </c>
      <c r="C1492" t="s">
        <v>110</v>
      </c>
      <c r="D1492" t="s">
        <v>57</v>
      </c>
      <c r="E1492" t="s">
        <v>27</v>
      </c>
      <c r="F1492" t="s">
        <v>58</v>
      </c>
      <c r="G1492" t="s">
        <v>59</v>
      </c>
      <c r="H1492" t="s">
        <v>296</v>
      </c>
      <c r="I1492" t="s">
        <v>1002</v>
      </c>
      <c r="J1492" t="s">
        <v>62</v>
      </c>
      <c r="K1492" t="s">
        <v>85</v>
      </c>
      <c r="L1492" t="s">
        <v>64</v>
      </c>
      <c r="M1492" t="s">
        <v>71</v>
      </c>
      <c r="N1492" t="s">
        <v>36</v>
      </c>
      <c r="O1492">
        <v>45</v>
      </c>
      <c r="P1492">
        <v>45</v>
      </c>
      <c r="Q1492">
        <v>50.9</v>
      </c>
      <c r="R1492">
        <v>1100</v>
      </c>
      <c r="S1492">
        <v>1100</v>
      </c>
      <c r="T1492">
        <v>0</v>
      </c>
      <c r="U1492">
        <v>0</v>
      </c>
      <c r="V1492">
        <v>1</v>
      </c>
      <c r="W1492">
        <v>0</v>
      </c>
      <c r="X1492">
        <v>0.85</v>
      </c>
    </row>
    <row r="1493" spans="1:24" x14ac:dyDescent="0.3">
      <c r="A1493" t="s">
        <v>2201</v>
      </c>
      <c r="B1493" s="1">
        <v>45908</v>
      </c>
      <c r="C1493" t="s">
        <v>49</v>
      </c>
      <c r="D1493" t="s">
        <v>39</v>
      </c>
      <c r="E1493" t="s">
        <v>27</v>
      </c>
      <c r="F1493" t="s">
        <v>58</v>
      </c>
      <c r="G1493" t="s">
        <v>59</v>
      </c>
      <c r="H1493" t="s">
        <v>296</v>
      </c>
      <c r="I1493" t="s">
        <v>652</v>
      </c>
      <c r="J1493" t="s">
        <v>99</v>
      </c>
      <c r="K1493" t="s">
        <v>70</v>
      </c>
      <c r="L1493" t="s">
        <v>34</v>
      </c>
      <c r="M1493" t="s">
        <v>94</v>
      </c>
      <c r="N1493" t="s">
        <v>36</v>
      </c>
      <c r="O1493">
        <v>60</v>
      </c>
      <c r="P1493">
        <v>60</v>
      </c>
      <c r="Q1493">
        <v>80.900000000000006</v>
      </c>
      <c r="R1493">
        <v>1500</v>
      </c>
      <c r="S1493">
        <v>1500</v>
      </c>
      <c r="T1493">
        <v>0</v>
      </c>
      <c r="U1493">
        <v>0</v>
      </c>
      <c r="V1493">
        <v>1</v>
      </c>
      <c r="W1493">
        <v>0</v>
      </c>
      <c r="X1493">
        <v>0.85</v>
      </c>
    </row>
    <row r="1494" spans="1:24" x14ac:dyDescent="0.3">
      <c r="A1494" t="s">
        <v>2202</v>
      </c>
      <c r="B1494" s="1">
        <v>45933</v>
      </c>
      <c r="C1494" t="s">
        <v>97</v>
      </c>
      <c r="D1494" t="s">
        <v>82</v>
      </c>
      <c r="E1494" t="s">
        <v>40</v>
      </c>
      <c r="F1494" t="s">
        <v>41</v>
      </c>
      <c r="G1494" t="s">
        <v>42</v>
      </c>
      <c r="H1494" t="s">
        <v>51</v>
      </c>
      <c r="I1494" t="s">
        <v>801</v>
      </c>
      <c r="J1494" t="s">
        <v>53</v>
      </c>
      <c r="K1494" t="s">
        <v>70</v>
      </c>
      <c r="L1494" t="s">
        <v>34</v>
      </c>
      <c r="M1494" t="s">
        <v>86</v>
      </c>
      <c r="N1494" t="s">
        <v>36</v>
      </c>
      <c r="O1494">
        <v>45</v>
      </c>
      <c r="P1494">
        <v>45</v>
      </c>
      <c r="Q1494">
        <v>57</v>
      </c>
      <c r="R1494">
        <v>1200</v>
      </c>
      <c r="S1494">
        <v>1200</v>
      </c>
      <c r="T1494">
        <v>0</v>
      </c>
      <c r="U1494">
        <v>0</v>
      </c>
      <c r="V1494">
        <v>1</v>
      </c>
      <c r="W1494">
        <v>0</v>
      </c>
      <c r="X1494">
        <v>0.85</v>
      </c>
    </row>
    <row r="1495" spans="1:24" x14ac:dyDescent="0.3">
      <c r="A1495" t="s">
        <v>2203</v>
      </c>
      <c r="B1495" s="1">
        <v>45843</v>
      </c>
      <c r="C1495" t="s">
        <v>101</v>
      </c>
      <c r="D1495" t="s">
        <v>88</v>
      </c>
      <c r="E1495" t="s">
        <v>83</v>
      </c>
      <c r="F1495" t="s">
        <v>41</v>
      </c>
      <c r="G1495" t="s">
        <v>42</v>
      </c>
      <c r="H1495" t="s">
        <v>111</v>
      </c>
      <c r="I1495" t="s">
        <v>1095</v>
      </c>
      <c r="J1495" t="s">
        <v>53</v>
      </c>
      <c r="K1495" t="s">
        <v>33</v>
      </c>
      <c r="L1495" t="s">
        <v>64</v>
      </c>
      <c r="M1495" t="s">
        <v>71</v>
      </c>
      <c r="N1495" t="s">
        <v>36</v>
      </c>
      <c r="O1495">
        <v>75</v>
      </c>
      <c r="P1495">
        <v>75</v>
      </c>
      <c r="Q1495">
        <v>87</v>
      </c>
      <c r="R1495">
        <v>2000</v>
      </c>
      <c r="S1495">
        <v>2000</v>
      </c>
      <c r="T1495">
        <v>0</v>
      </c>
      <c r="U1495">
        <v>0</v>
      </c>
      <c r="V1495">
        <v>1</v>
      </c>
      <c r="W1495">
        <v>0</v>
      </c>
      <c r="X1495">
        <v>0.85</v>
      </c>
    </row>
    <row r="1496" spans="1:24" x14ac:dyDescent="0.3">
      <c r="A1496" t="s">
        <v>2204</v>
      </c>
      <c r="B1496" s="1">
        <v>45936</v>
      </c>
      <c r="C1496" t="s">
        <v>97</v>
      </c>
      <c r="D1496" t="s">
        <v>39</v>
      </c>
      <c r="E1496" t="s">
        <v>68</v>
      </c>
      <c r="F1496" t="s">
        <v>41</v>
      </c>
      <c r="G1496" t="s">
        <v>42</v>
      </c>
      <c r="H1496" t="s">
        <v>51</v>
      </c>
      <c r="I1496" t="s">
        <v>1594</v>
      </c>
      <c r="J1496" t="s">
        <v>45</v>
      </c>
      <c r="K1496" t="s">
        <v>104</v>
      </c>
      <c r="L1496" t="s">
        <v>54</v>
      </c>
      <c r="M1496" t="s">
        <v>94</v>
      </c>
      <c r="N1496" t="s">
        <v>95</v>
      </c>
      <c r="O1496">
        <v>90</v>
      </c>
      <c r="P1496">
        <v>0</v>
      </c>
      <c r="Q1496">
        <v>107.2</v>
      </c>
      <c r="R1496">
        <v>2000</v>
      </c>
      <c r="S1496">
        <v>0</v>
      </c>
      <c r="T1496">
        <v>2000</v>
      </c>
      <c r="U1496">
        <v>1</v>
      </c>
      <c r="V1496">
        <v>0</v>
      </c>
      <c r="W1496">
        <v>0</v>
      </c>
      <c r="X1496">
        <v>0.85</v>
      </c>
    </row>
    <row r="1497" spans="1:24" x14ac:dyDescent="0.3">
      <c r="A1497" t="s">
        <v>2205</v>
      </c>
      <c r="B1497" s="1">
        <v>45854</v>
      </c>
      <c r="C1497" t="s">
        <v>101</v>
      </c>
      <c r="D1497" t="s">
        <v>57</v>
      </c>
      <c r="E1497" t="s">
        <v>40</v>
      </c>
      <c r="F1497" t="s">
        <v>41</v>
      </c>
      <c r="G1497" t="s">
        <v>42</v>
      </c>
      <c r="H1497" t="s">
        <v>125</v>
      </c>
      <c r="I1497" t="s">
        <v>1976</v>
      </c>
      <c r="J1497" t="s">
        <v>137</v>
      </c>
      <c r="K1497" t="s">
        <v>104</v>
      </c>
      <c r="L1497" t="s">
        <v>78</v>
      </c>
      <c r="M1497" t="s">
        <v>94</v>
      </c>
      <c r="N1497" t="s">
        <v>36</v>
      </c>
      <c r="O1497">
        <v>75</v>
      </c>
      <c r="P1497">
        <v>75</v>
      </c>
      <c r="Q1497">
        <v>85.3</v>
      </c>
      <c r="R1497">
        <v>1550</v>
      </c>
      <c r="S1497">
        <v>1550</v>
      </c>
      <c r="T1497">
        <v>0</v>
      </c>
      <c r="U1497">
        <v>0</v>
      </c>
      <c r="V1497">
        <v>1</v>
      </c>
      <c r="W1497">
        <v>0</v>
      </c>
      <c r="X1497">
        <v>0.85</v>
      </c>
    </row>
    <row r="1498" spans="1:24" x14ac:dyDescent="0.3">
      <c r="A1498" t="s">
        <v>2206</v>
      </c>
      <c r="B1498" s="1">
        <v>45803</v>
      </c>
      <c r="C1498" t="s">
        <v>128</v>
      </c>
      <c r="D1498" t="s">
        <v>39</v>
      </c>
      <c r="E1498" t="s">
        <v>27</v>
      </c>
      <c r="F1498" t="s">
        <v>58</v>
      </c>
      <c r="G1498" t="s">
        <v>59</v>
      </c>
      <c r="H1498" t="s">
        <v>60</v>
      </c>
      <c r="I1498" t="s">
        <v>112</v>
      </c>
      <c r="J1498" t="s">
        <v>99</v>
      </c>
      <c r="K1498" t="s">
        <v>85</v>
      </c>
      <c r="L1498" t="s">
        <v>78</v>
      </c>
      <c r="M1498" t="s">
        <v>94</v>
      </c>
      <c r="N1498" t="s">
        <v>36</v>
      </c>
      <c r="O1498">
        <v>90</v>
      </c>
      <c r="P1498">
        <v>90</v>
      </c>
      <c r="Q1498">
        <v>102.2</v>
      </c>
      <c r="R1498">
        <v>2050</v>
      </c>
      <c r="S1498">
        <v>2050</v>
      </c>
      <c r="T1498">
        <v>0</v>
      </c>
      <c r="U1498">
        <v>0</v>
      </c>
      <c r="V1498">
        <v>1</v>
      </c>
      <c r="W1498">
        <v>0</v>
      </c>
      <c r="X1498">
        <v>0.85</v>
      </c>
    </row>
    <row r="1499" spans="1:24" x14ac:dyDescent="0.3">
      <c r="A1499" t="s">
        <v>2207</v>
      </c>
      <c r="B1499" s="1">
        <v>45824</v>
      </c>
      <c r="C1499" t="s">
        <v>67</v>
      </c>
      <c r="D1499" t="s">
        <v>39</v>
      </c>
      <c r="E1499" t="s">
        <v>68</v>
      </c>
      <c r="F1499" t="s">
        <v>28</v>
      </c>
      <c r="G1499" t="s">
        <v>29</v>
      </c>
      <c r="H1499" t="s">
        <v>120</v>
      </c>
      <c r="I1499" t="s">
        <v>464</v>
      </c>
      <c r="J1499" t="s">
        <v>99</v>
      </c>
      <c r="K1499" t="s">
        <v>46</v>
      </c>
      <c r="L1499" t="s">
        <v>64</v>
      </c>
      <c r="M1499" t="s">
        <v>65</v>
      </c>
      <c r="N1499" t="s">
        <v>36</v>
      </c>
      <c r="O1499">
        <v>60</v>
      </c>
      <c r="P1499">
        <v>60</v>
      </c>
      <c r="Q1499">
        <v>66.7</v>
      </c>
      <c r="R1499">
        <v>1250</v>
      </c>
      <c r="S1499">
        <v>1250</v>
      </c>
      <c r="T1499">
        <v>0</v>
      </c>
      <c r="U1499">
        <v>0</v>
      </c>
      <c r="V1499">
        <v>1</v>
      </c>
      <c r="W1499">
        <v>0</v>
      </c>
      <c r="X1499">
        <v>0.85</v>
      </c>
    </row>
    <row r="1500" spans="1:24" x14ac:dyDescent="0.3">
      <c r="A1500" t="s">
        <v>2208</v>
      </c>
      <c r="B1500" s="1">
        <v>45770</v>
      </c>
      <c r="C1500" t="s">
        <v>92</v>
      </c>
      <c r="D1500" t="s">
        <v>57</v>
      </c>
      <c r="E1500" t="s">
        <v>40</v>
      </c>
      <c r="F1500" t="s">
        <v>41</v>
      </c>
      <c r="G1500" t="s">
        <v>42</v>
      </c>
      <c r="H1500" t="s">
        <v>111</v>
      </c>
      <c r="I1500" t="s">
        <v>1467</v>
      </c>
      <c r="J1500" t="s">
        <v>62</v>
      </c>
      <c r="K1500" t="s">
        <v>33</v>
      </c>
      <c r="L1500" t="s">
        <v>54</v>
      </c>
      <c r="M1500" t="s">
        <v>86</v>
      </c>
      <c r="N1500" t="s">
        <v>36</v>
      </c>
      <c r="O1500">
        <v>60</v>
      </c>
      <c r="P1500">
        <v>60</v>
      </c>
      <c r="Q1500">
        <v>65.5</v>
      </c>
      <c r="R1500">
        <v>1150</v>
      </c>
      <c r="S1500">
        <v>1150</v>
      </c>
      <c r="T1500">
        <v>0</v>
      </c>
      <c r="U1500">
        <v>0</v>
      </c>
      <c r="V1500">
        <v>1</v>
      </c>
      <c r="W1500">
        <v>0</v>
      </c>
      <c r="X1500">
        <v>0.85</v>
      </c>
    </row>
    <row r="1501" spans="1:24" x14ac:dyDescent="0.3">
      <c r="A1501" t="s">
        <v>2209</v>
      </c>
      <c r="B1501" s="1">
        <v>45867</v>
      </c>
      <c r="C1501" t="s">
        <v>101</v>
      </c>
      <c r="D1501" t="s">
        <v>26</v>
      </c>
      <c r="E1501" t="s">
        <v>68</v>
      </c>
      <c r="F1501" t="s">
        <v>28</v>
      </c>
      <c r="G1501" t="s">
        <v>29</v>
      </c>
      <c r="H1501" t="s">
        <v>102</v>
      </c>
      <c r="I1501" t="s">
        <v>703</v>
      </c>
      <c r="J1501" t="s">
        <v>45</v>
      </c>
      <c r="K1501" t="s">
        <v>46</v>
      </c>
      <c r="L1501" t="s">
        <v>54</v>
      </c>
      <c r="M1501" t="s">
        <v>35</v>
      </c>
      <c r="N1501" t="s">
        <v>95</v>
      </c>
      <c r="O1501">
        <v>60</v>
      </c>
      <c r="P1501">
        <v>0</v>
      </c>
      <c r="Q1501">
        <v>65.400000000000006</v>
      </c>
      <c r="R1501">
        <v>1200</v>
      </c>
      <c r="S1501">
        <v>0</v>
      </c>
      <c r="T1501">
        <v>1200</v>
      </c>
      <c r="U1501">
        <v>1</v>
      </c>
      <c r="V1501">
        <v>0</v>
      </c>
      <c r="W1501">
        <v>0</v>
      </c>
      <c r="X1501">
        <v>0.85</v>
      </c>
    </row>
    <row r="1502" spans="1:24" x14ac:dyDescent="0.3">
      <c r="A1502" t="s">
        <v>2210</v>
      </c>
      <c r="B1502" s="1">
        <v>45966</v>
      </c>
      <c r="C1502" t="s">
        <v>38</v>
      </c>
      <c r="D1502" t="s">
        <v>57</v>
      </c>
      <c r="E1502" t="s">
        <v>40</v>
      </c>
      <c r="F1502" t="s">
        <v>58</v>
      </c>
      <c r="G1502" t="s">
        <v>59</v>
      </c>
      <c r="H1502" t="s">
        <v>151</v>
      </c>
      <c r="I1502" t="s">
        <v>952</v>
      </c>
      <c r="J1502" t="s">
        <v>53</v>
      </c>
      <c r="K1502" t="s">
        <v>70</v>
      </c>
      <c r="L1502" t="s">
        <v>34</v>
      </c>
      <c r="M1502" t="s">
        <v>47</v>
      </c>
      <c r="N1502" t="s">
        <v>113</v>
      </c>
      <c r="O1502">
        <v>45</v>
      </c>
      <c r="P1502">
        <v>0</v>
      </c>
      <c r="Q1502">
        <v>53.5</v>
      </c>
      <c r="R1502">
        <v>1350</v>
      </c>
      <c r="S1502">
        <v>0</v>
      </c>
      <c r="T1502">
        <v>1350</v>
      </c>
      <c r="U1502">
        <v>0</v>
      </c>
      <c r="V1502">
        <v>0</v>
      </c>
      <c r="W1502">
        <v>1</v>
      </c>
      <c r="X1502">
        <v>0.85</v>
      </c>
    </row>
    <row r="1503" spans="1:24" x14ac:dyDescent="0.3">
      <c r="A1503" t="s">
        <v>2211</v>
      </c>
      <c r="B1503" s="1">
        <v>45919</v>
      </c>
      <c r="C1503" t="s">
        <v>49</v>
      </c>
      <c r="D1503" t="s">
        <v>82</v>
      </c>
      <c r="E1503" t="s">
        <v>40</v>
      </c>
      <c r="F1503" t="s">
        <v>58</v>
      </c>
      <c r="G1503" t="s">
        <v>59</v>
      </c>
      <c r="H1503" t="s">
        <v>117</v>
      </c>
      <c r="I1503" t="s">
        <v>2118</v>
      </c>
      <c r="J1503" t="s">
        <v>45</v>
      </c>
      <c r="K1503" t="s">
        <v>104</v>
      </c>
      <c r="L1503" t="s">
        <v>34</v>
      </c>
      <c r="M1503" t="s">
        <v>65</v>
      </c>
      <c r="N1503" t="s">
        <v>95</v>
      </c>
      <c r="O1503">
        <v>60</v>
      </c>
      <c r="P1503">
        <v>0</v>
      </c>
      <c r="Q1503">
        <v>79</v>
      </c>
      <c r="R1503">
        <v>1700</v>
      </c>
      <c r="S1503">
        <v>0</v>
      </c>
      <c r="T1503">
        <v>1700</v>
      </c>
      <c r="U1503">
        <v>1</v>
      </c>
      <c r="V1503">
        <v>0</v>
      </c>
      <c r="W1503">
        <v>0</v>
      </c>
      <c r="X1503">
        <v>0.85</v>
      </c>
    </row>
    <row r="1504" spans="1:24" x14ac:dyDescent="0.3">
      <c r="A1504" t="s">
        <v>2212</v>
      </c>
      <c r="B1504" s="1">
        <v>45667</v>
      </c>
      <c r="C1504" t="s">
        <v>130</v>
      </c>
      <c r="D1504" t="s">
        <v>82</v>
      </c>
      <c r="E1504" t="s">
        <v>40</v>
      </c>
      <c r="F1504" t="s">
        <v>28</v>
      </c>
      <c r="G1504" t="s">
        <v>29</v>
      </c>
      <c r="H1504" t="s">
        <v>30</v>
      </c>
      <c r="I1504" t="s">
        <v>1209</v>
      </c>
      <c r="J1504" t="s">
        <v>53</v>
      </c>
      <c r="K1504" t="s">
        <v>104</v>
      </c>
      <c r="L1504" t="s">
        <v>34</v>
      </c>
      <c r="M1504" t="s">
        <v>65</v>
      </c>
      <c r="N1504" t="s">
        <v>36</v>
      </c>
      <c r="O1504">
        <v>60</v>
      </c>
      <c r="P1504">
        <v>60</v>
      </c>
      <c r="Q1504">
        <v>75.599999999999994</v>
      </c>
      <c r="R1504">
        <v>1500</v>
      </c>
      <c r="S1504">
        <v>1500</v>
      </c>
      <c r="T1504">
        <v>0</v>
      </c>
      <c r="U1504">
        <v>0</v>
      </c>
      <c r="V1504">
        <v>1</v>
      </c>
      <c r="W1504">
        <v>0</v>
      </c>
      <c r="X1504">
        <v>0.85</v>
      </c>
    </row>
    <row r="1505" spans="1:24" x14ac:dyDescent="0.3">
      <c r="A1505" t="s">
        <v>2213</v>
      </c>
      <c r="B1505" s="1">
        <v>45831</v>
      </c>
      <c r="C1505" t="s">
        <v>67</v>
      </c>
      <c r="D1505" t="s">
        <v>39</v>
      </c>
      <c r="E1505" t="s">
        <v>68</v>
      </c>
      <c r="F1505" t="s">
        <v>58</v>
      </c>
      <c r="G1505" t="s">
        <v>59</v>
      </c>
      <c r="H1505" t="s">
        <v>117</v>
      </c>
      <c r="I1505" t="s">
        <v>2214</v>
      </c>
      <c r="J1505" t="s">
        <v>45</v>
      </c>
      <c r="K1505" t="s">
        <v>85</v>
      </c>
      <c r="L1505" t="s">
        <v>34</v>
      </c>
      <c r="M1505" t="s">
        <v>47</v>
      </c>
      <c r="N1505" t="s">
        <v>36</v>
      </c>
      <c r="O1505">
        <v>60</v>
      </c>
      <c r="P1505">
        <v>60</v>
      </c>
      <c r="Q1505">
        <v>65.900000000000006</v>
      </c>
      <c r="R1505">
        <v>1700</v>
      </c>
      <c r="S1505">
        <v>1700</v>
      </c>
      <c r="T1505">
        <v>0</v>
      </c>
      <c r="U1505">
        <v>0</v>
      </c>
      <c r="V1505">
        <v>1</v>
      </c>
      <c r="W1505">
        <v>0</v>
      </c>
      <c r="X1505">
        <v>0.85</v>
      </c>
    </row>
    <row r="1506" spans="1:24" x14ac:dyDescent="0.3">
      <c r="A1506" t="s">
        <v>2215</v>
      </c>
      <c r="B1506" s="1">
        <v>45725</v>
      </c>
      <c r="C1506" t="s">
        <v>56</v>
      </c>
      <c r="D1506" t="s">
        <v>287</v>
      </c>
      <c r="E1506" t="s">
        <v>83</v>
      </c>
      <c r="F1506" t="s">
        <v>28</v>
      </c>
      <c r="G1506" t="s">
        <v>29</v>
      </c>
      <c r="H1506" t="s">
        <v>120</v>
      </c>
      <c r="I1506" t="s">
        <v>1373</v>
      </c>
      <c r="J1506" t="s">
        <v>32</v>
      </c>
      <c r="K1506" t="s">
        <v>85</v>
      </c>
      <c r="L1506" t="s">
        <v>34</v>
      </c>
      <c r="M1506" t="s">
        <v>47</v>
      </c>
      <c r="N1506" t="s">
        <v>36</v>
      </c>
      <c r="O1506">
        <v>45</v>
      </c>
      <c r="P1506">
        <v>45</v>
      </c>
      <c r="Q1506">
        <v>50.5</v>
      </c>
      <c r="R1506">
        <v>950</v>
      </c>
      <c r="S1506">
        <v>950</v>
      </c>
      <c r="T1506">
        <v>0</v>
      </c>
      <c r="U1506">
        <v>0</v>
      </c>
      <c r="V1506">
        <v>1</v>
      </c>
      <c r="W1506">
        <v>0</v>
      </c>
      <c r="X1506">
        <v>0.85</v>
      </c>
    </row>
    <row r="1507" spans="1:24" x14ac:dyDescent="0.3">
      <c r="A1507" t="s">
        <v>2216</v>
      </c>
      <c r="B1507" s="1">
        <v>45958</v>
      </c>
      <c r="C1507" t="s">
        <v>97</v>
      </c>
      <c r="D1507" t="s">
        <v>26</v>
      </c>
      <c r="E1507" t="s">
        <v>40</v>
      </c>
      <c r="F1507" t="s">
        <v>41</v>
      </c>
      <c r="G1507" t="s">
        <v>42</v>
      </c>
      <c r="H1507" t="s">
        <v>51</v>
      </c>
      <c r="I1507" t="s">
        <v>692</v>
      </c>
      <c r="J1507" t="s">
        <v>62</v>
      </c>
      <c r="K1507" t="s">
        <v>46</v>
      </c>
      <c r="L1507" t="s">
        <v>64</v>
      </c>
      <c r="M1507" t="s">
        <v>47</v>
      </c>
      <c r="N1507" t="s">
        <v>36</v>
      </c>
      <c r="O1507">
        <v>45</v>
      </c>
      <c r="P1507">
        <v>45</v>
      </c>
      <c r="Q1507">
        <v>51</v>
      </c>
      <c r="R1507">
        <v>1000</v>
      </c>
      <c r="S1507">
        <v>1000</v>
      </c>
      <c r="T1507">
        <v>0</v>
      </c>
      <c r="U1507">
        <v>0</v>
      </c>
      <c r="V1507">
        <v>1</v>
      </c>
      <c r="W1507">
        <v>0</v>
      </c>
      <c r="X1507">
        <v>0.85</v>
      </c>
    </row>
    <row r="1508" spans="1:24" x14ac:dyDescent="0.3">
      <c r="A1508" t="s">
        <v>2217</v>
      </c>
      <c r="B1508" s="1">
        <v>45789</v>
      </c>
      <c r="C1508" t="s">
        <v>128</v>
      </c>
      <c r="D1508" t="s">
        <v>39</v>
      </c>
      <c r="E1508" t="s">
        <v>68</v>
      </c>
      <c r="F1508" t="s">
        <v>58</v>
      </c>
      <c r="G1508" t="s">
        <v>59</v>
      </c>
      <c r="H1508" t="s">
        <v>117</v>
      </c>
      <c r="I1508" t="s">
        <v>1143</v>
      </c>
      <c r="J1508" t="s">
        <v>62</v>
      </c>
      <c r="K1508" t="s">
        <v>63</v>
      </c>
      <c r="L1508" t="s">
        <v>64</v>
      </c>
      <c r="M1508" t="s">
        <v>47</v>
      </c>
      <c r="N1508" t="s">
        <v>36</v>
      </c>
      <c r="O1508">
        <v>60</v>
      </c>
      <c r="P1508">
        <v>60</v>
      </c>
      <c r="Q1508">
        <v>75.7</v>
      </c>
      <c r="R1508">
        <v>1500</v>
      </c>
      <c r="S1508">
        <v>1500</v>
      </c>
      <c r="T1508">
        <v>0</v>
      </c>
      <c r="U1508">
        <v>0</v>
      </c>
      <c r="V1508">
        <v>1</v>
      </c>
      <c r="W1508">
        <v>0</v>
      </c>
      <c r="X1508">
        <v>0.85</v>
      </c>
    </row>
    <row r="1509" spans="1:24" x14ac:dyDescent="0.3">
      <c r="A1509" t="s">
        <v>2218</v>
      </c>
      <c r="B1509" s="1">
        <v>45875</v>
      </c>
      <c r="C1509" t="s">
        <v>110</v>
      </c>
      <c r="D1509" t="s">
        <v>57</v>
      </c>
      <c r="E1509" t="s">
        <v>27</v>
      </c>
      <c r="F1509" t="s">
        <v>58</v>
      </c>
      <c r="G1509" t="s">
        <v>59</v>
      </c>
      <c r="H1509" t="s">
        <v>296</v>
      </c>
      <c r="I1509" t="s">
        <v>1704</v>
      </c>
      <c r="J1509" t="s">
        <v>62</v>
      </c>
      <c r="K1509" t="s">
        <v>63</v>
      </c>
      <c r="L1509" t="s">
        <v>34</v>
      </c>
      <c r="M1509" t="s">
        <v>94</v>
      </c>
      <c r="N1509" t="s">
        <v>36</v>
      </c>
      <c r="O1509">
        <v>75</v>
      </c>
      <c r="P1509">
        <v>75</v>
      </c>
      <c r="Q1509">
        <v>85.2</v>
      </c>
      <c r="R1509">
        <v>1900</v>
      </c>
      <c r="S1509">
        <v>1900</v>
      </c>
      <c r="T1509">
        <v>0</v>
      </c>
      <c r="U1509">
        <v>0</v>
      </c>
      <c r="V1509">
        <v>1</v>
      </c>
      <c r="W1509">
        <v>0</v>
      </c>
      <c r="X1509">
        <v>0.85</v>
      </c>
    </row>
    <row r="1510" spans="1:24" x14ac:dyDescent="0.3">
      <c r="A1510" t="s">
        <v>2219</v>
      </c>
      <c r="B1510" s="1">
        <v>45953</v>
      </c>
      <c r="C1510" t="s">
        <v>97</v>
      </c>
      <c r="D1510" t="s">
        <v>50</v>
      </c>
      <c r="E1510" t="s">
        <v>83</v>
      </c>
      <c r="F1510" t="s">
        <v>58</v>
      </c>
      <c r="G1510" t="s">
        <v>59</v>
      </c>
      <c r="H1510" t="s">
        <v>296</v>
      </c>
      <c r="I1510" t="s">
        <v>730</v>
      </c>
      <c r="J1510" t="s">
        <v>62</v>
      </c>
      <c r="K1510" t="s">
        <v>33</v>
      </c>
      <c r="L1510" t="s">
        <v>64</v>
      </c>
      <c r="M1510" t="s">
        <v>65</v>
      </c>
      <c r="N1510" t="s">
        <v>36</v>
      </c>
      <c r="O1510">
        <v>45</v>
      </c>
      <c r="P1510">
        <v>45</v>
      </c>
      <c r="Q1510">
        <v>52.7</v>
      </c>
      <c r="R1510">
        <v>1100</v>
      </c>
      <c r="S1510">
        <v>1100</v>
      </c>
      <c r="T1510">
        <v>0</v>
      </c>
      <c r="U1510">
        <v>0</v>
      </c>
      <c r="V1510">
        <v>1</v>
      </c>
      <c r="W1510">
        <v>0</v>
      </c>
      <c r="X1510">
        <v>0.85</v>
      </c>
    </row>
    <row r="1511" spans="1:24" x14ac:dyDescent="0.3">
      <c r="A1511" t="s">
        <v>2220</v>
      </c>
      <c r="B1511" s="1">
        <v>45856</v>
      </c>
      <c r="C1511" t="s">
        <v>101</v>
      </c>
      <c r="D1511" t="s">
        <v>82</v>
      </c>
      <c r="E1511" t="s">
        <v>40</v>
      </c>
      <c r="F1511" t="s">
        <v>58</v>
      </c>
      <c r="G1511" t="s">
        <v>59</v>
      </c>
      <c r="H1511" t="s">
        <v>73</v>
      </c>
      <c r="I1511" t="s">
        <v>890</v>
      </c>
      <c r="J1511" t="s">
        <v>62</v>
      </c>
      <c r="K1511" t="s">
        <v>104</v>
      </c>
      <c r="L1511" t="s">
        <v>34</v>
      </c>
      <c r="M1511" t="s">
        <v>65</v>
      </c>
      <c r="N1511" t="s">
        <v>36</v>
      </c>
      <c r="O1511">
        <v>90</v>
      </c>
      <c r="P1511">
        <v>90</v>
      </c>
      <c r="Q1511">
        <v>113.5</v>
      </c>
      <c r="R1511">
        <v>2250</v>
      </c>
      <c r="S1511">
        <v>2250</v>
      </c>
      <c r="T1511">
        <v>0</v>
      </c>
      <c r="U1511">
        <v>0</v>
      </c>
      <c r="V1511">
        <v>1</v>
      </c>
      <c r="W1511">
        <v>0</v>
      </c>
      <c r="X1511">
        <v>0.85</v>
      </c>
    </row>
    <row r="1512" spans="1:24" x14ac:dyDescent="0.3">
      <c r="A1512" t="s">
        <v>2221</v>
      </c>
      <c r="B1512" s="1">
        <v>45699</v>
      </c>
      <c r="C1512" t="s">
        <v>76</v>
      </c>
      <c r="D1512" t="s">
        <v>26</v>
      </c>
      <c r="E1512" t="s">
        <v>27</v>
      </c>
      <c r="F1512" t="s">
        <v>41</v>
      </c>
      <c r="G1512" t="s">
        <v>42</v>
      </c>
      <c r="H1512" t="s">
        <v>111</v>
      </c>
      <c r="I1512" t="s">
        <v>1043</v>
      </c>
      <c r="J1512" t="s">
        <v>53</v>
      </c>
      <c r="K1512" t="s">
        <v>104</v>
      </c>
      <c r="L1512" t="s">
        <v>34</v>
      </c>
      <c r="M1512" t="s">
        <v>94</v>
      </c>
      <c r="N1512" t="s">
        <v>36</v>
      </c>
      <c r="O1512">
        <v>60</v>
      </c>
      <c r="P1512">
        <v>60</v>
      </c>
      <c r="Q1512">
        <v>79.400000000000006</v>
      </c>
      <c r="R1512">
        <v>1600</v>
      </c>
      <c r="S1512">
        <v>1600</v>
      </c>
      <c r="T1512">
        <v>0</v>
      </c>
      <c r="U1512">
        <v>0</v>
      </c>
      <c r="V1512">
        <v>1</v>
      </c>
      <c r="W1512">
        <v>0</v>
      </c>
      <c r="X1512">
        <v>0.85</v>
      </c>
    </row>
    <row r="1513" spans="1:24" x14ac:dyDescent="0.3">
      <c r="A1513" t="s">
        <v>2222</v>
      </c>
      <c r="B1513" s="1">
        <v>45769</v>
      </c>
      <c r="C1513" t="s">
        <v>92</v>
      </c>
      <c r="D1513" t="s">
        <v>26</v>
      </c>
      <c r="E1513" t="s">
        <v>83</v>
      </c>
      <c r="F1513" t="s">
        <v>41</v>
      </c>
      <c r="G1513" t="s">
        <v>42</v>
      </c>
      <c r="H1513" t="s">
        <v>125</v>
      </c>
      <c r="I1513" t="s">
        <v>616</v>
      </c>
      <c r="J1513" t="s">
        <v>53</v>
      </c>
      <c r="K1513" t="s">
        <v>104</v>
      </c>
      <c r="L1513" t="s">
        <v>54</v>
      </c>
      <c r="M1513" t="s">
        <v>65</v>
      </c>
      <c r="N1513" t="s">
        <v>95</v>
      </c>
      <c r="O1513">
        <v>60</v>
      </c>
      <c r="P1513">
        <v>0</v>
      </c>
      <c r="Q1513">
        <v>74.099999999999994</v>
      </c>
      <c r="R1513">
        <v>1400</v>
      </c>
      <c r="S1513">
        <v>0</v>
      </c>
      <c r="T1513">
        <v>1400</v>
      </c>
      <c r="U1513">
        <v>1</v>
      </c>
      <c r="V1513">
        <v>0</v>
      </c>
      <c r="W1513">
        <v>0</v>
      </c>
      <c r="X1513">
        <v>0.85</v>
      </c>
    </row>
    <row r="1514" spans="1:24" x14ac:dyDescent="0.3">
      <c r="A1514" t="s">
        <v>2223</v>
      </c>
      <c r="B1514" s="1">
        <v>45685</v>
      </c>
      <c r="C1514" t="s">
        <v>130</v>
      </c>
      <c r="D1514" t="s">
        <v>26</v>
      </c>
      <c r="E1514" t="s">
        <v>68</v>
      </c>
      <c r="F1514" t="s">
        <v>58</v>
      </c>
      <c r="G1514" t="s">
        <v>59</v>
      </c>
      <c r="H1514" t="s">
        <v>60</v>
      </c>
      <c r="I1514" t="s">
        <v>1849</v>
      </c>
      <c r="J1514" t="s">
        <v>62</v>
      </c>
      <c r="K1514" t="s">
        <v>63</v>
      </c>
      <c r="L1514" t="s">
        <v>34</v>
      </c>
      <c r="M1514" t="s">
        <v>94</v>
      </c>
      <c r="N1514" t="s">
        <v>95</v>
      </c>
      <c r="O1514">
        <v>60</v>
      </c>
      <c r="P1514">
        <v>0</v>
      </c>
      <c r="Q1514">
        <v>67.5</v>
      </c>
      <c r="R1514">
        <v>1500</v>
      </c>
      <c r="S1514">
        <v>0</v>
      </c>
      <c r="T1514">
        <v>1500</v>
      </c>
      <c r="U1514">
        <v>1</v>
      </c>
      <c r="V1514">
        <v>0</v>
      </c>
      <c r="W1514">
        <v>0</v>
      </c>
      <c r="X1514">
        <v>0.85</v>
      </c>
    </row>
    <row r="1515" spans="1:24" x14ac:dyDescent="0.3">
      <c r="A1515" t="s">
        <v>2224</v>
      </c>
      <c r="B1515" s="1">
        <v>45715</v>
      </c>
      <c r="C1515" t="s">
        <v>76</v>
      </c>
      <c r="D1515" t="s">
        <v>50</v>
      </c>
      <c r="E1515" t="s">
        <v>40</v>
      </c>
      <c r="F1515" t="s">
        <v>58</v>
      </c>
      <c r="G1515" t="s">
        <v>59</v>
      </c>
      <c r="H1515" t="s">
        <v>296</v>
      </c>
      <c r="I1515" t="s">
        <v>2225</v>
      </c>
      <c r="J1515" t="s">
        <v>62</v>
      </c>
      <c r="K1515" t="s">
        <v>70</v>
      </c>
      <c r="L1515" t="s">
        <v>54</v>
      </c>
      <c r="M1515" t="s">
        <v>35</v>
      </c>
      <c r="N1515" t="s">
        <v>36</v>
      </c>
      <c r="O1515">
        <v>60</v>
      </c>
      <c r="P1515">
        <v>60</v>
      </c>
      <c r="Q1515">
        <v>67.3</v>
      </c>
      <c r="R1515">
        <v>1300</v>
      </c>
      <c r="S1515">
        <v>1300</v>
      </c>
      <c r="T1515">
        <v>0</v>
      </c>
      <c r="U1515">
        <v>0</v>
      </c>
      <c r="V1515">
        <v>1</v>
      </c>
      <c r="W1515">
        <v>0</v>
      </c>
      <c r="X1515">
        <v>0.85</v>
      </c>
    </row>
    <row r="1516" spans="1:24" x14ac:dyDescent="0.3">
      <c r="A1516" t="s">
        <v>2226</v>
      </c>
      <c r="B1516" s="1">
        <v>45999</v>
      </c>
      <c r="C1516" t="s">
        <v>25</v>
      </c>
      <c r="D1516" t="s">
        <v>39</v>
      </c>
      <c r="E1516" t="s">
        <v>27</v>
      </c>
      <c r="F1516" t="s">
        <v>41</v>
      </c>
      <c r="G1516" t="s">
        <v>42</v>
      </c>
      <c r="H1516" t="s">
        <v>125</v>
      </c>
      <c r="I1516" t="s">
        <v>941</v>
      </c>
      <c r="J1516" t="s">
        <v>53</v>
      </c>
      <c r="K1516" t="s">
        <v>33</v>
      </c>
      <c r="L1516" t="s">
        <v>64</v>
      </c>
      <c r="M1516" t="s">
        <v>47</v>
      </c>
      <c r="N1516" t="s">
        <v>95</v>
      </c>
      <c r="O1516">
        <v>60</v>
      </c>
      <c r="P1516">
        <v>0</v>
      </c>
      <c r="Q1516">
        <v>70.3</v>
      </c>
      <c r="R1516">
        <v>1600</v>
      </c>
      <c r="S1516">
        <v>0</v>
      </c>
      <c r="T1516">
        <v>1600</v>
      </c>
      <c r="U1516">
        <v>1</v>
      </c>
      <c r="V1516">
        <v>0</v>
      </c>
      <c r="W1516">
        <v>0</v>
      </c>
      <c r="X1516">
        <v>0.85</v>
      </c>
    </row>
    <row r="1517" spans="1:24" x14ac:dyDescent="0.3">
      <c r="A1517" t="s">
        <v>2227</v>
      </c>
      <c r="B1517" s="1">
        <v>45754</v>
      </c>
      <c r="C1517" t="s">
        <v>92</v>
      </c>
      <c r="D1517" t="s">
        <v>39</v>
      </c>
      <c r="E1517" t="s">
        <v>27</v>
      </c>
      <c r="F1517" t="s">
        <v>28</v>
      </c>
      <c r="G1517" t="s">
        <v>29</v>
      </c>
      <c r="H1517" t="s">
        <v>30</v>
      </c>
      <c r="I1517" t="s">
        <v>370</v>
      </c>
      <c r="J1517" t="s">
        <v>62</v>
      </c>
      <c r="K1517" t="s">
        <v>33</v>
      </c>
      <c r="L1517" t="s">
        <v>34</v>
      </c>
      <c r="M1517" t="s">
        <v>94</v>
      </c>
      <c r="N1517" t="s">
        <v>36</v>
      </c>
      <c r="O1517">
        <v>30</v>
      </c>
      <c r="P1517">
        <v>30</v>
      </c>
      <c r="Q1517">
        <v>39.700000000000003</v>
      </c>
      <c r="R1517">
        <v>600</v>
      </c>
      <c r="S1517">
        <v>600</v>
      </c>
      <c r="T1517">
        <v>0</v>
      </c>
      <c r="U1517">
        <v>0</v>
      </c>
      <c r="V1517">
        <v>1</v>
      </c>
      <c r="W1517">
        <v>0</v>
      </c>
      <c r="X1517">
        <v>0.85</v>
      </c>
    </row>
    <row r="1518" spans="1:24" x14ac:dyDescent="0.3">
      <c r="A1518" t="s">
        <v>2228</v>
      </c>
      <c r="B1518" s="1">
        <v>45907</v>
      </c>
      <c r="C1518" t="s">
        <v>49</v>
      </c>
      <c r="D1518" t="s">
        <v>287</v>
      </c>
      <c r="E1518" t="s">
        <v>68</v>
      </c>
      <c r="F1518" t="s">
        <v>58</v>
      </c>
      <c r="G1518" t="s">
        <v>59</v>
      </c>
      <c r="H1518" t="s">
        <v>151</v>
      </c>
      <c r="I1518" t="s">
        <v>267</v>
      </c>
      <c r="J1518" t="s">
        <v>62</v>
      </c>
      <c r="K1518" t="s">
        <v>85</v>
      </c>
      <c r="L1518" t="s">
        <v>54</v>
      </c>
      <c r="M1518" t="s">
        <v>35</v>
      </c>
      <c r="N1518" t="s">
        <v>36</v>
      </c>
      <c r="O1518">
        <v>75</v>
      </c>
      <c r="P1518">
        <v>75</v>
      </c>
      <c r="Q1518">
        <v>83.7</v>
      </c>
      <c r="R1518">
        <v>1600</v>
      </c>
      <c r="S1518">
        <v>1600</v>
      </c>
      <c r="T1518">
        <v>0</v>
      </c>
      <c r="U1518">
        <v>0</v>
      </c>
      <c r="V1518">
        <v>1</v>
      </c>
      <c r="W1518">
        <v>0</v>
      </c>
      <c r="X1518">
        <v>0.85</v>
      </c>
    </row>
    <row r="1519" spans="1:24" x14ac:dyDescent="0.3">
      <c r="A1519" t="s">
        <v>2229</v>
      </c>
      <c r="B1519" s="1">
        <v>45930</v>
      </c>
      <c r="C1519" t="s">
        <v>49</v>
      </c>
      <c r="D1519" t="s">
        <v>26</v>
      </c>
      <c r="E1519" t="s">
        <v>68</v>
      </c>
      <c r="F1519" t="s">
        <v>58</v>
      </c>
      <c r="G1519" t="s">
        <v>59</v>
      </c>
      <c r="H1519" t="s">
        <v>296</v>
      </c>
      <c r="I1519" t="s">
        <v>2230</v>
      </c>
      <c r="J1519" t="s">
        <v>53</v>
      </c>
      <c r="K1519" t="s">
        <v>33</v>
      </c>
      <c r="L1519" t="s">
        <v>64</v>
      </c>
      <c r="M1519" t="s">
        <v>35</v>
      </c>
      <c r="N1519" t="s">
        <v>36</v>
      </c>
      <c r="O1519">
        <v>45</v>
      </c>
      <c r="P1519">
        <v>45</v>
      </c>
      <c r="Q1519">
        <v>58.1</v>
      </c>
      <c r="R1519">
        <v>1350</v>
      </c>
      <c r="S1519">
        <v>1350</v>
      </c>
      <c r="T1519">
        <v>0</v>
      </c>
      <c r="U1519">
        <v>0</v>
      </c>
      <c r="V1519">
        <v>1</v>
      </c>
      <c r="W1519">
        <v>0</v>
      </c>
      <c r="X1519">
        <v>0.85</v>
      </c>
    </row>
    <row r="1520" spans="1:24" x14ac:dyDescent="0.3">
      <c r="A1520" t="s">
        <v>2231</v>
      </c>
      <c r="B1520" s="1">
        <v>45770</v>
      </c>
      <c r="C1520" t="s">
        <v>92</v>
      </c>
      <c r="D1520" t="s">
        <v>57</v>
      </c>
      <c r="E1520" t="s">
        <v>40</v>
      </c>
      <c r="F1520" t="s">
        <v>58</v>
      </c>
      <c r="G1520" t="s">
        <v>59</v>
      </c>
      <c r="H1520" t="s">
        <v>60</v>
      </c>
      <c r="I1520" t="s">
        <v>1229</v>
      </c>
      <c r="J1520" t="s">
        <v>62</v>
      </c>
      <c r="K1520" t="s">
        <v>46</v>
      </c>
      <c r="L1520" t="s">
        <v>34</v>
      </c>
      <c r="M1520" t="s">
        <v>94</v>
      </c>
      <c r="N1520" t="s">
        <v>36</v>
      </c>
      <c r="O1520">
        <v>30</v>
      </c>
      <c r="P1520">
        <v>30</v>
      </c>
      <c r="Q1520">
        <v>34.799999999999997</v>
      </c>
      <c r="R1520">
        <v>750</v>
      </c>
      <c r="S1520">
        <v>750</v>
      </c>
      <c r="T1520">
        <v>0</v>
      </c>
      <c r="U1520">
        <v>0</v>
      </c>
      <c r="V1520">
        <v>1</v>
      </c>
      <c r="W1520">
        <v>0</v>
      </c>
      <c r="X1520">
        <v>0.85</v>
      </c>
    </row>
    <row r="1521" spans="1:24" x14ac:dyDescent="0.3">
      <c r="A1521" t="s">
        <v>2232</v>
      </c>
      <c r="B1521" s="1">
        <v>45852</v>
      </c>
      <c r="C1521" t="s">
        <v>101</v>
      </c>
      <c r="D1521" t="s">
        <v>39</v>
      </c>
      <c r="E1521" t="s">
        <v>83</v>
      </c>
      <c r="F1521" t="s">
        <v>41</v>
      </c>
      <c r="G1521" t="s">
        <v>42</v>
      </c>
      <c r="H1521" t="s">
        <v>43</v>
      </c>
      <c r="I1521" t="s">
        <v>503</v>
      </c>
      <c r="J1521" t="s">
        <v>62</v>
      </c>
      <c r="K1521" t="s">
        <v>70</v>
      </c>
      <c r="L1521" t="s">
        <v>54</v>
      </c>
      <c r="M1521" t="s">
        <v>47</v>
      </c>
      <c r="N1521" t="s">
        <v>95</v>
      </c>
      <c r="O1521">
        <v>60</v>
      </c>
      <c r="P1521">
        <v>0</v>
      </c>
      <c r="Q1521">
        <v>69</v>
      </c>
      <c r="R1521">
        <v>1150</v>
      </c>
      <c r="S1521">
        <v>0</v>
      </c>
      <c r="T1521">
        <v>1150</v>
      </c>
      <c r="U1521">
        <v>1</v>
      </c>
      <c r="V1521">
        <v>0</v>
      </c>
      <c r="W1521">
        <v>0</v>
      </c>
      <c r="X1521">
        <v>0.85</v>
      </c>
    </row>
    <row r="1522" spans="1:24" x14ac:dyDescent="0.3">
      <c r="A1522" t="s">
        <v>2233</v>
      </c>
      <c r="B1522" s="1">
        <v>45934</v>
      </c>
      <c r="C1522" t="s">
        <v>97</v>
      </c>
      <c r="D1522" t="s">
        <v>88</v>
      </c>
      <c r="E1522" t="s">
        <v>68</v>
      </c>
      <c r="F1522" t="s">
        <v>58</v>
      </c>
      <c r="G1522" t="s">
        <v>59</v>
      </c>
      <c r="H1522" t="s">
        <v>117</v>
      </c>
      <c r="I1522" t="s">
        <v>1147</v>
      </c>
      <c r="J1522" t="s">
        <v>53</v>
      </c>
      <c r="K1522" t="s">
        <v>63</v>
      </c>
      <c r="L1522" t="s">
        <v>78</v>
      </c>
      <c r="M1522" t="s">
        <v>71</v>
      </c>
      <c r="N1522" t="s">
        <v>36</v>
      </c>
      <c r="O1522">
        <v>60</v>
      </c>
      <c r="P1522">
        <v>60</v>
      </c>
      <c r="Q1522">
        <v>69.900000000000006</v>
      </c>
      <c r="R1522">
        <v>1650</v>
      </c>
      <c r="S1522">
        <v>1650</v>
      </c>
      <c r="T1522">
        <v>0</v>
      </c>
      <c r="U1522">
        <v>0</v>
      </c>
      <c r="V1522">
        <v>1</v>
      </c>
      <c r="W1522">
        <v>0</v>
      </c>
      <c r="X1522">
        <v>0.85</v>
      </c>
    </row>
    <row r="1523" spans="1:24" x14ac:dyDescent="0.3">
      <c r="A1523" t="s">
        <v>2234</v>
      </c>
      <c r="B1523" s="1">
        <v>45804</v>
      </c>
      <c r="C1523" t="s">
        <v>128</v>
      </c>
      <c r="D1523" t="s">
        <v>26</v>
      </c>
      <c r="E1523" t="s">
        <v>40</v>
      </c>
      <c r="F1523" t="s">
        <v>58</v>
      </c>
      <c r="G1523" t="s">
        <v>59</v>
      </c>
      <c r="H1523" t="s">
        <v>73</v>
      </c>
      <c r="I1523" t="s">
        <v>739</v>
      </c>
      <c r="J1523" t="s">
        <v>45</v>
      </c>
      <c r="K1523" t="s">
        <v>46</v>
      </c>
      <c r="L1523" t="s">
        <v>64</v>
      </c>
      <c r="M1523" t="s">
        <v>35</v>
      </c>
      <c r="N1523" t="s">
        <v>113</v>
      </c>
      <c r="O1523">
        <v>45</v>
      </c>
      <c r="P1523">
        <v>0</v>
      </c>
      <c r="Q1523">
        <v>53.4</v>
      </c>
      <c r="R1523">
        <v>1300</v>
      </c>
      <c r="S1523">
        <v>0</v>
      </c>
      <c r="T1523">
        <v>1300</v>
      </c>
      <c r="U1523">
        <v>0</v>
      </c>
      <c r="V1523">
        <v>0</v>
      </c>
      <c r="W1523">
        <v>1</v>
      </c>
      <c r="X1523">
        <v>0.85</v>
      </c>
    </row>
    <row r="1524" spans="1:24" x14ac:dyDescent="0.3">
      <c r="A1524" t="s">
        <v>2235</v>
      </c>
      <c r="B1524" s="1">
        <v>45777</v>
      </c>
      <c r="C1524" t="s">
        <v>92</v>
      </c>
      <c r="D1524" t="s">
        <v>57</v>
      </c>
      <c r="E1524" t="s">
        <v>27</v>
      </c>
      <c r="F1524" t="s">
        <v>58</v>
      </c>
      <c r="G1524" t="s">
        <v>59</v>
      </c>
      <c r="H1524" t="s">
        <v>151</v>
      </c>
      <c r="I1524" t="s">
        <v>1990</v>
      </c>
      <c r="J1524" t="s">
        <v>99</v>
      </c>
      <c r="K1524" t="s">
        <v>104</v>
      </c>
      <c r="L1524" t="s">
        <v>78</v>
      </c>
      <c r="M1524" t="s">
        <v>65</v>
      </c>
      <c r="N1524" t="s">
        <v>36</v>
      </c>
      <c r="O1524">
        <v>45</v>
      </c>
      <c r="P1524">
        <v>45</v>
      </c>
      <c r="Q1524">
        <v>57.4</v>
      </c>
      <c r="R1524">
        <v>1050</v>
      </c>
      <c r="S1524">
        <v>1050</v>
      </c>
      <c r="T1524">
        <v>0</v>
      </c>
      <c r="U1524">
        <v>0</v>
      </c>
      <c r="V1524">
        <v>1</v>
      </c>
      <c r="W1524">
        <v>0</v>
      </c>
      <c r="X1524">
        <v>0.85</v>
      </c>
    </row>
    <row r="1525" spans="1:24" x14ac:dyDescent="0.3">
      <c r="A1525" t="s">
        <v>2236</v>
      </c>
      <c r="B1525" s="1">
        <v>45706</v>
      </c>
      <c r="C1525" t="s">
        <v>76</v>
      </c>
      <c r="D1525" t="s">
        <v>26</v>
      </c>
      <c r="E1525" t="s">
        <v>27</v>
      </c>
      <c r="F1525" t="s">
        <v>41</v>
      </c>
      <c r="G1525" t="s">
        <v>42</v>
      </c>
      <c r="H1525" t="s">
        <v>125</v>
      </c>
      <c r="I1525" t="s">
        <v>2237</v>
      </c>
      <c r="J1525" t="s">
        <v>53</v>
      </c>
      <c r="K1525" t="s">
        <v>104</v>
      </c>
      <c r="L1525" t="s">
        <v>34</v>
      </c>
      <c r="M1525" t="s">
        <v>86</v>
      </c>
      <c r="N1525" t="s">
        <v>36</v>
      </c>
      <c r="O1525">
        <v>90</v>
      </c>
      <c r="P1525">
        <v>90</v>
      </c>
      <c r="Q1525">
        <v>116.9</v>
      </c>
      <c r="R1525">
        <v>2450</v>
      </c>
      <c r="S1525">
        <v>2450</v>
      </c>
      <c r="T1525">
        <v>0</v>
      </c>
      <c r="U1525">
        <v>0</v>
      </c>
      <c r="V1525">
        <v>1</v>
      </c>
      <c r="W1525">
        <v>0</v>
      </c>
      <c r="X1525">
        <v>0.85</v>
      </c>
    </row>
    <row r="1526" spans="1:24" x14ac:dyDescent="0.3">
      <c r="A1526" t="s">
        <v>2238</v>
      </c>
      <c r="B1526" s="1">
        <v>45996</v>
      </c>
      <c r="C1526" t="s">
        <v>25</v>
      </c>
      <c r="D1526" t="s">
        <v>82</v>
      </c>
      <c r="E1526" t="s">
        <v>68</v>
      </c>
      <c r="F1526" t="s">
        <v>58</v>
      </c>
      <c r="G1526" t="s">
        <v>59</v>
      </c>
      <c r="H1526" t="s">
        <v>73</v>
      </c>
      <c r="I1526" t="s">
        <v>314</v>
      </c>
      <c r="J1526" t="s">
        <v>45</v>
      </c>
      <c r="K1526" t="s">
        <v>33</v>
      </c>
      <c r="L1526" t="s">
        <v>64</v>
      </c>
      <c r="M1526" t="s">
        <v>47</v>
      </c>
      <c r="N1526" t="s">
        <v>36</v>
      </c>
      <c r="O1526">
        <v>45</v>
      </c>
      <c r="P1526">
        <v>45</v>
      </c>
      <c r="Q1526">
        <v>59.5</v>
      </c>
      <c r="R1526">
        <v>1300</v>
      </c>
      <c r="S1526">
        <v>1300</v>
      </c>
      <c r="T1526">
        <v>0</v>
      </c>
      <c r="U1526">
        <v>0</v>
      </c>
      <c r="V1526">
        <v>1</v>
      </c>
      <c r="W1526">
        <v>0</v>
      </c>
      <c r="X1526">
        <v>0.85</v>
      </c>
    </row>
    <row r="1527" spans="1:24" x14ac:dyDescent="0.3">
      <c r="A1527" t="s">
        <v>2239</v>
      </c>
      <c r="B1527" s="1">
        <v>46017</v>
      </c>
      <c r="C1527" t="s">
        <v>25</v>
      </c>
      <c r="D1527" t="s">
        <v>82</v>
      </c>
      <c r="E1527" t="s">
        <v>40</v>
      </c>
      <c r="F1527" t="s">
        <v>41</v>
      </c>
      <c r="G1527" t="s">
        <v>42</v>
      </c>
      <c r="H1527" t="s">
        <v>89</v>
      </c>
      <c r="I1527" t="s">
        <v>890</v>
      </c>
      <c r="J1527" t="s">
        <v>45</v>
      </c>
      <c r="K1527" t="s">
        <v>104</v>
      </c>
      <c r="L1527" t="s">
        <v>54</v>
      </c>
      <c r="M1527" t="s">
        <v>35</v>
      </c>
      <c r="N1527" t="s">
        <v>36</v>
      </c>
      <c r="O1527">
        <v>45</v>
      </c>
      <c r="P1527">
        <v>45</v>
      </c>
      <c r="Q1527">
        <v>51.4</v>
      </c>
      <c r="R1527">
        <v>1000</v>
      </c>
      <c r="S1527">
        <v>1000</v>
      </c>
      <c r="T1527">
        <v>0</v>
      </c>
      <c r="U1527">
        <v>0</v>
      </c>
      <c r="V1527">
        <v>1</v>
      </c>
      <c r="W1527">
        <v>0</v>
      </c>
      <c r="X1527">
        <v>0.85</v>
      </c>
    </row>
    <row r="1528" spans="1:24" x14ac:dyDescent="0.3">
      <c r="A1528" t="s">
        <v>2240</v>
      </c>
      <c r="B1528" s="1">
        <v>45843</v>
      </c>
      <c r="C1528" t="s">
        <v>101</v>
      </c>
      <c r="D1528" t="s">
        <v>88</v>
      </c>
      <c r="E1528" t="s">
        <v>27</v>
      </c>
      <c r="F1528" t="s">
        <v>28</v>
      </c>
      <c r="G1528" t="s">
        <v>29</v>
      </c>
      <c r="H1528" t="s">
        <v>210</v>
      </c>
      <c r="I1528" t="s">
        <v>1403</v>
      </c>
      <c r="J1528" t="s">
        <v>53</v>
      </c>
      <c r="K1528" t="s">
        <v>46</v>
      </c>
      <c r="L1528" t="s">
        <v>34</v>
      </c>
      <c r="M1528" t="s">
        <v>86</v>
      </c>
      <c r="N1528" t="s">
        <v>153</v>
      </c>
      <c r="O1528">
        <v>60</v>
      </c>
      <c r="P1528">
        <v>0</v>
      </c>
      <c r="Q1528">
        <v>78.099999999999994</v>
      </c>
      <c r="R1528">
        <v>1500</v>
      </c>
      <c r="S1528">
        <v>0</v>
      </c>
      <c r="T1528">
        <v>0</v>
      </c>
      <c r="U1528">
        <v>0</v>
      </c>
      <c r="V1528">
        <v>0</v>
      </c>
      <c r="W1528">
        <v>0</v>
      </c>
      <c r="X1528">
        <v>0.85</v>
      </c>
    </row>
    <row r="1529" spans="1:24" x14ac:dyDescent="0.3">
      <c r="A1529" t="s">
        <v>2241</v>
      </c>
      <c r="B1529" s="1">
        <v>45692</v>
      </c>
      <c r="C1529" t="s">
        <v>76</v>
      </c>
      <c r="D1529" t="s">
        <v>26</v>
      </c>
      <c r="E1529" t="s">
        <v>68</v>
      </c>
      <c r="F1529" t="s">
        <v>28</v>
      </c>
      <c r="G1529" t="s">
        <v>29</v>
      </c>
      <c r="H1529" t="s">
        <v>210</v>
      </c>
      <c r="I1529" t="s">
        <v>925</v>
      </c>
      <c r="J1529" t="s">
        <v>53</v>
      </c>
      <c r="K1529" t="s">
        <v>63</v>
      </c>
      <c r="L1529" t="s">
        <v>78</v>
      </c>
      <c r="M1529" t="s">
        <v>47</v>
      </c>
      <c r="N1529" t="s">
        <v>36</v>
      </c>
      <c r="O1529">
        <v>60</v>
      </c>
      <c r="P1529">
        <v>60</v>
      </c>
      <c r="Q1529">
        <v>70</v>
      </c>
      <c r="R1529">
        <v>1400</v>
      </c>
      <c r="S1529">
        <v>1400</v>
      </c>
      <c r="T1529">
        <v>0</v>
      </c>
      <c r="U1529">
        <v>0</v>
      </c>
      <c r="V1529">
        <v>1</v>
      </c>
      <c r="W1529">
        <v>0</v>
      </c>
      <c r="X1529">
        <v>0.85</v>
      </c>
    </row>
    <row r="1530" spans="1:24" x14ac:dyDescent="0.3">
      <c r="A1530" t="s">
        <v>2242</v>
      </c>
      <c r="B1530" s="1">
        <v>45712</v>
      </c>
      <c r="C1530" t="s">
        <v>76</v>
      </c>
      <c r="D1530" t="s">
        <v>39</v>
      </c>
      <c r="E1530" t="s">
        <v>27</v>
      </c>
      <c r="F1530" t="s">
        <v>28</v>
      </c>
      <c r="G1530" t="s">
        <v>29</v>
      </c>
      <c r="H1530" t="s">
        <v>120</v>
      </c>
      <c r="I1530" t="s">
        <v>1159</v>
      </c>
      <c r="J1530" t="s">
        <v>62</v>
      </c>
      <c r="K1530" t="s">
        <v>85</v>
      </c>
      <c r="L1530" t="s">
        <v>64</v>
      </c>
      <c r="M1530" t="s">
        <v>35</v>
      </c>
      <c r="N1530" t="s">
        <v>153</v>
      </c>
      <c r="O1530">
        <v>60</v>
      </c>
      <c r="P1530">
        <v>0</v>
      </c>
      <c r="Q1530">
        <v>73.099999999999994</v>
      </c>
      <c r="R1530">
        <v>1250</v>
      </c>
      <c r="S1530">
        <v>0</v>
      </c>
      <c r="T1530">
        <v>0</v>
      </c>
      <c r="U1530">
        <v>0</v>
      </c>
      <c r="V1530">
        <v>0</v>
      </c>
      <c r="W1530">
        <v>0</v>
      </c>
      <c r="X1530">
        <v>0.85</v>
      </c>
    </row>
    <row r="1531" spans="1:24" x14ac:dyDescent="0.3">
      <c r="A1531" t="s">
        <v>2243</v>
      </c>
      <c r="B1531" s="1">
        <v>45906</v>
      </c>
      <c r="C1531" t="s">
        <v>49</v>
      </c>
      <c r="D1531" t="s">
        <v>88</v>
      </c>
      <c r="E1531" t="s">
        <v>68</v>
      </c>
      <c r="F1531" t="s">
        <v>41</v>
      </c>
      <c r="G1531" t="s">
        <v>42</v>
      </c>
      <c r="H1531" t="s">
        <v>125</v>
      </c>
      <c r="I1531" t="s">
        <v>233</v>
      </c>
      <c r="J1531" t="s">
        <v>62</v>
      </c>
      <c r="K1531" t="s">
        <v>63</v>
      </c>
      <c r="L1531" t="s">
        <v>34</v>
      </c>
      <c r="M1531" t="s">
        <v>94</v>
      </c>
      <c r="N1531" t="s">
        <v>36</v>
      </c>
      <c r="O1531">
        <v>60</v>
      </c>
      <c r="P1531">
        <v>60</v>
      </c>
      <c r="Q1531">
        <v>76.099999999999994</v>
      </c>
      <c r="R1531">
        <v>1350</v>
      </c>
      <c r="S1531">
        <v>1350</v>
      </c>
      <c r="T1531">
        <v>0</v>
      </c>
      <c r="U1531">
        <v>0</v>
      </c>
      <c r="V1531">
        <v>1</v>
      </c>
      <c r="W1531">
        <v>0</v>
      </c>
      <c r="X1531">
        <v>0.85</v>
      </c>
    </row>
    <row r="1532" spans="1:24" x14ac:dyDescent="0.3">
      <c r="A1532" t="s">
        <v>2244</v>
      </c>
      <c r="B1532" s="1">
        <v>45736</v>
      </c>
      <c r="C1532" t="s">
        <v>56</v>
      </c>
      <c r="D1532" t="s">
        <v>50</v>
      </c>
      <c r="E1532" t="s">
        <v>68</v>
      </c>
      <c r="F1532" t="s">
        <v>58</v>
      </c>
      <c r="G1532" t="s">
        <v>59</v>
      </c>
      <c r="H1532" t="s">
        <v>296</v>
      </c>
      <c r="I1532" t="s">
        <v>136</v>
      </c>
      <c r="J1532" t="s">
        <v>53</v>
      </c>
      <c r="K1532" t="s">
        <v>104</v>
      </c>
      <c r="L1532" t="s">
        <v>64</v>
      </c>
      <c r="M1532" t="s">
        <v>71</v>
      </c>
      <c r="N1532" t="s">
        <v>36</v>
      </c>
      <c r="O1532">
        <v>60</v>
      </c>
      <c r="P1532">
        <v>60</v>
      </c>
      <c r="Q1532">
        <v>74.7</v>
      </c>
      <c r="R1532">
        <v>1800</v>
      </c>
      <c r="S1532">
        <v>1800</v>
      </c>
      <c r="T1532">
        <v>0</v>
      </c>
      <c r="U1532">
        <v>0</v>
      </c>
      <c r="V1532">
        <v>1</v>
      </c>
      <c r="W1532">
        <v>0</v>
      </c>
      <c r="X1532">
        <v>0.85</v>
      </c>
    </row>
    <row r="1533" spans="1:24" x14ac:dyDescent="0.3">
      <c r="A1533" t="s">
        <v>2245</v>
      </c>
      <c r="B1533" s="1">
        <v>46017</v>
      </c>
      <c r="C1533" t="s">
        <v>25</v>
      </c>
      <c r="D1533" t="s">
        <v>82</v>
      </c>
      <c r="E1533" t="s">
        <v>27</v>
      </c>
      <c r="F1533" t="s">
        <v>28</v>
      </c>
      <c r="G1533" t="s">
        <v>29</v>
      </c>
      <c r="H1533" t="s">
        <v>135</v>
      </c>
      <c r="I1533" t="s">
        <v>1572</v>
      </c>
      <c r="J1533" t="s">
        <v>62</v>
      </c>
      <c r="K1533" t="s">
        <v>33</v>
      </c>
      <c r="L1533" t="s">
        <v>78</v>
      </c>
      <c r="M1533" t="s">
        <v>47</v>
      </c>
      <c r="N1533" t="s">
        <v>95</v>
      </c>
      <c r="O1533">
        <v>45</v>
      </c>
      <c r="P1533">
        <v>0</v>
      </c>
      <c r="Q1533">
        <v>60.4</v>
      </c>
      <c r="R1533">
        <v>850</v>
      </c>
      <c r="S1533">
        <v>0</v>
      </c>
      <c r="T1533">
        <v>850</v>
      </c>
      <c r="U1533">
        <v>1</v>
      </c>
      <c r="V1533">
        <v>0</v>
      </c>
      <c r="W1533">
        <v>0</v>
      </c>
      <c r="X1533">
        <v>0.85</v>
      </c>
    </row>
    <row r="1534" spans="1:24" x14ac:dyDescent="0.3">
      <c r="A1534" t="s">
        <v>2246</v>
      </c>
      <c r="B1534" s="1">
        <v>45988</v>
      </c>
      <c r="C1534" t="s">
        <v>38</v>
      </c>
      <c r="D1534" t="s">
        <v>50</v>
      </c>
      <c r="E1534" t="s">
        <v>27</v>
      </c>
      <c r="F1534" t="s">
        <v>28</v>
      </c>
      <c r="G1534" t="s">
        <v>29</v>
      </c>
      <c r="H1534" t="s">
        <v>120</v>
      </c>
      <c r="I1534" t="s">
        <v>1752</v>
      </c>
      <c r="J1534" t="s">
        <v>32</v>
      </c>
      <c r="K1534" t="s">
        <v>63</v>
      </c>
      <c r="L1534" t="s">
        <v>34</v>
      </c>
      <c r="M1534" t="s">
        <v>71</v>
      </c>
      <c r="N1534" t="s">
        <v>113</v>
      </c>
      <c r="O1534">
        <v>45</v>
      </c>
      <c r="P1534">
        <v>0</v>
      </c>
      <c r="Q1534">
        <v>50.1</v>
      </c>
      <c r="R1534">
        <v>950</v>
      </c>
      <c r="S1534">
        <v>0</v>
      </c>
      <c r="T1534">
        <v>950</v>
      </c>
      <c r="U1534">
        <v>0</v>
      </c>
      <c r="V1534">
        <v>0</v>
      </c>
      <c r="W1534">
        <v>1</v>
      </c>
      <c r="X1534">
        <v>0.85</v>
      </c>
    </row>
    <row r="1535" spans="1:24" x14ac:dyDescent="0.3">
      <c r="A1535" t="s">
        <v>2247</v>
      </c>
      <c r="B1535" s="1">
        <v>45992</v>
      </c>
      <c r="C1535" t="s">
        <v>25</v>
      </c>
      <c r="D1535" t="s">
        <v>39</v>
      </c>
      <c r="E1535" t="s">
        <v>27</v>
      </c>
      <c r="F1535" t="s">
        <v>28</v>
      </c>
      <c r="G1535" t="s">
        <v>29</v>
      </c>
      <c r="H1535" t="s">
        <v>120</v>
      </c>
      <c r="I1535" t="s">
        <v>460</v>
      </c>
      <c r="J1535" t="s">
        <v>99</v>
      </c>
      <c r="K1535" t="s">
        <v>33</v>
      </c>
      <c r="L1535" t="s">
        <v>64</v>
      </c>
      <c r="M1535" t="s">
        <v>47</v>
      </c>
      <c r="N1535" t="s">
        <v>36</v>
      </c>
      <c r="O1535">
        <v>60</v>
      </c>
      <c r="P1535">
        <v>60</v>
      </c>
      <c r="Q1535">
        <v>68</v>
      </c>
      <c r="R1535">
        <v>1250</v>
      </c>
      <c r="S1535">
        <v>1250</v>
      </c>
      <c r="T1535">
        <v>0</v>
      </c>
      <c r="U1535">
        <v>0</v>
      </c>
      <c r="V1535">
        <v>1</v>
      </c>
      <c r="W1535">
        <v>0</v>
      </c>
      <c r="X1535">
        <v>0.85</v>
      </c>
    </row>
    <row r="1536" spans="1:24" x14ac:dyDescent="0.3">
      <c r="A1536" t="s">
        <v>2248</v>
      </c>
      <c r="B1536" s="1">
        <v>45927</v>
      </c>
      <c r="C1536" t="s">
        <v>49</v>
      </c>
      <c r="D1536" t="s">
        <v>88</v>
      </c>
      <c r="E1536" t="s">
        <v>27</v>
      </c>
      <c r="F1536" t="s">
        <v>58</v>
      </c>
      <c r="G1536" t="s">
        <v>59</v>
      </c>
      <c r="H1536" t="s">
        <v>73</v>
      </c>
      <c r="I1536" t="s">
        <v>2249</v>
      </c>
      <c r="J1536" t="s">
        <v>32</v>
      </c>
      <c r="K1536" t="s">
        <v>63</v>
      </c>
      <c r="L1536" t="s">
        <v>54</v>
      </c>
      <c r="M1536" t="s">
        <v>86</v>
      </c>
      <c r="N1536" t="s">
        <v>36</v>
      </c>
      <c r="O1536">
        <v>45</v>
      </c>
      <c r="P1536">
        <v>45</v>
      </c>
      <c r="Q1536">
        <v>50.7</v>
      </c>
      <c r="R1536">
        <v>950</v>
      </c>
      <c r="S1536">
        <v>950</v>
      </c>
      <c r="T1536">
        <v>0</v>
      </c>
      <c r="U1536">
        <v>0</v>
      </c>
      <c r="V1536">
        <v>1</v>
      </c>
      <c r="W1536">
        <v>0</v>
      </c>
      <c r="X1536">
        <v>0.85</v>
      </c>
    </row>
    <row r="1537" spans="1:24" x14ac:dyDescent="0.3">
      <c r="A1537" t="s">
        <v>2250</v>
      </c>
      <c r="B1537" s="1">
        <v>45748</v>
      </c>
      <c r="C1537" t="s">
        <v>92</v>
      </c>
      <c r="D1537" t="s">
        <v>26</v>
      </c>
      <c r="E1537" t="s">
        <v>68</v>
      </c>
      <c r="F1537" t="s">
        <v>28</v>
      </c>
      <c r="G1537" t="s">
        <v>29</v>
      </c>
      <c r="H1537" t="s">
        <v>102</v>
      </c>
      <c r="I1537" t="s">
        <v>1899</v>
      </c>
      <c r="J1537" t="s">
        <v>62</v>
      </c>
      <c r="K1537" t="s">
        <v>33</v>
      </c>
      <c r="L1537" t="s">
        <v>64</v>
      </c>
      <c r="M1537" t="s">
        <v>65</v>
      </c>
      <c r="N1537" t="s">
        <v>36</v>
      </c>
      <c r="O1537">
        <v>45</v>
      </c>
      <c r="P1537">
        <v>45</v>
      </c>
      <c r="Q1537">
        <v>57.1</v>
      </c>
      <c r="R1537">
        <v>950</v>
      </c>
      <c r="S1537">
        <v>950</v>
      </c>
      <c r="T1537">
        <v>0</v>
      </c>
      <c r="U1537">
        <v>0</v>
      </c>
      <c r="V1537">
        <v>1</v>
      </c>
      <c r="W1537">
        <v>0</v>
      </c>
      <c r="X1537">
        <v>0.85</v>
      </c>
    </row>
    <row r="1538" spans="1:24" x14ac:dyDescent="0.3">
      <c r="A1538" t="s">
        <v>2251</v>
      </c>
      <c r="B1538" s="1">
        <v>45721</v>
      </c>
      <c r="C1538" t="s">
        <v>56</v>
      </c>
      <c r="D1538" t="s">
        <v>57</v>
      </c>
      <c r="E1538" t="s">
        <v>27</v>
      </c>
      <c r="F1538" t="s">
        <v>28</v>
      </c>
      <c r="G1538" t="s">
        <v>29</v>
      </c>
      <c r="H1538" t="s">
        <v>102</v>
      </c>
      <c r="I1538" t="s">
        <v>793</v>
      </c>
      <c r="J1538" t="s">
        <v>32</v>
      </c>
      <c r="K1538" t="s">
        <v>33</v>
      </c>
      <c r="L1538" t="s">
        <v>64</v>
      </c>
      <c r="M1538" t="s">
        <v>94</v>
      </c>
      <c r="N1538" t="s">
        <v>36</v>
      </c>
      <c r="O1538">
        <v>60</v>
      </c>
      <c r="P1538">
        <v>60</v>
      </c>
      <c r="Q1538">
        <v>69.8</v>
      </c>
      <c r="R1538">
        <v>1250</v>
      </c>
      <c r="S1538">
        <v>1250</v>
      </c>
      <c r="T1538">
        <v>0</v>
      </c>
      <c r="U1538">
        <v>0</v>
      </c>
      <c r="V1538">
        <v>1</v>
      </c>
      <c r="W1538">
        <v>0</v>
      </c>
      <c r="X1538">
        <v>0.85</v>
      </c>
    </row>
    <row r="1539" spans="1:24" x14ac:dyDescent="0.3">
      <c r="A1539" t="s">
        <v>2252</v>
      </c>
      <c r="B1539" s="1">
        <v>45666</v>
      </c>
      <c r="C1539" t="s">
        <v>130</v>
      </c>
      <c r="D1539" t="s">
        <v>50</v>
      </c>
      <c r="E1539" t="s">
        <v>83</v>
      </c>
      <c r="F1539" t="s">
        <v>41</v>
      </c>
      <c r="G1539" t="s">
        <v>42</v>
      </c>
      <c r="H1539" t="s">
        <v>89</v>
      </c>
      <c r="I1539" t="s">
        <v>2253</v>
      </c>
      <c r="J1539" t="s">
        <v>53</v>
      </c>
      <c r="K1539" t="s">
        <v>33</v>
      </c>
      <c r="L1539" t="s">
        <v>34</v>
      </c>
      <c r="M1539" t="s">
        <v>94</v>
      </c>
      <c r="N1539" t="s">
        <v>36</v>
      </c>
      <c r="O1539">
        <v>45</v>
      </c>
      <c r="P1539">
        <v>45</v>
      </c>
      <c r="Q1539">
        <v>52.1</v>
      </c>
      <c r="R1539">
        <v>1200</v>
      </c>
      <c r="S1539">
        <v>1200</v>
      </c>
      <c r="T1539">
        <v>0</v>
      </c>
      <c r="U1539">
        <v>0</v>
      </c>
      <c r="V1539">
        <v>1</v>
      </c>
      <c r="W1539">
        <v>0</v>
      </c>
      <c r="X1539">
        <v>0.85</v>
      </c>
    </row>
    <row r="1540" spans="1:24" x14ac:dyDescent="0.3">
      <c r="A1540" t="s">
        <v>2254</v>
      </c>
      <c r="B1540" s="1">
        <v>45838</v>
      </c>
      <c r="C1540" t="s">
        <v>67</v>
      </c>
      <c r="D1540" t="s">
        <v>39</v>
      </c>
      <c r="E1540" t="s">
        <v>40</v>
      </c>
      <c r="F1540" t="s">
        <v>58</v>
      </c>
      <c r="G1540" t="s">
        <v>59</v>
      </c>
      <c r="H1540" t="s">
        <v>73</v>
      </c>
      <c r="I1540" t="s">
        <v>131</v>
      </c>
      <c r="J1540" t="s">
        <v>32</v>
      </c>
      <c r="K1540" t="s">
        <v>70</v>
      </c>
      <c r="L1540" t="s">
        <v>64</v>
      </c>
      <c r="M1540" t="s">
        <v>35</v>
      </c>
      <c r="N1540" t="s">
        <v>36</v>
      </c>
      <c r="O1540">
        <v>30</v>
      </c>
      <c r="P1540">
        <v>30</v>
      </c>
      <c r="Q1540">
        <v>35.1</v>
      </c>
      <c r="R1540">
        <v>750</v>
      </c>
      <c r="S1540">
        <v>750</v>
      </c>
      <c r="T1540">
        <v>0</v>
      </c>
      <c r="U1540">
        <v>0</v>
      </c>
      <c r="V1540">
        <v>1</v>
      </c>
      <c r="W1540">
        <v>0</v>
      </c>
      <c r="X1540">
        <v>0.85</v>
      </c>
    </row>
    <row r="1541" spans="1:24" x14ac:dyDescent="0.3">
      <c r="A1541" t="s">
        <v>2255</v>
      </c>
      <c r="B1541" s="1">
        <v>46020</v>
      </c>
      <c r="C1541" t="s">
        <v>25</v>
      </c>
      <c r="D1541" t="s">
        <v>39</v>
      </c>
      <c r="E1541" t="s">
        <v>27</v>
      </c>
      <c r="F1541" t="s">
        <v>58</v>
      </c>
      <c r="G1541" t="s">
        <v>59</v>
      </c>
      <c r="H1541" t="s">
        <v>151</v>
      </c>
      <c r="I1541" t="s">
        <v>2256</v>
      </c>
      <c r="J1541" t="s">
        <v>62</v>
      </c>
      <c r="K1541" t="s">
        <v>63</v>
      </c>
      <c r="L1541" t="s">
        <v>34</v>
      </c>
      <c r="M1541" t="s">
        <v>47</v>
      </c>
      <c r="N1541" t="s">
        <v>113</v>
      </c>
      <c r="O1541">
        <v>60</v>
      </c>
      <c r="P1541">
        <v>0</v>
      </c>
      <c r="Q1541">
        <v>72</v>
      </c>
      <c r="R1541">
        <v>1500</v>
      </c>
      <c r="S1541">
        <v>0</v>
      </c>
      <c r="T1541">
        <v>1500</v>
      </c>
      <c r="U1541">
        <v>0</v>
      </c>
      <c r="V1541">
        <v>0</v>
      </c>
      <c r="W1541">
        <v>1</v>
      </c>
      <c r="X1541">
        <v>0.85</v>
      </c>
    </row>
    <row r="1542" spans="1:24" x14ac:dyDescent="0.3">
      <c r="A1542" t="s">
        <v>2257</v>
      </c>
      <c r="B1542" s="1">
        <v>45776</v>
      </c>
      <c r="C1542" t="s">
        <v>92</v>
      </c>
      <c r="D1542" t="s">
        <v>26</v>
      </c>
      <c r="E1542" t="s">
        <v>83</v>
      </c>
      <c r="F1542" t="s">
        <v>41</v>
      </c>
      <c r="G1542" t="s">
        <v>42</v>
      </c>
      <c r="H1542" t="s">
        <v>89</v>
      </c>
      <c r="I1542" t="s">
        <v>1080</v>
      </c>
      <c r="J1542" t="s">
        <v>99</v>
      </c>
      <c r="K1542" t="s">
        <v>70</v>
      </c>
      <c r="L1542" t="s">
        <v>78</v>
      </c>
      <c r="M1542" t="s">
        <v>94</v>
      </c>
      <c r="N1542" t="s">
        <v>36</v>
      </c>
      <c r="O1542">
        <v>60</v>
      </c>
      <c r="P1542">
        <v>60</v>
      </c>
      <c r="Q1542">
        <v>79.3</v>
      </c>
      <c r="R1542">
        <v>1250</v>
      </c>
      <c r="S1542">
        <v>1250</v>
      </c>
      <c r="T1542">
        <v>0</v>
      </c>
      <c r="U1542">
        <v>0</v>
      </c>
      <c r="V1542">
        <v>1</v>
      </c>
      <c r="W1542">
        <v>0</v>
      </c>
      <c r="X1542">
        <v>0.85</v>
      </c>
    </row>
    <row r="1543" spans="1:24" x14ac:dyDescent="0.3">
      <c r="A1543" t="s">
        <v>2258</v>
      </c>
      <c r="B1543" s="1">
        <v>45771</v>
      </c>
      <c r="C1543" t="s">
        <v>92</v>
      </c>
      <c r="D1543" t="s">
        <v>50</v>
      </c>
      <c r="E1543" t="s">
        <v>27</v>
      </c>
      <c r="F1543" t="s">
        <v>41</v>
      </c>
      <c r="G1543" t="s">
        <v>42</v>
      </c>
      <c r="H1543" t="s">
        <v>51</v>
      </c>
      <c r="I1543" t="s">
        <v>458</v>
      </c>
      <c r="J1543" t="s">
        <v>32</v>
      </c>
      <c r="K1543" t="s">
        <v>63</v>
      </c>
      <c r="L1543" t="s">
        <v>78</v>
      </c>
      <c r="M1543" t="s">
        <v>47</v>
      </c>
      <c r="N1543" t="s">
        <v>36</v>
      </c>
      <c r="O1543">
        <v>45</v>
      </c>
      <c r="P1543">
        <v>45</v>
      </c>
      <c r="Q1543">
        <v>54.1</v>
      </c>
      <c r="R1543">
        <v>950</v>
      </c>
      <c r="S1543">
        <v>950</v>
      </c>
      <c r="T1543">
        <v>0</v>
      </c>
      <c r="U1543">
        <v>0</v>
      </c>
      <c r="V1543">
        <v>1</v>
      </c>
      <c r="W1543">
        <v>0</v>
      </c>
      <c r="X1543">
        <v>0.85</v>
      </c>
    </row>
    <row r="1544" spans="1:24" x14ac:dyDescent="0.3">
      <c r="A1544" t="s">
        <v>2259</v>
      </c>
      <c r="B1544" s="1">
        <v>45824</v>
      </c>
      <c r="C1544" t="s">
        <v>67</v>
      </c>
      <c r="D1544" t="s">
        <v>39</v>
      </c>
      <c r="E1544" t="s">
        <v>40</v>
      </c>
      <c r="F1544" t="s">
        <v>28</v>
      </c>
      <c r="G1544" t="s">
        <v>29</v>
      </c>
      <c r="H1544" t="s">
        <v>102</v>
      </c>
      <c r="I1544" t="s">
        <v>1538</v>
      </c>
      <c r="J1544" t="s">
        <v>62</v>
      </c>
      <c r="K1544" t="s">
        <v>85</v>
      </c>
      <c r="L1544" t="s">
        <v>34</v>
      </c>
      <c r="M1544" t="s">
        <v>94</v>
      </c>
      <c r="N1544" t="s">
        <v>36</v>
      </c>
      <c r="O1544">
        <v>60</v>
      </c>
      <c r="P1544">
        <v>60</v>
      </c>
      <c r="Q1544">
        <v>70.599999999999994</v>
      </c>
      <c r="R1544">
        <v>1250</v>
      </c>
      <c r="S1544">
        <v>1250</v>
      </c>
      <c r="T1544">
        <v>0</v>
      </c>
      <c r="U1544">
        <v>0</v>
      </c>
      <c r="V1544">
        <v>1</v>
      </c>
      <c r="W1544">
        <v>0</v>
      </c>
      <c r="X1544">
        <v>0.85</v>
      </c>
    </row>
    <row r="1545" spans="1:24" x14ac:dyDescent="0.3">
      <c r="A1545" t="s">
        <v>2260</v>
      </c>
      <c r="B1545" s="1">
        <v>45887</v>
      </c>
      <c r="C1545" t="s">
        <v>110</v>
      </c>
      <c r="D1545" t="s">
        <v>39</v>
      </c>
      <c r="E1545" t="s">
        <v>83</v>
      </c>
      <c r="F1545" t="s">
        <v>41</v>
      </c>
      <c r="G1545" t="s">
        <v>42</v>
      </c>
      <c r="H1545" t="s">
        <v>125</v>
      </c>
      <c r="I1545" t="s">
        <v>1299</v>
      </c>
      <c r="J1545" t="s">
        <v>62</v>
      </c>
      <c r="K1545" t="s">
        <v>33</v>
      </c>
      <c r="L1545" t="s">
        <v>78</v>
      </c>
      <c r="M1545" t="s">
        <v>65</v>
      </c>
      <c r="N1545" t="s">
        <v>36</v>
      </c>
      <c r="O1545">
        <v>60</v>
      </c>
      <c r="P1545">
        <v>60</v>
      </c>
      <c r="Q1545">
        <v>70.599999999999994</v>
      </c>
      <c r="R1545">
        <v>1250</v>
      </c>
      <c r="S1545">
        <v>1250</v>
      </c>
      <c r="T1545">
        <v>0</v>
      </c>
      <c r="U1545">
        <v>0</v>
      </c>
      <c r="V1545">
        <v>1</v>
      </c>
      <c r="W1545">
        <v>0</v>
      </c>
      <c r="X1545">
        <v>0.85</v>
      </c>
    </row>
    <row r="1546" spans="1:24" x14ac:dyDescent="0.3">
      <c r="A1546" t="s">
        <v>2261</v>
      </c>
      <c r="B1546" s="1">
        <v>45688</v>
      </c>
      <c r="C1546" t="s">
        <v>130</v>
      </c>
      <c r="D1546" t="s">
        <v>82</v>
      </c>
      <c r="E1546" t="s">
        <v>40</v>
      </c>
      <c r="F1546" t="s">
        <v>58</v>
      </c>
      <c r="G1546" t="s">
        <v>59</v>
      </c>
      <c r="H1546" t="s">
        <v>73</v>
      </c>
      <c r="I1546" t="s">
        <v>1359</v>
      </c>
      <c r="J1546" t="s">
        <v>62</v>
      </c>
      <c r="K1546" t="s">
        <v>33</v>
      </c>
      <c r="L1546" t="s">
        <v>34</v>
      </c>
      <c r="M1546" t="s">
        <v>94</v>
      </c>
      <c r="N1546" t="s">
        <v>36</v>
      </c>
      <c r="O1546">
        <v>45</v>
      </c>
      <c r="P1546">
        <v>45</v>
      </c>
      <c r="Q1546">
        <v>57.5</v>
      </c>
      <c r="R1546">
        <v>1100</v>
      </c>
      <c r="S1546">
        <v>1100</v>
      </c>
      <c r="T1546">
        <v>0</v>
      </c>
      <c r="U1546">
        <v>0</v>
      </c>
      <c r="V1546">
        <v>1</v>
      </c>
      <c r="W1546">
        <v>0</v>
      </c>
      <c r="X1546">
        <v>0.85</v>
      </c>
    </row>
    <row r="1547" spans="1:24" x14ac:dyDescent="0.3">
      <c r="A1547" t="s">
        <v>2262</v>
      </c>
      <c r="B1547" s="1">
        <v>45901</v>
      </c>
      <c r="C1547" t="s">
        <v>49</v>
      </c>
      <c r="D1547" t="s">
        <v>39</v>
      </c>
      <c r="E1547" t="s">
        <v>40</v>
      </c>
      <c r="F1547" t="s">
        <v>58</v>
      </c>
      <c r="G1547" t="s">
        <v>59</v>
      </c>
      <c r="H1547" t="s">
        <v>60</v>
      </c>
      <c r="I1547" t="s">
        <v>2214</v>
      </c>
      <c r="J1547" t="s">
        <v>53</v>
      </c>
      <c r="K1547" t="s">
        <v>63</v>
      </c>
      <c r="L1547" t="s">
        <v>64</v>
      </c>
      <c r="M1547" t="s">
        <v>35</v>
      </c>
      <c r="N1547" t="s">
        <v>36</v>
      </c>
      <c r="O1547">
        <v>30</v>
      </c>
      <c r="P1547">
        <v>30</v>
      </c>
      <c r="Q1547">
        <v>35.299999999999997</v>
      </c>
      <c r="R1547">
        <v>900</v>
      </c>
      <c r="S1547">
        <v>900</v>
      </c>
      <c r="T1547">
        <v>0</v>
      </c>
      <c r="U1547">
        <v>0</v>
      </c>
      <c r="V1547">
        <v>1</v>
      </c>
      <c r="W1547">
        <v>0</v>
      </c>
      <c r="X1547">
        <v>0.85</v>
      </c>
    </row>
    <row r="1548" spans="1:24" x14ac:dyDescent="0.3">
      <c r="A1548" t="s">
        <v>2263</v>
      </c>
      <c r="B1548" s="1">
        <v>45966</v>
      </c>
      <c r="C1548" t="s">
        <v>38</v>
      </c>
      <c r="D1548" t="s">
        <v>57</v>
      </c>
      <c r="E1548" t="s">
        <v>27</v>
      </c>
      <c r="F1548" t="s">
        <v>41</v>
      </c>
      <c r="G1548" t="s">
        <v>42</v>
      </c>
      <c r="H1548" t="s">
        <v>43</v>
      </c>
      <c r="I1548" t="s">
        <v>456</v>
      </c>
      <c r="J1548" t="s">
        <v>62</v>
      </c>
      <c r="K1548" t="s">
        <v>70</v>
      </c>
      <c r="L1548" t="s">
        <v>34</v>
      </c>
      <c r="M1548" t="s">
        <v>71</v>
      </c>
      <c r="N1548" t="s">
        <v>36</v>
      </c>
      <c r="O1548">
        <v>30</v>
      </c>
      <c r="P1548">
        <v>30</v>
      </c>
      <c r="Q1548">
        <v>38.9</v>
      </c>
      <c r="R1548">
        <v>700</v>
      </c>
      <c r="S1548">
        <v>700</v>
      </c>
      <c r="T1548">
        <v>0</v>
      </c>
      <c r="U1548">
        <v>0</v>
      </c>
      <c r="V1548">
        <v>1</v>
      </c>
      <c r="W1548">
        <v>0</v>
      </c>
      <c r="X1548">
        <v>0.85</v>
      </c>
    </row>
    <row r="1549" spans="1:24" x14ac:dyDescent="0.3">
      <c r="A1549" t="s">
        <v>2264</v>
      </c>
      <c r="B1549" s="1">
        <v>45731</v>
      </c>
      <c r="C1549" t="s">
        <v>56</v>
      </c>
      <c r="D1549" t="s">
        <v>88</v>
      </c>
      <c r="E1549" t="s">
        <v>27</v>
      </c>
      <c r="F1549" t="s">
        <v>28</v>
      </c>
      <c r="G1549" t="s">
        <v>29</v>
      </c>
      <c r="H1549" t="s">
        <v>135</v>
      </c>
      <c r="I1549" t="s">
        <v>399</v>
      </c>
      <c r="J1549" t="s">
        <v>53</v>
      </c>
      <c r="K1549" t="s">
        <v>70</v>
      </c>
      <c r="L1549" t="s">
        <v>78</v>
      </c>
      <c r="M1549" t="s">
        <v>65</v>
      </c>
      <c r="N1549" t="s">
        <v>36</v>
      </c>
      <c r="O1549">
        <v>45</v>
      </c>
      <c r="P1549">
        <v>45</v>
      </c>
      <c r="Q1549">
        <v>57.2</v>
      </c>
      <c r="R1549">
        <v>1050</v>
      </c>
      <c r="S1549">
        <v>1050</v>
      </c>
      <c r="T1549">
        <v>0</v>
      </c>
      <c r="U1549">
        <v>0</v>
      </c>
      <c r="V1549">
        <v>1</v>
      </c>
      <c r="W1549">
        <v>0</v>
      </c>
      <c r="X1549">
        <v>0.85</v>
      </c>
    </row>
    <row r="1550" spans="1:24" x14ac:dyDescent="0.3">
      <c r="A1550" t="s">
        <v>2265</v>
      </c>
      <c r="B1550" s="1">
        <v>45667</v>
      </c>
      <c r="C1550" t="s">
        <v>130</v>
      </c>
      <c r="D1550" t="s">
        <v>82</v>
      </c>
      <c r="E1550" t="s">
        <v>27</v>
      </c>
      <c r="F1550" t="s">
        <v>58</v>
      </c>
      <c r="G1550" t="s">
        <v>59</v>
      </c>
      <c r="H1550" t="s">
        <v>151</v>
      </c>
      <c r="I1550" t="s">
        <v>960</v>
      </c>
      <c r="J1550" t="s">
        <v>62</v>
      </c>
      <c r="K1550" t="s">
        <v>33</v>
      </c>
      <c r="L1550" t="s">
        <v>54</v>
      </c>
      <c r="M1550" t="s">
        <v>65</v>
      </c>
      <c r="N1550" t="s">
        <v>36</v>
      </c>
      <c r="O1550">
        <v>60</v>
      </c>
      <c r="P1550">
        <v>60</v>
      </c>
      <c r="Q1550">
        <v>75.7</v>
      </c>
      <c r="R1550">
        <v>1300</v>
      </c>
      <c r="S1550">
        <v>1300</v>
      </c>
      <c r="T1550">
        <v>0</v>
      </c>
      <c r="U1550">
        <v>0</v>
      </c>
      <c r="V1550">
        <v>1</v>
      </c>
      <c r="W1550">
        <v>0</v>
      </c>
      <c r="X1550">
        <v>0.85</v>
      </c>
    </row>
    <row r="1551" spans="1:24" x14ac:dyDescent="0.3">
      <c r="A1551" t="s">
        <v>2266</v>
      </c>
      <c r="B1551" s="1">
        <v>46007</v>
      </c>
      <c r="C1551" t="s">
        <v>25</v>
      </c>
      <c r="D1551" t="s">
        <v>26</v>
      </c>
      <c r="E1551" t="s">
        <v>68</v>
      </c>
      <c r="F1551" t="s">
        <v>28</v>
      </c>
      <c r="G1551" t="s">
        <v>29</v>
      </c>
      <c r="H1551" t="s">
        <v>135</v>
      </c>
      <c r="I1551" t="s">
        <v>807</v>
      </c>
      <c r="J1551" t="s">
        <v>62</v>
      </c>
      <c r="K1551" t="s">
        <v>63</v>
      </c>
      <c r="L1551" t="s">
        <v>64</v>
      </c>
      <c r="M1551" t="s">
        <v>86</v>
      </c>
      <c r="N1551" t="s">
        <v>36</v>
      </c>
      <c r="O1551">
        <v>30</v>
      </c>
      <c r="P1551">
        <v>30</v>
      </c>
      <c r="Q1551">
        <v>32.799999999999997</v>
      </c>
      <c r="R1551">
        <v>600</v>
      </c>
      <c r="S1551">
        <v>600</v>
      </c>
      <c r="T1551">
        <v>0</v>
      </c>
      <c r="U1551">
        <v>0</v>
      </c>
      <c r="V1551">
        <v>1</v>
      </c>
      <c r="W1551">
        <v>0</v>
      </c>
      <c r="X1551">
        <v>0.85</v>
      </c>
    </row>
    <row r="1552" spans="1:24" x14ac:dyDescent="0.3">
      <c r="A1552" t="s">
        <v>2267</v>
      </c>
      <c r="B1552" s="1">
        <v>45675</v>
      </c>
      <c r="C1552" t="s">
        <v>130</v>
      </c>
      <c r="D1552" t="s">
        <v>88</v>
      </c>
      <c r="E1552" t="s">
        <v>68</v>
      </c>
      <c r="F1552" t="s">
        <v>41</v>
      </c>
      <c r="G1552" t="s">
        <v>42</v>
      </c>
      <c r="H1552" t="s">
        <v>111</v>
      </c>
      <c r="I1552" t="s">
        <v>2138</v>
      </c>
      <c r="J1552" t="s">
        <v>137</v>
      </c>
      <c r="K1552" t="s">
        <v>33</v>
      </c>
      <c r="L1552" t="s">
        <v>78</v>
      </c>
      <c r="M1552" t="s">
        <v>94</v>
      </c>
      <c r="N1552" t="s">
        <v>95</v>
      </c>
      <c r="O1552">
        <v>60</v>
      </c>
      <c r="P1552">
        <v>0</v>
      </c>
      <c r="Q1552">
        <v>74.2</v>
      </c>
      <c r="R1552">
        <v>1250</v>
      </c>
      <c r="S1552">
        <v>0</v>
      </c>
      <c r="T1552">
        <v>1250</v>
      </c>
      <c r="U1552">
        <v>1</v>
      </c>
      <c r="V1552">
        <v>0</v>
      </c>
      <c r="W1552">
        <v>0</v>
      </c>
      <c r="X1552">
        <v>0.85</v>
      </c>
    </row>
    <row r="1553" spans="1:24" x14ac:dyDescent="0.3">
      <c r="A1553" t="s">
        <v>2268</v>
      </c>
      <c r="B1553" s="1">
        <v>45671</v>
      </c>
      <c r="C1553" t="s">
        <v>130</v>
      </c>
      <c r="D1553" t="s">
        <v>26</v>
      </c>
      <c r="E1553" t="s">
        <v>40</v>
      </c>
      <c r="F1553" t="s">
        <v>58</v>
      </c>
      <c r="G1553" t="s">
        <v>59</v>
      </c>
      <c r="H1553" t="s">
        <v>60</v>
      </c>
      <c r="I1553" t="s">
        <v>422</v>
      </c>
      <c r="J1553" t="s">
        <v>99</v>
      </c>
      <c r="K1553" t="s">
        <v>104</v>
      </c>
      <c r="L1553" t="s">
        <v>78</v>
      </c>
      <c r="M1553" t="s">
        <v>94</v>
      </c>
      <c r="N1553" t="s">
        <v>36</v>
      </c>
      <c r="O1553">
        <v>60</v>
      </c>
      <c r="P1553">
        <v>60</v>
      </c>
      <c r="Q1553">
        <v>75.8</v>
      </c>
      <c r="R1553">
        <v>1400</v>
      </c>
      <c r="S1553">
        <v>1400</v>
      </c>
      <c r="T1553">
        <v>0</v>
      </c>
      <c r="U1553">
        <v>0</v>
      </c>
      <c r="V1553">
        <v>1</v>
      </c>
      <c r="W1553">
        <v>0</v>
      </c>
      <c r="X1553">
        <v>0.85</v>
      </c>
    </row>
    <row r="1554" spans="1:24" x14ac:dyDescent="0.3">
      <c r="A1554" t="s">
        <v>2269</v>
      </c>
      <c r="B1554" s="1">
        <v>45949</v>
      </c>
      <c r="C1554" t="s">
        <v>97</v>
      </c>
      <c r="D1554" t="s">
        <v>287</v>
      </c>
      <c r="E1554" t="s">
        <v>40</v>
      </c>
      <c r="F1554" t="s">
        <v>41</v>
      </c>
      <c r="G1554" t="s">
        <v>42</v>
      </c>
      <c r="H1554" t="s">
        <v>51</v>
      </c>
      <c r="I1554" t="s">
        <v>715</v>
      </c>
      <c r="J1554" t="s">
        <v>32</v>
      </c>
      <c r="K1554" t="s">
        <v>85</v>
      </c>
      <c r="L1554" t="s">
        <v>34</v>
      </c>
      <c r="M1554" t="s">
        <v>35</v>
      </c>
      <c r="N1554" t="s">
        <v>113</v>
      </c>
      <c r="O1554">
        <v>75</v>
      </c>
      <c r="P1554">
        <v>0</v>
      </c>
      <c r="Q1554">
        <v>83.7</v>
      </c>
      <c r="R1554">
        <v>1700</v>
      </c>
      <c r="S1554">
        <v>0</v>
      </c>
      <c r="T1554">
        <v>1700</v>
      </c>
      <c r="U1554">
        <v>0</v>
      </c>
      <c r="V1554">
        <v>0</v>
      </c>
      <c r="W1554">
        <v>1</v>
      </c>
      <c r="X1554">
        <v>0.85</v>
      </c>
    </row>
    <row r="1555" spans="1:24" x14ac:dyDescent="0.3">
      <c r="A1555" t="s">
        <v>2270</v>
      </c>
      <c r="B1555" s="1">
        <v>45772</v>
      </c>
      <c r="C1555" t="s">
        <v>92</v>
      </c>
      <c r="D1555" t="s">
        <v>82</v>
      </c>
      <c r="E1555" t="s">
        <v>68</v>
      </c>
      <c r="F1555" t="s">
        <v>41</v>
      </c>
      <c r="G1555" t="s">
        <v>42</v>
      </c>
      <c r="H1555" t="s">
        <v>89</v>
      </c>
      <c r="I1555" t="s">
        <v>255</v>
      </c>
      <c r="J1555" t="s">
        <v>45</v>
      </c>
      <c r="K1555" t="s">
        <v>46</v>
      </c>
      <c r="L1555" t="s">
        <v>54</v>
      </c>
      <c r="M1555" t="s">
        <v>94</v>
      </c>
      <c r="N1555" t="s">
        <v>36</v>
      </c>
      <c r="O1555">
        <v>60</v>
      </c>
      <c r="P1555">
        <v>60</v>
      </c>
      <c r="Q1555">
        <v>72.7</v>
      </c>
      <c r="R1555">
        <v>1300</v>
      </c>
      <c r="S1555">
        <v>1300</v>
      </c>
      <c r="T1555">
        <v>0</v>
      </c>
      <c r="U1555">
        <v>0</v>
      </c>
      <c r="V1555">
        <v>1</v>
      </c>
      <c r="W1555">
        <v>0</v>
      </c>
      <c r="X1555">
        <v>0.85</v>
      </c>
    </row>
    <row r="1556" spans="1:24" x14ac:dyDescent="0.3">
      <c r="A1556" t="s">
        <v>2271</v>
      </c>
      <c r="B1556" s="1">
        <v>45930</v>
      </c>
      <c r="C1556" t="s">
        <v>49</v>
      </c>
      <c r="D1556" t="s">
        <v>26</v>
      </c>
      <c r="E1556" t="s">
        <v>68</v>
      </c>
      <c r="F1556" t="s">
        <v>58</v>
      </c>
      <c r="G1556" t="s">
        <v>59</v>
      </c>
      <c r="H1556" t="s">
        <v>117</v>
      </c>
      <c r="I1556" t="s">
        <v>2056</v>
      </c>
      <c r="J1556" t="s">
        <v>137</v>
      </c>
      <c r="K1556" t="s">
        <v>63</v>
      </c>
      <c r="L1556" t="s">
        <v>64</v>
      </c>
      <c r="M1556" t="s">
        <v>47</v>
      </c>
      <c r="N1556" t="s">
        <v>36</v>
      </c>
      <c r="O1556">
        <v>45</v>
      </c>
      <c r="P1556">
        <v>45</v>
      </c>
      <c r="Q1556">
        <v>50.7</v>
      </c>
      <c r="R1556">
        <v>1100</v>
      </c>
      <c r="S1556">
        <v>1100</v>
      </c>
      <c r="T1556">
        <v>0</v>
      </c>
      <c r="U1556">
        <v>0</v>
      </c>
      <c r="V1556">
        <v>1</v>
      </c>
      <c r="W1556">
        <v>0</v>
      </c>
      <c r="X1556">
        <v>0.85</v>
      </c>
    </row>
    <row r="1557" spans="1:24" x14ac:dyDescent="0.3">
      <c r="A1557" t="s">
        <v>2272</v>
      </c>
      <c r="B1557" s="1">
        <v>45916</v>
      </c>
      <c r="C1557" t="s">
        <v>49</v>
      </c>
      <c r="D1557" t="s">
        <v>26</v>
      </c>
      <c r="E1557" t="s">
        <v>83</v>
      </c>
      <c r="F1557" t="s">
        <v>28</v>
      </c>
      <c r="G1557" t="s">
        <v>29</v>
      </c>
      <c r="H1557" t="s">
        <v>30</v>
      </c>
      <c r="I1557" t="s">
        <v>157</v>
      </c>
      <c r="J1557" t="s">
        <v>62</v>
      </c>
      <c r="K1557" t="s">
        <v>33</v>
      </c>
      <c r="L1557" t="s">
        <v>34</v>
      </c>
      <c r="M1557" t="s">
        <v>47</v>
      </c>
      <c r="N1557" t="s">
        <v>36</v>
      </c>
      <c r="O1557">
        <v>45</v>
      </c>
      <c r="P1557">
        <v>45</v>
      </c>
      <c r="Q1557">
        <v>53</v>
      </c>
      <c r="R1557">
        <v>950</v>
      </c>
      <c r="S1557">
        <v>950</v>
      </c>
      <c r="T1557">
        <v>0</v>
      </c>
      <c r="U1557">
        <v>0</v>
      </c>
      <c r="V1557">
        <v>1</v>
      </c>
      <c r="W1557">
        <v>0</v>
      </c>
      <c r="X1557">
        <v>0.85</v>
      </c>
    </row>
    <row r="1558" spans="1:24" x14ac:dyDescent="0.3">
      <c r="A1558" t="s">
        <v>2273</v>
      </c>
      <c r="B1558" s="1">
        <v>45803</v>
      </c>
      <c r="C1558" t="s">
        <v>128</v>
      </c>
      <c r="D1558" t="s">
        <v>39</v>
      </c>
      <c r="E1558" t="s">
        <v>68</v>
      </c>
      <c r="F1558" t="s">
        <v>58</v>
      </c>
      <c r="G1558" t="s">
        <v>59</v>
      </c>
      <c r="H1558" t="s">
        <v>296</v>
      </c>
      <c r="I1558" t="s">
        <v>1622</v>
      </c>
      <c r="J1558" t="s">
        <v>62</v>
      </c>
      <c r="K1558" t="s">
        <v>63</v>
      </c>
      <c r="L1558" t="s">
        <v>34</v>
      </c>
      <c r="M1558" t="s">
        <v>94</v>
      </c>
      <c r="N1558" t="s">
        <v>36</v>
      </c>
      <c r="O1558">
        <v>30</v>
      </c>
      <c r="P1558">
        <v>30</v>
      </c>
      <c r="Q1558">
        <v>33.9</v>
      </c>
      <c r="R1558">
        <v>750</v>
      </c>
      <c r="S1558">
        <v>750</v>
      </c>
      <c r="T1558">
        <v>0</v>
      </c>
      <c r="U1558">
        <v>0</v>
      </c>
      <c r="V1558">
        <v>1</v>
      </c>
      <c r="W1558">
        <v>0</v>
      </c>
      <c r="X1558">
        <v>0.85</v>
      </c>
    </row>
    <row r="1559" spans="1:24" x14ac:dyDescent="0.3">
      <c r="A1559" t="s">
        <v>2274</v>
      </c>
      <c r="B1559" s="1">
        <v>45804</v>
      </c>
      <c r="C1559" t="s">
        <v>128</v>
      </c>
      <c r="D1559" t="s">
        <v>26</v>
      </c>
      <c r="E1559" t="s">
        <v>27</v>
      </c>
      <c r="F1559" t="s">
        <v>28</v>
      </c>
      <c r="G1559" t="s">
        <v>29</v>
      </c>
      <c r="H1559" t="s">
        <v>135</v>
      </c>
      <c r="I1559" t="s">
        <v>1048</v>
      </c>
      <c r="J1559" t="s">
        <v>32</v>
      </c>
      <c r="K1559" t="s">
        <v>85</v>
      </c>
      <c r="L1559" t="s">
        <v>64</v>
      </c>
      <c r="M1559" t="s">
        <v>65</v>
      </c>
      <c r="N1559" t="s">
        <v>36</v>
      </c>
      <c r="O1559">
        <v>60</v>
      </c>
      <c r="P1559">
        <v>60</v>
      </c>
      <c r="Q1559">
        <v>78.5</v>
      </c>
      <c r="R1559">
        <v>1250</v>
      </c>
      <c r="S1559">
        <v>1250</v>
      </c>
      <c r="T1559">
        <v>0</v>
      </c>
      <c r="U1559">
        <v>0</v>
      </c>
      <c r="V1559">
        <v>1</v>
      </c>
      <c r="W1559">
        <v>0</v>
      </c>
      <c r="X1559">
        <v>0.85</v>
      </c>
    </row>
    <row r="1560" spans="1:24" x14ac:dyDescent="0.3">
      <c r="A1560" t="s">
        <v>2275</v>
      </c>
      <c r="B1560" s="1">
        <v>45888</v>
      </c>
      <c r="C1560" t="s">
        <v>110</v>
      </c>
      <c r="D1560" t="s">
        <v>26</v>
      </c>
      <c r="E1560" t="s">
        <v>40</v>
      </c>
      <c r="F1560" t="s">
        <v>58</v>
      </c>
      <c r="G1560" t="s">
        <v>59</v>
      </c>
      <c r="H1560" t="s">
        <v>117</v>
      </c>
      <c r="I1560" t="s">
        <v>602</v>
      </c>
      <c r="J1560" t="s">
        <v>53</v>
      </c>
      <c r="K1560" t="s">
        <v>63</v>
      </c>
      <c r="L1560" t="s">
        <v>34</v>
      </c>
      <c r="M1560" t="s">
        <v>65</v>
      </c>
      <c r="N1560" t="s">
        <v>36</v>
      </c>
      <c r="O1560">
        <v>45</v>
      </c>
      <c r="P1560">
        <v>45</v>
      </c>
      <c r="Q1560">
        <v>58.3</v>
      </c>
      <c r="R1560">
        <v>1350</v>
      </c>
      <c r="S1560">
        <v>1350</v>
      </c>
      <c r="T1560">
        <v>0</v>
      </c>
      <c r="U1560">
        <v>0</v>
      </c>
      <c r="V1560">
        <v>1</v>
      </c>
      <c r="W1560">
        <v>0</v>
      </c>
      <c r="X1560">
        <v>0.85</v>
      </c>
    </row>
    <row r="1561" spans="1:24" x14ac:dyDescent="0.3">
      <c r="A1561" t="s">
        <v>2276</v>
      </c>
      <c r="B1561" s="1">
        <v>45951</v>
      </c>
      <c r="C1561" t="s">
        <v>97</v>
      </c>
      <c r="D1561" t="s">
        <v>26</v>
      </c>
      <c r="E1561" t="s">
        <v>40</v>
      </c>
      <c r="F1561" t="s">
        <v>28</v>
      </c>
      <c r="G1561" t="s">
        <v>29</v>
      </c>
      <c r="H1561" t="s">
        <v>30</v>
      </c>
      <c r="I1561" t="s">
        <v>566</v>
      </c>
      <c r="J1561" t="s">
        <v>32</v>
      </c>
      <c r="K1561" t="s">
        <v>70</v>
      </c>
      <c r="L1561" t="s">
        <v>64</v>
      </c>
      <c r="M1561" t="s">
        <v>47</v>
      </c>
      <c r="N1561" t="s">
        <v>36</v>
      </c>
      <c r="O1561">
        <v>30</v>
      </c>
      <c r="P1561">
        <v>30</v>
      </c>
      <c r="Q1561">
        <v>36.1</v>
      </c>
      <c r="R1561">
        <v>600</v>
      </c>
      <c r="S1561">
        <v>600</v>
      </c>
      <c r="T1561">
        <v>0</v>
      </c>
      <c r="U1561">
        <v>0</v>
      </c>
      <c r="V1561">
        <v>1</v>
      </c>
      <c r="W1561">
        <v>0</v>
      </c>
      <c r="X1561">
        <v>0.85</v>
      </c>
    </row>
    <row r="1562" spans="1:24" x14ac:dyDescent="0.3">
      <c r="A1562" t="s">
        <v>2277</v>
      </c>
      <c r="B1562" s="1">
        <v>45827</v>
      </c>
      <c r="C1562" t="s">
        <v>67</v>
      </c>
      <c r="D1562" t="s">
        <v>50</v>
      </c>
      <c r="E1562" t="s">
        <v>27</v>
      </c>
      <c r="F1562" t="s">
        <v>58</v>
      </c>
      <c r="G1562" t="s">
        <v>59</v>
      </c>
      <c r="H1562" t="s">
        <v>60</v>
      </c>
      <c r="I1562" t="s">
        <v>2278</v>
      </c>
      <c r="J1562" t="s">
        <v>32</v>
      </c>
      <c r="K1562" t="s">
        <v>104</v>
      </c>
      <c r="L1562" t="s">
        <v>34</v>
      </c>
      <c r="M1562" t="s">
        <v>47</v>
      </c>
      <c r="N1562" t="s">
        <v>36</v>
      </c>
      <c r="O1562">
        <v>90</v>
      </c>
      <c r="P1562">
        <v>90</v>
      </c>
      <c r="Q1562">
        <v>112.5</v>
      </c>
      <c r="R1562">
        <v>2250</v>
      </c>
      <c r="S1562">
        <v>2250</v>
      </c>
      <c r="T1562">
        <v>0</v>
      </c>
      <c r="U1562">
        <v>0</v>
      </c>
      <c r="V1562">
        <v>1</v>
      </c>
      <c r="W1562">
        <v>0</v>
      </c>
      <c r="X1562">
        <v>0.85</v>
      </c>
    </row>
    <row r="1563" spans="1:24" x14ac:dyDescent="0.3">
      <c r="A1563" t="s">
        <v>2279</v>
      </c>
      <c r="B1563" s="1">
        <v>45940</v>
      </c>
      <c r="C1563" t="s">
        <v>97</v>
      </c>
      <c r="D1563" t="s">
        <v>82</v>
      </c>
      <c r="E1563" t="s">
        <v>68</v>
      </c>
      <c r="F1563" t="s">
        <v>41</v>
      </c>
      <c r="G1563" t="s">
        <v>42</v>
      </c>
      <c r="H1563" t="s">
        <v>51</v>
      </c>
      <c r="I1563" t="s">
        <v>2280</v>
      </c>
      <c r="J1563" t="s">
        <v>137</v>
      </c>
      <c r="K1563" t="s">
        <v>85</v>
      </c>
      <c r="L1563" t="s">
        <v>64</v>
      </c>
      <c r="M1563" t="s">
        <v>47</v>
      </c>
      <c r="N1563" t="s">
        <v>95</v>
      </c>
      <c r="O1563">
        <v>90</v>
      </c>
      <c r="P1563">
        <v>0</v>
      </c>
      <c r="Q1563">
        <v>105.4</v>
      </c>
      <c r="R1563">
        <v>2000</v>
      </c>
      <c r="S1563">
        <v>0</v>
      </c>
      <c r="T1563">
        <v>2000</v>
      </c>
      <c r="U1563">
        <v>1</v>
      </c>
      <c r="V1563">
        <v>0</v>
      </c>
      <c r="W1563">
        <v>0</v>
      </c>
      <c r="X1563">
        <v>0.85</v>
      </c>
    </row>
    <row r="1564" spans="1:24" x14ac:dyDescent="0.3">
      <c r="A1564" t="s">
        <v>2281</v>
      </c>
      <c r="B1564" s="1">
        <v>45664</v>
      </c>
      <c r="C1564" t="s">
        <v>130</v>
      </c>
      <c r="D1564" t="s">
        <v>26</v>
      </c>
      <c r="E1564" t="s">
        <v>40</v>
      </c>
      <c r="F1564" t="s">
        <v>41</v>
      </c>
      <c r="G1564" t="s">
        <v>42</v>
      </c>
      <c r="H1564" t="s">
        <v>43</v>
      </c>
      <c r="I1564" t="s">
        <v>342</v>
      </c>
      <c r="J1564" t="s">
        <v>99</v>
      </c>
      <c r="K1564" t="s">
        <v>104</v>
      </c>
      <c r="L1564" t="s">
        <v>78</v>
      </c>
      <c r="M1564" t="s">
        <v>86</v>
      </c>
      <c r="N1564" t="s">
        <v>36</v>
      </c>
      <c r="O1564">
        <v>30</v>
      </c>
      <c r="P1564">
        <v>30</v>
      </c>
      <c r="Q1564">
        <v>38.799999999999997</v>
      </c>
      <c r="R1564">
        <v>600</v>
      </c>
      <c r="S1564">
        <v>600</v>
      </c>
      <c r="T1564">
        <v>0</v>
      </c>
      <c r="U1564">
        <v>0</v>
      </c>
      <c r="V1564">
        <v>1</v>
      </c>
      <c r="W1564">
        <v>0</v>
      </c>
      <c r="X1564">
        <v>0.85</v>
      </c>
    </row>
    <row r="1565" spans="1:24" x14ac:dyDescent="0.3">
      <c r="A1565" t="s">
        <v>2282</v>
      </c>
      <c r="B1565" s="1">
        <v>45862</v>
      </c>
      <c r="C1565" t="s">
        <v>101</v>
      </c>
      <c r="D1565" t="s">
        <v>50</v>
      </c>
      <c r="E1565" t="s">
        <v>27</v>
      </c>
      <c r="F1565" t="s">
        <v>28</v>
      </c>
      <c r="G1565" t="s">
        <v>29</v>
      </c>
      <c r="H1565" t="s">
        <v>120</v>
      </c>
      <c r="I1565" t="s">
        <v>2283</v>
      </c>
      <c r="J1565" t="s">
        <v>53</v>
      </c>
      <c r="K1565" t="s">
        <v>33</v>
      </c>
      <c r="L1565" t="s">
        <v>34</v>
      </c>
      <c r="M1565" t="s">
        <v>71</v>
      </c>
      <c r="N1565" t="s">
        <v>36</v>
      </c>
      <c r="O1565">
        <v>90</v>
      </c>
      <c r="P1565">
        <v>90</v>
      </c>
      <c r="Q1565">
        <v>98.9</v>
      </c>
      <c r="R1565">
        <v>2250</v>
      </c>
      <c r="S1565">
        <v>2250</v>
      </c>
      <c r="T1565">
        <v>0</v>
      </c>
      <c r="U1565">
        <v>0</v>
      </c>
      <c r="V1565">
        <v>1</v>
      </c>
      <c r="W1565">
        <v>0</v>
      </c>
      <c r="X1565">
        <v>0.85</v>
      </c>
    </row>
    <row r="1566" spans="1:24" x14ac:dyDescent="0.3">
      <c r="A1566" t="s">
        <v>2284</v>
      </c>
      <c r="B1566" s="1">
        <v>45945</v>
      </c>
      <c r="C1566" t="s">
        <v>97</v>
      </c>
      <c r="D1566" t="s">
        <v>57</v>
      </c>
      <c r="E1566" t="s">
        <v>68</v>
      </c>
      <c r="F1566" t="s">
        <v>28</v>
      </c>
      <c r="G1566" t="s">
        <v>29</v>
      </c>
      <c r="H1566" t="s">
        <v>210</v>
      </c>
      <c r="I1566" t="s">
        <v>544</v>
      </c>
      <c r="J1566" t="s">
        <v>62</v>
      </c>
      <c r="K1566" t="s">
        <v>85</v>
      </c>
      <c r="L1566" t="s">
        <v>78</v>
      </c>
      <c r="M1566" t="s">
        <v>35</v>
      </c>
      <c r="N1566" t="s">
        <v>36</v>
      </c>
      <c r="O1566">
        <v>30</v>
      </c>
      <c r="P1566">
        <v>30</v>
      </c>
      <c r="Q1566">
        <v>36.4</v>
      </c>
      <c r="R1566">
        <v>600</v>
      </c>
      <c r="S1566">
        <v>600</v>
      </c>
      <c r="T1566">
        <v>0</v>
      </c>
      <c r="U1566">
        <v>0</v>
      </c>
      <c r="V1566">
        <v>1</v>
      </c>
      <c r="W1566">
        <v>0</v>
      </c>
      <c r="X1566">
        <v>0.85</v>
      </c>
    </row>
    <row r="1567" spans="1:24" x14ac:dyDescent="0.3">
      <c r="A1567" t="s">
        <v>2285</v>
      </c>
      <c r="B1567" s="1">
        <v>45982</v>
      </c>
      <c r="C1567" t="s">
        <v>38</v>
      </c>
      <c r="D1567" t="s">
        <v>82</v>
      </c>
      <c r="E1567" t="s">
        <v>40</v>
      </c>
      <c r="F1567" t="s">
        <v>41</v>
      </c>
      <c r="G1567" t="s">
        <v>42</v>
      </c>
      <c r="H1567" t="s">
        <v>43</v>
      </c>
      <c r="I1567" t="s">
        <v>1590</v>
      </c>
      <c r="J1567" t="s">
        <v>62</v>
      </c>
      <c r="K1567" t="s">
        <v>33</v>
      </c>
      <c r="L1567" t="s">
        <v>64</v>
      </c>
      <c r="M1567" t="s">
        <v>94</v>
      </c>
      <c r="N1567" t="s">
        <v>36</v>
      </c>
      <c r="O1567">
        <v>45</v>
      </c>
      <c r="P1567">
        <v>45</v>
      </c>
      <c r="Q1567">
        <v>57.7</v>
      </c>
      <c r="R1567">
        <v>1000</v>
      </c>
      <c r="S1567">
        <v>1000</v>
      </c>
      <c r="T1567">
        <v>0</v>
      </c>
      <c r="U1567">
        <v>0</v>
      </c>
      <c r="V1567">
        <v>1</v>
      </c>
      <c r="W1567">
        <v>0</v>
      </c>
      <c r="X1567">
        <v>0.85</v>
      </c>
    </row>
    <row r="1568" spans="1:24" x14ac:dyDescent="0.3">
      <c r="A1568" t="s">
        <v>2286</v>
      </c>
      <c r="B1568" s="1">
        <v>45915</v>
      </c>
      <c r="C1568" t="s">
        <v>49</v>
      </c>
      <c r="D1568" t="s">
        <v>39</v>
      </c>
      <c r="E1568" t="s">
        <v>27</v>
      </c>
      <c r="F1568" t="s">
        <v>28</v>
      </c>
      <c r="G1568" t="s">
        <v>29</v>
      </c>
      <c r="H1568" t="s">
        <v>120</v>
      </c>
      <c r="I1568" t="s">
        <v>768</v>
      </c>
      <c r="J1568" t="s">
        <v>62</v>
      </c>
      <c r="K1568" t="s">
        <v>70</v>
      </c>
      <c r="L1568" t="s">
        <v>78</v>
      </c>
      <c r="M1568" t="s">
        <v>71</v>
      </c>
      <c r="N1568" t="s">
        <v>36</v>
      </c>
      <c r="O1568">
        <v>45</v>
      </c>
      <c r="P1568">
        <v>45</v>
      </c>
      <c r="Q1568">
        <v>52.8</v>
      </c>
      <c r="R1568">
        <v>850</v>
      </c>
      <c r="S1568">
        <v>850</v>
      </c>
      <c r="T1568">
        <v>0</v>
      </c>
      <c r="U1568">
        <v>0</v>
      </c>
      <c r="V1568">
        <v>1</v>
      </c>
      <c r="W1568">
        <v>0</v>
      </c>
      <c r="X1568">
        <v>0.85</v>
      </c>
    </row>
    <row r="1569" spans="1:24" x14ac:dyDescent="0.3">
      <c r="A1569" t="s">
        <v>2287</v>
      </c>
      <c r="B1569" s="1">
        <v>45733</v>
      </c>
      <c r="C1569" t="s">
        <v>56</v>
      </c>
      <c r="D1569" t="s">
        <v>39</v>
      </c>
      <c r="E1569" t="s">
        <v>40</v>
      </c>
      <c r="F1569" t="s">
        <v>41</v>
      </c>
      <c r="G1569" t="s">
        <v>42</v>
      </c>
      <c r="H1569" t="s">
        <v>125</v>
      </c>
      <c r="I1569" t="s">
        <v>994</v>
      </c>
      <c r="J1569" t="s">
        <v>45</v>
      </c>
      <c r="K1569" t="s">
        <v>46</v>
      </c>
      <c r="L1569" t="s">
        <v>34</v>
      </c>
      <c r="M1569" t="s">
        <v>94</v>
      </c>
      <c r="N1569" t="s">
        <v>36</v>
      </c>
      <c r="O1569">
        <v>75</v>
      </c>
      <c r="P1569">
        <v>75</v>
      </c>
      <c r="Q1569">
        <v>86.5</v>
      </c>
      <c r="R1569">
        <v>1950</v>
      </c>
      <c r="S1569">
        <v>1950</v>
      </c>
      <c r="T1569">
        <v>0</v>
      </c>
      <c r="U1569">
        <v>0</v>
      </c>
      <c r="V1569">
        <v>1</v>
      </c>
      <c r="W1569">
        <v>0</v>
      </c>
      <c r="X1569">
        <v>0.85</v>
      </c>
    </row>
    <row r="1570" spans="1:24" x14ac:dyDescent="0.3">
      <c r="A1570" t="s">
        <v>2288</v>
      </c>
      <c r="B1570" s="1">
        <v>45895</v>
      </c>
      <c r="C1570" t="s">
        <v>110</v>
      </c>
      <c r="D1570" t="s">
        <v>26</v>
      </c>
      <c r="E1570" t="s">
        <v>83</v>
      </c>
      <c r="F1570" t="s">
        <v>58</v>
      </c>
      <c r="G1570" t="s">
        <v>59</v>
      </c>
      <c r="H1570" t="s">
        <v>117</v>
      </c>
      <c r="I1570" t="s">
        <v>356</v>
      </c>
      <c r="J1570" t="s">
        <v>62</v>
      </c>
      <c r="K1570" t="s">
        <v>104</v>
      </c>
      <c r="L1570" t="s">
        <v>54</v>
      </c>
      <c r="M1570" t="s">
        <v>65</v>
      </c>
      <c r="N1570" t="s">
        <v>95</v>
      </c>
      <c r="O1570">
        <v>60</v>
      </c>
      <c r="P1570">
        <v>0</v>
      </c>
      <c r="Q1570">
        <v>71.8</v>
      </c>
      <c r="R1570">
        <v>1300</v>
      </c>
      <c r="S1570">
        <v>0</v>
      </c>
      <c r="T1570">
        <v>1300</v>
      </c>
      <c r="U1570">
        <v>1</v>
      </c>
      <c r="V1570">
        <v>0</v>
      </c>
      <c r="W1570">
        <v>0</v>
      </c>
      <c r="X1570">
        <v>0.85</v>
      </c>
    </row>
    <row r="1571" spans="1:24" x14ac:dyDescent="0.3">
      <c r="A1571" t="s">
        <v>2289</v>
      </c>
      <c r="B1571" s="1">
        <v>45992</v>
      </c>
      <c r="C1571" t="s">
        <v>25</v>
      </c>
      <c r="D1571" t="s">
        <v>39</v>
      </c>
      <c r="E1571" t="s">
        <v>27</v>
      </c>
      <c r="F1571" t="s">
        <v>41</v>
      </c>
      <c r="G1571" t="s">
        <v>42</v>
      </c>
      <c r="H1571" t="s">
        <v>111</v>
      </c>
      <c r="I1571" t="s">
        <v>2290</v>
      </c>
      <c r="J1571" t="s">
        <v>32</v>
      </c>
      <c r="K1571" t="s">
        <v>104</v>
      </c>
      <c r="L1571" t="s">
        <v>64</v>
      </c>
      <c r="M1571" t="s">
        <v>65</v>
      </c>
      <c r="N1571" t="s">
        <v>36</v>
      </c>
      <c r="O1571">
        <v>60</v>
      </c>
      <c r="P1571">
        <v>60</v>
      </c>
      <c r="Q1571">
        <v>74.599999999999994</v>
      </c>
      <c r="R1571">
        <v>1350</v>
      </c>
      <c r="S1571">
        <v>1350</v>
      </c>
      <c r="T1571">
        <v>0</v>
      </c>
      <c r="U1571">
        <v>0</v>
      </c>
      <c r="V1571">
        <v>1</v>
      </c>
      <c r="W1571">
        <v>0</v>
      </c>
      <c r="X1571">
        <v>0.85</v>
      </c>
    </row>
    <row r="1572" spans="1:24" x14ac:dyDescent="0.3">
      <c r="A1572" t="s">
        <v>2291</v>
      </c>
      <c r="B1572" s="1">
        <v>45965</v>
      </c>
      <c r="C1572" t="s">
        <v>38</v>
      </c>
      <c r="D1572" t="s">
        <v>26</v>
      </c>
      <c r="E1572" t="s">
        <v>27</v>
      </c>
      <c r="F1572" t="s">
        <v>28</v>
      </c>
      <c r="G1572" t="s">
        <v>29</v>
      </c>
      <c r="H1572" t="s">
        <v>102</v>
      </c>
      <c r="I1572" t="s">
        <v>1773</v>
      </c>
      <c r="J1572" t="s">
        <v>32</v>
      </c>
      <c r="K1572" t="s">
        <v>70</v>
      </c>
      <c r="L1572" t="s">
        <v>34</v>
      </c>
      <c r="M1572" t="s">
        <v>71</v>
      </c>
      <c r="N1572" t="s">
        <v>113</v>
      </c>
      <c r="O1572">
        <v>60</v>
      </c>
      <c r="P1572">
        <v>0</v>
      </c>
      <c r="Q1572">
        <v>79.099999999999994</v>
      </c>
      <c r="R1572">
        <v>1250</v>
      </c>
      <c r="S1572">
        <v>0</v>
      </c>
      <c r="T1572">
        <v>1250</v>
      </c>
      <c r="U1572">
        <v>0</v>
      </c>
      <c r="V1572">
        <v>0</v>
      </c>
      <c r="W1572">
        <v>1</v>
      </c>
      <c r="X1572">
        <v>0.85</v>
      </c>
    </row>
    <row r="1573" spans="1:24" x14ac:dyDescent="0.3">
      <c r="A1573" t="s">
        <v>2292</v>
      </c>
      <c r="B1573" s="1">
        <v>45909</v>
      </c>
      <c r="C1573" t="s">
        <v>49</v>
      </c>
      <c r="D1573" t="s">
        <v>26</v>
      </c>
      <c r="E1573" t="s">
        <v>83</v>
      </c>
      <c r="F1573" t="s">
        <v>58</v>
      </c>
      <c r="G1573" t="s">
        <v>59</v>
      </c>
      <c r="H1573" t="s">
        <v>296</v>
      </c>
      <c r="I1573" t="s">
        <v>1201</v>
      </c>
      <c r="J1573" t="s">
        <v>137</v>
      </c>
      <c r="K1573" t="s">
        <v>63</v>
      </c>
      <c r="L1573" t="s">
        <v>78</v>
      </c>
      <c r="M1573" t="s">
        <v>71</v>
      </c>
      <c r="N1573" t="s">
        <v>36</v>
      </c>
      <c r="O1573">
        <v>45</v>
      </c>
      <c r="P1573">
        <v>45</v>
      </c>
      <c r="Q1573">
        <v>55.6</v>
      </c>
      <c r="R1573">
        <v>1050</v>
      </c>
      <c r="S1573">
        <v>1050</v>
      </c>
      <c r="T1573">
        <v>0</v>
      </c>
      <c r="U1573">
        <v>0</v>
      </c>
      <c r="V1573">
        <v>1</v>
      </c>
      <c r="W1573">
        <v>0</v>
      </c>
      <c r="X1573">
        <v>0.85</v>
      </c>
    </row>
    <row r="1574" spans="1:24" x14ac:dyDescent="0.3">
      <c r="A1574" t="s">
        <v>2293</v>
      </c>
      <c r="B1574" s="1">
        <v>45953</v>
      </c>
      <c r="C1574" t="s">
        <v>97</v>
      </c>
      <c r="D1574" t="s">
        <v>50</v>
      </c>
      <c r="E1574" t="s">
        <v>40</v>
      </c>
      <c r="F1574" t="s">
        <v>58</v>
      </c>
      <c r="G1574" t="s">
        <v>59</v>
      </c>
      <c r="H1574" t="s">
        <v>117</v>
      </c>
      <c r="I1574" t="s">
        <v>1590</v>
      </c>
      <c r="J1574" t="s">
        <v>53</v>
      </c>
      <c r="K1574" t="s">
        <v>70</v>
      </c>
      <c r="L1574" t="s">
        <v>34</v>
      </c>
      <c r="M1574" t="s">
        <v>86</v>
      </c>
      <c r="N1574" t="s">
        <v>36</v>
      </c>
      <c r="O1574">
        <v>60</v>
      </c>
      <c r="P1574">
        <v>60</v>
      </c>
      <c r="Q1574">
        <v>68.099999999999994</v>
      </c>
      <c r="R1574">
        <v>1800</v>
      </c>
      <c r="S1574">
        <v>1800</v>
      </c>
      <c r="T1574">
        <v>0</v>
      </c>
      <c r="U1574">
        <v>0</v>
      </c>
      <c r="V1574">
        <v>1</v>
      </c>
      <c r="W1574">
        <v>0</v>
      </c>
      <c r="X1574">
        <v>0.85</v>
      </c>
    </row>
    <row r="1575" spans="1:24" x14ac:dyDescent="0.3">
      <c r="A1575" t="s">
        <v>2294</v>
      </c>
      <c r="B1575" s="1">
        <v>45826</v>
      </c>
      <c r="C1575" t="s">
        <v>67</v>
      </c>
      <c r="D1575" t="s">
        <v>57</v>
      </c>
      <c r="E1575" t="s">
        <v>68</v>
      </c>
      <c r="F1575" t="s">
        <v>58</v>
      </c>
      <c r="G1575" t="s">
        <v>59</v>
      </c>
      <c r="H1575" t="s">
        <v>296</v>
      </c>
      <c r="I1575" t="s">
        <v>1221</v>
      </c>
      <c r="J1575" t="s">
        <v>32</v>
      </c>
      <c r="K1575" t="s">
        <v>46</v>
      </c>
      <c r="L1575" t="s">
        <v>64</v>
      </c>
      <c r="M1575" t="s">
        <v>65</v>
      </c>
      <c r="N1575" t="s">
        <v>36</v>
      </c>
      <c r="O1575">
        <v>45</v>
      </c>
      <c r="P1575">
        <v>45</v>
      </c>
      <c r="Q1575">
        <v>49.1</v>
      </c>
      <c r="R1575">
        <v>1100</v>
      </c>
      <c r="S1575">
        <v>1100</v>
      </c>
      <c r="T1575">
        <v>0</v>
      </c>
      <c r="U1575">
        <v>0</v>
      </c>
      <c r="V1575">
        <v>1</v>
      </c>
      <c r="W1575">
        <v>0</v>
      </c>
      <c r="X1575">
        <v>0.85</v>
      </c>
    </row>
    <row r="1576" spans="1:24" x14ac:dyDescent="0.3">
      <c r="A1576" t="s">
        <v>2295</v>
      </c>
      <c r="B1576" s="1">
        <v>45892</v>
      </c>
      <c r="C1576" t="s">
        <v>110</v>
      </c>
      <c r="D1576" t="s">
        <v>88</v>
      </c>
      <c r="E1576" t="s">
        <v>68</v>
      </c>
      <c r="F1576" t="s">
        <v>58</v>
      </c>
      <c r="G1576" t="s">
        <v>59</v>
      </c>
      <c r="H1576" t="s">
        <v>117</v>
      </c>
      <c r="I1576" t="s">
        <v>2296</v>
      </c>
      <c r="J1576" t="s">
        <v>53</v>
      </c>
      <c r="K1576" t="s">
        <v>104</v>
      </c>
      <c r="L1576" t="s">
        <v>34</v>
      </c>
      <c r="M1576" t="s">
        <v>86</v>
      </c>
      <c r="N1576" t="s">
        <v>36</v>
      </c>
      <c r="O1576">
        <v>60</v>
      </c>
      <c r="P1576">
        <v>60</v>
      </c>
      <c r="Q1576">
        <v>71.099999999999994</v>
      </c>
      <c r="R1576">
        <v>1800</v>
      </c>
      <c r="S1576">
        <v>1800</v>
      </c>
      <c r="T1576">
        <v>0</v>
      </c>
      <c r="U1576">
        <v>0</v>
      </c>
      <c r="V1576">
        <v>1</v>
      </c>
      <c r="W1576">
        <v>0</v>
      </c>
      <c r="X1576">
        <v>0.85</v>
      </c>
    </row>
    <row r="1577" spans="1:24" x14ac:dyDescent="0.3">
      <c r="A1577" t="s">
        <v>2297</v>
      </c>
      <c r="B1577" s="1">
        <v>45948</v>
      </c>
      <c r="C1577" t="s">
        <v>97</v>
      </c>
      <c r="D1577" t="s">
        <v>88</v>
      </c>
      <c r="E1577" t="s">
        <v>40</v>
      </c>
      <c r="F1577" t="s">
        <v>28</v>
      </c>
      <c r="G1577" t="s">
        <v>29</v>
      </c>
      <c r="H1577" t="s">
        <v>30</v>
      </c>
      <c r="I1577" t="s">
        <v>666</v>
      </c>
      <c r="J1577" t="s">
        <v>62</v>
      </c>
      <c r="K1577" t="s">
        <v>104</v>
      </c>
      <c r="L1577" t="s">
        <v>34</v>
      </c>
      <c r="M1577" t="s">
        <v>65</v>
      </c>
      <c r="N1577" t="s">
        <v>36</v>
      </c>
      <c r="O1577">
        <v>60</v>
      </c>
      <c r="P1577">
        <v>60</v>
      </c>
      <c r="Q1577">
        <v>75.099999999999994</v>
      </c>
      <c r="R1577">
        <v>1250</v>
      </c>
      <c r="S1577">
        <v>1250</v>
      </c>
      <c r="T1577">
        <v>0</v>
      </c>
      <c r="U1577">
        <v>0</v>
      </c>
      <c r="V1577">
        <v>1</v>
      </c>
      <c r="W1577">
        <v>0</v>
      </c>
      <c r="X1577">
        <v>0.85</v>
      </c>
    </row>
    <row r="1578" spans="1:24" x14ac:dyDescent="0.3">
      <c r="A1578" t="s">
        <v>2298</v>
      </c>
      <c r="B1578" s="1">
        <v>45803</v>
      </c>
      <c r="C1578" t="s">
        <v>128</v>
      </c>
      <c r="D1578" t="s">
        <v>39</v>
      </c>
      <c r="E1578" t="s">
        <v>83</v>
      </c>
      <c r="F1578" t="s">
        <v>41</v>
      </c>
      <c r="G1578" t="s">
        <v>42</v>
      </c>
      <c r="H1578" t="s">
        <v>125</v>
      </c>
      <c r="I1578" t="s">
        <v>1038</v>
      </c>
      <c r="J1578" t="s">
        <v>62</v>
      </c>
      <c r="K1578" t="s">
        <v>70</v>
      </c>
      <c r="L1578" t="s">
        <v>34</v>
      </c>
      <c r="M1578" t="s">
        <v>71</v>
      </c>
      <c r="N1578" t="s">
        <v>36</v>
      </c>
      <c r="O1578">
        <v>75</v>
      </c>
      <c r="P1578">
        <v>75</v>
      </c>
      <c r="Q1578">
        <v>91</v>
      </c>
      <c r="R1578">
        <v>1700</v>
      </c>
      <c r="S1578">
        <v>1700</v>
      </c>
      <c r="T1578">
        <v>0</v>
      </c>
      <c r="U1578">
        <v>0</v>
      </c>
      <c r="V1578">
        <v>1</v>
      </c>
      <c r="W1578">
        <v>0</v>
      </c>
      <c r="X1578">
        <v>0.85</v>
      </c>
    </row>
    <row r="1579" spans="1:24" x14ac:dyDescent="0.3">
      <c r="A1579" t="s">
        <v>2299</v>
      </c>
      <c r="B1579" s="1">
        <v>45868</v>
      </c>
      <c r="C1579" t="s">
        <v>101</v>
      </c>
      <c r="D1579" t="s">
        <v>57</v>
      </c>
      <c r="E1579" t="s">
        <v>83</v>
      </c>
      <c r="F1579" t="s">
        <v>58</v>
      </c>
      <c r="G1579" t="s">
        <v>59</v>
      </c>
      <c r="H1579" t="s">
        <v>117</v>
      </c>
      <c r="I1579" t="s">
        <v>2163</v>
      </c>
      <c r="J1579" t="s">
        <v>32</v>
      </c>
      <c r="K1579" t="s">
        <v>63</v>
      </c>
      <c r="L1579" t="s">
        <v>54</v>
      </c>
      <c r="M1579" t="s">
        <v>86</v>
      </c>
      <c r="N1579" t="s">
        <v>36</v>
      </c>
      <c r="O1579">
        <v>60</v>
      </c>
      <c r="P1579">
        <v>60</v>
      </c>
      <c r="Q1579">
        <v>70.099999999999994</v>
      </c>
      <c r="R1579">
        <v>1300</v>
      </c>
      <c r="S1579">
        <v>1300</v>
      </c>
      <c r="T1579">
        <v>0</v>
      </c>
      <c r="U1579">
        <v>0</v>
      </c>
      <c r="V1579">
        <v>1</v>
      </c>
      <c r="W1579">
        <v>0</v>
      </c>
      <c r="X1579">
        <v>0.85</v>
      </c>
    </row>
    <row r="1580" spans="1:24" x14ac:dyDescent="0.3">
      <c r="A1580" t="s">
        <v>2300</v>
      </c>
      <c r="B1580" s="1">
        <v>46006</v>
      </c>
      <c r="C1580" t="s">
        <v>25</v>
      </c>
      <c r="D1580" t="s">
        <v>39</v>
      </c>
      <c r="E1580" t="s">
        <v>83</v>
      </c>
      <c r="F1580" t="s">
        <v>28</v>
      </c>
      <c r="G1580" t="s">
        <v>29</v>
      </c>
      <c r="H1580" t="s">
        <v>120</v>
      </c>
      <c r="I1580" t="s">
        <v>290</v>
      </c>
      <c r="J1580" t="s">
        <v>45</v>
      </c>
      <c r="K1580" t="s">
        <v>63</v>
      </c>
      <c r="L1580" t="s">
        <v>64</v>
      </c>
      <c r="M1580" t="s">
        <v>35</v>
      </c>
      <c r="N1580" t="s">
        <v>36</v>
      </c>
      <c r="O1580">
        <v>30</v>
      </c>
      <c r="P1580">
        <v>30</v>
      </c>
      <c r="Q1580">
        <v>34.799999999999997</v>
      </c>
      <c r="R1580">
        <v>700</v>
      </c>
      <c r="S1580">
        <v>700</v>
      </c>
      <c r="T1580">
        <v>0</v>
      </c>
      <c r="U1580">
        <v>0</v>
      </c>
      <c r="V1580">
        <v>1</v>
      </c>
      <c r="W1580">
        <v>0</v>
      </c>
      <c r="X1580">
        <v>0.85</v>
      </c>
    </row>
    <row r="1581" spans="1:24" x14ac:dyDescent="0.3">
      <c r="A1581" t="s">
        <v>2301</v>
      </c>
      <c r="B1581" s="1">
        <v>45759</v>
      </c>
      <c r="C1581" t="s">
        <v>92</v>
      </c>
      <c r="D1581" t="s">
        <v>88</v>
      </c>
      <c r="E1581" t="s">
        <v>40</v>
      </c>
      <c r="F1581" t="s">
        <v>58</v>
      </c>
      <c r="G1581" t="s">
        <v>59</v>
      </c>
      <c r="H1581" t="s">
        <v>60</v>
      </c>
      <c r="I1581" t="s">
        <v>574</v>
      </c>
      <c r="J1581" t="s">
        <v>62</v>
      </c>
      <c r="K1581" t="s">
        <v>85</v>
      </c>
      <c r="L1581" t="s">
        <v>64</v>
      </c>
      <c r="M1581" t="s">
        <v>47</v>
      </c>
      <c r="N1581" t="s">
        <v>36</v>
      </c>
      <c r="O1581">
        <v>45</v>
      </c>
      <c r="P1581">
        <v>45</v>
      </c>
      <c r="Q1581">
        <v>50.7</v>
      </c>
      <c r="R1581">
        <v>1100</v>
      </c>
      <c r="S1581">
        <v>1100</v>
      </c>
      <c r="T1581">
        <v>0</v>
      </c>
      <c r="U1581">
        <v>0</v>
      </c>
      <c r="V1581">
        <v>1</v>
      </c>
      <c r="W1581">
        <v>0</v>
      </c>
      <c r="X1581">
        <v>0.85</v>
      </c>
    </row>
    <row r="1582" spans="1:24" x14ac:dyDescent="0.3">
      <c r="A1582" t="s">
        <v>2302</v>
      </c>
      <c r="B1582" s="1">
        <v>45711</v>
      </c>
      <c r="C1582" t="s">
        <v>76</v>
      </c>
      <c r="D1582" t="s">
        <v>287</v>
      </c>
      <c r="E1582" t="s">
        <v>83</v>
      </c>
      <c r="F1582" t="s">
        <v>41</v>
      </c>
      <c r="G1582" t="s">
        <v>42</v>
      </c>
      <c r="H1582" t="s">
        <v>51</v>
      </c>
      <c r="I1582" t="s">
        <v>2303</v>
      </c>
      <c r="J1582" t="s">
        <v>62</v>
      </c>
      <c r="K1582" t="s">
        <v>63</v>
      </c>
      <c r="L1582" t="s">
        <v>34</v>
      </c>
      <c r="M1582" t="s">
        <v>35</v>
      </c>
      <c r="N1582" t="s">
        <v>36</v>
      </c>
      <c r="O1582">
        <v>45</v>
      </c>
      <c r="P1582">
        <v>45</v>
      </c>
      <c r="Q1582">
        <v>58.2</v>
      </c>
      <c r="R1582">
        <v>1000</v>
      </c>
      <c r="S1582">
        <v>1000</v>
      </c>
      <c r="T1582">
        <v>0</v>
      </c>
      <c r="U1582">
        <v>0</v>
      </c>
      <c r="V1582">
        <v>1</v>
      </c>
      <c r="W1582">
        <v>0</v>
      </c>
      <c r="X1582">
        <v>0.85</v>
      </c>
    </row>
    <row r="1583" spans="1:24" x14ac:dyDescent="0.3">
      <c r="A1583" t="s">
        <v>2304</v>
      </c>
      <c r="B1583" s="1">
        <v>45801</v>
      </c>
      <c r="C1583" t="s">
        <v>128</v>
      </c>
      <c r="D1583" t="s">
        <v>88</v>
      </c>
      <c r="E1583" t="s">
        <v>83</v>
      </c>
      <c r="F1583" t="s">
        <v>41</v>
      </c>
      <c r="G1583" t="s">
        <v>42</v>
      </c>
      <c r="H1583" t="s">
        <v>89</v>
      </c>
      <c r="I1583" t="s">
        <v>384</v>
      </c>
      <c r="J1583" t="s">
        <v>45</v>
      </c>
      <c r="K1583" t="s">
        <v>46</v>
      </c>
      <c r="L1583" t="s">
        <v>64</v>
      </c>
      <c r="M1583" t="s">
        <v>35</v>
      </c>
      <c r="N1583" t="s">
        <v>153</v>
      </c>
      <c r="O1583">
        <v>60</v>
      </c>
      <c r="P1583">
        <v>0</v>
      </c>
      <c r="Q1583">
        <v>76.7</v>
      </c>
      <c r="R1583">
        <v>1550</v>
      </c>
      <c r="S1583">
        <v>0</v>
      </c>
      <c r="T1583">
        <v>0</v>
      </c>
      <c r="U1583">
        <v>0</v>
      </c>
      <c r="V1583">
        <v>0</v>
      </c>
      <c r="W1583">
        <v>0</v>
      </c>
      <c r="X1583">
        <v>0.85</v>
      </c>
    </row>
    <row r="1584" spans="1:24" x14ac:dyDescent="0.3">
      <c r="A1584" t="s">
        <v>2305</v>
      </c>
      <c r="B1584" s="1">
        <v>45803</v>
      </c>
      <c r="C1584" t="s">
        <v>128</v>
      </c>
      <c r="D1584" t="s">
        <v>39</v>
      </c>
      <c r="E1584" t="s">
        <v>68</v>
      </c>
      <c r="F1584" t="s">
        <v>58</v>
      </c>
      <c r="G1584" t="s">
        <v>59</v>
      </c>
      <c r="H1584" t="s">
        <v>151</v>
      </c>
      <c r="I1584" t="s">
        <v>1999</v>
      </c>
      <c r="J1584" t="s">
        <v>137</v>
      </c>
      <c r="K1584" t="s">
        <v>46</v>
      </c>
      <c r="L1584" t="s">
        <v>34</v>
      </c>
      <c r="M1584" t="s">
        <v>35</v>
      </c>
      <c r="N1584" t="s">
        <v>36</v>
      </c>
      <c r="O1584">
        <v>60</v>
      </c>
      <c r="P1584">
        <v>60</v>
      </c>
      <c r="Q1584">
        <v>68.3</v>
      </c>
      <c r="R1584">
        <v>1500</v>
      </c>
      <c r="S1584">
        <v>1500</v>
      </c>
      <c r="T1584">
        <v>0</v>
      </c>
      <c r="U1584">
        <v>0</v>
      </c>
      <c r="V1584">
        <v>1</v>
      </c>
      <c r="W1584">
        <v>0</v>
      </c>
      <c r="X1584">
        <v>0.85</v>
      </c>
    </row>
    <row r="1585" spans="1:24" x14ac:dyDescent="0.3">
      <c r="A1585" t="s">
        <v>2306</v>
      </c>
      <c r="B1585" s="1">
        <v>45705</v>
      </c>
      <c r="C1585" t="s">
        <v>76</v>
      </c>
      <c r="D1585" t="s">
        <v>39</v>
      </c>
      <c r="E1585" t="s">
        <v>27</v>
      </c>
      <c r="F1585" t="s">
        <v>58</v>
      </c>
      <c r="G1585" t="s">
        <v>59</v>
      </c>
      <c r="H1585" t="s">
        <v>151</v>
      </c>
      <c r="I1585" t="s">
        <v>764</v>
      </c>
      <c r="J1585" t="s">
        <v>137</v>
      </c>
      <c r="K1585" t="s">
        <v>70</v>
      </c>
      <c r="L1585" t="s">
        <v>34</v>
      </c>
      <c r="M1585" t="s">
        <v>65</v>
      </c>
      <c r="N1585" t="s">
        <v>36</v>
      </c>
      <c r="O1585">
        <v>75</v>
      </c>
      <c r="P1585">
        <v>75</v>
      </c>
      <c r="Q1585">
        <v>82.3</v>
      </c>
      <c r="R1585">
        <v>1900</v>
      </c>
      <c r="S1585">
        <v>1900</v>
      </c>
      <c r="T1585">
        <v>0</v>
      </c>
      <c r="U1585">
        <v>0</v>
      </c>
      <c r="V1585">
        <v>1</v>
      </c>
      <c r="W1585">
        <v>0</v>
      </c>
      <c r="X1585">
        <v>0.85</v>
      </c>
    </row>
    <row r="1586" spans="1:24" x14ac:dyDescent="0.3">
      <c r="A1586" t="s">
        <v>2307</v>
      </c>
      <c r="B1586" s="1">
        <v>45787</v>
      </c>
      <c r="C1586" t="s">
        <v>128</v>
      </c>
      <c r="D1586" t="s">
        <v>88</v>
      </c>
      <c r="E1586" t="s">
        <v>27</v>
      </c>
      <c r="F1586" t="s">
        <v>41</v>
      </c>
      <c r="G1586" t="s">
        <v>42</v>
      </c>
      <c r="H1586" t="s">
        <v>43</v>
      </c>
      <c r="I1586" t="s">
        <v>1535</v>
      </c>
      <c r="J1586" t="s">
        <v>45</v>
      </c>
      <c r="K1586" t="s">
        <v>63</v>
      </c>
      <c r="L1586" t="s">
        <v>34</v>
      </c>
      <c r="M1586" t="s">
        <v>94</v>
      </c>
      <c r="N1586" t="s">
        <v>95</v>
      </c>
      <c r="O1586">
        <v>90</v>
      </c>
      <c r="P1586">
        <v>0</v>
      </c>
      <c r="Q1586">
        <v>116.4</v>
      </c>
      <c r="R1586">
        <v>2350</v>
      </c>
      <c r="S1586">
        <v>0</v>
      </c>
      <c r="T1586">
        <v>2350</v>
      </c>
      <c r="U1586">
        <v>1</v>
      </c>
      <c r="V1586">
        <v>0</v>
      </c>
      <c r="W1586">
        <v>0</v>
      </c>
      <c r="X1586">
        <v>0.85</v>
      </c>
    </row>
    <row r="1587" spans="1:24" x14ac:dyDescent="0.3">
      <c r="A1587" t="s">
        <v>2308</v>
      </c>
      <c r="B1587" s="1">
        <v>45723</v>
      </c>
      <c r="C1587" t="s">
        <v>56</v>
      </c>
      <c r="D1587" t="s">
        <v>82</v>
      </c>
      <c r="E1587" t="s">
        <v>27</v>
      </c>
      <c r="F1587" t="s">
        <v>41</v>
      </c>
      <c r="G1587" t="s">
        <v>42</v>
      </c>
      <c r="H1587" t="s">
        <v>111</v>
      </c>
      <c r="I1587" t="s">
        <v>816</v>
      </c>
      <c r="J1587" t="s">
        <v>45</v>
      </c>
      <c r="K1587" t="s">
        <v>85</v>
      </c>
      <c r="L1587" t="s">
        <v>34</v>
      </c>
      <c r="M1587" t="s">
        <v>86</v>
      </c>
      <c r="N1587" t="s">
        <v>36</v>
      </c>
      <c r="O1587">
        <v>45</v>
      </c>
      <c r="P1587">
        <v>45</v>
      </c>
      <c r="Q1587">
        <v>57.1</v>
      </c>
      <c r="R1587">
        <v>1150</v>
      </c>
      <c r="S1587">
        <v>1150</v>
      </c>
      <c r="T1587">
        <v>0</v>
      </c>
      <c r="U1587">
        <v>0</v>
      </c>
      <c r="V1587">
        <v>1</v>
      </c>
      <c r="W1587">
        <v>0</v>
      </c>
      <c r="X1587">
        <v>0.85</v>
      </c>
    </row>
    <row r="1588" spans="1:24" x14ac:dyDescent="0.3">
      <c r="A1588" t="s">
        <v>2309</v>
      </c>
      <c r="B1588" s="1">
        <v>45866</v>
      </c>
      <c r="C1588" t="s">
        <v>101</v>
      </c>
      <c r="D1588" t="s">
        <v>39</v>
      </c>
      <c r="E1588" t="s">
        <v>40</v>
      </c>
      <c r="F1588" t="s">
        <v>58</v>
      </c>
      <c r="G1588" t="s">
        <v>59</v>
      </c>
      <c r="H1588" t="s">
        <v>296</v>
      </c>
      <c r="I1588" t="s">
        <v>1368</v>
      </c>
      <c r="J1588" t="s">
        <v>62</v>
      </c>
      <c r="K1588" t="s">
        <v>46</v>
      </c>
      <c r="L1588" t="s">
        <v>64</v>
      </c>
      <c r="M1588" t="s">
        <v>35</v>
      </c>
      <c r="N1588" t="s">
        <v>36</v>
      </c>
      <c r="O1588">
        <v>90</v>
      </c>
      <c r="P1588">
        <v>90</v>
      </c>
      <c r="Q1588">
        <v>120.4</v>
      </c>
      <c r="R1588">
        <v>2250</v>
      </c>
      <c r="S1588">
        <v>2250</v>
      </c>
      <c r="T1588">
        <v>0</v>
      </c>
      <c r="U1588">
        <v>0</v>
      </c>
      <c r="V1588">
        <v>1</v>
      </c>
      <c r="W1588">
        <v>0</v>
      </c>
      <c r="X1588">
        <v>0.85</v>
      </c>
    </row>
    <row r="1589" spans="1:24" x14ac:dyDescent="0.3">
      <c r="A1589" t="s">
        <v>2310</v>
      </c>
      <c r="B1589" s="1">
        <v>45691</v>
      </c>
      <c r="C1589" t="s">
        <v>76</v>
      </c>
      <c r="D1589" t="s">
        <v>39</v>
      </c>
      <c r="E1589" t="s">
        <v>83</v>
      </c>
      <c r="F1589" t="s">
        <v>28</v>
      </c>
      <c r="G1589" t="s">
        <v>29</v>
      </c>
      <c r="H1589" t="s">
        <v>102</v>
      </c>
      <c r="I1589" t="s">
        <v>420</v>
      </c>
      <c r="J1589" t="s">
        <v>53</v>
      </c>
      <c r="K1589" t="s">
        <v>46</v>
      </c>
      <c r="L1589" t="s">
        <v>78</v>
      </c>
      <c r="M1589" t="s">
        <v>47</v>
      </c>
      <c r="N1589" t="s">
        <v>113</v>
      </c>
      <c r="O1589">
        <v>45</v>
      </c>
      <c r="P1589">
        <v>0</v>
      </c>
      <c r="Q1589">
        <v>56.6</v>
      </c>
      <c r="R1589">
        <v>1050</v>
      </c>
      <c r="S1589">
        <v>0</v>
      </c>
      <c r="T1589">
        <v>1050</v>
      </c>
      <c r="U1589">
        <v>0</v>
      </c>
      <c r="V1589">
        <v>0</v>
      </c>
      <c r="W1589">
        <v>1</v>
      </c>
      <c r="X1589">
        <v>0.85</v>
      </c>
    </row>
    <row r="1590" spans="1:24" x14ac:dyDescent="0.3">
      <c r="A1590" t="s">
        <v>2311</v>
      </c>
      <c r="B1590" s="1">
        <v>45762</v>
      </c>
      <c r="C1590" t="s">
        <v>92</v>
      </c>
      <c r="D1590" t="s">
        <v>26</v>
      </c>
      <c r="E1590" t="s">
        <v>27</v>
      </c>
      <c r="F1590" t="s">
        <v>41</v>
      </c>
      <c r="G1590" t="s">
        <v>42</v>
      </c>
      <c r="H1590" t="s">
        <v>51</v>
      </c>
      <c r="I1590" t="s">
        <v>1347</v>
      </c>
      <c r="J1590" t="s">
        <v>53</v>
      </c>
      <c r="K1590" t="s">
        <v>85</v>
      </c>
      <c r="L1590" t="s">
        <v>64</v>
      </c>
      <c r="M1590" t="s">
        <v>86</v>
      </c>
      <c r="N1590" t="s">
        <v>36</v>
      </c>
      <c r="O1590">
        <v>75</v>
      </c>
      <c r="P1590">
        <v>75</v>
      </c>
      <c r="Q1590">
        <v>94.7</v>
      </c>
      <c r="R1590">
        <v>2000</v>
      </c>
      <c r="S1590">
        <v>2000</v>
      </c>
      <c r="T1590">
        <v>0</v>
      </c>
      <c r="U1590">
        <v>0</v>
      </c>
      <c r="V1590">
        <v>1</v>
      </c>
      <c r="W1590">
        <v>0</v>
      </c>
      <c r="X1590">
        <v>0.85</v>
      </c>
    </row>
    <row r="1591" spans="1:24" x14ac:dyDescent="0.3">
      <c r="A1591" t="s">
        <v>2312</v>
      </c>
      <c r="B1591" s="1">
        <v>45663</v>
      </c>
      <c r="C1591" t="s">
        <v>130</v>
      </c>
      <c r="D1591" t="s">
        <v>39</v>
      </c>
      <c r="E1591" t="s">
        <v>40</v>
      </c>
      <c r="F1591" t="s">
        <v>41</v>
      </c>
      <c r="G1591" t="s">
        <v>42</v>
      </c>
      <c r="H1591" t="s">
        <v>125</v>
      </c>
      <c r="I1591" t="s">
        <v>2313</v>
      </c>
      <c r="J1591" t="s">
        <v>62</v>
      </c>
      <c r="K1591" t="s">
        <v>33</v>
      </c>
      <c r="L1591" t="s">
        <v>64</v>
      </c>
      <c r="M1591" t="s">
        <v>94</v>
      </c>
      <c r="N1591" t="s">
        <v>36</v>
      </c>
      <c r="O1591">
        <v>30</v>
      </c>
      <c r="P1591">
        <v>30</v>
      </c>
      <c r="Q1591">
        <v>34.700000000000003</v>
      </c>
      <c r="R1591">
        <v>700</v>
      </c>
      <c r="S1591">
        <v>700</v>
      </c>
      <c r="T1591">
        <v>0</v>
      </c>
      <c r="U1591">
        <v>0</v>
      </c>
      <c r="V1591">
        <v>1</v>
      </c>
      <c r="W1591">
        <v>0</v>
      </c>
      <c r="X1591">
        <v>0.85</v>
      </c>
    </row>
    <row r="1592" spans="1:24" x14ac:dyDescent="0.3">
      <c r="A1592" t="s">
        <v>2314</v>
      </c>
      <c r="B1592" s="1">
        <v>45950</v>
      </c>
      <c r="C1592" t="s">
        <v>97</v>
      </c>
      <c r="D1592" t="s">
        <v>39</v>
      </c>
      <c r="E1592" t="s">
        <v>27</v>
      </c>
      <c r="F1592" t="s">
        <v>41</v>
      </c>
      <c r="G1592" t="s">
        <v>42</v>
      </c>
      <c r="H1592" t="s">
        <v>111</v>
      </c>
      <c r="I1592" t="s">
        <v>958</v>
      </c>
      <c r="J1592" t="s">
        <v>62</v>
      </c>
      <c r="K1592" t="s">
        <v>33</v>
      </c>
      <c r="L1592" t="s">
        <v>34</v>
      </c>
      <c r="M1592" t="s">
        <v>94</v>
      </c>
      <c r="N1592" t="s">
        <v>36</v>
      </c>
      <c r="O1592">
        <v>30</v>
      </c>
      <c r="P1592">
        <v>30</v>
      </c>
      <c r="Q1592">
        <v>33.700000000000003</v>
      </c>
      <c r="R1592">
        <v>700</v>
      </c>
      <c r="S1592">
        <v>700</v>
      </c>
      <c r="T1592">
        <v>0</v>
      </c>
      <c r="U1592">
        <v>0</v>
      </c>
      <c r="V1592">
        <v>1</v>
      </c>
      <c r="W1592">
        <v>0</v>
      </c>
      <c r="X1592">
        <v>0.85</v>
      </c>
    </row>
    <row r="1593" spans="1:24" x14ac:dyDescent="0.3">
      <c r="A1593" t="s">
        <v>2315</v>
      </c>
      <c r="B1593" s="1">
        <v>45859</v>
      </c>
      <c r="C1593" t="s">
        <v>101</v>
      </c>
      <c r="D1593" t="s">
        <v>39</v>
      </c>
      <c r="E1593" t="s">
        <v>40</v>
      </c>
      <c r="F1593" t="s">
        <v>41</v>
      </c>
      <c r="G1593" t="s">
        <v>42</v>
      </c>
      <c r="H1593" t="s">
        <v>111</v>
      </c>
      <c r="I1593" t="s">
        <v>1437</v>
      </c>
      <c r="J1593" t="s">
        <v>45</v>
      </c>
      <c r="K1593" t="s">
        <v>33</v>
      </c>
      <c r="L1593" t="s">
        <v>78</v>
      </c>
      <c r="M1593" t="s">
        <v>47</v>
      </c>
      <c r="N1593" t="s">
        <v>36</v>
      </c>
      <c r="O1593">
        <v>30</v>
      </c>
      <c r="P1593">
        <v>30</v>
      </c>
      <c r="Q1593">
        <v>39.5</v>
      </c>
      <c r="R1593">
        <v>700</v>
      </c>
      <c r="S1593">
        <v>700</v>
      </c>
      <c r="T1593">
        <v>0</v>
      </c>
      <c r="U1593">
        <v>0</v>
      </c>
      <c r="V1593">
        <v>1</v>
      </c>
      <c r="W1593">
        <v>0</v>
      </c>
      <c r="X1593">
        <v>0.85</v>
      </c>
    </row>
    <row r="1594" spans="1:24" x14ac:dyDescent="0.3">
      <c r="A1594" t="s">
        <v>2316</v>
      </c>
      <c r="B1594" s="1">
        <v>45903</v>
      </c>
      <c r="C1594" t="s">
        <v>49</v>
      </c>
      <c r="D1594" t="s">
        <v>57</v>
      </c>
      <c r="E1594" t="s">
        <v>27</v>
      </c>
      <c r="F1594" t="s">
        <v>58</v>
      </c>
      <c r="G1594" t="s">
        <v>59</v>
      </c>
      <c r="H1594" t="s">
        <v>73</v>
      </c>
      <c r="I1594" t="s">
        <v>914</v>
      </c>
      <c r="J1594" t="s">
        <v>53</v>
      </c>
      <c r="K1594" t="s">
        <v>104</v>
      </c>
      <c r="L1594" t="s">
        <v>34</v>
      </c>
      <c r="M1594" t="s">
        <v>94</v>
      </c>
      <c r="N1594" t="s">
        <v>36</v>
      </c>
      <c r="O1594">
        <v>75</v>
      </c>
      <c r="P1594">
        <v>75</v>
      </c>
      <c r="Q1594">
        <v>89.6</v>
      </c>
      <c r="R1594">
        <v>2250</v>
      </c>
      <c r="S1594">
        <v>2250</v>
      </c>
      <c r="T1594">
        <v>0</v>
      </c>
      <c r="U1594">
        <v>0</v>
      </c>
      <c r="V1594">
        <v>1</v>
      </c>
      <c r="W1594">
        <v>0</v>
      </c>
      <c r="X1594">
        <v>0.85</v>
      </c>
    </row>
    <row r="1595" spans="1:24" x14ac:dyDescent="0.3">
      <c r="A1595" t="s">
        <v>2317</v>
      </c>
      <c r="B1595" s="1">
        <v>45936</v>
      </c>
      <c r="C1595" t="s">
        <v>97</v>
      </c>
      <c r="D1595" t="s">
        <v>39</v>
      </c>
      <c r="E1595" t="s">
        <v>68</v>
      </c>
      <c r="F1595" t="s">
        <v>58</v>
      </c>
      <c r="G1595" t="s">
        <v>59</v>
      </c>
      <c r="H1595" t="s">
        <v>151</v>
      </c>
      <c r="I1595" t="s">
        <v>103</v>
      </c>
      <c r="J1595" t="s">
        <v>62</v>
      </c>
      <c r="K1595" t="s">
        <v>46</v>
      </c>
      <c r="L1595" t="s">
        <v>78</v>
      </c>
      <c r="M1595" t="s">
        <v>47</v>
      </c>
      <c r="N1595" t="s">
        <v>36</v>
      </c>
      <c r="O1595">
        <v>60</v>
      </c>
      <c r="P1595">
        <v>60</v>
      </c>
      <c r="Q1595">
        <v>67.400000000000006</v>
      </c>
      <c r="R1595">
        <v>1400</v>
      </c>
      <c r="S1595">
        <v>1400</v>
      </c>
      <c r="T1595">
        <v>0</v>
      </c>
      <c r="U1595">
        <v>0</v>
      </c>
      <c r="V1595">
        <v>1</v>
      </c>
      <c r="W1595">
        <v>0</v>
      </c>
      <c r="X1595">
        <v>0.85</v>
      </c>
    </row>
    <row r="1596" spans="1:24" x14ac:dyDescent="0.3">
      <c r="A1596" t="s">
        <v>2318</v>
      </c>
      <c r="B1596" s="1">
        <v>45860</v>
      </c>
      <c r="C1596" t="s">
        <v>101</v>
      </c>
      <c r="D1596" t="s">
        <v>26</v>
      </c>
      <c r="E1596" t="s">
        <v>83</v>
      </c>
      <c r="F1596" t="s">
        <v>28</v>
      </c>
      <c r="G1596" t="s">
        <v>29</v>
      </c>
      <c r="H1596" t="s">
        <v>30</v>
      </c>
      <c r="I1596" t="s">
        <v>2319</v>
      </c>
      <c r="J1596" t="s">
        <v>99</v>
      </c>
      <c r="K1596" t="s">
        <v>104</v>
      </c>
      <c r="L1596" t="s">
        <v>64</v>
      </c>
      <c r="M1596" t="s">
        <v>35</v>
      </c>
      <c r="N1596" t="s">
        <v>36</v>
      </c>
      <c r="O1596">
        <v>75</v>
      </c>
      <c r="P1596">
        <v>75</v>
      </c>
      <c r="Q1596">
        <v>90.6</v>
      </c>
      <c r="R1596">
        <v>1550</v>
      </c>
      <c r="S1596">
        <v>1550</v>
      </c>
      <c r="T1596">
        <v>0</v>
      </c>
      <c r="U1596">
        <v>0</v>
      </c>
      <c r="V1596">
        <v>1</v>
      </c>
      <c r="W1596">
        <v>0</v>
      </c>
      <c r="X1596">
        <v>0.85</v>
      </c>
    </row>
    <row r="1597" spans="1:24" x14ac:dyDescent="0.3">
      <c r="A1597" t="s">
        <v>2320</v>
      </c>
      <c r="B1597" s="1">
        <v>45807</v>
      </c>
      <c r="C1597" t="s">
        <v>128</v>
      </c>
      <c r="D1597" t="s">
        <v>82</v>
      </c>
      <c r="E1597" t="s">
        <v>68</v>
      </c>
      <c r="F1597" t="s">
        <v>58</v>
      </c>
      <c r="G1597" t="s">
        <v>59</v>
      </c>
      <c r="H1597" t="s">
        <v>151</v>
      </c>
      <c r="I1597" t="s">
        <v>2321</v>
      </c>
      <c r="J1597" t="s">
        <v>137</v>
      </c>
      <c r="K1597" t="s">
        <v>46</v>
      </c>
      <c r="L1597" t="s">
        <v>54</v>
      </c>
      <c r="M1597" t="s">
        <v>94</v>
      </c>
      <c r="N1597" t="s">
        <v>36</v>
      </c>
      <c r="O1597">
        <v>75</v>
      </c>
      <c r="P1597">
        <v>75</v>
      </c>
      <c r="Q1597">
        <v>82</v>
      </c>
      <c r="R1597">
        <v>1600</v>
      </c>
      <c r="S1597">
        <v>1600</v>
      </c>
      <c r="T1597">
        <v>0</v>
      </c>
      <c r="U1597">
        <v>0</v>
      </c>
      <c r="V1597">
        <v>1</v>
      </c>
      <c r="W1597">
        <v>0</v>
      </c>
      <c r="X1597">
        <v>0.85</v>
      </c>
    </row>
    <row r="1598" spans="1:24" x14ac:dyDescent="0.3">
      <c r="A1598" t="s">
        <v>2322</v>
      </c>
      <c r="B1598" s="1">
        <v>45829</v>
      </c>
      <c r="C1598" t="s">
        <v>67</v>
      </c>
      <c r="D1598" t="s">
        <v>88</v>
      </c>
      <c r="E1598" t="s">
        <v>27</v>
      </c>
      <c r="F1598" t="s">
        <v>58</v>
      </c>
      <c r="G1598" t="s">
        <v>59</v>
      </c>
      <c r="H1598" t="s">
        <v>296</v>
      </c>
      <c r="I1598" t="s">
        <v>600</v>
      </c>
      <c r="J1598" t="s">
        <v>137</v>
      </c>
      <c r="K1598" t="s">
        <v>63</v>
      </c>
      <c r="L1598" t="s">
        <v>78</v>
      </c>
      <c r="M1598" t="s">
        <v>86</v>
      </c>
      <c r="N1598" t="s">
        <v>36</v>
      </c>
      <c r="O1598">
        <v>60</v>
      </c>
      <c r="P1598">
        <v>60</v>
      </c>
      <c r="Q1598">
        <v>74.599999999999994</v>
      </c>
      <c r="R1598">
        <v>1400</v>
      </c>
      <c r="S1598">
        <v>1400</v>
      </c>
      <c r="T1598">
        <v>0</v>
      </c>
      <c r="U1598">
        <v>0</v>
      </c>
      <c r="V1598">
        <v>1</v>
      </c>
      <c r="W1598">
        <v>0</v>
      </c>
      <c r="X1598">
        <v>0.85</v>
      </c>
    </row>
    <row r="1599" spans="1:24" x14ac:dyDescent="0.3">
      <c r="A1599" t="s">
        <v>2323</v>
      </c>
      <c r="B1599" s="1">
        <v>46014</v>
      </c>
      <c r="C1599" t="s">
        <v>25</v>
      </c>
      <c r="D1599" t="s">
        <v>26</v>
      </c>
      <c r="E1599" t="s">
        <v>83</v>
      </c>
      <c r="F1599" t="s">
        <v>41</v>
      </c>
      <c r="G1599" t="s">
        <v>42</v>
      </c>
      <c r="H1599" t="s">
        <v>51</v>
      </c>
      <c r="I1599" t="s">
        <v>2324</v>
      </c>
      <c r="J1599" t="s">
        <v>62</v>
      </c>
      <c r="K1599" t="s">
        <v>104</v>
      </c>
      <c r="L1599" t="s">
        <v>64</v>
      </c>
      <c r="M1599" t="s">
        <v>35</v>
      </c>
      <c r="N1599" t="s">
        <v>95</v>
      </c>
      <c r="O1599">
        <v>60</v>
      </c>
      <c r="P1599">
        <v>0</v>
      </c>
      <c r="Q1599">
        <v>68.8</v>
      </c>
      <c r="R1599">
        <v>1350</v>
      </c>
      <c r="S1599">
        <v>0</v>
      </c>
      <c r="T1599">
        <v>1350</v>
      </c>
      <c r="U1599">
        <v>1</v>
      </c>
      <c r="V1599">
        <v>0</v>
      </c>
      <c r="W1599">
        <v>0</v>
      </c>
      <c r="X1599">
        <v>0.85</v>
      </c>
    </row>
    <row r="1600" spans="1:24" x14ac:dyDescent="0.3">
      <c r="A1600" t="s">
        <v>2325</v>
      </c>
      <c r="B1600" s="1">
        <v>45938</v>
      </c>
      <c r="C1600" t="s">
        <v>97</v>
      </c>
      <c r="D1600" t="s">
        <v>57</v>
      </c>
      <c r="E1600" t="s">
        <v>27</v>
      </c>
      <c r="F1600" t="s">
        <v>28</v>
      </c>
      <c r="G1600" t="s">
        <v>29</v>
      </c>
      <c r="H1600" t="s">
        <v>120</v>
      </c>
      <c r="I1600" t="s">
        <v>294</v>
      </c>
      <c r="J1600" t="s">
        <v>99</v>
      </c>
      <c r="K1600" t="s">
        <v>46</v>
      </c>
      <c r="L1600" t="s">
        <v>34</v>
      </c>
      <c r="M1600" t="s">
        <v>65</v>
      </c>
      <c r="N1600" t="s">
        <v>36</v>
      </c>
      <c r="O1600">
        <v>60</v>
      </c>
      <c r="P1600">
        <v>60</v>
      </c>
      <c r="Q1600">
        <v>67.5</v>
      </c>
      <c r="R1600">
        <v>1250</v>
      </c>
      <c r="S1600">
        <v>1250</v>
      </c>
      <c r="T1600">
        <v>0</v>
      </c>
      <c r="U1600">
        <v>0</v>
      </c>
      <c r="V1600">
        <v>1</v>
      </c>
      <c r="W1600">
        <v>0</v>
      </c>
      <c r="X1600">
        <v>0.85</v>
      </c>
    </row>
    <row r="1601" spans="1:24" x14ac:dyDescent="0.3">
      <c r="A1601" t="s">
        <v>2326</v>
      </c>
      <c r="B1601" s="1">
        <v>45975</v>
      </c>
      <c r="C1601" t="s">
        <v>38</v>
      </c>
      <c r="D1601" t="s">
        <v>82</v>
      </c>
      <c r="E1601" t="s">
        <v>40</v>
      </c>
      <c r="F1601" t="s">
        <v>58</v>
      </c>
      <c r="G1601" t="s">
        <v>59</v>
      </c>
      <c r="H1601" t="s">
        <v>60</v>
      </c>
      <c r="I1601" t="s">
        <v>2327</v>
      </c>
      <c r="J1601" t="s">
        <v>45</v>
      </c>
      <c r="K1601" t="s">
        <v>33</v>
      </c>
      <c r="L1601" t="s">
        <v>78</v>
      </c>
      <c r="M1601" t="s">
        <v>86</v>
      </c>
      <c r="N1601" t="s">
        <v>113</v>
      </c>
      <c r="O1601">
        <v>30</v>
      </c>
      <c r="P1601">
        <v>0</v>
      </c>
      <c r="Q1601">
        <v>34</v>
      </c>
      <c r="R1601">
        <v>800</v>
      </c>
      <c r="S1601">
        <v>0</v>
      </c>
      <c r="T1601">
        <v>800</v>
      </c>
      <c r="U1601">
        <v>0</v>
      </c>
      <c r="V1601">
        <v>0</v>
      </c>
      <c r="W1601">
        <v>1</v>
      </c>
      <c r="X1601">
        <v>0.85</v>
      </c>
    </row>
    <row r="1602" spans="1:24" x14ac:dyDescent="0.3">
      <c r="A1602" t="s">
        <v>2328</v>
      </c>
      <c r="B1602" s="1">
        <v>45890</v>
      </c>
      <c r="C1602" t="s">
        <v>110</v>
      </c>
      <c r="D1602" t="s">
        <v>50</v>
      </c>
      <c r="E1602" t="s">
        <v>27</v>
      </c>
      <c r="F1602" t="s">
        <v>58</v>
      </c>
      <c r="G1602" t="s">
        <v>59</v>
      </c>
      <c r="H1602" t="s">
        <v>60</v>
      </c>
      <c r="I1602" t="s">
        <v>1305</v>
      </c>
      <c r="J1602" t="s">
        <v>62</v>
      </c>
      <c r="K1602" t="s">
        <v>33</v>
      </c>
      <c r="L1602" t="s">
        <v>34</v>
      </c>
      <c r="M1602" t="s">
        <v>94</v>
      </c>
      <c r="N1602" t="s">
        <v>113</v>
      </c>
      <c r="O1602">
        <v>60</v>
      </c>
      <c r="P1602">
        <v>0</v>
      </c>
      <c r="Q1602">
        <v>72</v>
      </c>
      <c r="R1602">
        <v>1500</v>
      </c>
      <c r="S1602">
        <v>0</v>
      </c>
      <c r="T1602">
        <v>1500</v>
      </c>
      <c r="U1602">
        <v>0</v>
      </c>
      <c r="V1602">
        <v>0</v>
      </c>
      <c r="W1602">
        <v>1</v>
      </c>
      <c r="X1602">
        <v>0.85</v>
      </c>
    </row>
    <row r="1603" spans="1:24" x14ac:dyDescent="0.3">
      <c r="A1603" t="s">
        <v>2329</v>
      </c>
      <c r="B1603" s="1">
        <v>45810</v>
      </c>
      <c r="C1603" t="s">
        <v>67</v>
      </c>
      <c r="D1603" t="s">
        <v>39</v>
      </c>
      <c r="E1603" t="s">
        <v>40</v>
      </c>
      <c r="F1603" t="s">
        <v>58</v>
      </c>
      <c r="G1603" t="s">
        <v>59</v>
      </c>
      <c r="H1603" t="s">
        <v>73</v>
      </c>
      <c r="I1603" t="s">
        <v>852</v>
      </c>
      <c r="J1603" t="s">
        <v>62</v>
      </c>
      <c r="K1603" t="s">
        <v>63</v>
      </c>
      <c r="L1603" t="s">
        <v>34</v>
      </c>
      <c r="M1603" t="s">
        <v>71</v>
      </c>
      <c r="N1603" t="s">
        <v>36</v>
      </c>
      <c r="O1603">
        <v>45</v>
      </c>
      <c r="P1603">
        <v>45</v>
      </c>
      <c r="Q1603">
        <v>49.6</v>
      </c>
      <c r="R1603">
        <v>1100</v>
      </c>
      <c r="S1603">
        <v>1100</v>
      </c>
      <c r="T1603">
        <v>0</v>
      </c>
      <c r="U1603">
        <v>0</v>
      </c>
      <c r="V1603">
        <v>1</v>
      </c>
      <c r="W1603">
        <v>0</v>
      </c>
      <c r="X1603">
        <v>0.85</v>
      </c>
    </row>
    <row r="1604" spans="1:24" x14ac:dyDescent="0.3">
      <c r="A1604" t="s">
        <v>2330</v>
      </c>
      <c r="B1604" s="1">
        <v>45996</v>
      </c>
      <c r="C1604" t="s">
        <v>25</v>
      </c>
      <c r="D1604" t="s">
        <v>82</v>
      </c>
      <c r="E1604" t="s">
        <v>83</v>
      </c>
      <c r="F1604" t="s">
        <v>58</v>
      </c>
      <c r="G1604" t="s">
        <v>59</v>
      </c>
      <c r="H1604" t="s">
        <v>117</v>
      </c>
      <c r="I1604" t="s">
        <v>1773</v>
      </c>
      <c r="J1604" t="s">
        <v>99</v>
      </c>
      <c r="K1604" t="s">
        <v>85</v>
      </c>
      <c r="L1604" t="s">
        <v>54</v>
      </c>
      <c r="M1604" t="s">
        <v>94</v>
      </c>
      <c r="N1604" t="s">
        <v>153</v>
      </c>
      <c r="O1604">
        <v>30</v>
      </c>
      <c r="P1604">
        <v>0</v>
      </c>
      <c r="Q1604">
        <v>39.200000000000003</v>
      </c>
      <c r="R1604">
        <v>650</v>
      </c>
      <c r="S1604">
        <v>0</v>
      </c>
      <c r="T1604">
        <v>0</v>
      </c>
      <c r="U1604">
        <v>0</v>
      </c>
      <c r="V1604">
        <v>0</v>
      </c>
      <c r="W1604">
        <v>0</v>
      </c>
      <c r="X1604">
        <v>0.85</v>
      </c>
    </row>
    <row r="1605" spans="1:24" x14ac:dyDescent="0.3">
      <c r="A1605" t="s">
        <v>2331</v>
      </c>
      <c r="B1605" s="1">
        <v>45951</v>
      </c>
      <c r="C1605" t="s">
        <v>97</v>
      </c>
      <c r="D1605" t="s">
        <v>26</v>
      </c>
      <c r="E1605" t="s">
        <v>27</v>
      </c>
      <c r="F1605" t="s">
        <v>58</v>
      </c>
      <c r="G1605" t="s">
        <v>59</v>
      </c>
      <c r="H1605" t="s">
        <v>117</v>
      </c>
      <c r="I1605" t="s">
        <v>1765</v>
      </c>
      <c r="J1605" t="s">
        <v>137</v>
      </c>
      <c r="K1605" t="s">
        <v>70</v>
      </c>
      <c r="L1605" t="s">
        <v>34</v>
      </c>
      <c r="M1605" t="s">
        <v>94</v>
      </c>
      <c r="N1605" t="s">
        <v>36</v>
      </c>
      <c r="O1605">
        <v>60</v>
      </c>
      <c r="P1605">
        <v>60</v>
      </c>
      <c r="Q1605">
        <v>72.8</v>
      </c>
      <c r="R1605">
        <v>1500</v>
      </c>
      <c r="S1605">
        <v>1500</v>
      </c>
      <c r="T1605">
        <v>0</v>
      </c>
      <c r="U1605">
        <v>0</v>
      </c>
      <c r="V1605">
        <v>1</v>
      </c>
      <c r="W1605">
        <v>0</v>
      </c>
      <c r="X1605">
        <v>0.85</v>
      </c>
    </row>
    <row r="1606" spans="1:24" x14ac:dyDescent="0.3">
      <c r="A1606" t="s">
        <v>2332</v>
      </c>
      <c r="B1606" s="1">
        <v>45744</v>
      </c>
      <c r="C1606" t="s">
        <v>56</v>
      </c>
      <c r="D1606" t="s">
        <v>82</v>
      </c>
      <c r="E1606" t="s">
        <v>68</v>
      </c>
      <c r="F1606" t="s">
        <v>58</v>
      </c>
      <c r="G1606" t="s">
        <v>59</v>
      </c>
      <c r="H1606" t="s">
        <v>117</v>
      </c>
      <c r="I1606" t="s">
        <v>921</v>
      </c>
      <c r="J1606" t="s">
        <v>62</v>
      </c>
      <c r="K1606" t="s">
        <v>63</v>
      </c>
      <c r="L1606" t="s">
        <v>64</v>
      </c>
      <c r="M1606" t="s">
        <v>35</v>
      </c>
      <c r="N1606" t="s">
        <v>36</v>
      </c>
      <c r="O1606">
        <v>75</v>
      </c>
      <c r="P1606">
        <v>75</v>
      </c>
      <c r="Q1606">
        <v>93.6</v>
      </c>
      <c r="R1606">
        <v>1900</v>
      </c>
      <c r="S1606">
        <v>1900</v>
      </c>
      <c r="T1606">
        <v>0</v>
      </c>
      <c r="U1606">
        <v>0</v>
      </c>
      <c r="V1606">
        <v>1</v>
      </c>
      <c r="W1606">
        <v>0</v>
      </c>
      <c r="X1606">
        <v>0.85</v>
      </c>
    </row>
    <row r="1607" spans="1:24" x14ac:dyDescent="0.3">
      <c r="A1607" t="s">
        <v>2333</v>
      </c>
      <c r="B1607" s="1">
        <v>45784</v>
      </c>
      <c r="C1607" t="s">
        <v>128</v>
      </c>
      <c r="D1607" t="s">
        <v>57</v>
      </c>
      <c r="E1607" t="s">
        <v>27</v>
      </c>
      <c r="F1607" t="s">
        <v>28</v>
      </c>
      <c r="G1607" t="s">
        <v>29</v>
      </c>
      <c r="H1607" t="s">
        <v>102</v>
      </c>
      <c r="I1607" t="s">
        <v>2249</v>
      </c>
      <c r="J1607" t="s">
        <v>32</v>
      </c>
      <c r="K1607" t="s">
        <v>70</v>
      </c>
      <c r="L1607" t="s">
        <v>78</v>
      </c>
      <c r="M1607" t="s">
        <v>35</v>
      </c>
      <c r="N1607" t="s">
        <v>36</v>
      </c>
      <c r="O1607">
        <v>90</v>
      </c>
      <c r="P1607">
        <v>90</v>
      </c>
      <c r="Q1607">
        <v>101.2</v>
      </c>
      <c r="R1607">
        <v>1700</v>
      </c>
      <c r="S1607">
        <v>1700</v>
      </c>
      <c r="T1607">
        <v>0</v>
      </c>
      <c r="U1607">
        <v>0</v>
      </c>
      <c r="V1607">
        <v>1</v>
      </c>
      <c r="W1607">
        <v>0</v>
      </c>
      <c r="X1607">
        <v>0.85</v>
      </c>
    </row>
    <row r="1608" spans="1:24" x14ac:dyDescent="0.3">
      <c r="A1608" t="s">
        <v>2334</v>
      </c>
      <c r="B1608" s="1">
        <v>45723</v>
      </c>
      <c r="C1608" t="s">
        <v>56</v>
      </c>
      <c r="D1608" t="s">
        <v>82</v>
      </c>
      <c r="E1608" t="s">
        <v>68</v>
      </c>
      <c r="F1608" t="s">
        <v>58</v>
      </c>
      <c r="G1608" t="s">
        <v>59</v>
      </c>
      <c r="H1608" t="s">
        <v>151</v>
      </c>
      <c r="I1608" t="s">
        <v>535</v>
      </c>
      <c r="J1608" t="s">
        <v>53</v>
      </c>
      <c r="K1608" t="s">
        <v>33</v>
      </c>
      <c r="L1608" t="s">
        <v>34</v>
      </c>
      <c r="M1608" t="s">
        <v>47</v>
      </c>
      <c r="N1608" t="s">
        <v>36</v>
      </c>
      <c r="O1608">
        <v>45</v>
      </c>
      <c r="P1608">
        <v>45</v>
      </c>
      <c r="Q1608">
        <v>51.5</v>
      </c>
      <c r="R1608">
        <v>1350</v>
      </c>
      <c r="S1608">
        <v>1350</v>
      </c>
      <c r="T1608">
        <v>0</v>
      </c>
      <c r="U1608">
        <v>0</v>
      </c>
      <c r="V1608">
        <v>1</v>
      </c>
      <c r="W1608">
        <v>0</v>
      </c>
      <c r="X1608">
        <v>0.85</v>
      </c>
    </row>
    <row r="1609" spans="1:24" x14ac:dyDescent="0.3">
      <c r="A1609" t="s">
        <v>2335</v>
      </c>
      <c r="B1609" s="1">
        <v>46017</v>
      </c>
      <c r="C1609" t="s">
        <v>25</v>
      </c>
      <c r="D1609" t="s">
        <v>82</v>
      </c>
      <c r="E1609" t="s">
        <v>27</v>
      </c>
      <c r="F1609" t="s">
        <v>28</v>
      </c>
      <c r="G1609" t="s">
        <v>29</v>
      </c>
      <c r="H1609" t="s">
        <v>30</v>
      </c>
      <c r="I1609" t="s">
        <v>1299</v>
      </c>
      <c r="J1609" t="s">
        <v>62</v>
      </c>
      <c r="K1609" t="s">
        <v>33</v>
      </c>
      <c r="L1609" t="s">
        <v>64</v>
      </c>
      <c r="M1609" t="s">
        <v>86</v>
      </c>
      <c r="N1609" t="s">
        <v>36</v>
      </c>
      <c r="O1609">
        <v>90</v>
      </c>
      <c r="P1609">
        <v>90</v>
      </c>
      <c r="Q1609">
        <v>105.5</v>
      </c>
      <c r="R1609">
        <v>1900</v>
      </c>
      <c r="S1609">
        <v>1900</v>
      </c>
      <c r="T1609">
        <v>0</v>
      </c>
      <c r="U1609">
        <v>0</v>
      </c>
      <c r="V1609">
        <v>1</v>
      </c>
      <c r="W1609">
        <v>0</v>
      </c>
      <c r="X1609">
        <v>0.85</v>
      </c>
    </row>
    <row r="1610" spans="1:24" x14ac:dyDescent="0.3">
      <c r="A1610" t="s">
        <v>2336</v>
      </c>
      <c r="B1610" s="1">
        <v>45686</v>
      </c>
      <c r="C1610" t="s">
        <v>130</v>
      </c>
      <c r="D1610" t="s">
        <v>57</v>
      </c>
      <c r="E1610" t="s">
        <v>40</v>
      </c>
      <c r="F1610" t="s">
        <v>41</v>
      </c>
      <c r="G1610" t="s">
        <v>42</v>
      </c>
      <c r="H1610" t="s">
        <v>43</v>
      </c>
      <c r="I1610" t="s">
        <v>1666</v>
      </c>
      <c r="J1610" t="s">
        <v>45</v>
      </c>
      <c r="K1610" t="s">
        <v>46</v>
      </c>
      <c r="L1610" t="s">
        <v>34</v>
      </c>
      <c r="M1610" t="s">
        <v>94</v>
      </c>
      <c r="N1610" t="s">
        <v>36</v>
      </c>
      <c r="O1610">
        <v>75</v>
      </c>
      <c r="P1610">
        <v>75</v>
      </c>
      <c r="Q1610">
        <v>83.7</v>
      </c>
      <c r="R1610">
        <v>1950</v>
      </c>
      <c r="S1610">
        <v>1950</v>
      </c>
      <c r="T1610">
        <v>0</v>
      </c>
      <c r="U1610">
        <v>0</v>
      </c>
      <c r="V1610">
        <v>1</v>
      </c>
      <c r="W1610">
        <v>0</v>
      </c>
      <c r="X1610">
        <v>0.85</v>
      </c>
    </row>
    <row r="1611" spans="1:24" x14ac:dyDescent="0.3">
      <c r="A1611" t="s">
        <v>2337</v>
      </c>
      <c r="B1611" s="1">
        <v>45694</v>
      </c>
      <c r="C1611" t="s">
        <v>76</v>
      </c>
      <c r="D1611" t="s">
        <v>50</v>
      </c>
      <c r="E1611" t="s">
        <v>27</v>
      </c>
      <c r="F1611" t="s">
        <v>58</v>
      </c>
      <c r="G1611" t="s">
        <v>59</v>
      </c>
      <c r="H1611" t="s">
        <v>117</v>
      </c>
      <c r="I1611" t="s">
        <v>1886</v>
      </c>
      <c r="J1611" t="s">
        <v>53</v>
      </c>
      <c r="K1611" t="s">
        <v>63</v>
      </c>
      <c r="L1611" t="s">
        <v>54</v>
      </c>
      <c r="M1611" t="s">
        <v>86</v>
      </c>
      <c r="N1611" t="s">
        <v>36</v>
      </c>
      <c r="O1611">
        <v>45</v>
      </c>
      <c r="P1611">
        <v>45</v>
      </c>
      <c r="Q1611">
        <v>51.2</v>
      </c>
      <c r="R1611">
        <v>1150</v>
      </c>
      <c r="S1611">
        <v>1150</v>
      </c>
      <c r="T1611">
        <v>0</v>
      </c>
      <c r="U1611">
        <v>0</v>
      </c>
      <c r="V1611">
        <v>1</v>
      </c>
      <c r="W1611">
        <v>0</v>
      </c>
      <c r="X1611">
        <v>0.85</v>
      </c>
    </row>
    <row r="1612" spans="1:24" x14ac:dyDescent="0.3">
      <c r="A1612" t="s">
        <v>2338</v>
      </c>
      <c r="B1612" s="1">
        <v>45813</v>
      </c>
      <c r="C1612" t="s">
        <v>67</v>
      </c>
      <c r="D1612" t="s">
        <v>50</v>
      </c>
      <c r="E1612" t="s">
        <v>83</v>
      </c>
      <c r="F1612" t="s">
        <v>41</v>
      </c>
      <c r="G1612" t="s">
        <v>42</v>
      </c>
      <c r="H1612" t="s">
        <v>125</v>
      </c>
      <c r="I1612" t="s">
        <v>1520</v>
      </c>
      <c r="J1612" t="s">
        <v>45</v>
      </c>
      <c r="K1612" t="s">
        <v>63</v>
      </c>
      <c r="L1612" t="s">
        <v>64</v>
      </c>
      <c r="M1612" t="s">
        <v>86</v>
      </c>
      <c r="N1612" t="s">
        <v>36</v>
      </c>
      <c r="O1612">
        <v>90</v>
      </c>
      <c r="P1612">
        <v>90</v>
      </c>
      <c r="Q1612">
        <v>105.2</v>
      </c>
      <c r="R1612">
        <v>2350</v>
      </c>
      <c r="S1612">
        <v>2350</v>
      </c>
      <c r="T1612">
        <v>0</v>
      </c>
      <c r="U1612">
        <v>0</v>
      </c>
      <c r="V1612">
        <v>1</v>
      </c>
      <c r="W1612">
        <v>0</v>
      </c>
      <c r="X1612">
        <v>0.85</v>
      </c>
    </row>
    <row r="1613" spans="1:24" x14ac:dyDescent="0.3">
      <c r="A1613" t="s">
        <v>2339</v>
      </c>
      <c r="B1613" s="1">
        <v>45963</v>
      </c>
      <c r="C1613" t="s">
        <v>38</v>
      </c>
      <c r="D1613" t="s">
        <v>287</v>
      </c>
      <c r="E1613" t="s">
        <v>40</v>
      </c>
      <c r="F1613" t="s">
        <v>28</v>
      </c>
      <c r="G1613" t="s">
        <v>29</v>
      </c>
      <c r="H1613" t="s">
        <v>210</v>
      </c>
      <c r="I1613" t="s">
        <v>1562</v>
      </c>
      <c r="J1613" t="s">
        <v>32</v>
      </c>
      <c r="K1613" t="s">
        <v>85</v>
      </c>
      <c r="L1613" t="s">
        <v>34</v>
      </c>
      <c r="M1613" t="s">
        <v>35</v>
      </c>
      <c r="N1613" t="s">
        <v>36</v>
      </c>
      <c r="O1613">
        <v>60</v>
      </c>
      <c r="P1613">
        <v>60</v>
      </c>
      <c r="Q1613">
        <v>68.2</v>
      </c>
      <c r="R1613">
        <v>1250</v>
      </c>
      <c r="S1613">
        <v>1250</v>
      </c>
      <c r="T1613">
        <v>0</v>
      </c>
      <c r="U1613">
        <v>0</v>
      </c>
      <c r="V1613">
        <v>1</v>
      </c>
      <c r="W1613">
        <v>0</v>
      </c>
      <c r="X1613">
        <v>0.85</v>
      </c>
    </row>
    <row r="1614" spans="1:24" x14ac:dyDescent="0.3">
      <c r="A1614" t="s">
        <v>2340</v>
      </c>
      <c r="B1614" s="1">
        <v>45831</v>
      </c>
      <c r="C1614" t="s">
        <v>67</v>
      </c>
      <c r="D1614" t="s">
        <v>39</v>
      </c>
      <c r="E1614" t="s">
        <v>68</v>
      </c>
      <c r="F1614" t="s">
        <v>41</v>
      </c>
      <c r="G1614" t="s">
        <v>42</v>
      </c>
      <c r="H1614" t="s">
        <v>125</v>
      </c>
      <c r="I1614" t="s">
        <v>648</v>
      </c>
      <c r="J1614" t="s">
        <v>45</v>
      </c>
      <c r="K1614" t="s">
        <v>104</v>
      </c>
      <c r="L1614" t="s">
        <v>34</v>
      </c>
      <c r="M1614" t="s">
        <v>35</v>
      </c>
      <c r="N1614" t="s">
        <v>36</v>
      </c>
      <c r="O1614">
        <v>60</v>
      </c>
      <c r="P1614">
        <v>60</v>
      </c>
      <c r="Q1614">
        <v>67.400000000000006</v>
      </c>
      <c r="R1614">
        <v>1550</v>
      </c>
      <c r="S1614">
        <v>1550</v>
      </c>
      <c r="T1614">
        <v>0</v>
      </c>
      <c r="U1614">
        <v>0</v>
      </c>
      <c r="V1614">
        <v>1</v>
      </c>
      <c r="W1614">
        <v>0</v>
      </c>
      <c r="X1614">
        <v>0.85</v>
      </c>
    </row>
    <row r="1615" spans="1:24" x14ac:dyDescent="0.3">
      <c r="A1615" t="s">
        <v>2341</v>
      </c>
      <c r="B1615" s="1">
        <v>45735</v>
      </c>
      <c r="C1615" t="s">
        <v>56</v>
      </c>
      <c r="D1615" t="s">
        <v>57</v>
      </c>
      <c r="E1615" t="s">
        <v>40</v>
      </c>
      <c r="F1615" t="s">
        <v>28</v>
      </c>
      <c r="G1615" t="s">
        <v>29</v>
      </c>
      <c r="H1615" t="s">
        <v>210</v>
      </c>
      <c r="I1615" t="s">
        <v>1439</v>
      </c>
      <c r="J1615" t="s">
        <v>62</v>
      </c>
      <c r="K1615" t="s">
        <v>46</v>
      </c>
      <c r="L1615" t="s">
        <v>64</v>
      </c>
      <c r="M1615" t="s">
        <v>86</v>
      </c>
      <c r="N1615" t="s">
        <v>36</v>
      </c>
      <c r="O1615">
        <v>60</v>
      </c>
      <c r="P1615">
        <v>60</v>
      </c>
      <c r="Q1615">
        <v>68.7</v>
      </c>
      <c r="R1615">
        <v>1250</v>
      </c>
      <c r="S1615">
        <v>1250</v>
      </c>
      <c r="T1615">
        <v>0</v>
      </c>
      <c r="U1615">
        <v>0</v>
      </c>
      <c r="V1615">
        <v>1</v>
      </c>
      <c r="W1615">
        <v>0</v>
      </c>
      <c r="X1615">
        <v>0.85</v>
      </c>
    </row>
    <row r="1616" spans="1:24" x14ac:dyDescent="0.3">
      <c r="A1616" t="s">
        <v>2342</v>
      </c>
      <c r="B1616" s="1">
        <v>45784</v>
      </c>
      <c r="C1616" t="s">
        <v>128</v>
      </c>
      <c r="D1616" t="s">
        <v>57</v>
      </c>
      <c r="E1616" t="s">
        <v>40</v>
      </c>
      <c r="F1616" t="s">
        <v>41</v>
      </c>
      <c r="G1616" t="s">
        <v>42</v>
      </c>
      <c r="H1616" t="s">
        <v>51</v>
      </c>
      <c r="I1616" t="s">
        <v>1341</v>
      </c>
      <c r="J1616" t="s">
        <v>53</v>
      </c>
      <c r="K1616" t="s">
        <v>85</v>
      </c>
      <c r="L1616" t="s">
        <v>34</v>
      </c>
      <c r="M1616" t="s">
        <v>35</v>
      </c>
      <c r="N1616" t="s">
        <v>36</v>
      </c>
      <c r="O1616">
        <v>60</v>
      </c>
      <c r="P1616">
        <v>60</v>
      </c>
      <c r="Q1616">
        <v>70.7</v>
      </c>
      <c r="R1616">
        <v>1600</v>
      </c>
      <c r="S1616">
        <v>1600</v>
      </c>
      <c r="T1616">
        <v>0</v>
      </c>
      <c r="U1616">
        <v>0</v>
      </c>
      <c r="V1616">
        <v>1</v>
      </c>
      <c r="W1616">
        <v>0</v>
      </c>
      <c r="X1616">
        <v>0.85</v>
      </c>
    </row>
    <row r="1617" spans="1:24" x14ac:dyDescent="0.3">
      <c r="A1617" t="s">
        <v>2343</v>
      </c>
      <c r="B1617" s="1">
        <v>45727</v>
      </c>
      <c r="C1617" t="s">
        <v>56</v>
      </c>
      <c r="D1617" t="s">
        <v>26</v>
      </c>
      <c r="E1617" t="s">
        <v>83</v>
      </c>
      <c r="F1617" t="s">
        <v>28</v>
      </c>
      <c r="G1617" t="s">
        <v>29</v>
      </c>
      <c r="H1617" t="s">
        <v>120</v>
      </c>
      <c r="I1617" t="s">
        <v>949</v>
      </c>
      <c r="J1617" t="s">
        <v>62</v>
      </c>
      <c r="K1617" t="s">
        <v>63</v>
      </c>
      <c r="L1617" t="s">
        <v>34</v>
      </c>
      <c r="M1617" t="s">
        <v>86</v>
      </c>
      <c r="N1617" t="s">
        <v>36</v>
      </c>
      <c r="O1617">
        <v>60</v>
      </c>
      <c r="P1617">
        <v>60</v>
      </c>
      <c r="Q1617">
        <v>80.2</v>
      </c>
      <c r="R1617">
        <v>1250</v>
      </c>
      <c r="S1617">
        <v>1250</v>
      </c>
      <c r="T1617">
        <v>0</v>
      </c>
      <c r="U1617">
        <v>0</v>
      </c>
      <c r="V1617">
        <v>1</v>
      </c>
      <c r="W1617">
        <v>0</v>
      </c>
      <c r="X1617">
        <v>0.85</v>
      </c>
    </row>
    <row r="1618" spans="1:24" x14ac:dyDescent="0.3">
      <c r="A1618" t="s">
        <v>2344</v>
      </c>
      <c r="B1618" s="1">
        <v>45889</v>
      </c>
      <c r="C1618" t="s">
        <v>110</v>
      </c>
      <c r="D1618" t="s">
        <v>57</v>
      </c>
      <c r="E1618" t="s">
        <v>27</v>
      </c>
      <c r="F1618" t="s">
        <v>41</v>
      </c>
      <c r="G1618" t="s">
        <v>42</v>
      </c>
      <c r="H1618" t="s">
        <v>51</v>
      </c>
      <c r="I1618" t="s">
        <v>645</v>
      </c>
      <c r="J1618" t="s">
        <v>62</v>
      </c>
      <c r="K1618" t="s">
        <v>104</v>
      </c>
      <c r="L1618" t="s">
        <v>64</v>
      </c>
      <c r="M1618" t="s">
        <v>86</v>
      </c>
      <c r="N1618" t="s">
        <v>36</v>
      </c>
      <c r="O1618">
        <v>90</v>
      </c>
      <c r="P1618">
        <v>90</v>
      </c>
      <c r="Q1618">
        <v>105.1</v>
      </c>
      <c r="R1618">
        <v>2000</v>
      </c>
      <c r="S1618">
        <v>2000</v>
      </c>
      <c r="T1618">
        <v>0</v>
      </c>
      <c r="U1618">
        <v>0</v>
      </c>
      <c r="V1618">
        <v>1</v>
      </c>
      <c r="W1618">
        <v>0</v>
      </c>
      <c r="X1618">
        <v>0.85</v>
      </c>
    </row>
    <row r="1619" spans="1:24" x14ac:dyDescent="0.3">
      <c r="A1619" t="s">
        <v>2345</v>
      </c>
      <c r="B1619" s="1">
        <v>45894</v>
      </c>
      <c r="C1619" t="s">
        <v>110</v>
      </c>
      <c r="D1619" t="s">
        <v>39</v>
      </c>
      <c r="E1619" t="s">
        <v>83</v>
      </c>
      <c r="F1619" t="s">
        <v>58</v>
      </c>
      <c r="G1619" t="s">
        <v>59</v>
      </c>
      <c r="H1619" t="s">
        <v>117</v>
      </c>
      <c r="I1619" t="s">
        <v>1609</v>
      </c>
      <c r="J1619" t="s">
        <v>99</v>
      </c>
      <c r="K1619" t="s">
        <v>46</v>
      </c>
      <c r="L1619" t="s">
        <v>64</v>
      </c>
      <c r="M1619" t="s">
        <v>86</v>
      </c>
      <c r="N1619" t="s">
        <v>95</v>
      </c>
      <c r="O1619">
        <v>45</v>
      </c>
      <c r="P1619">
        <v>0</v>
      </c>
      <c r="Q1619">
        <v>55.3</v>
      </c>
      <c r="R1619">
        <v>1100</v>
      </c>
      <c r="S1619">
        <v>0</v>
      </c>
      <c r="T1619">
        <v>1100</v>
      </c>
      <c r="U1619">
        <v>1</v>
      </c>
      <c r="V1619">
        <v>0</v>
      </c>
      <c r="W1619">
        <v>0</v>
      </c>
      <c r="X1619">
        <v>0.85</v>
      </c>
    </row>
    <row r="1620" spans="1:24" x14ac:dyDescent="0.3">
      <c r="A1620" t="s">
        <v>2346</v>
      </c>
      <c r="B1620" s="1">
        <v>45852</v>
      </c>
      <c r="C1620" t="s">
        <v>101</v>
      </c>
      <c r="D1620" t="s">
        <v>39</v>
      </c>
      <c r="E1620" t="s">
        <v>68</v>
      </c>
      <c r="F1620" t="s">
        <v>28</v>
      </c>
      <c r="G1620" t="s">
        <v>29</v>
      </c>
      <c r="H1620" t="s">
        <v>210</v>
      </c>
      <c r="I1620" t="s">
        <v>600</v>
      </c>
      <c r="J1620" t="s">
        <v>62</v>
      </c>
      <c r="K1620" t="s">
        <v>46</v>
      </c>
      <c r="L1620" t="s">
        <v>34</v>
      </c>
      <c r="M1620" t="s">
        <v>35</v>
      </c>
      <c r="N1620" t="s">
        <v>36</v>
      </c>
      <c r="O1620">
        <v>60</v>
      </c>
      <c r="P1620">
        <v>60</v>
      </c>
      <c r="Q1620">
        <v>73.7</v>
      </c>
      <c r="R1620">
        <v>1250</v>
      </c>
      <c r="S1620">
        <v>1250</v>
      </c>
      <c r="T1620">
        <v>0</v>
      </c>
      <c r="U1620">
        <v>0</v>
      </c>
      <c r="V1620">
        <v>1</v>
      </c>
      <c r="W1620">
        <v>0</v>
      </c>
      <c r="X1620">
        <v>0.85</v>
      </c>
    </row>
    <row r="1621" spans="1:24" x14ac:dyDescent="0.3">
      <c r="A1621" t="s">
        <v>2347</v>
      </c>
      <c r="B1621" s="1">
        <v>45947</v>
      </c>
      <c r="C1621" t="s">
        <v>97</v>
      </c>
      <c r="D1621" t="s">
        <v>82</v>
      </c>
      <c r="E1621" t="s">
        <v>68</v>
      </c>
      <c r="F1621" t="s">
        <v>58</v>
      </c>
      <c r="G1621" t="s">
        <v>59</v>
      </c>
      <c r="H1621" t="s">
        <v>151</v>
      </c>
      <c r="I1621" t="s">
        <v>1048</v>
      </c>
      <c r="J1621" t="s">
        <v>62</v>
      </c>
      <c r="K1621" t="s">
        <v>85</v>
      </c>
      <c r="L1621" t="s">
        <v>34</v>
      </c>
      <c r="M1621" t="s">
        <v>71</v>
      </c>
      <c r="N1621" t="s">
        <v>36</v>
      </c>
      <c r="O1621">
        <v>60</v>
      </c>
      <c r="P1621">
        <v>60</v>
      </c>
      <c r="Q1621">
        <v>72</v>
      </c>
      <c r="R1621">
        <v>1500</v>
      </c>
      <c r="S1621">
        <v>1500</v>
      </c>
      <c r="T1621">
        <v>0</v>
      </c>
      <c r="U1621">
        <v>0</v>
      </c>
      <c r="V1621">
        <v>1</v>
      </c>
      <c r="W1621">
        <v>0</v>
      </c>
      <c r="X1621">
        <v>0.85</v>
      </c>
    </row>
    <row r="1622" spans="1:24" x14ac:dyDescent="0.3">
      <c r="A1622" t="s">
        <v>2348</v>
      </c>
      <c r="B1622" s="1">
        <v>45782</v>
      </c>
      <c r="C1622" t="s">
        <v>128</v>
      </c>
      <c r="D1622" t="s">
        <v>39</v>
      </c>
      <c r="E1622" t="s">
        <v>68</v>
      </c>
      <c r="F1622" t="s">
        <v>28</v>
      </c>
      <c r="G1622" t="s">
        <v>29</v>
      </c>
      <c r="H1622" t="s">
        <v>120</v>
      </c>
      <c r="I1622" t="s">
        <v>1048</v>
      </c>
      <c r="J1622" t="s">
        <v>62</v>
      </c>
      <c r="K1622" t="s">
        <v>104</v>
      </c>
      <c r="L1622" t="s">
        <v>64</v>
      </c>
      <c r="M1622" t="s">
        <v>35</v>
      </c>
      <c r="N1622" t="s">
        <v>36</v>
      </c>
      <c r="O1622">
        <v>75</v>
      </c>
      <c r="P1622">
        <v>75</v>
      </c>
      <c r="Q1622">
        <v>83.7</v>
      </c>
      <c r="R1622">
        <v>1550</v>
      </c>
      <c r="S1622">
        <v>1550</v>
      </c>
      <c r="T1622">
        <v>0</v>
      </c>
      <c r="U1622">
        <v>0</v>
      </c>
      <c r="V1622">
        <v>1</v>
      </c>
      <c r="W1622">
        <v>0</v>
      </c>
      <c r="X1622">
        <v>0.85</v>
      </c>
    </row>
    <row r="1623" spans="1:24" x14ac:dyDescent="0.3">
      <c r="A1623" t="s">
        <v>2349</v>
      </c>
      <c r="B1623" s="1">
        <v>45703</v>
      </c>
      <c r="C1623" t="s">
        <v>76</v>
      </c>
      <c r="D1623" t="s">
        <v>88</v>
      </c>
      <c r="E1623" t="s">
        <v>83</v>
      </c>
      <c r="F1623" t="s">
        <v>28</v>
      </c>
      <c r="G1623" t="s">
        <v>29</v>
      </c>
      <c r="H1623" t="s">
        <v>102</v>
      </c>
      <c r="I1623" t="s">
        <v>885</v>
      </c>
      <c r="J1623" t="s">
        <v>53</v>
      </c>
      <c r="K1623" t="s">
        <v>85</v>
      </c>
      <c r="L1623" t="s">
        <v>78</v>
      </c>
      <c r="M1623" t="s">
        <v>47</v>
      </c>
      <c r="N1623" t="s">
        <v>36</v>
      </c>
      <c r="O1623">
        <v>60</v>
      </c>
      <c r="P1623">
        <v>60</v>
      </c>
      <c r="Q1623">
        <v>67.599999999999994</v>
      </c>
      <c r="R1623">
        <v>1400</v>
      </c>
      <c r="S1623">
        <v>1400</v>
      </c>
      <c r="T1623">
        <v>0</v>
      </c>
      <c r="U1623">
        <v>0</v>
      </c>
      <c r="V1623">
        <v>1</v>
      </c>
      <c r="W1623">
        <v>0</v>
      </c>
      <c r="X1623">
        <v>0.85</v>
      </c>
    </row>
    <row r="1624" spans="1:24" x14ac:dyDescent="0.3">
      <c r="A1624" t="s">
        <v>2350</v>
      </c>
      <c r="B1624" s="1">
        <v>45915</v>
      </c>
      <c r="C1624" t="s">
        <v>49</v>
      </c>
      <c r="D1624" t="s">
        <v>39</v>
      </c>
      <c r="E1624" t="s">
        <v>40</v>
      </c>
      <c r="F1624" t="s">
        <v>28</v>
      </c>
      <c r="G1624" t="s">
        <v>29</v>
      </c>
      <c r="H1624" t="s">
        <v>120</v>
      </c>
      <c r="I1624" t="s">
        <v>788</v>
      </c>
      <c r="J1624" t="s">
        <v>62</v>
      </c>
      <c r="K1624" t="s">
        <v>85</v>
      </c>
      <c r="L1624" t="s">
        <v>34</v>
      </c>
      <c r="M1624" t="s">
        <v>71</v>
      </c>
      <c r="N1624" t="s">
        <v>95</v>
      </c>
      <c r="O1624">
        <v>45</v>
      </c>
      <c r="P1624">
        <v>0</v>
      </c>
      <c r="Q1624">
        <v>52.1</v>
      </c>
      <c r="R1624">
        <v>950</v>
      </c>
      <c r="S1624">
        <v>0</v>
      </c>
      <c r="T1624">
        <v>950</v>
      </c>
      <c r="U1624">
        <v>1</v>
      </c>
      <c r="V1624">
        <v>0</v>
      </c>
      <c r="W1624">
        <v>0</v>
      </c>
      <c r="X1624">
        <v>0.85</v>
      </c>
    </row>
    <row r="1625" spans="1:24" x14ac:dyDescent="0.3">
      <c r="A1625" t="s">
        <v>2351</v>
      </c>
      <c r="B1625" s="1">
        <v>45937</v>
      </c>
      <c r="C1625" t="s">
        <v>97</v>
      </c>
      <c r="D1625" t="s">
        <v>26</v>
      </c>
      <c r="E1625" t="s">
        <v>27</v>
      </c>
      <c r="F1625" t="s">
        <v>28</v>
      </c>
      <c r="G1625" t="s">
        <v>29</v>
      </c>
      <c r="H1625" t="s">
        <v>210</v>
      </c>
      <c r="I1625" t="s">
        <v>2352</v>
      </c>
      <c r="J1625" t="s">
        <v>32</v>
      </c>
      <c r="K1625" t="s">
        <v>46</v>
      </c>
      <c r="L1625" t="s">
        <v>34</v>
      </c>
      <c r="M1625" t="s">
        <v>71</v>
      </c>
      <c r="N1625" t="s">
        <v>95</v>
      </c>
      <c r="O1625">
        <v>45</v>
      </c>
      <c r="P1625">
        <v>0</v>
      </c>
      <c r="Q1625">
        <v>59.7</v>
      </c>
      <c r="R1625">
        <v>950</v>
      </c>
      <c r="S1625">
        <v>0</v>
      </c>
      <c r="T1625">
        <v>950</v>
      </c>
      <c r="U1625">
        <v>1</v>
      </c>
      <c r="V1625">
        <v>0</v>
      </c>
      <c r="W1625">
        <v>0</v>
      </c>
      <c r="X1625">
        <v>0.85</v>
      </c>
    </row>
    <row r="1626" spans="1:24" x14ac:dyDescent="0.3">
      <c r="A1626" t="s">
        <v>2353</v>
      </c>
      <c r="B1626" s="1">
        <v>45827</v>
      </c>
      <c r="C1626" t="s">
        <v>67</v>
      </c>
      <c r="D1626" t="s">
        <v>50</v>
      </c>
      <c r="E1626" t="s">
        <v>68</v>
      </c>
      <c r="F1626" t="s">
        <v>28</v>
      </c>
      <c r="G1626" t="s">
        <v>29</v>
      </c>
      <c r="H1626" t="s">
        <v>120</v>
      </c>
      <c r="I1626" t="s">
        <v>2354</v>
      </c>
      <c r="J1626" t="s">
        <v>45</v>
      </c>
      <c r="K1626" t="s">
        <v>33</v>
      </c>
      <c r="L1626" t="s">
        <v>64</v>
      </c>
      <c r="M1626" t="s">
        <v>35</v>
      </c>
      <c r="N1626" t="s">
        <v>95</v>
      </c>
      <c r="O1626">
        <v>60</v>
      </c>
      <c r="P1626">
        <v>0</v>
      </c>
      <c r="Q1626">
        <v>80.400000000000006</v>
      </c>
      <c r="R1626">
        <v>1450</v>
      </c>
      <c r="S1626">
        <v>0</v>
      </c>
      <c r="T1626">
        <v>1450</v>
      </c>
      <c r="U1626">
        <v>1</v>
      </c>
      <c r="V1626">
        <v>0</v>
      </c>
      <c r="W1626">
        <v>0</v>
      </c>
      <c r="X1626">
        <v>0.85</v>
      </c>
    </row>
    <row r="1627" spans="1:24" x14ac:dyDescent="0.3">
      <c r="A1627" t="s">
        <v>2355</v>
      </c>
      <c r="B1627" s="1">
        <v>45775</v>
      </c>
      <c r="C1627" t="s">
        <v>92</v>
      </c>
      <c r="D1627" t="s">
        <v>39</v>
      </c>
      <c r="E1627" t="s">
        <v>40</v>
      </c>
      <c r="F1627" t="s">
        <v>58</v>
      </c>
      <c r="G1627" t="s">
        <v>59</v>
      </c>
      <c r="H1627" t="s">
        <v>117</v>
      </c>
      <c r="I1627" t="s">
        <v>772</v>
      </c>
      <c r="J1627" t="s">
        <v>62</v>
      </c>
      <c r="K1627" t="s">
        <v>85</v>
      </c>
      <c r="L1627" t="s">
        <v>64</v>
      </c>
      <c r="M1627" t="s">
        <v>47</v>
      </c>
      <c r="N1627" t="s">
        <v>36</v>
      </c>
      <c r="O1627">
        <v>75</v>
      </c>
      <c r="P1627">
        <v>75</v>
      </c>
      <c r="Q1627">
        <v>83.2</v>
      </c>
      <c r="R1627">
        <v>1900</v>
      </c>
      <c r="S1627">
        <v>1900</v>
      </c>
      <c r="T1627">
        <v>0</v>
      </c>
      <c r="U1627">
        <v>0</v>
      </c>
      <c r="V1627">
        <v>1</v>
      </c>
      <c r="W1627">
        <v>0</v>
      </c>
      <c r="X1627">
        <v>0.85</v>
      </c>
    </row>
    <row r="1628" spans="1:24" x14ac:dyDescent="0.3">
      <c r="A1628" t="s">
        <v>2356</v>
      </c>
      <c r="B1628" s="1">
        <v>46004</v>
      </c>
      <c r="C1628" t="s">
        <v>25</v>
      </c>
      <c r="D1628" t="s">
        <v>88</v>
      </c>
      <c r="E1628" t="s">
        <v>27</v>
      </c>
      <c r="F1628" t="s">
        <v>58</v>
      </c>
      <c r="G1628" t="s">
        <v>59</v>
      </c>
      <c r="H1628" t="s">
        <v>73</v>
      </c>
      <c r="I1628" t="s">
        <v>2357</v>
      </c>
      <c r="J1628" t="s">
        <v>53</v>
      </c>
      <c r="K1628" t="s">
        <v>70</v>
      </c>
      <c r="L1628" t="s">
        <v>54</v>
      </c>
      <c r="M1628" t="s">
        <v>86</v>
      </c>
      <c r="N1628" t="s">
        <v>113</v>
      </c>
      <c r="O1628">
        <v>60</v>
      </c>
      <c r="P1628">
        <v>0</v>
      </c>
      <c r="Q1628">
        <v>66.400000000000006</v>
      </c>
      <c r="R1628">
        <v>1550</v>
      </c>
      <c r="S1628">
        <v>0</v>
      </c>
      <c r="T1628">
        <v>1550</v>
      </c>
      <c r="U1628">
        <v>0</v>
      </c>
      <c r="V1628">
        <v>0</v>
      </c>
      <c r="W1628">
        <v>1</v>
      </c>
      <c r="X1628">
        <v>0.85</v>
      </c>
    </row>
    <row r="1629" spans="1:24" x14ac:dyDescent="0.3">
      <c r="A1629" t="s">
        <v>2358</v>
      </c>
      <c r="B1629" s="1">
        <v>45733</v>
      </c>
      <c r="C1629" t="s">
        <v>56</v>
      </c>
      <c r="D1629" t="s">
        <v>39</v>
      </c>
      <c r="E1629" t="s">
        <v>40</v>
      </c>
      <c r="F1629" t="s">
        <v>28</v>
      </c>
      <c r="G1629" t="s">
        <v>29</v>
      </c>
      <c r="H1629" t="s">
        <v>30</v>
      </c>
      <c r="I1629" t="s">
        <v>2359</v>
      </c>
      <c r="J1629" t="s">
        <v>62</v>
      </c>
      <c r="K1629" t="s">
        <v>46</v>
      </c>
      <c r="L1629" t="s">
        <v>78</v>
      </c>
      <c r="M1629" t="s">
        <v>65</v>
      </c>
      <c r="N1629" t="s">
        <v>36</v>
      </c>
      <c r="O1629">
        <v>45</v>
      </c>
      <c r="P1629">
        <v>45</v>
      </c>
      <c r="Q1629">
        <v>49.4</v>
      </c>
      <c r="R1629">
        <v>850</v>
      </c>
      <c r="S1629">
        <v>850</v>
      </c>
      <c r="T1629">
        <v>0</v>
      </c>
      <c r="U1629">
        <v>0</v>
      </c>
      <c r="V1629">
        <v>1</v>
      </c>
      <c r="W1629">
        <v>0</v>
      </c>
      <c r="X1629">
        <v>0.85</v>
      </c>
    </row>
    <row r="1630" spans="1:24" x14ac:dyDescent="0.3">
      <c r="A1630" t="s">
        <v>2360</v>
      </c>
      <c r="B1630" s="1">
        <v>45698</v>
      </c>
      <c r="C1630" t="s">
        <v>76</v>
      </c>
      <c r="D1630" t="s">
        <v>39</v>
      </c>
      <c r="E1630" t="s">
        <v>83</v>
      </c>
      <c r="F1630" t="s">
        <v>41</v>
      </c>
      <c r="G1630" t="s">
        <v>42</v>
      </c>
      <c r="H1630" t="s">
        <v>89</v>
      </c>
      <c r="I1630" t="s">
        <v>1414</v>
      </c>
      <c r="J1630" t="s">
        <v>32</v>
      </c>
      <c r="K1630" t="s">
        <v>70</v>
      </c>
      <c r="L1630" t="s">
        <v>54</v>
      </c>
      <c r="M1630" t="s">
        <v>86</v>
      </c>
      <c r="N1630" t="s">
        <v>36</v>
      </c>
      <c r="O1630">
        <v>60</v>
      </c>
      <c r="P1630">
        <v>60</v>
      </c>
      <c r="Q1630">
        <v>66.2</v>
      </c>
      <c r="R1630">
        <v>1150</v>
      </c>
      <c r="S1630">
        <v>1150</v>
      </c>
      <c r="T1630">
        <v>0</v>
      </c>
      <c r="U1630">
        <v>0</v>
      </c>
      <c r="V1630">
        <v>1</v>
      </c>
      <c r="W1630">
        <v>0</v>
      </c>
      <c r="X1630">
        <v>0.85</v>
      </c>
    </row>
    <row r="1631" spans="1:24" x14ac:dyDescent="0.3">
      <c r="A1631" t="s">
        <v>2361</v>
      </c>
      <c r="B1631" s="1">
        <v>45880</v>
      </c>
      <c r="C1631" t="s">
        <v>110</v>
      </c>
      <c r="D1631" t="s">
        <v>39</v>
      </c>
      <c r="E1631" t="s">
        <v>83</v>
      </c>
      <c r="F1631" t="s">
        <v>58</v>
      </c>
      <c r="G1631" t="s">
        <v>59</v>
      </c>
      <c r="H1631" t="s">
        <v>151</v>
      </c>
      <c r="I1631" t="s">
        <v>257</v>
      </c>
      <c r="J1631" t="s">
        <v>62</v>
      </c>
      <c r="K1631" t="s">
        <v>46</v>
      </c>
      <c r="L1631" t="s">
        <v>34</v>
      </c>
      <c r="M1631" t="s">
        <v>35</v>
      </c>
      <c r="N1631" t="s">
        <v>113</v>
      </c>
      <c r="O1631">
        <v>75</v>
      </c>
      <c r="P1631">
        <v>0</v>
      </c>
      <c r="Q1631">
        <v>90.1</v>
      </c>
      <c r="R1631">
        <v>1900</v>
      </c>
      <c r="S1631">
        <v>0</v>
      </c>
      <c r="T1631">
        <v>1900</v>
      </c>
      <c r="U1631">
        <v>0</v>
      </c>
      <c r="V1631">
        <v>0</v>
      </c>
      <c r="W1631">
        <v>1</v>
      </c>
      <c r="X1631">
        <v>0.85</v>
      </c>
    </row>
    <row r="1632" spans="1:24" x14ac:dyDescent="0.3">
      <c r="A1632" t="s">
        <v>2362</v>
      </c>
      <c r="B1632" s="1">
        <v>45744</v>
      </c>
      <c r="C1632" t="s">
        <v>56</v>
      </c>
      <c r="D1632" t="s">
        <v>82</v>
      </c>
      <c r="E1632" t="s">
        <v>40</v>
      </c>
      <c r="F1632" t="s">
        <v>28</v>
      </c>
      <c r="G1632" t="s">
        <v>29</v>
      </c>
      <c r="H1632" t="s">
        <v>120</v>
      </c>
      <c r="I1632" t="s">
        <v>1538</v>
      </c>
      <c r="J1632" t="s">
        <v>45</v>
      </c>
      <c r="K1632" t="s">
        <v>46</v>
      </c>
      <c r="L1632" t="s">
        <v>54</v>
      </c>
      <c r="M1632" t="s">
        <v>71</v>
      </c>
      <c r="N1632" t="s">
        <v>36</v>
      </c>
      <c r="O1632">
        <v>30</v>
      </c>
      <c r="P1632">
        <v>30</v>
      </c>
      <c r="Q1632">
        <v>32.700000000000003</v>
      </c>
      <c r="R1632">
        <v>600</v>
      </c>
      <c r="S1632">
        <v>600</v>
      </c>
      <c r="T1632">
        <v>0</v>
      </c>
      <c r="U1632">
        <v>0</v>
      </c>
      <c r="V1632">
        <v>1</v>
      </c>
      <c r="W1632">
        <v>0</v>
      </c>
      <c r="X1632">
        <v>0.85</v>
      </c>
    </row>
    <row r="1633" spans="1:24" x14ac:dyDescent="0.3">
      <c r="A1633" t="s">
        <v>2363</v>
      </c>
      <c r="B1633" s="1">
        <v>45944</v>
      </c>
      <c r="C1633" t="s">
        <v>97</v>
      </c>
      <c r="D1633" t="s">
        <v>26</v>
      </c>
      <c r="E1633" t="s">
        <v>68</v>
      </c>
      <c r="F1633" t="s">
        <v>41</v>
      </c>
      <c r="G1633" t="s">
        <v>42</v>
      </c>
      <c r="H1633" t="s">
        <v>89</v>
      </c>
      <c r="I1633" t="s">
        <v>1064</v>
      </c>
      <c r="J1633" t="s">
        <v>45</v>
      </c>
      <c r="K1633" t="s">
        <v>46</v>
      </c>
      <c r="L1633" t="s">
        <v>34</v>
      </c>
      <c r="M1633" t="s">
        <v>35</v>
      </c>
      <c r="N1633" t="s">
        <v>36</v>
      </c>
      <c r="O1633">
        <v>45</v>
      </c>
      <c r="P1633">
        <v>45</v>
      </c>
      <c r="Q1633">
        <v>50.1</v>
      </c>
      <c r="R1633">
        <v>1150</v>
      </c>
      <c r="S1633">
        <v>1150</v>
      </c>
      <c r="T1633">
        <v>0</v>
      </c>
      <c r="U1633">
        <v>0</v>
      </c>
      <c r="V1633">
        <v>1</v>
      </c>
      <c r="W1633">
        <v>0</v>
      </c>
      <c r="X1633">
        <v>0.85</v>
      </c>
    </row>
    <row r="1634" spans="1:24" x14ac:dyDescent="0.3">
      <c r="A1634" t="s">
        <v>2364</v>
      </c>
      <c r="B1634" s="1">
        <v>45834</v>
      </c>
      <c r="C1634" t="s">
        <v>67</v>
      </c>
      <c r="D1634" t="s">
        <v>50</v>
      </c>
      <c r="E1634" t="s">
        <v>40</v>
      </c>
      <c r="F1634" t="s">
        <v>41</v>
      </c>
      <c r="G1634" t="s">
        <v>42</v>
      </c>
      <c r="H1634" t="s">
        <v>51</v>
      </c>
      <c r="I1634" t="s">
        <v>149</v>
      </c>
      <c r="J1634" t="s">
        <v>53</v>
      </c>
      <c r="K1634" t="s">
        <v>33</v>
      </c>
      <c r="L1634" t="s">
        <v>78</v>
      </c>
      <c r="M1634" t="s">
        <v>94</v>
      </c>
      <c r="N1634" t="s">
        <v>95</v>
      </c>
      <c r="O1634">
        <v>60</v>
      </c>
      <c r="P1634">
        <v>0</v>
      </c>
      <c r="Q1634">
        <v>68.5</v>
      </c>
      <c r="R1634">
        <v>1500</v>
      </c>
      <c r="S1634">
        <v>0</v>
      </c>
      <c r="T1634">
        <v>1500</v>
      </c>
      <c r="U1634">
        <v>1</v>
      </c>
      <c r="V1634">
        <v>0</v>
      </c>
      <c r="W1634">
        <v>0</v>
      </c>
      <c r="X1634">
        <v>0.85</v>
      </c>
    </row>
    <row r="1635" spans="1:24" x14ac:dyDescent="0.3">
      <c r="A1635" t="s">
        <v>2365</v>
      </c>
      <c r="B1635" s="1">
        <v>45723</v>
      </c>
      <c r="C1635" t="s">
        <v>56</v>
      </c>
      <c r="D1635" t="s">
        <v>82</v>
      </c>
      <c r="E1635" t="s">
        <v>40</v>
      </c>
      <c r="F1635" t="s">
        <v>41</v>
      </c>
      <c r="G1635" t="s">
        <v>42</v>
      </c>
      <c r="H1635" t="s">
        <v>89</v>
      </c>
      <c r="I1635" t="s">
        <v>750</v>
      </c>
      <c r="J1635" t="s">
        <v>99</v>
      </c>
      <c r="K1635" t="s">
        <v>104</v>
      </c>
      <c r="L1635" t="s">
        <v>34</v>
      </c>
      <c r="M1635" t="s">
        <v>71</v>
      </c>
      <c r="N1635" t="s">
        <v>36</v>
      </c>
      <c r="O1635">
        <v>45</v>
      </c>
      <c r="P1635">
        <v>45</v>
      </c>
      <c r="Q1635">
        <v>49.6</v>
      </c>
      <c r="R1635">
        <v>1000</v>
      </c>
      <c r="S1635">
        <v>1000</v>
      </c>
      <c r="T1635">
        <v>0</v>
      </c>
      <c r="U1635">
        <v>0</v>
      </c>
      <c r="V1635">
        <v>1</v>
      </c>
      <c r="W1635">
        <v>0</v>
      </c>
      <c r="X1635">
        <v>0.85</v>
      </c>
    </row>
    <row r="1636" spans="1:24" x14ac:dyDescent="0.3">
      <c r="A1636" t="s">
        <v>2366</v>
      </c>
      <c r="B1636" s="1">
        <v>45863</v>
      </c>
      <c r="C1636" t="s">
        <v>101</v>
      </c>
      <c r="D1636" t="s">
        <v>82</v>
      </c>
      <c r="E1636" t="s">
        <v>83</v>
      </c>
      <c r="F1636" t="s">
        <v>41</v>
      </c>
      <c r="G1636" t="s">
        <v>42</v>
      </c>
      <c r="H1636" t="s">
        <v>125</v>
      </c>
      <c r="I1636" t="s">
        <v>1020</v>
      </c>
      <c r="J1636" t="s">
        <v>32</v>
      </c>
      <c r="K1636" t="s">
        <v>46</v>
      </c>
      <c r="L1636" t="s">
        <v>34</v>
      </c>
      <c r="M1636" t="s">
        <v>86</v>
      </c>
      <c r="N1636" t="s">
        <v>36</v>
      </c>
      <c r="O1636">
        <v>60</v>
      </c>
      <c r="P1636">
        <v>60</v>
      </c>
      <c r="Q1636">
        <v>73.7</v>
      </c>
      <c r="R1636">
        <v>1350</v>
      </c>
      <c r="S1636">
        <v>1350</v>
      </c>
      <c r="T1636">
        <v>0</v>
      </c>
      <c r="U1636">
        <v>0</v>
      </c>
      <c r="V1636">
        <v>1</v>
      </c>
      <c r="W1636">
        <v>0</v>
      </c>
      <c r="X1636">
        <v>0.85</v>
      </c>
    </row>
    <row r="1637" spans="1:24" x14ac:dyDescent="0.3">
      <c r="A1637" t="s">
        <v>2367</v>
      </c>
      <c r="B1637" s="1">
        <v>45726</v>
      </c>
      <c r="C1637" t="s">
        <v>56</v>
      </c>
      <c r="D1637" t="s">
        <v>39</v>
      </c>
      <c r="E1637" t="s">
        <v>83</v>
      </c>
      <c r="F1637" t="s">
        <v>41</v>
      </c>
      <c r="G1637" t="s">
        <v>42</v>
      </c>
      <c r="H1637" t="s">
        <v>111</v>
      </c>
      <c r="I1637" t="s">
        <v>1359</v>
      </c>
      <c r="J1637" t="s">
        <v>53</v>
      </c>
      <c r="K1637" t="s">
        <v>63</v>
      </c>
      <c r="L1637" t="s">
        <v>34</v>
      </c>
      <c r="M1637" t="s">
        <v>86</v>
      </c>
      <c r="N1637" t="s">
        <v>36</v>
      </c>
      <c r="O1637">
        <v>30</v>
      </c>
      <c r="P1637">
        <v>30</v>
      </c>
      <c r="Q1637">
        <v>39.1</v>
      </c>
      <c r="R1637">
        <v>800</v>
      </c>
      <c r="S1637">
        <v>800</v>
      </c>
      <c r="T1637">
        <v>0</v>
      </c>
      <c r="U1637">
        <v>0</v>
      </c>
      <c r="V1637">
        <v>1</v>
      </c>
      <c r="W1637">
        <v>0</v>
      </c>
      <c r="X1637">
        <v>0.85</v>
      </c>
    </row>
    <row r="1638" spans="1:24" x14ac:dyDescent="0.3">
      <c r="A1638" t="s">
        <v>2368</v>
      </c>
      <c r="B1638" s="1">
        <v>45689</v>
      </c>
      <c r="C1638" t="s">
        <v>76</v>
      </c>
      <c r="D1638" t="s">
        <v>88</v>
      </c>
      <c r="E1638" t="s">
        <v>40</v>
      </c>
      <c r="F1638" t="s">
        <v>41</v>
      </c>
      <c r="G1638" t="s">
        <v>42</v>
      </c>
      <c r="H1638" t="s">
        <v>89</v>
      </c>
      <c r="I1638" t="s">
        <v>2369</v>
      </c>
      <c r="J1638" t="s">
        <v>32</v>
      </c>
      <c r="K1638" t="s">
        <v>104</v>
      </c>
      <c r="L1638" t="s">
        <v>78</v>
      </c>
      <c r="M1638" t="s">
        <v>47</v>
      </c>
      <c r="N1638" t="s">
        <v>36</v>
      </c>
      <c r="O1638">
        <v>75</v>
      </c>
      <c r="P1638">
        <v>75</v>
      </c>
      <c r="Q1638">
        <v>88.2</v>
      </c>
      <c r="R1638">
        <v>1550</v>
      </c>
      <c r="S1638">
        <v>1550</v>
      </c>
      <c r="T1638">
        <v>0</v>
      </c>
      <c r="U1638">
        <v>0</v>
      </c>
      <c r="V1638">
        <v>1</v>
      </c>
      <c r="W1638">
        <v>0</v>
      </c>
      <c r="X1638">
        <v>0.85</v>
      </c>
    </row>
    <row r="1639" spans="1:24" x14ac:dyDescent="0.3">
      <c r="A1639" t="s">
        <v>2370</v>
      </c>
      <c r="B1639" s="1">
        <v>45839</v>
      </c>
      <c r="C1639" t="s">
        <v>101</v>
      </c>
      <c r="D1639" t="s">
        <v>26</v>
      </c>
      <c r="E1639" t="s">
        <v>40</v>
      </c>
      <c r="F1639" t="s">
        <v>58</v>
      </c>
      <c r="G1639" t="s">
        <v>59</v>
      </c>
      <c r="H1639" t="s">
        <v>73</v>
      </c>
      <c r="I1639" t="s">
        <v>1960</v>
      </c>
      <c r="J1639" t="s">
        <v>62</v>
      </c>
      <c r="K1639" t="s">
        <v>63</v>
      </c>
      <c r="L1639" t="s">
        <v>34</v>
      </c>
      <c r="M1639" t="s">
        <v>94</v>
      </c>
      <c r="N1639" t="s">
        <v>36</v>
      </c>
      <c r="O1639">
        <v>60</v>
      </c>
      <c r="P1639">
        <v>60</v>
      </c>
      <c r="Q1639">
        <v>69.3</v>
      </c>
      <c r="R1639">
        <v>1500</v>
      </c>
      <c r="S1639">
        <v>1500</v>
      </c>
      <c r="T1639">
        <v>0</v>
      </c>
      <c r="U1639">
        <v>0</v>
      </c>
      <c r="V1639">
        <v>1</v>
      </c>
      <c r="W1639">
        <v>0</v>
      </c>
      <c r="X1639">
        <v>0.85</v>
      </c>
    </row>
    <row r="1640" spans="1:24" x14ac:dyDescent="0.3">
      <c r="A1640" t="s">
        <v>2371</v>
      </c>
      <c r="B1640" s="1">
        <v>46013</v>
      </c>
      <c r="C1640" t="s">
        <v>25</v>
      </c>
      <c r="D1640" t="s">
        <v>39</v>
      </c>
      <c r="E1640" t="s">
        <v>40</v>
      </c>
      <c r="F1640" t="s">
        <v>58</v>
      </c>
      <c r="G1640" t="s">
        <v>59</v>
      </c>
      <c r="H1640" t="s">
        <v>117</v>
      </c>
      <c r="I1640" t="s">
        <v>1976</v>
      </c>
      <c r="J1640" t="s">
        <v>32</v>
      </c>
      <c r="K1640" t="s">
        <v>46</v>
      </c>
      <c r="L1640" t="s">
        <v>34</v>
      </c>
      <c r="M1640" t="s">
        <v>35</v>
      </c>
      <c r="N1640" t="s">
        <v>95</v>
      </c>
      <c r="O1640">
        <v>30</v>
      </c>
      <c r="P1640">
        <v>0</v>
      </c>
      <c r="Q1640">
        <v>33.6</v>
      </c>
      <c r="R1640">
        <v>750</v>
      </c>
      <c r="S1640">
        <v>0</v>
      </c>
      <c r="T1640">
        <v>750</v>
      </c>
      <c r="U1640">
        <v>1</v>
      </c>
      <c r="V1640">
        <v>0</v>
      </c>
      <c r="W1640">
        <v>0</v>
      </c>
      <c r="X1640">
        <v>0.85</v>
      </c>
    </row>
    <row r="1641" spans="1:24" x14ac:dyDescent="0.3">
      <c r="A1641" t="s">
        <v>2372</v>
      </c>
      <c r="B1641" s="1">
        <v>45731</v>
      </c>
      <c r="C1641" t="s">
        <v>56</v>
      </c>
      <c r="D1641" t="s">
        <v>88</v>
      </c>
      <c r="E1641" t="s">
        <v>68</v>
      </c>
      <c r="F1641" t="s">
        <v>58</v>
      </c>
      <c r="G1641" t="s">
        <v>59</v>
      </c>
      <c r="H1641" t="s">
        <v>296</v>
      </c>
      <c r="I1641" t="s">
        <v>1500</v>
      </c>
      <c r="J1641" t="s">
        <v>62</v>
      </c>
      <c r="K1641" t="s">
        <v>46</v>
      </c>
      <c r="L1641" t="s">
        <v>54</v>
      </c>
      <c r="M1641" t="s">
        <v>71</v>
      </c>
      <c r="N1641" t="s">
        <v>36</v>
      </c>
      <c r="O1641">
        <v>30</v>
      </c>
      <c r="P1641">
        <v>30</v>
      </c>
      <c r="Q1641">
        <v>40.5</v>
      </c>
      <c r="R1641">
        <v>650</v>
      </c>
      <c r="S1641">
        <v>650</v>
      </c>
      <c r="T1641">
        <v>0</v>
      </c>
      <c r="U1641">
        <v>0</v>
      </c>
      <c r="V1641">
        <v>1</v>
      </c>
      <c r="W1641">
        <v>0</v>
      </c>
      <c r="X1641">
        <v>0.85</v>
      </c>
    </row>
    <row r="1642" spans="1:24" x14ac:dyDescent="0.3">
      <c r="A1642" t="s">
        <v>2373</v>
      </c>
      <c r="B1642" s="1">
        <v>45805</v>
      </c>
      <c r="C1642" t="s">
        <v>128</v>
      </c>
      <c r="D1642" t="s">
        <v>57</v>
      </c>
      <c r="E1642" t="s">
        <v>68</v>
      </c>
      <c r="F1642" t="s">
        <v>41</v>
      </c>
      <c r="G1642" t="s">
        <v>42</v>
      </c>
      <c r="H1642" t="s">
        <v>43</v>
      </c>
      <c r="I1642" t="s">
        <v>1368</v>
      </c>
      <c r="J1642" t="s">
        <v>62</v>
      </c>
      <c r="K1642" t="s">
        <v>33</v>
      </c>
      <c r="L1642" t="s">
        <v>34</v>
      </c>
      <c r="M1642" t="s">
        <v>65</v>
      </c>
      <c r="N1642" t="s">
        <v>36</v>
      </c>
      <c r="O1642">
        <v>60</v>
      </c>
      <c r="P1642">
        <v>60</v>
      </c>
      <c r="Q1642">
        <v>67.599999999999994</v>
      </c>
      <c r="R1642">
        <v>1350</v>
      </c>
      <c r="S1642">
        <v>1350</v>
      </c>
      <c r="T1642">
        <v>0</v>
      </c>
      <c r="U1642">
        <v>0</v>
      </c>
      <c r="V1642">
        <v>1</v>
      </c>
      <c r="W1642">
        <v>0</v>
      </c>
      <c r="X1642">
        <v>0.85</v>
      </c>
    </row>
    <row r="1643" spans="1:24" x14ac:dyDescent="0.3">
      <c r="A1643" t="s">
        <v>2374</v>
      </c>
      <c r="B1643" s="1">
        <v>45930</v>
      </c>
      <c r="C1643" t="s">
        <v>49</v>
      </c>
      <c r="D1643" t="s">
        <v>26</v>
      </c>
      <c r="E1643" t="s">
        <v>40</v>
      </c>
      <c r="F1643" t="s">
        <v>41</v>
      </c>
      <c r="G1643" t="s">
        <v>42</v>
      </c>
      <c r="H1643" t="s">
        <v>111</v>
      </c>
      <c r="I1643" t="s">
        <v>249</v>
      </c>
      <c r="J1643" t="s">
        <v>62</v>
      </c>
      <c r="K1643" t="s">
        <v>33</v>
      </c>
      <c r="L1643" t="s">
        <v>34</v>
      </c>
      <c r="M1643" t="s">
        <v>86</v>
      </c>
      <c r="N1643" t="s">
        <v>36</v>
      </c>
      <c r="O1643">
        <v>60</v>
      </c>
      <c r="P1643">
        <v>60</v>
      </c>
      <c r="Q1643">
        <v>69.7</v>
      </c>
      <c r="R1643">
        <v>1350</v>
      </c>
      <c r="S1643">
        <v>1350</v>
      </c>
      <c r="T1643">
        <v>0</v>
      </c>
      <c r="U1643">
        <v>0</v>
      </c>
      <c r="V1643">
        <v>1</v>
      </c>
      <c r="W1643">
        <v>0</v>
      </c>
      <c r="X1643">
        <v>0.85</v>
      </c>
    </row>
    <row r="1644" spans="1:24" x14ac:dyDescent="0.3">
      <c r="A1644" t="s">
        <v>2375</v>
      </c>
      <c r="B1644" s="1">
        <v>46021</v>
      </c>
      <c r="C1644" t="s">
        <v>25</v>
      </c>
      <c r="D1644" t="s">
        <v>26</v>
      </c>
      <c r="E1644" t="s">
        <v>68</v>
      </c>
      <c r="F1644" t="s">
        <v>58</v>
      </c>
      <c r="G1644" t="s">
        <v>59</v>
      </c>
      <c r="H1644" t="s">
        <v>117</v>
      </c>
      <c r="I1644" t="s">
        <v>1769</v>
      </c>
      <c r="J1644" t="s">
        <v>45</v>
      </c>
      <c r="K1644" t="s">
        <v>70</v>
      </c>
      <c r="L1644" t="s">
        <v>34</v>
      </c>
      <c r="M1644" t="s">
        <v>65</v>
      </c>
      <c r="N1644" t="s">
        <v>36</v>
      </c>
      <c r="O1644">
        <v>75</v>
      </c>
      <c r="P1644">
        <v>75</v>
      </c>
      <c r="Q1644">
        <v>100.2</v>
      </c>
      <c r="R1644">
        <v>2150</v>
      </c>
      <c r="S1644">
        <v>2150</v>
      </c>
      <c r="T1644">
        <v>0</v>
      </c>
      <c r="U1644">
        <v>0</v>
      </c>
      <c r="V1644">
        <v>1</v>
      </c>
      <c r="W1644">
        <v>0</v>
      </c>
      <c r="X1644">
        <v>0.85</v>
      </c>
    </row>
    <row r="1645" spans="1:24" x14ac:dyDescent="0.3">
      <c r="A1645" t="s">
        <v>2376</v>
      </c>
      <c r="B1645" s="1">
        <v>45812</v>
      </c>
      <c r="C1645" t="s">
        <v>67</v>
      </c>
      <c r="D1645" t="s">
        <v>57</v>
      </c>
      <c r="E1645" t="s">
        <v>68</v>
      </c>
      <c r="F1645" t="s">
        <v>41</v>
      </c>
      <c r="G1645" t="s">
        <v>42</v>
      </c>
      <c r="H1645" t="s">
        <v>51</v>
      </c>
      <c r="I1645" t="s">
        <v>1251</v>
      </c>
      <c r="J1645" t="s">
        <v>62</v>
      </c>
      <c r="K1645" t="s">
        <v>63</v>
      </c>
      <c r="L1645" t="s">
        <v>34</v>
      </c>
      <c r="M1645" t="s">
        <v>47</v>
      </c>
      <c r="N1645" t="s">
        <v>36</v>
      </c>
      <c r="O1645">
        <v>45</v>
      </c>
      <c r="P1645">
        <v>45</v>
      </c>
      <c r="Q1645">
        <v>57.2</v>
      </c>
      <c r="R1645">
        <v>1000</v>
      </c>
      <c r="S1645">
        <v>1000</v>
      </c>
      <c r="T1645">
        <v>0</v>
      </c>
      <c r="U1645">
        <v>0</v>
      </c>
      <c r="V1645">
        <v>1</v>
      </c>
      <c r="W1645">
        <v>0</v>
      </c>
      <c r="X1645">
        <v>0.85</v>
      </c>
    </row>
    <row r="1646" spans="1:24" x14ac:dyDescent="0.3">
      <c r="A1646" t="s">
        <v>2377</v>
      </c>
      <c r="B1646" s="1">
        <v>45839</v>
      </c>
      <c r="C1646" t="s">
        <v>101</v>
      </c>
      <c r="D1646" t="s">
        <v>26</v>
      </c>
      <c r="E1646" t="s">
        <v>27</v>
      </c>
      <c r="F1646" t="s">
        <v>41</v>
      </c>
      <c r="G1646" t="s">
        <v>42</v>
      </c>
      <c r="H1646" t="s">
        <v>43</v>
      </c>
      <c r="I1646" t="s">
        <v>1678</v>
      </c>
      <c r="J1646" t="s">
        <v>62</v>
      </c>
      <c r="K1646" t="s">
        <v>33</v>
      </c>
      <c r="L1646" t="s">
        <v>34</v>
      </c>
      <c r="M1646" t="s">
        <v>35</v>
      </c>
      <c r="N1646" t="s">
        <v>36</v>
      </c>
      <c r="O1646">
        <v>90</v>
      </c>
      <c r="P1646">
        <v>90</v>
      </c>
      <c r="Q1646">
        <v>101.1</v>
      </c>
      <c r="R1646">
        <v>2000</v>
      </c>
      <c r="S1646">
        <v>2000</v>
      </c>
      <c r="T1646">
        <v>0</v>
      </c>
      <c r="U1646">
        <v>0</v>
      </c>
      <c r="V1646">
        <v>1</v>
      </c>
      <c r="W1646">
        <v>0</v>
      </c>
      <c r="X1646">
        <v>0.85</v>
      </c>
    </row>
    <row r="1647" spans="1:24" x14ac:dyDescent="0.3">
      <c r="A1647" t="s">
        <v>2378</v>
      </c>
      <c r="B1647" s="1">
        <v>46011</v>
      </c>
      <c r="C1647" t="s">
        <v>25</v>
      </c>
      <c r="D1647" t="s">
        <v>88</v>
      </c>
      <c r="E1647" t="s">
        <v>83</v>
      </c>
      <c r="F1647" t="s">
        <v>41</v>
      </c>
      <c r="G1647" t="s">
        <v>42</v>
      </c>
      <c r="H1647" t="s">
        <v>89</v>
      </c>
      <c r="I1647" t="s">
        <v>1393</v>
      </c>
      <c r="J1647" t="s">
        <v>32</v>
      </c>
      <c r="K1647" t="s">
        <v>104</v>
      </c>
      <c r="L1647" t="s">
        <v>34</v>
      </c>
      <c r="M1647" t="s">
        <v>94</v>
      </c>
      <c r="N1647" t="s">
        <v>36</v>
      </c>
      <c r="O1647">
        <v>60</v>
      </c>
      <c r="P1647">
        <v>60</v>
      </c>
      <c r="Q1647">
        <v>72</v>
      </c>
      <c r="R1647">
        <v>1350</v>
      </c>
      <c r="S1647">
        <v>1350</v>
      </c>
      <c r="T1647">
        <v>0</v>
      </c>
      <c r="U1647">
        <v>0</v>
      </c>
      <c r="V1647">
        <v>1</v>
      </c>
      <c r="W1647">
        <v>0</v>
      </c>
      <c r="X1647">
        <v>0.85</v>
      </c>
    </row>
    <row r="1648" spans="1:24" x14ac:dyDescent="0.3">
      <c r="A1648" t="s">
        <v>2379</v>
      </c>
      <c r="B1648" s="1">
        <v>45713</v>
      </c>
      <c r="C1648" t="s">
        <v>76</v>
      </c>
      <c r="D1648" t="s">
        <v>26</v>
      </c>
      <c r="E1648" t="s">
        <v>68</v>
      </c>
      <c r="F1648" t="s">
        <v>58</v>
      </c>
      <c r="G1648" t="s">
        <v>59</v>
      </c>
      <c r="H1648" t="s">
        <v>151</v>
      </c>
      <c r="I1648" t="s">
        <v>709</v>
      </c>
      <c r="J1648" t="s">
        <v>45</v>
      </c>
      <c r="K1648" t="s">
        <v>70</v>
      </c>
      <c r="L1648" t="s">
        <v>64</v>
      </c>
      <c r="M1648" t="s">
        <v>94</v>
      </c>
      <c r="N1648" t="s">
        <v>36</v>
      </c>
      <c r="O1648">
        <v>45</v>
      </c>
      <c r="P1648">
        <v>45</v>
      </c>
      <c r="Q1648">
        <v>49.2</v>
      </c>
      <c r="R1648">
        <v>1300</v>
      </c>
      <c r="S1648">
        <v>1300</v>
      </c>
      <c r="T1648">
        <v>0</v>
      </c>
      <c r="U1648">
        <v>0</v>
      </c>
      <c r="V1648">
        <v>1</v>
      </c>
      <c r="W1648">
        <v>0</v>
      </c>
      <c r="X1648">
        <v>0.85</v>
      </c>
    </row>
    <row r="1649" spans="1:24" x14ac:dyDescent="0.3">
      <c r="A1649" t="s">
        <v>2380</v>
      </c>
      <c r="B1649" s="1">
        <v>45782</v>
      </c>
      <c r="C1649" t="s">
        <v>128</v>
      </c>
      <c r="D1649" t="s">
        <v>39</v>
      </c>
      <c r="E1649" t="s">
        <v>68</v>
      </c>
      <c r="F1649" t="s">
        <v>41</v>
      </c>
      <c r="G1649" t="s">
        <v>42</v>
      </c>
      <c r="H1649" t="s">
        <v>51</v>
      </c>
      <c r="I1649" t="s">
        <v>1376</v>
      </c>
      <c r="J1649" t="s">
        <v>53</v>
      </c>
      <c r="K1649" t="s">
        <v>63</v>
      </c>
      <c r="L1649" t="s">
        <v>64</v>
      </c>
      <c r="M1649" t="s">
        <v>86</v>
      </c>
      <c r="N1649" t="s">
        <v>95</v>
      </c>
      <c r="O1649">
        <v>60</v>
      </c>
      <c r="P1649">
        <v>0</v>
      </c>
      <c r="Q1649">
        <v>69.900000000000006</v>
      </c>
      <c r="R1649">
        <v>1600</v>
      </c>
      <c r="S1649">
        <v>0</v>
      </c>
      <c r="T1649">
        <v>1600</v>
      </c>
      <c r="U1649">
        <v>1</v>
      </c>
      <c r="V1649">
        <v>0</v>
      </c>
      <c r="W1649">
        <v>0</v>
      </c>
      <c r="X1649">
        <v>0.85</v>
      </c>
    </row>
    <row r="1650" spans="1:24" x14ac:dyDescent="0.3">
      <c r="A1650" t="s">
        <v>2381</v>
      </c>
      <c r="B1650" s="1">
        <v>45705</v>
      </c>
      <c r="C1650" t="s">
        <v>76</v>
      </c>
      <c r="D1650" t="s">
        <v>39</v>
      </c>
      <c r="E1650" t="s">
        <v>83</v>
      </c>
      <c r="F1650" t="s">
        <v>58</v>
      </c>
      <c r="G1650" t="s">
        <v>59</v>
      </c>
      <c r="H1650" t="s">
        <v>296</v>
      </c>
      <c r="I1650" t="s">
        <v>435</v>
      </c>
      <c r="J1650" t="s">
        <v>53</v>
      </c>
      <c r="K1650" t="s">
        <v>46</v>
      </c>
      <c r="L1650" t="s">
        <v>54</v>
      </c>
      <c r="M1650" t="s">
        <v>86</v>
      </c>
      <c r="N1650" t="s">
        <v>36</v>
      </c>
      <c r="O1650">
        <v>45</v>
      </c>
      <c r="P1650">
        <v>45</v>
      </c>
      <c r="Q1650">
        <v>53.4</v>
      </c>
      <c r="R1650">
        <v>1150</v>
      </c>
      <c r="S1650">
        <v>1150</v>
      </c>
      <c r="T1650">
        <v>0</v>
      </c>
      <c r="U1650">
        <v>0</v>
      </c>
      <c r="V1650">
        <v>1</v>
      </c>
      <c r="W1650">
        <v>0</v>
      </c>
      <c r="X1650">
        <v>0.85</v>
      </c>
    </row>
    <row r="1651" spans="1:24" x14ac:dyDescent="0.3">
      <c r="A1651" t="s">
        <v>2382</v>
      </c>
      <c r="B1651" s="1">
        <v>45710</v>
      </c>
      <c r="C1651" t="s">
        <v>76</v>
      </c>
      <c r="D1651" t="s">
        <v>88</v>
      </c>
      <c r="E1651" t="s">
        <v>83</v>
      </c>
      <c r="F1651" t="s">
        <v>58</v>
      </c>
      <c r="G1651" t="s">
        <v>59</v>
      </c>
      <c r="H1651" t="s">
        <v>296</v>
      </c>
      <c r="I1651" t="s">
        <v>2383</v>
      </c>
      <c r="J1651" t="s">
        <v>45</v>
      </c>
      <c r="K1651" t="s">
        <v>46</v>
      </c>
      <c r="L1651" t="s">
        <v>34</v>
      </c>
      <c r="M1651" t="s">
        <v>35</v>
      </c>
      <c r="N1651" t="s">
        <v>36</v>
      </c>
      <c r="O1651">
        <v>60</v>
      </c>
      <c r="P1651">
        <v>60</v>
      </c>
      <c r="Q1651">
        <v>71.5</v>
      </c>
      <c r="R1651">
        <v>1700</v>
      </c>
      <c r="S1651">
        <v>1700</v>
      </c>
      <c r="T1651">
        <v>0</v>
      </c>
      <c r="U1651">
        <v>0</v>
      </c>
      <c r="V1651">
        <v>1</v>
      </c>
      <c r="W1651">
        <v>0</v>
      </c>
      <c r="X1651">
        <v>0.85</v>
      </c>
    </row>
    <row r="1652" spans="1:24" x14ac:dyDescent="0.3">
      <c r="A1652" t="s">
        <v>2384</v>
      </c>
      <c r="B1652" s="1">
        <v>45947</v>
      </c>
      <c r="C1652" t="s">
        <v>97</v>
      </c>
      <c r="D1652" t="s">
        <v>82</v>
      </c>
      <c r="E1652" t="s">
        <v>68</v>
      </c>
      <c r="F1652" t="s">
        <v>41</v>
      </c>
      <c r="G1652" t="s">
        <v>42</v>
      </c>
      <c r="H1652" t="s">
        <v>89</v>
      </c>
      <c r="I1652" t="s">
        <v>2385</v>
      </c>
      <c r="J1652" t="s">
        <v>53</v>
      </c>
      <c r="K1652" t="s">
        <v>104</v>
      </c>
      <c r="L1652" t="s">
        <v>78</v>
      </c>
      <c r="M1652" t="s">
        <v>47</v>
      </c>
      <c r="N1652" t="s">
        <v>36</v>
      </c>
      <c r="O1652">
        <v>60</v>
      </c>
      <c r="P1652">
        <v>60</v>
      </c>
      <c r="Q1652">
        <v>74.599999999999994</v>
      </c>
      <c r="R1652">
        <v>1500</v>
      </c>
      <c r="S1652">
        <v>1500</v>
      </c>
      <c r="T1652">
        <v>0</v>
      </c>
      <c r="U1652">
        <v>0</v>
      </c>
      <c r="V1652">
        <v>1</v>
      </c>
      <c r="W1652">
        <v>0</v>
      </c>
      <c r="X1652">
        <v>0.85</v>
      </c>
    </row>
    <row r="1653" spans="1:24" x14ac:dyDescent="0.3">
      <c r="A1653" t="s">
        <v>2386</v>
      </c>
      <c r="B1653" s="1">
        <v>45893</v>
      </c>
      <c r="C1653" t="s">
        <v>110</v>
      </c>
      <c r="D1653" t="s">
        <v>287</v>
      </c>
      <c r="E1653" t="s">
        <v>27</v>
      </c>
      <c r="F1653" t="s">
        <v>28</v>
      </c>
      <c r="G1653" t="s">
        <v>29</v>
      </c>
      <c r="H1653" t="s">
        <v>102</v>
      </c>
      <c r="I1653" t="s">
        <v>684</v>
      </c>
      <c r="J1653" t="s">
        <v>62</v>
      </c>
      <c r="K1653" t="s">
        <v>85</v>
      </c>
      <c r="L1653" t="s">
        <v>54</v>
      </c>
      <c r="M1653" t="s">
        <v>35</v>
      </c>
      <c r="N1653" t="s">
        <v>36</v>
      </c>
      <c r="O1653">
        <v>30</v>
      </c>
      <c r="P1653">
        <v>30</v>
      </c>
      <c r="Q1653">
        <v>36</v>
      </c>
      <c r="R1653">
        <v>550</v>
      </c>
      <c r="S1653">
        <v>550</v>
      </c>
      <c r="T1653">
        <v>0</v>
      </c>
      <c r="U1653">
        <v>0</v>
      </c>
      <c r="V1653">
        <v>1</v>
      </c>
      <c r="W1653">
        <v>0</v>
      </c>
      <c r="X1653">
        <v>0.85</v>
      </c>
    </row>
    <row r="1654" spans="1:24" x14ac:dyDescent="0.3">
      <c r="A1654" t="s">
        <v>2387</v>
      </c>
      <c r="B1654" s="1">
        <v>45785</v>
      </c>
      <c r="C1654" t="s">
        <v>128</v>
      </c>
      <c r="D1654" t="s">
        <v>50</v>
      </c>
      <c r="E1654" t="s">
        <v>27</v>
      </c>
      <c r="F1654" t="s">
        <v>58</v>
      </c>
      <c r="G1654" t="s">
        <v>59</v>
      </c>
      <c r="H1654" t="s">
        <v>296</v>
      </c>
      <c r="I1654" t="s">
        <v>1095</v>
      </c>
      <c r="J1654" t="s">
        <v>45</v>
      </c>
      <c r="K1654" t="s">
        <v>63</v>
      </c>
      <c r="L1654" t="s">
        <v>64</v>
      </c>
      <c r="M1654" t="s">
        <v>86</v>
      </c>
      <c r="N1654" t="s">
        <v>36</v>
      </c>
      <c r="O1654">
        <v>75</v>
      </c>
      <c r="P1654">
        <v>75</v>
      </c>
      <c r="Q1654">
        <v>84.3</v>
      </c>
      <c r="R1654">
        <v>2150</v>
      </c>
      <c r="S1654">
        <v>2150</v>
      </c>
      <c r="T1654">
        <v>0</v>
      </c>
      <c r="U1654">
        <v>0</v>
      </c>
      <c r="V1654">
        <v>1</v>
      </c>
      <c r="W1654">
        <v>0</v>
      </c>
      <c r="X1654">
        <v>0.85</v>
      </c>
    </row>
    <row r="1655" spans="1:24" x14ac:dyDescent="0.3">
      <c r="A1655" t="s">
        <v>2388</v>
      </c>
      <c r="B1655" s="1">
        <v>45660</v>
      </c>
      <c r="C1655" t="s">
        <v>130</v>
      </c>
      <c r="D1655" t="s">
        <v>82</v>
      </c>
      <c r="E1655" t="s">
        <v>40</v>
      </c>
      <c r="F1655" t="s">
        <v>28</v>
      </c>
      <c r="G1655" t="s">
        <v>29</v>
      </c>
      <c r="H1655" t="s">
        <v>135</v>
      </c>
      <c r="I1655" t="s">
        <v>316</v>
      </c>
      <c r="J1655" t="s">
        <v>62</v>
      </c>
      <c r="K1655" t="s">
        <v>104</v>
      </c>
      <c r="L1655" t="s">
        <v>34</v>
      </c>
      <c r="M1655" t="s">
        <v>65</v>
      </c>
      <c r="N1655" t="s">
        <v>95</v>
      </c>
      <c r="O1655">
        <v>60</v>
      </c>
      <c r="P1655">
        <v>0</v>
      </c>
      <c r="Q1655">
        <v>81</v>
      </c>
      <c r="R1655">
        <v>1250</v>
      </c>
      <c r="S1655">
        <v>0</v>
      </c>
      <c r="T1655">
        <v>1250</v>
      </c>
      <c r="U1655">
        <v>1</v>
      </c>
      <c r="V1655">
        <v>0</v>
      </c>
      <c r="W1655">
        <v>0</v>
      </c>
      <c r="X1655">
        <v>0.85</v>
      </c>
    </row>
    <row r="1656" spans="1:24" x14ac:dyDescent="0.3">
      <c r="A1656" t="s">
        <v>2389</v>
      </c>
      <c r="B1656" s="1">
        <v>45754</v>
      </c>
      <c r="C1656" t="s">
        <v>92</v>
      </c>
      <c r="D1656" t="s">
        <v>39</v>
      </c>
      <c r="E1656" t="s">
        <v>40</v>
      </c>
      <c r="F1656" t="s">
        <v>58</v>
      </c>
      <c r="G1656" t="s">
        <v>59</v>
      </c>
      <c r="H1656" t="s">
        <v>296</v>
      </c>
      <c r="I1656" t="s">
        <v>358</v>
      </c>
      <c r="J1656" t="s">
        <v>99</v>
      </c>
      <c r="K1656" t="s">
        <v>70</v>
      </c>
      <c r="L1656" t="s">
        <v>34</v>
      </c>
      <c r="M1656" t="s">
        <v>71</v>
      </c>
      <c r="N1656" t="s">
        <v>36</v>
      </c>
      <c r="O1656">
        <v>45</v>
      </c>
      <c r="P1656">
        <v>45</v>
      </c>
      <c r="Q1656">
        <v>53.1</v>
      </c>
      <c r="R1656">
        <v>1100</v>
      </c>
      <c r="S1656">
        <v>1100</v>
      </c>
      <c r="T1656">
        <v>0</v>
      </c>
      <c r="U1656">
        <v>0</v>
      </c>
      <c r="V1656">
        <v>1</v>
      </c>
      <c r="W1656">
        <v>0</v>
      </c>
      <c r="X1656">
        <v>0.85</v>
      </c>
    </row>
    <row r="1657" spans="1:24" x14ac:dyDescent="0.3">
      <c r="A1657" t="s">
        <v>2390</v>
      </c>
      <c r="B1657" s="1">
        <v>46009</v>
      </c>
      <c r="C1657" t="s">
        <v>25</v>
      </c>
      <c r="D1657" t="s">
        <v>50</v>
      </c>
      <c r="E1657" t="s">
        <v>27</v>
      </c>
      <c r="F1657" t="s">
        <v>41</v>
      </c>
      <c r="G1657" t="s">
        <v>42</v>
      </c>
      <c r="H1657" t="s">
        <v>125</v>
      </c>
      <c r="I1657" t="s">
        <v>372</v>
      </c>
      <c r="J1657" t="s">
        <v>62</v>
      </c>
      <c r="K1657" t="s">
        <v>46</v>
      </c>
      <c r="L1657" t="s">
        <v>54</v>
      </c>
      <c r="M1657" t="s">
        <v>65</v>
      </c>
      <c r="N1657" t="s">
        <v>36</v>
      </c>
      <c r="O1657">
        <v>60</v>
      </c>
      <c r="P1657">
        <v>60</v>
      </c>
      <c r="Q1657">
        <v>71.5</v>
      </c>
      <c r="R1657">
        <v>1150</v>
      </c>
      <c r="S1657">
        <v>1150</v>
      </c>
      <c r="T1657">
        <v>0</v>
      </c>
      <c r="U1657">
        <v>0</v>
      </c>
      <c r="V1657">
        <v>1</v>
      </c>
      <c r="W1657">
        <v>0</v>
      </c>
      <c r="X1657">
        <v>0.85</v>
      </c>
    </row>
    <row r="1658" spans="1:24" x14ac:dyDescent="0.3">
      <c r="A1658" t="s">
        <v>2391</v>
      </c>
      <c r="B1658" s="1">
        <v>45959</v>
      </c>
      <c r="C1658" t="s">
        <v>97</v>
      </c>
      <c r="D1658" t="s">
        <v>57</v>
      </c>
      <c r="E1658" t="s">
        <v>27</v>
      </c>
      <c r="F1658" t="s">
        <v>28</v>
      </c>
      <c r="G1658" t="s">
        <v>29</v>
      </c>
      <c r="H1658" t="s">
        <v>135</v>
      </c>
      <c r="I1658" t="s">
        <v>348</v>
      </c>
      <c r="J1658" t="s">
        <v>62</v>
      </c>
      <c r="K1658" t="s">
        <v>33</v>
      </c>
      <c r="L1658" t="s">
        <v>34</v>
      </c>
      <c r="M1658" t="s">
        <v>47</v>
      </c>
      <c r="N1658" t="s">
        <v>36</v>
      </c>
      <c r="O1658">
        <v>75</v>
      </c>
      <c r="P1658">
        <v>75</v>
      </c>
      <c r="Q1658">
        <v>82.6</v>
      </c>
      <c r="R1658">
        <v>1550</v>
      </c>
      <c r="S1658">
        <v>1550</v>
      </c>
      <c r="T1658">
        <v>0</v>
      </c>
      <c r="U1658">
        <v>0</v>
      </c>
      <c r="V1658">
        <v>1</v>
      </c>
      <c r="W1658">
        <v>0</v>
      </c>
      <c r="X1658">
        <v>0.85</v>
      </c>
    </row>
    <row r="1659" spans="1:24" x14ac:dyDescent="0.3">
      <c r="A1659" t="s">
        <v>2392</v>
      </c>
      <c r="B1659" s="1">
        <v>45966</v>
      </c>
      <c r="C1659" t="s">
        <v>38</v>
      </c>
      <c r="D1659" t="s">
        <v>57</v>
      </c>
      <c r="E1659" t="s">
        <v>68</v>
      </c>
      <c r="F1659" t="s">
        <v>58</v>
      </c>
      <c r="G1659" t="s">
        <v>59</v>
      </c>
      <c r="H1659" t="s">
        <v>151</v>
      </c>
      <c r="I1659" t="s">
        <v>1822</v>
      </c>
      <c r="J1659" t="s">
        <v>45</v>
      </c>
      <c r="K1659" t="s">
        <v>70</v>
      </c>
      <c r="L1659" t="s">
        <v>64</v>
      </c>
      <c r="M1659" t="s">
        <v>65</v>
      </c>
      <c r="N1659" t="s">
        <v>36</v>
      </c>
      <c r="O1659">
        <v>60</v>
      </c>
      <c r="P1659">
        <v>60</v>
      </c>
      <c r="Q1659">
        <v>73.599999999999994</v>
      </c>
      <c r="R1659">
        <v>1700</v>
      </c>
      <c r="S1659">
        <v>1700</v>
      </c>
      <c r="T1659">
        <v>0</v>
      </c>
      <c r="U1659">
        <v>0</v>
      </c>
      <c r="V1659">
        <v>1</v>
      </c>
      <c r="W1659">
        <v>0</v>
      </c>
      <c r="X1659">
        <v>0.85</v>
      </c>
    </row>
    <row r="1660" spans="1:24" x14ac:dyDescent="0.3">
      <c r="A1660" t="s">
        <v>2393</v>
      </c>
      <c r="B1660" s="1">
        <v>45926</v>
      </c>
      <c r="C1660" t="s">
        <v>49</v>
      </c>
      <c r="D1660" t="s">
        <v>82</v>
      </c>
      <c r="E1660" t="s">
        <v>83</v>
      </c>
      <c r="F1660" t="s">
        <v>58</v>
      </c>
      <c r="G1660" t="s">
        <v>59</v>
      </c>
      <c r="H1660" t="s">
        <v>60</v>
      </c>
      <c r="I1660" t="s">
        <v>616</v>
      </c>
      <c r="J1660" t="s">
        <v>62</v>
      </c>
      <c r="K1660" t="s">
        <v>85</v>
      </c>
      <c r="L1660" t="s">
        <v>64</v>
      </c>
      <c r="M1660" t="s">
        <v>47</v>
      </c>
      <c r="N1660" t="s">
        <v>36</v>
      </c>
      <c r="O1660">
        <v>60</v>
      </c>
      <c r="P1660">
        <v>60</v>
      </c>
      <c r="Q1660">
        <v>75.599999999999994</v>
      </c>
      <c r="R1660">
        <v>1500</v>
      </c>
      <c r="S1660">
        <v>1500</v>
      </c>
      <c r="T1660">
        <v>0</v>
      </c>
      <c r="U1660">
        <v>0</v>
      </c>
      <c r="V1660">
        <v>1</v>
      </c>
      <c r="W1660">
        <v>0</v>
      </c>
      <c r="X1660">
        <v>0.85</v>
      </c>
    </row>
    <row r="1661" spans="1:24" x14ac:dyDescent="0.3">
      <c r="A1661" t="s">
        <v>2394</v>
      </c>
      <c r="B1661" s="1">
        <v>45722</v>
      </c>
      <c r="C1661" t="s">
        <v>56</v>
      </c>
      <c r="D1661" t="s">
        <v>50</v>
      </c>
      <c r="E1661" t="s">
        <v>68</v>
      </c>
      <c r="F1661" t="s">
        <v>58</v>
      </c>
      <c r="G1661" t="s">
        <v>59</v>
      </c>
      <c r="H1661" t="s">
        <v>296</v>
      </c>
      <c r="I1661" t="s">
        <v>562</v>
      </c>
      <c r="J1661" t="s">
        <v>45</v>
      </c>
      <c r="K1661" t="s">
        <v>33</v>
      </c>
      <c r="L1661" t="s">
        <v>34</v>
      </c>
      <c r="M1661" t="s">
        <v>71</v>
      </c>
      <c r="N1661" t="s">
        <v>113</v>
      </c>
      <c r="O1661">
        <v>60</v>
      </c>
      <c r="P1661">
        <v>0</v>
      </c>
      <c r="Q1661">
        <v>77.8</v>
      </c>
      <c r="R1661">
        <v>1700</v>
      </c>
      <c r="S1661">
        <v>0</v>
      </c>
      <c r="T1661">
        <v>1700</v>
      </c>
      <c r="U1661">
        <v>0</v>
      </c>
      <c r="V1661">
        <v>0</v>
      </c>
      <c r="W1661">
        <v>1</v>
      </c>
      <c r="X1661">
        <v>0.85</v>
      </c>
    </row>
    <row r="1662" spans="1:24" x14ac:dyDescent="0.3">
      <c r="A1662" t="s">
        <v>2395</v>
      </c>
      <c r="B1662" s="1">
        <v>45889</v>
      </c>
      <c r="C1662" t="s">
        <v>110</v>
      </c>
      <c r="D1662" t="s">
        <v>57</v>
      </c>
      <c r="E1662" t="s">
        <v>40</v>
      </c>
      <c r="F1662" t="s">
        <v>41</v>
      </c>
      <c r="G1662" t="s">
        <v>42</v>
      </c>
      <c r="H1662" t="s">
        <v>43</v>
      </c>
      <c r="I1662" t="s">
        <v>261</v>
      </c>
      <c r="J1662" t="s">
        <v>137</v>
      </c>
      <c r="K1662" t="s">
        <v>85</v>
      </c>
      <c r="L1662" t="s">
        <v>64</v>
      </c>
      <c r="M1662" t="s">
        <v>65</v>
      </c>
      <c r="N1662" t="s">
        <v>36</v>
      </c>
      <c r="O1662">
        <v>30</v>
      </c>
      <c r="P1662">
        <v>30</v>
      </c>
      <c r="Q1662">
        <v>36.200000000000003</v>
      </c>
      <c r="R1662">
        <v>700</v>
      </c>
      <c r="S1662">
        <v>700</v>
      </c>
      <c r="T1662">
        <v>0</v>
      </c>
      <c r="U1662">
        <v>0</v>
      </c>
      <c r="V1662">
        <v>1</v>
      </c>
      <c r="W1662">
        <v>0</v>
      </c>
      <c r="X1662">
        <v>0.85</v>
      </c>
    </row>
    <row r="1663" spans="1:24" x14ac:dyDescent="0.3">
      <c r="A1663" t="s">
        <v>2396</v>
      </c>
      <c r="B1663" s="1">
        <v>45994</v>
      </c>
      <c r="C1663" t="s">
        <v>25</v>
      </c>
      <c r="D1663" t="s">
        <v>57</v>
      </c>
      <c r="E1663" t="s">
        <v>27</v>
      </c>
      <c r="F1663" t="s">
        <v>41</v>
      </c>
      <c r="G1663" t="s">
        <v>42</v>
      </c>
      <c r="H1663" t="s">
        <v>89</v>
      </c>
      <c r="I1663" t="s">
        <v>2397</v>
      </c>
      <c r="J1663" t="s">
        <v>62</v>
      </c>
      <c r="K1663" t="s">
        <v>46</v>
      </c>
      <c r="L1663" t="s">
        <v>78</v>
      </c>
      <c r="M1663" t="s">
        <v>94</v>
      </c>
      <c r="N1663" t="s">
        <v>36</v>
      </c>
      <c r="O1663">
        <v>60</v>
      </c>
      <c r="P1663">
        <v>60</v>
      </c>
      <c r="Q1663">
        <v>70.5</v>
      </c>
      <c r="R1663">
        <v>1250</v>
      </c>
      <c r="S1663">
        <v>1250</v>
      </c>
      <c r="T1663">
        <v>0</v>
      </c>
      <c r="U1663">
        <v>0</v>
      </c>
      <c r="V1663">
        <v>1</v>
      </c>
      <c r="W1663">
        <v>0</v>
      </c>
      <c r="X1663">
        <v>0.85</v>
      </c>
    </row>
    <row r="1664" spans="1:24" x14ac:dyDescent="0.3">
      <c r="A1664" t="s">
        <v>2398</v>
      </c>
      <c r="B1664" s="1">
        <v>45828</v>
      </c>
      <c r="C1664" t="s">
        <v>67</v>
      </c>
      <c r="D1664" t="s">
        <v>82</v>
      </c>
      <c r="E1664" t="s">
        <v>68</v>
      </c>
      <c r="F1664" t="s">
        <v>41</v>
      </c>
      <c r="G1664" t="s">
        <v>42</v>
      </c>
      <c r="H1664" t="s">
        <v>43</v>
      </c>
      <c r="I1664" t="s">
        <v>1562</v>
      </c>
      <c r="J1664" t="s">
        <v>53</v>
      </c>
      <c r="K1664" t="s">
        <v>85</v>
      </c>
      <c r="L1664" t="s">
        <v>34</v>
      </c>
      <c r="M1664" t="s">
        <v>94</v>
      </c>
      <c r="N1664" t="s">
        <v>95</v>
      </c>
      <c r="O1664">
        <v>60</v>
      </c>
      <c r="P1664">
        <v>0</v>
      </c>
      <c r="Q1664">
        <v>72.3</v>
      </c>
      <c r="R1664">
        <v>1600</v>
      </c>
      <c r="S1664">
        <v>0</v>
      </c>
      <c r="T1664">
        <v>1600</v>
      </c>
      <c r="U1664">
        <v>1</v>
      </c>
      <c r="V1664">
        <v>0</v>
      </c>
      <c r="W1664">
        <v>0</v>
      </c>
      <c r="X1664">
        <v>0.85</v>
      </c>
    </row>
    <row r="1665" spans="1:24" x14ac:dyDescent="0.3">
      <c r="A1665" t="s">
        <v>2399</v>
      </c>
      <c r="B1665" s="1">
        <v>45887</v>
      </c>
      <c r="C1665" t="s">
        <v>110</v>
      </c>
      <c r="D1665" t="s">
        <v>39</v>
      </c>
      <c r="E1665" t="s">
        <v>83</v>
      </c>
      <c r="F1665" t="s">
        <v>58</v>
      </c>
      <c r="G1665" t="s">
        <v>59</v>
      </c>
      <c r="H1665" t="s">
        <v>117</v>
      </c>
      <c r="I1665" t="s">
        <v>1870</v>
      </c>
      <c r="J1665" t="s">
        <v>62</v>
      </c>
      <c r="K1665" t="s">
        <v>63</v>
      </c>
      <c r="L1665" t="s">
        <v>78</v>
      </c>
      <c r="M1665" t="s">
        <v>86</v>
      </c>
      <c r="N1665" t="s">
        <v>36</v>
      </c>
      <c r="O1665">
        <v>45</v>
      </c>
      <c r="P1665">
        <v>45</v>
      </c>
      <c r="Q1665">
        <v>60</v>
      </c>
      <c r="R1665">
        <v>1050</v>
      </c>
      <c r="S1665">
        <v>1050</v>
      </c>
      <c r="T1665">
        <v>0</v>
      </c>
      <c r="U1665">
        <v>0</v>
      </c>
      <c r="V1665">
        <v>1</v>
      </c>
      <c r="W1665">
        <v>0</v>
      </c>
      <c r="X1665">
        <v>0.85</v>
      </c>
    </row>
    <row r="1666" spans="1:24" x14ac:dyDescent="0.3">
      <c r="A1666" t="s">
        <v>2400</v>
      </c>
      <c r="B1666" s="1">
        <v>45757</v>
      </c>
      <c r="C1666" t="s">
        <v>92</v>
      </c>
      <c r="D1666" t="s">
        <v>50</v>
      </c>
      <c r="E1666" t="s">
        <v>83</v>
      </c>
      <c r="F1666" t="s">
        <v>41</v>
      </c>
      <c r="G1666" t="s">
        <v>42</v>
      </c>
      <c r="H1666" t="s">
        <v>51</v>
      </c>
      <c r="I1666" t="s">
        <v>437</v>
      </c>
      <c r="J1666" t="s">
        <v>62</v>
      </c>
      <c r="K1666" t="s">
        <v>104</v>
      </c>
      <c r="L1666" t="s">
        <v>34</v>
      </c>
      <c r="M1666" t="s">
        <v>71</v>
      </c>
      <c r="N1666" t="s">
        <v>36</v>
      </c>
      <c r="O1666">
        <v>60</v>
      </c>
      <c r="P1666">
        <v>60</v>
      </c>
      <c r="Q1666">
        <v>66.3</v>
      </c>
      <c r="R1666">
        <v>1350</v>
      </c>
      <c r="S1666">
        <v>1350</v>
      </c>
      <c r="T1666">
        <v>0</v>
      </c>
      <c r="U1666">
        <v>0</v>
      </c>
      <c r="V1666">
        <v>1</v>
      </c>
      <c r="W1666">
        <v>0</v>
      </c>
      <c r="X1666">
        <v>0.85</v>
      </c>
    </row>
    <row r="1667" spans="1:24" x14ac:dyDescent="0.3">
      <c r="A1667" t="s">
        <v>2401</v>
      </c>
      <c r="B1667" s="1">
        <v>45932</v>
      </c>
      <c r="C1667" t="s">
        <v>97</v>
      </c>
      <c r="D1667" t="s">
        <v>50</v>
      </c>
      <c r="E1667" t="s">
        <v>27</v>
      </c>
      <c r="F1667" t="s">
        <v>41</v>
      </c>
      <c r="G1667" t="s">
        <v>42</v>
      </c>
      <c r="H1667" t="s">
        <v>125</v>
      </c>
      <c r="I1667" t="s">
        <v>1886</v>
      </c>
      <c r="J1667" t="s">
        <v>62</v>
      </c>
      <c r="K1667" t="s">
        <v>46</v>
      </c>
      <c r="L1667" t="s">
        <v>34</v>
      </c>
      <c r="M1667" t="s">
        <v>94</v>
      </c>
      <c r="N1667" t="s">
        <v>36</v>
      </c>
      <c r="O1667">
        <v>60</v>
      </c>
      <c r="P1667">
        <v>60</v>
      </c>
      <c r="Q1667">
        <v>65.7</v>
      </c>
      <c r="R1667">
        <v>1350</v>
      </c>
      <c r="S1667">
        <v>1350</v>
      </c>
      <c r="T1667">
        <v>0</v>
      </c>
      <c r="U1667">
        <v>0</v>
      </c>
      <c r="V1667">
        <v>1</v>
      </c>
      <c r="W1667">
        <v>0</v>
      </c>
      <c r="X1667">
        <v>0.85</v>
      </c>
    </row>
    <row r="1668" spans="1:24" x14ac:dyDescent="0.3">
      <c r="A1668" t="s">
        <v>2402</v>
      </c>
      <c r="B1668" s="1">
        <v>45759</v>
      </c>
      <c r="C1668" t="s">
        <v>92</v>
      </c>
      <c r="D1668" t="s">
        <v>88</v>
      </c>
      <c r="E1668" t="s">
        <v>27</v>
      </c>
      <c r="F1668" t="s">
        <v>28</v>
      </c>
      <c r="G1668" t="s">
        <v>29</v>
      </c>
      <c r="H1668" t="s">
        <v>135</v>
      </c>
      <c r="I1668" t="s">
        <v>877</v>
      </c>
      <c r="J1668" t="s">
        <v>45</v>
      </c>
      <c r="K1668" t="s">
        <v>33</v>
      </c>
      <c r="L1668" t="s">
        <v>78</v>
      </c>
      <c r="M1668" t="s">
        <v>94</v>
      </c>
      <c r="N1668" t="s">
        <v>95</v>
      </c>
      <c r="O1668">
        <v>60</v>
      </c>
      <c r="P1668">
        <v>0</v>
      </c>
      <c r="Q1668">
        <v>71.599999999999994</v>
      </c>
      <c r="R1668">
        <v>1300</v>
      </c>
      <c r="S1668">
        <v>0</v>
      </c>
      <c r="T1668">
        <v>1300</v>
      </c>
      <c r="U1668">
        <v>1</v>
      </c>
      <c r="V1668">
        <v>0</v>
      </c>
      <c r="W1668">
        <v>0</v>
      </c>
      <c r="X1668">
        <v>0.85</v>
      </c>
    </row>
    <row r="1669" spans="1:24" x14ac:dyDescent="0.3">
      <c r="A1669" t="s">
        <v>2403</v>
      </c>
      <c r="B1669" s="1">
        <v>45911</v>
      </c>
      <c r="C1669" t="s">
        <v>49</v>
      </c>
      <c r="D1669" t="s">
        <v>50</v>
      </c>
      <c r="E1669" t="s">
        <v>83</v>
      </c>
      <c r="F1669" t="s">
        <v>28</v>
      </c>
      <c r="G1669" t="s">
        <v>29</v>
      </c>
      <c r="H1669" t="s">
        <v>120</v>
      </c>
      <c r="I1669" t="s">
        <v>633</v>
      </c>
      <c r="J1669" t="s">
        <v>45</v>
      </c>
      <c r="K1669" t="s">
        <v>63</v>
      </c>
      <c r="L1669" t="s">
        <v>64</v>
      </c>
      <c r="M1669" t="s">
        <v>35</v>
      </c>
      <c r="N1669" t="s">
        <v>36</v>
      </c>
      <c r="O1669">
        <v>45</v>
      </c>
      <c r="P1669">
        <v>45</v>
      </c>
      <c r="Q1669">
        <v>50.9</v>
      </c>
      <c r="R1669">
        <v>1100</v>
      </c>
      <c r="S1669">
        <v>1100</v>
      </c>
      <c r="T1669">
        <v>0</v>
      </c>
      <c r="U1669">
        <v>0</v>
      </c>
      <c r="V1669">
        <v>1</v>
      </c>
      <c r="W1669">
        <v>0</v>
      </c>
      <c r="X1669">
        <v>0.85</v>
      </c>
    </row>
    <row r="1670" spans="1:24" x14ac:dyDescent="0.3">
      <c r="A1670" t="s">
        <v>2404</v>
      </c>
      <c r="B1670" s="1">
        <v>45817</v>
      </c>
      <c r="C1670" t="s">
        <v>67</v>
      </c>
      <c r="D1670" t="s">
        <v>39</v>
      </c>
      <c r="E1670" t="s">
        <v>83</v>
      </c>
      <c r="F1670" t="s">
        <v>41</v>
      </c>
      <c r="G1670" t="s">
        <v>42</v>
      </c>
      <c r="H1670" t="s">
        <v>125</v>
      </c>
      <c r="I1670" t="s">
        <v>285</v>
      </c>
      <c r="J1670" t="s">
        <v>99</v>
      </c>
      <c r="K1670" t="s">
        <v>63</v>
      </c>
      <c r="L1670" t="s">
        <v>78</v>
      </c>
      <c r="M1670" t="s">
        <v>94</v>
      </c>
      <c r="N1670" t="s">
        <v>36</v>
      </c>
      <c r="O1670">
        <v>45</v>
      </c>
      <c r="P1670">
        <v>45</v>
      </c>
      <c r="Q1670">
        <v>58</v>
      </c>
      <c r="R1670">
        <v>950</v>
      </c>
      <c r="S1670">
        <v>950</v>
      </c>
      <c r="T1670">
        <v>0</v>
      </c>
      <c r="U1670">
        <v>0</v>
      </c>
      <c r="V1670">
        <v>1</v>
      </c>
      <c r="W1670">
        <v>0</v>
      </c>
      <c r="X1670">
        <v>0.85</v>
      </c>
    </row>
    <row r="1671" spans="1:24" x14ac:dyDescent="0.3">
      <c r="A1671" t="s">
        <v>2405</v>
      </c>
      <c r="B1671" s="1">
        <v>45856</v>
      </c>
      <c r="C1671" t="s">
        <v>101</v>
      </c>
      <c r="D1671" t="s">
        <v>82</v>
      </c>
      <c r="E1671" t="s">
        <v>40</v>
      </c>
      <c r="F1671" t="s">
        <v>28</v>
      </c>
      <c r="G1671" t="s">
        <v>29</v>
      </c>
      <c r="H1671" t="s">
        <v>30</v>
      </c>
      <c r="I1671" t="s">
        <v>44</v>
      </c>
      <c r="J1671" t="s">
        <v>62</v>
      </c>
      <c r="K1671" t="s">
        <v>85</v>
      </c>
      <c r="L1671" t="s">
        <v>34</v>
      </c>
      <c r="M1671" t="s">
        <v>47</v>
      </c>
      <c r="N1671" t="s">
        <v>36</v>
      </c>
      <c r="O1671">
        <v>30</v>
      </c>
      <c r="P1671">
        <v>30</v>
      </c>
      <c r="Q1671">
        <v>32.9</v>
      </c>
      <c r="R1671">
        <v>600</v>
      </c>
      <c r="S1671">
        <v>600</v>
      </c>
      <c r="T1671">
        <v>0</v>
      </c>
      <c r="U1671">
        <v>0</v>
      </c>
      <c r="V1671">
        <v>1</v>
      </c>
      <c r="W1671">
        <v>0</v>
      </c>
      <c r="X1671">
        <v>0.85</v>
      </c>
    </row>
    <row r="1672" spans="1:24" x14ac:dyDescent="0.3">
      <c r="A1672" t="s">
        <v>2406</v>
      </c>
      <c r="B1672" s="1">
        <v>45707</v>
      </c>
      <c r="C1672" t="s">
        <v>76</v>
      </c>
      <c r="D1672" t="s">
        <v>57</v>
      </c>
      <c r="E1672" t="s">
        <v>68</v>
      </c>
      <c r="F1672" t="s">
        <v>58</v>
      </c>
      <c r="G1672" t="s">
        <v>59</v>
      </c>
      <c r="H1672" t="s">
        <v>151</v>
      </c>
      <c r="I1672" t="s">
        <v>648</v>
      </c>
      <c r="J1672" t="s">
        <v>137</v>
      </c>
      <c r="K1672" t="s">
        <v>85</v>
      </c>
      <c r="L1672" t="s">
        <v>64</v>
      </c>
      <c r="M1672" t="s">
        <v>94</v>
      </c>
      <c r="N1672" t="s">
        <v>36</v>
      </c>
      <c r="O1672">
        <v>60</v>
      </c>
      <c r="P1672">
        <v>60</v>
      </c>
      <c r="Q1672">
        <v>67.8</v>
      </c>
      <c r="R1672">
        <v>1500</v>
      </c>
      <c r="S1672">
        <v>1500</v>
      </c>
      <c r="T1672">
        <v>0</v>
      </c>
      <c r="U1672">
        <v>0</v>
      </c>
      <c r="V1672">
        <v>1</v>
      </c>
      <c r="W1672">
        <v>0</v>
      </c>
      <c r="X1672">
        <v>0.85</v>
      </c>
    </row>
    <row r="1673" spans="1:24" x14ac:dyDescent="0.3">
      <c r="A1673" t="s">
        <v>2407</v>
      </c>
      <c r="B1673" s="1">
        <v>45754</v>
      </c>
      <c r="C1673" t="s">
        <v>92</v>
      </c>
      <c r="D1673" t="s">
        <v>39</v>
      </c>
      <c r="E1673" t="s">
        <v>27</v>
      </c>
      <c r="F1673" t="s">
        <v>28</v>
      </c>
      <c r="G1673" t="s">
        <v>29</v>
      </c>
      <c r="H1673" t="s">
        <v>102</v>
      </c>
      <c r="I1673" t="s">
        <v>568</v>
      </c>
      <c r="J1673" t="s">
        <v>45</v>
      </c>
      <c r="K1673" t="s">
        <v>46</v>
      </c>
      <c r="L1673" t="s">
        <v>78</v>
      </c>
      <c r="M1673" t="s">
        <v>47</v>
      </c>
      <c r="N1673" t="s">
        <v>95</v>
      </c>
      <c r="O1673">
        <v>75</v>
      </c>
      <c r="P1673">
        <v>0</v>
      </c>
      <c r="Q1673">
        <v>92.5</v>
      </c>
      <c r="R1673">
        <v>1650</v>
      </c>
      <c r="S1673">
        <v>0</v>
      </c>
      <c r="T1673">
        <v>1650</v>
      </c>
      <c r="U1673">
        <v>1</v>
      </c>
      <c r="V1673">
        <v>0</v>
      </c>
      <c r="W1673">
        <v>0</v>
      </c>
      <c r="X1673">
        <v>0.85</v>
      </c>
    </row>
    <row r="1674" spans="1:24" x14ac:dyDescent="0.3">
      <c r="A1674" t="s">
        <v>2408</v>
      </c>
      <c r="B1674" s="1">
        <v>45959</v>
      </c>
      <c r="C1674" t="s">
        <v>97</v>
      </c>
      <c r="D1674" t="s">
        <v>57</v>
      </c>
      <c r="E1674" t="s">
        <v>68</v>
      </c>
      <c r="F1674" t="s">
        <v>41</v>
      </c>
      <c r="G1674" t="s">
        <v>42</v>
      </c>
      <c r="H1674" t="s">
        <v>43</v>
      </c>
      <c r="I1674" t="s">
        <v>750</v>
      </c>
      <c r="J1674" t="s">
        <v>32</v>
      </c>
      <c r="K1674" t="s">
        <v>63</v>
      </c>
      <c r="L1674" t="s">
        <v>64</v>
      </c>
      <c r="M1674" t="s">
        <v>47</v>
      </c>
      <c r="N1674" t="s">
        <v>36</v>
      </c>
      <c r="O1674">
        <v>60</v>
      </c>
      <c r="P1674">
        <v>60</v>
      </c>
      <c r="Q1674">
        <v>68.8</v>
      </c>
      <c r="R1674">
        <v>1350</v>
      </c>
      <c r="S1674">
        <v>1350</v>
      </c>
      <c r="T1674">
        <v>0</v>
      </c>
      <c r="U1674">
        <v>0</v>
      </c>
      <c r="V1674">
        <v>1</v>
      </c>
      <c r="W1674">
        <v>0</v>
      </c>
      <c r="X1674">
        <v>0.85</v>
      </c>
    </row>
    <row r="1675" spans="1:24" x14ac:dyDescent="0.3">
      <c r="A1675" t="s">
        <v>2409</v>
      </c>
      <c r="B1675" s="1">
        <v>45664</v>
      </c>
      <c r="C1675" t="s">
        <v>130</v>
      </c>
      <c r="D1675" t="s">
        <v>26</v>
      </c>
      <c r="E1675" t="s">
        <v>83</v>
      </c>
      <c r="F1675" t="s">
        <v>41</v>
      </c>
      <c r="G1675" t="s">
        <v>42</v>
      </c>
      <c r="H1675" t="s">
        <v>89</v>
      </c>
      <c r="I1675" t="s">
        <v>690</v>
      </c>
      <c r="J1675" t="s">
        <v>62</v>
      </c>
      <c r="K1675" t="s">
        <v>63</v>
      </c>
      <c r="L1675" t="s">
        <v>64</v>
      </c>
      <c r="M1675" t="s">
        <v>86</v>
      </c>
      <c r="N1675" t="s">
        <v>36</v>
      </c>
      <c r="O1675">
        <v>45</v>
      </c>
      <c r="P1675">
        <v>45</v>
      </c>
      <c r="Q1675">
        <v>53.9</v>
      </c>
      <c r="R1675">
        <v>1000</v>
      </c>
      <c r="S1675">
        <v>1000</v>
      </c>
      <c r="T1675">
        <v>0</v>
      </c>
      <c r="U1675">
        <v>0</v>
      </c>
      <c r="V1675">
        <v>1</v>
      </c>
      <c r="W1675">
        <v>0</v>
      </c>
      <c r="X1675">
        <v>0.85</v>
      </c>
    </row>
    <row r="1676" spans="1:24" x14ac:dyDescent="0.3">
      <c r="A1676" t="s">
        <v>2410</v>
      </c>
      <c r="B1676" s="1">
        <v>45931</v>
      </c>
      <c r="C1676" t="s">
        <v>97</v>
      </c>
      <c r="D1676" t="s">
        <v>57</v>
      </c>
      <c r="E1676" t="s">
        <v>83</v>
      </c>
      <c r="F1676" t="s">
        <v>28</v>
      </c>
      <c r="G1676" t="s">
        <v>29</v>
      </c>
      <c r="H1676" t="s">
        <v>102</v>
      </c>
      <c r="I1676" t="s">
        <v>906</v>
      </c>
      <c r="J1676" t="s">
        <v>45</v>
      </c>
      <c r="K1676" t="s">
        <v>46</v>
      </c>
      <c r="L1676" t="s">
        <v>34</v>
      </c>
      <c r="M1676" t="s">
        <v>65</v>
      </c>
      <c r="N1676" t="s">
        <v>153</v>
      </c>
      <c r="O1676">
        <v>45</v>
      </c>
      <c r="P1676">
        <v>0</v>
      </c>
      <c r="Q1676">
        <v>54.5</v>
      </c>
      <c r="R1676">
        <v>1100</v>
      </c>
      <c r="S1676">
        <v>0</v>
      </c>
      <c r="T1676">
        <v>0</v>
      </c>
      <c r="U1676">
        <v>0</v>
      </c>
      <c r="V1676">
        <v>0</v>
      </c>
      <c r="W1676">
        <v>0</v>
      </c>
      <c r="X1676">
        <v>0.85</v>
      </c>
    </row>
    <row r="1677" spans="1:24" x14ac:dyDescent="0.3">
      <c r="A1677" t="s">
        <v>2411</v>
      </c>
      <c r="B1677" s="1">
        <v>45840</v>
      </c>
      <c r="C1677" t="s">
        <v>101</v>
      </c>
      <c r="D1677" t="s">
        <v>57</v>
      </c>
      <c r="E1677" t="s">
        <v>68</v>
      </c>
      <c r="F1677" t="s">
        <v>28</v>
      </c>
      <c r="G1677" t="s">
        <v>29</v>
      </c>
      <c r="H1677" t="s">
        <v>210</v>
      </c>
      <c r="I1677" t="s">
        <v>316</v>
      </c>
      <c r="J1677" t="s">
        <v>45</v>
      </c>
      <c r="K1677" t="s">
        <v>104</v>
      </c>
      <c r="L1677" t="s">
        <v>64</v>
      </c>
      <c r="M1677" t="s">
        <v>86</v>
      </c>
      <c r="N1677" t="s">
        <v>36</v>
      </c>
      <c r="O1677">
        <v>45</v>
      </c>
      <c r="P1677">
        <v>45</v>
      </c>
      <c r="Q1677">
        <v>60.8</v>
      </c>
      <c r="R1677">
        <v>1100</v>
      </c>
      <c r="S1677">
        <v>1100</v>
      </c>
      <c r="T1677">
        <v>0</v>
      </c>
      <c r="U1677">
        <v>0</v>
      </c>
      <c r="V1677">
        <v>1</v>
      </c>
      <c r="W1677">
        <v>0</v>
      </c>
      <c r="X1677">
        <v>0.85</v>
      </c>
    </row>
    <row r="1678" spans="1:24" x14ac:dyDescent="0.3">
      <c r="A1678" t="s">
        <v>2412</v>
      </c>
      <c r="B1678" s="1">
        <v>45756</v>
      </c>
      <c r="C1678" t="s">
        <v>92</v>
      </c>
      <c r="D1678" t="s">
        <v>57</v>
      </c>
      <c r="E1678" t="s">
        <v>83</v>
      </c>
      <c r="F1678" t="s">
        <v>28</v>
      </c>
      <c r="G1678" t="s">
        <v>29</v>
      </c>
      <c r="H1678" t="s">
        <v>120</v>
      </c>
      <c r="I1678" t="s">
        <v>2413</v>
      </c>
      <c r="J1678" t="s">
        <v>45</v>
      </c>
      <c r="K1678" t="s">
        <v>46</v>
      </c>
      <c r="L1678" t="s">
        <v>78</v>
      </c>
      <c r="M1678" t="s">
        <v>86</v>
      </c>
      <c r="N1678" t="s">
        <v>36</v>
      </c>
      <c r="O1678">
        <v>45</v>
      </c>
      <c r="P1678">
        <v>45</v>
      </c>
      <c r="Q1678">
        <v>52.1</v>
      </c>
      <c r="R1678">
        <v>1000</v>
      </c>
      <c r="S1678">
        <v>1000</v>
      </c>
      <c r="T1678">
        <v>0</v>
      </c>
      <c r="U1678">
        <v>0</v>
      </c>
      <c r="V1678">
        <v>1</v>
      </c>
      <c r="W1678">
        <v>0</v>
      </c>
      <c r="X1678">
        <v>0.85</v>
      </c>
    </row>
    <row r="1679" spans="1:24" x14ac:dyDescent="0.3">
      <c r="A1679" t="s">
        <v>2414</v>
      </c>
      <c r="B1679" s="1">
        <v>45785</v>
      </c>
      <c r="C1679" t="s">
        <v>128</v>
      </c>
      <c r="D1679" t="s">
        <v>50</v>
      </c>
      <c r="E1679" t="s">
        <v>40</v>
      </c>
      <c r="F1679" t="s">
        <v>58</v>
      </c>
      <c r="G1679" t="s">
        <v>59</v>
      </c>
      <c r="H1679" t="s">
        <v>60</v>
      </c>
      <c r="I1679" t="s">
        <v>830</v>
      </c>
      <c r="J1679" t="s">
        <v>53</v>
      </c>
      <c r="K1679" t="s">
        <v>46</v>
      </c>
      <c r="L1679" t="s">
        <v>34</v>
      </c>
      <c r="M1679" t="s">
        <v>71</v>
      </c>
      <c r="N1679" t="s">
        <v>36</v>
      </c>
      <c r="O1679">
        <v>30</v>
      </c>
      <c r="P1679">
        <v>30</v>
      </c>
      <c r="Q1679">
        <v>33</v>
      </c>
      <c r="R1679">
        <v>900</v>
      </c>
      <c r="S1679">
        <v>900</v>
      </c>
      <c r="T1679">
        <v>0</v>
      </c>
      <c r="U1679">
        <v>0</v>
      </c>
      <c r="V1679">
        <v>1</v>
      </c>
      <c r="W1679">
        <v>0</v>
      </c>
      <c r="X1679">
        <v>0.85</v>
      </c>
    </row>
    <row r="1680" spans="1:24" x14ac:dyDescent="0.3">
      <c r="A1680" t="s">
        <v>2415</v>
      </c>
      <c r="B1680" s="1">
        <v>45803</v>
      </c>
      <c r="C1680" t="s">
        <v>128</v>
      </c>
      <c r="D1680" t="s">
        <v>39</v>
      </c>
      <c r="E1680" t="s">
        <v>68</v>
      </c>
      <c r="F1680" t="s">
        <v>41</v>
      </c>
      <c r="G1680" t="s">
        <v>42</v>
      </c>
      <c r="H1680" t="s">
        <v>51</v>
      </c>
      <c r="I1680" t="s">
        <v>1794</v>
      </c>
      <c r="J1680" t="s">
        <v>62</v>
      </c>
      <c r="K1680" t="s">
        <v>33</v>
      </c>
      <c r="L1680" t="s">
        <v>34</v>
      </c>
      <c r="M1680" t="s">
        <v>47</v>
      </c>
      <c r="N1680" t="s">
        <v>36</v>
      </c>
      <c r="O1680">
        <v>30</v>
      </c>
      <c r="P1680">
        <v>30</v>
      </c>
      <c r="Q1680">
        <v>37.299999999999997</v>
      </c>
      <c r="R1680">
        <v>700</v>
      </c>
      <c r="S1680">
        <v>700</v>
      </c>
      <c r="T1680">
        <v>0</v>
      </c>
      <c r="U1680">
        <v>0</v>
      </c>
      <c r="V1680">
        <v>1</v>
      </c>
      <c r="W1680">
        <v>0</v>
      </c>
      <c r="X1680">
        <v>0.85</v>
      </c>
    </row>
    <row r="1681" spans="1:24" x14ac:dyDescent="0.3">
      <c r="A1681" t="s">
        <v>2416</v>
      </c>
      <c r="B1681" s="1">
        <v>46000</v>
      </c>
      <c r="C1681" t="s">
        <v>25</v>
      </c>
      <c r="D1681" t="s">
        <v>26</v>
      </c>
      <c r="E1681" t="s">
        <v>40</v>
      </c>
      <c r="F1681" t="s">
        <v>28</v>
      </c>
      <c r="G1681" t="s">
        <v>29</v>
      </c>
      <c r="H1681" t="s">
        <v>30</v>
      </c>
      <c r="I1681" t="s">
        <v>2163</v>
      </c>
      <c r="J1681" t="s">
        <v>62</v>
      </c>
      <c r="K1681" t="s">
        <v>104</v>
      </c>
      <c r="L1681" t="s">
        <v>64</v>
      </c>
      <c r="M1681" t="s">
        <v>35</v>
      </c>
      <c r="N1681" t="s">
        <v>36</v>
      </c>
      <c r="O1681">
        <v>30</v>
      </c>
      <c r="P1681">
        <v>30</v>
      </c>
      <c r="Q1681">
        <v>34</v>
      </c>
      <c r="R1681">
        <v>600</v>
      </c>
      <c r="S1681">
        <v>600</v>
      </c>
      <c r="T1681">
        <v>0</v>
      </c>
      <c r="U1681">
        <v>0</v>
      </c>
      <c r="V1681">
        <v>1</v>
      </c>
      <c r="W1681">
        <v>0</v>
      </c>
      <c r="X1681">
        <v>0.85</v>
      </c>
    </row>
    <row r="1682" spans="1:24" x14ac:dyDescent="0.3">
      <c r="A1682" t="s">
        <v>2417</v>
      </c>
      <c r="B1682" s="1">
        <v>45997</v>
      </c>
      <c r="C1682" t="s">
        <v>25</v>
      </c>
      <c r="D1682" t="s">
        <v>88</v>
      </c>
      <c r="E1682" t="s">
        <v>40</v>
      </c>
      <c r="F1682" t="s">
        <v>28</v>
      </c>
      <c r="G1682" t="s">
        <v>29</v>
      </c>
      <c r="H1682" t="s">
        <v>135</v>
      </c>
      <c r="I1682" t="s">
        <v>879</v>
      </c>
      <c r="J1682" t="s">
        <v>62</v>
      </c>
      <c r="K1682" t="s">
        <v>85</v>
      </c>
      <c r="L1682" t="s">
        <v>34</v>
      </c>
      <c r="M1682" t="s">
        <v>47</v>
      </c>
      <c r="N1682" t="s">
        <v>36</v>
      </c>
      <c r="O1682">
        <v>60</v>
      </c>
      <c r="P1682">
        <v>60</v>
      </c>
      <c r="Q1682">
        <v>67.5</v>
      </c>
      <c r="R1682">
        <v>1250</v>
      </c>
      <c r="S1682">
        <v>1250</v>
      </c>
      <c r="T1682">
        <v>0</v>
      </c>
      <c r="U1682">
        <v>0</v>
      </c>
      <c r="V1682">
        <v>1</v>
      </c>
      <c r="W1682">
        <v>0</v>
      </c>
      <c r="X1682">
        <v>0.85</v>
      </c>
    </row>
    <row r="1683" spans="1:24" x14ac:dyDescent="0.3">
      <c r="A1683" t="s">
        <v>2418</v>
      </c>
      <c r="B1683" s="1">
        <v>45978</v>
      </c>
      <c r="C1683" t="s">
        <v>38</v>
      </c>
      <c r="D1683" t="s">
        <v>39</v>
      </c>
      <c r="E1683" t="s">
        <v>83</v>
      </c>
      <c r="F1683" t="s">
        <v>28</v>
      </c>
      <c r="G1683" t="s">
        <v>29</v>
      </c>
      <c r="H1683" t="s">
        <v>135</v>
      </c>
      <c r="I1683" t="s">
        <v>2042</v>
      </c>
      <c r="J1683" t="s">
        <v>62</v>
      </c>
      <c r="K1683" t="s">
        <v>63</v>
      </c>
      <c r="L1683" t="s">
        <v>34</v>
      </c>
      <c r="M1683" t="s">
        <v>65</v>
      </c>
      <c r="N1683" t="s">
        <v>36</v>
      </c>
      <c r="O1683">
        <v>45</v>
      </c>
      <c r="P1683">
        <v>45</v>
      </c>
      <c r="Q1683">
        <v>49.1</v>
      </c>
      <c r="R1683">
        <v>950</v>
      </c>
      <c r="S1683">
        <v>950</v>
      </c>
      <c r="T1683">
        <v>0</v>
      </c>
      <c r="U1683">
        <v>0</v>
      </c>
      <c r="V1683">
        <v>1</v>
      </c>
      <c r="W1683">
        <v>0</v>
      </c>
      <c r="X1683">
        <v>0.85</v>
      </c>
    </row>
    <row r="1684" spans="1:24" x14ac:dyDescent="0.3">
      <c r="A1684" t="s">
        <v>2419</v>
      </c>
      <c r="B1684" s="1">
        <v>45889</v>
      </c>
      <c r="C1684" t="s">
        <v>110</v>
      </c>
      <c r="D1684" t="s">
        <v>57</v>
      </c>
      <c r="E1684" t="s">
        <v>27</v>
      </c>
      <c r="F1684" t="s">
        <v>41</v>
      </c>
      <c r="G1684" t="s">
        <v>42</v>
      </c>
      <c r="H1684" t="s">
        <v>43</v>
      </c>
      <c r="I1684" t="s">
        <v>1028</v>
      </c>
      <c r="J1684" t="s">
        <v>53</v>
      </c>
      <c r="K1684" t="s">
        <v>63</v>
      </c>
      <c r="L1684" t="s">
        <v>54</v>
      </c>
      <c r="M1684" t="s">
        <v>94</v>
      </c>
      <c r="N1684" t="s">
        <v>36</v>
      </c>
      <c r="O1684">
        <v>30</v>
      </c>
      <c r="P1684">
        <v>30</v>
      </c>
      <c r="Q1684">
        <v>32.700000000000003</v>
      </c>
      <c r="R1684">
        <v>700</v>
      </c>
      <c r="S1684">
        <v>700</v>
      </c>
      <c r="T1684">
        <v>0</v>
      </c>
      <c r="U1684">
        <v>0</v>
      </c>
      <c r="V1684">
        <v>1</v>
      </c>
      <c r="W1684">
        <v>0</v>
      </c>
      <c r="X1684">
        <v>0.85</v>
      </c>
    </row>
    <row r="1685" spans="1:24" x14ac:dyDescent="0.3">
      <c r="A1685" t="s">
        <v>2420</v>
      </c>
      <c r="B1685" s="1">
        <v>45987</v>
      </c>
      <c r="C1685" t="s">
        <v>38</v>
      </c>
      <c r="D1685" t="s">
        <v>57</v>
      </c>
      <c r="E1685" t="s">
        <v>40</v>
      </c>
      <c r="F1685" t="s">
        <v>41</v>
      </c>
      <c r="G1685" t="s">
        <v>42</v>
      </c>
      <c r="H1685" t="s">
        <v>89</v>
      </c>
      <c r="I1685" t="s">
        <v>1635</v>
      </c>
      <c r="J1685" t="s">
        <v>137</v>
      </c>
      <c r="K1685" t="s">
        <v>46</v>
      </c>
      <c r="L1685" t="s">
        <v>34</v>
      </c>
      <c r="M1685" t="s">
        <v>47</v>
      </c>
      <c r="N1685" t="s">
        <v>36</v>
      </c>
      <c r="O1685">
        <v>30</v>
      </c>
      <c r="P1685">
        <v>30</v>
      </c>
      <c r="Q1685">
        <v>34.200000000000003</v>
      </c>
      <c r="R1685">
        <v>700</v>
      </c>
      <c r="S1685">
        <v>700</v>
      </c>
      <c r="T1685">
        <v>0</v>
      </c>
      <c r="U1685">
        <v>0</v>
      </c>
      <c r="V1685">
        <v>1</v>
      </c>
      <c r="W1685">
        <v>0</v>
      </c>
      <c r="X1685">
        <v>0.85</v>
      </c>
    </row>
    <row r="1686" spans="1:24" x14ac:dyDescent="0.3">
      <c r="A1686" t="s">
        <v>2421</v>
      </c>
      <c r="B1686" s="1">
        <v>45667</v>
      </c>
      <c r="C1686" t="s">
        <v>130</v>
      </c>
      <c r="D1686" t="s">
        <v>82</v>
      </c>
      <c r="E1686" t="s">
        <v>27</v>
      </c>
      <c r="F1686" t="s">
        <v>28</v>
      </c>
      <c r="G1686" t="s">
        <v>29</v>
      </c>
      <c r="H1686" t="s">
        <v>135</v>
      </c>
      <c r="I1686" t="s">
        <v>1906</v>
      </c>
      <c r="J1686" t="s">
        <v>137</v>
      </c>
      <c r="K1686" t="s">
        <v>104</v>
      </c>
      <c r="L1686" t="s">
        <v>34</v>
      </c>
      <c r="M1686" t="s">
        <v>65</v>
      </c>
      <c r="N1686" t="s">
        <v>95</v>
      </c>
      <c r="O1686">
        <v>60</v>
      </c>
      <c r="P1686">
        <v>0</v>
      </c>
      <c r="Q1686">
        <v>78.900000000000006</v>
      </c>
      <c r="R1686">
        <v>1250</v>
      </c>
      <c r="S1686">
        <v>0</v>
      </c>
      <c r="T1686">
        <v>1250</v>
      </c>
      <c r="U1686">
        <v>1</v>
      </c>
      <c r="V1686">
        <v>0</v>
      </c>
      <c r="W1686">
        <v>0</v>
      </c>
      <c r="X1686">
        <v>0.85</v>
      </c>
    </row>
    <row r="1687" spans="1:24" x14ac:dyDescent="0.3">
      <c r="A1687" t="s">
        <v>2422</v>
      </c>
      <c r="B1687" s="1">
        <v>45938</v>
      </c>
      <c r="C1687" t="s">
        <v>97</v>
      </c>
      <c r="D1687" t="s">
        <v>57</v>
      </c>
      <c r="E1687" t="s">
        <v>83</v>
      </c>
      <c r="F1687" t="s">
        <v>58</v>
      </c>
      <c r="G1687" t="s">
        <v>59</v>
      </c>
      <c r="H1687" t="s">
        <v>117</v>
      </c>
      <c r="I1687" t="s">
        <v>1135</v>
      </c>
      <c r="J1687" t="s">
        <v>62</v>
      </c>
      <c r="K1687" t="s">
        <v>46</v>
      </c>
      <c r="L1687" t="s">
        <v>64</v>
      </c>
      <c r="M1687" t="s">
        <v>94</v>
      </c>
      <c r="N1687" t="s">
        <v>95</v>
      </c>
      <c r="O1687">
        <v>60</v>
      </c>
      <c r="P1687">
        <v>0</v>
      </c>
      <c r="Q1687">
        <v>72.099999999999994</v>
      </c>
      <c r="R1687">
        <v>1500</v>
      </c>
      <c r="S1687">
        <v>0</v>
      </c>
      <c r="T1687">
        <v>1500</v>
      </c>
      <c r="U1687">
        <v>1</v>
      </c>
      <c r="V1687">
        <v>0</v>
      </c>
      <c r="W1687">
        <v>0</v>
      </c>
      <c r="X1687">
        <v>0.85</v>
      </c>
    </row>
    <row r="1688" spans="1:24" x14ac:dyDescent="0.3">
      <c r="A1688" t="s">
        <v>2423</v>
      </c>
      <c r="B1688" s="1">
        <v>45831</v>
      </c>
      <c r="C1688" t="s">
        <v>67</v>
      </c>
      <c r="D1688" t="s">
        <v>39</v>
      </c>
      <c r="E1688" t="s">
        <v>27</v>
      </c>
      <c r="F1688" t="s">
        <v>41</v>
      </c>
      <c r="G1688" t="s">
        <v>42</v>
      </c>
      <c r="H1688" t="s">
        <v>111</v>
      </c>
      <c r="I1688" t="s">
        <v>235</v>
      </c>
      <c r="J1688" t="s">
        <v>53</v>
      </c>
      <c r="K1688" t="s">
        <v>63</v>
      </c>
      <c r="L1688" t="s">
        <v>64</v>
      </c>
      <c r="M1688" t="s">
        <v>35</v>
      </c>
      <c r="N1688" t="s">
        <v>36</v>
      </c>
      <c r="O1688">
        <v>75</v>
      </c>
      <c r="P1688">
        <v>75</v>
      </c>
      <c r="Q1688">
        <v>87.4</v>
      </c>
      <c r="R1688">
        <v>2000</v>
      </c>
      <c r="S1688">
        <v>2000</v>
      </c>
      <c r="T1688">
        <v>0</v>
      </c>
      <c r="U1688">
        <v>0</v>
      </c>
      <c r="V1688">
        <v>1</v>
      </c>
      <c r="W1688">
        <v>0</v>
      </c>
      <c r="X1688">
        <v>0.85</v>
      </c>
    </row>
    <row r="1689" spans="1:24" x14ac:dyDescent="0.3">
      <c r="A1689" t="s">
        <v>2424</v>
      </c>
      <c r="B1689" s="1">
        <v>45896</v>
      </c>
      <c r="C1689" t="s">
        <v>110</v>
      </c>
      <c r="D1689" t="s">
        <v>57</v>
      </c>
      <c r="E1689" t="s">
        <v>68</v>
      </c>
      <c r="F1689" t="s">
        <v>58</v>
      </c>
      <c r="G1689" t="s">
        <v>59</v>
      </c>
      <c r="H1689" t="s">
        <v>296</v>
      </c>
      <c r="I1689" t="s">
        <v>1030</v>
      </c>
      <c r="J1689" t="s">
        <v>53</v>
      </c>
      <c r="K1689" t="s">
        <v>85</v>
      </c>
      <c r="L1689" t="s">
        <v>54</v>
      </c>
      <c r="M1689" t="s">
        <v>86</v>
      </c>
      <c r="N1689" t="s">
        <v>153</v>
      </c>
      <c r="O1689">
        <v>45</v>
      </c>
      <c r="P1689">
        <v>0</v>
      </c>
      <c r="Q1689">
        <v>55.3</v>
      </c>
      <c r="R1689">
        <v>1150</v>
      </c>
      <c r="S1689">
        <v>0</v>
      </c>
      <c r="T1689">
        <v>0</v>
      </c>
      <c r="U1689">
        <v>0</v>
      </c>
      <c r="V1689">
        <v>0</v>
      </c>
      <c r="W1689">
        <v>0</v>
      </c>
      <c r="X1689">
        <v>0.85</v>
      </c>
    </row>
    <row r="1690" spans="1:24" x14ac:dyDescent="0.3">
      <c r="A1690" t="s">
        <v>2425</v>
      </c>
      <c r="B1690" s="1">
        <v>45898</v>
      </c>
      <c r="C1690" t="s">
        <v>110</v>
      </c>
      <c r="D1690" t="s">
        <v>82</v>
      </c>
      <c r="E1690" t="s">
        <v>68</v>
      </c>
      <c r="F1690" t="s">
        <v>41</v>
      </c>
      <c r="G1690" t="s">
        <v>42</v>
      </c>
      <c r="H1690" t="s">
        <v>51</v>
      </c>
      <c r="I1690" t="s">
        <v>2426</v>
      </c>
      <c r="J1690" t="s">
        <v>45</v>
      </c>
      <c r="K1690" t="s">
        <v>70</v>
      </c>
      <c r="L1690" t="s">
        <v>64</v>
      </c>
      <c r="M1690" t="s">
        <v>47</v>
      </c>
      <c r="N1690" t="s">
        <v>36</v>
      </c>
      <c r="O1690">
        <v>60</v>
      </c>
      <c r="P1690">
        <v>60</v>
      </c>
      <c r="Q1690">
        <v>80.400000000000006</v>
      </c>
      <c r="R1690">
        <v>1550</v>
      </c>
      <c r="S1690">
        <v>1550</v>
      </c>
      <c r="T1690">
        <v>0</v>
      </c>
      <c r="U1690">
        <v>0</v>
      </c>
      <c r="V1690">
        <v>1</v>
      </c>
      <c r="W1690">
        <v>0</v>
      </c>
      <c r="X1690">
        <v>0.85</v>
      </c>
    </row>
    <row r="1691" spans="1:24" x14ac:dyDescent="0.3">
      <c r="A1691" t="s">
        <v>2427</v>
      </c>
      <c r="B1691" s="1">
        <v>45763</v>
      </c>
      <c r="C1691" t="s">
        <v>92</v>
      </c>
      <c r="D1691" t="s">
        <v>57</v>
      </c>
      <c r="E1691" t="s">
        <v>40</v>
      </c>
      <c r="F1691" t="s">
        <v>28</v>
      </c>
      <c r="G1691" t="s">
        <v>29</v>
      </c>
      <c r="H1691" t="s">
        <v>120</v>
      </c>
      <c r="I1691" t="s">
        <v>166</v>
      </c>
      <c r="J1691" t="s">
        <v>137</v>
      </c>
      <c r="K1691" t="s">
        <v>70</v>
      </c>
      <c r="L1691" t="s">
        <v>64</v>
      </c>
      <c r="M1691" t="s">
        <v>65</v>
      </c>
      <c r="N1691" t="s">
        <v>36</v>
      </c>
      <c r="O1691">
        <v>60</v>
      </c>
      <c r="P1691">
        <v>60</v>
      </c>
      <c r="Q1691">
        <v>69.400000000000006</v>
      </c>
      <c r="R1691">
        <v>1250</v>
      </c>
      <c r="S1691">
        <v>1250</v>
      </c>
      <c r="T1691">
        <v>0</v>
      </c>
      <c r="U1691">
        <v>0</v>
      </c>
      <c r="V1691">
        <v>1</v>
      </c>
      <c r="W1691">
        <v>0</v>
      </c>
      <c r="X1691">
        <v>0.85</v>
      </c>
    </row>
    <row r="1692" spans="1:24" x14ac:dyDescent="0.3">
      <c r="A1692" t="s">
        <v>2428</v>
      </c>
      <c r="B1692" s="1">
        <v>45668</v>
      </c>
      <c r="C1692" t="s">
        <v>130</v>
      </c>
      <c r="D1692" t="s">
        <v>88</v>
      </c>
      <c r="E1692" t="s">
        <v>83</v>
      </c>
      <c r="F1692" t="s">
        <v>41</v>
      </c>
      <c r="G1692" t="s">
        <v>42</v>
      </c>
      <c r="H1692" t="s">
        <v>111</v>
      </c>
      <c r="I1692" t="s">
        <v>1359</v>
      </c>
      <c r="J1692" t="s">
        <v>32</v>
      </c>
      <c r="K1692" t="s">
        <v>63</v>
      </c>
      <c r="L1692" t="s">
        <v>34</v>
      </c>
      <c r="M1692" t="s">
        <v>94</v>
      </c>
      <c r="N1692" t="s">
        <v>36</v>
      </c>
      <c r="O1692">
        <v>60</v>
      </c>
      <c r="P1692">
        <v>60</v>
      </c>
      <c r="Q1692">
        <v>69.400000000000006</v>
      </c>
      <c r="R1692">
        <v>1350</v>
      </c>
      <c r="S1692">
        <v>1350</v>
      </c>
      <c r="T1692">
        <v>0</v>
      </c>
      <c r="U1692">
        <v>0</v>
      </c>
      <c r="V1692">
        <v>1</v>
      </c>
      <c r="W1692">
        <v>0</v>
      </c>
      <c r="X1692">
        <v>0.85</v>
      </c>
    </row>
    <row r="1693" spans="1:24" x14ac:dyDescent="0.3">
      <c r="A1693" t="s">
        <v>2429</v>
      </c>
      <c r="B1693" s="1">
        <v>45973</v>
      </c>
      <c r="C1693" t="s">
        <v>38</v>
      </c>
      <c r="D1693" t="s">
        <v>57</v>
      </c>
      <c r="E1693" t="s">
        <v>68</v>
      </c>
      <c r="F1693" t="s">
        <v>58</v>
      </c>
      <c r="G1693" t="s">
        <v>59</v>
      </c>
      <c r="H1693" t="s">
        <v>151</v>
      </c>
      <c r="I1693" t="s">
        <v>1054</v>
      </c>
      <c r="J1693" t="s">
        <v>53</v>
      </c>
      <c r="K1693" t="s">
        <v>63</v>
      </c>
      <c r="L1693" t="s">
        <v>34</v>
      </c>
      <c r="M1693" t="s">
        <v>86</v>
      </c>
      <c r="N1693" t="s">
        <v>36</v>
      </c>
      <c r="O1693">
        <v>60</v>
      </c>
      <c r="P1693">
        <v>60</v>
      </c>
      <c r="Q1693">
        <v>66.400000000000006</v>
      </c>
      <c r="R1693">
        <v>1800</v>
      </c>
      <c r="S1693">
        <v>1800</v>
      </c>
      <c r="T1693">
        <v>0</v>
      </c>
      <c r="U1693">
        <v>0</v>
      </c>
      <c r="V1693">
        <v>1</v>
      </c>
      <c r="W1693">
        <v>0</v>
      </c>
      <c r="X1693">
        <v>0.85</v>
      </c>
    </row>
    <row r="1694" spans="1:24" x14ac:dyDescent="0.3">
      <c r="A1694" t="s">
        <v>2430</v>
      </c>
      <c r="B1694" s="1">
        <v>45867</v>
      </c>
      <c r="C1694" t="s">
        <v>101</v>
      </c>
      <c r="D1694" t="s">
        <v>26</v>
      </c>
      <c r="E1694" t="s">
        <v>27</v>
      </c>
      <c r="F1694" t="s">
        <v>41</v>
      </c>
      <c r="G1694" t="s">
        <v>42</v>
      </c>
      <c r="H1694" t="s">
        <v>89</v>
      </c>
      <c r="I1694" t="s">
        <v>507</v>
      </c>
      <c r="J1694" t="s">
        <v>45</v>
      </c>
      <c r="K1694" t="s">
        <v>70</v>
      </c>
      <c r="L1694" t="s">
        <v>34</v>
      </c>
      <c r="M1694" t="s">
        <v>71</v>
      </c>
      <c r="N1694" t="s">
        <v>36</v>
      </c>
      <c r="O1694">
        <v>45</v>
      </c>
      <c r="P1694">
        <v>45</v>
      </c>
      <c r="Q1694">
        <v>56.7</v>
      </c>
      <c r="R1694">
        <v>1150</v>
      </c>
      <c r="S1694">
        <v>1150</v>
      </c>
      <c r="T1694">
        <v>0</v>
      </c>
      <c r="U1694">
        <v>0</v>
      </c>
      <c r="V1694">
        <v>1</v>
      </c>
      <c r="W1694">
        <v>0</v>
      </c>
      <c r="X1694">
        <v>0.85</v>
      </c>
    </row>
    <row r="1695" spans="1:24" x14ac:dyDescent="0.3">
      <c r="A1695" t="s">
        <v>2431</v>
      </c>
      <c r="B1695" s="1">
        <v>45803</v>
      </c>
      <c r="C1695" t="s">
        <v>128</v>
      </c>
      <c r="D1695" t="s">
        <v>39</v>
      </c>
      <c r="E1695" t="s">
        <v>83</v>
      </c>
      <c r="F1695" t="s">
        <v>28</v>
      </c>
      <c r="G1695" t="s">
        <v>29</v>
      </c>
      <c r="H1695" t="s">
        <v>120</v>
      </c>
      <c r="I1695" t="s">
        <v>984</v>
      </c>
      <c r="J1695" t="s">
        <v>32</v>
      </c>
      <c r="K1695" t="s">
        <v>70</v>
      </c>
      <c r="L1695" t="s">
        <v>34</v>
      </c>
      <c r="M1695" t="s">
        <v>35</v>
      </c>
      <c r="N1695" t="s">
        <v>36</v>
      </c>
      <c r="O1695">
        <v>60</v>
      </c>
      <c r="P1695">
        <v>60</v>
      </c>
      <c r="Q1695">
        <v>74.7</v>
      </c>
      <c r="R1695">
        <v>1250</v>
      </c>
      <c r="S1695">
        <v>1250</v>
      </c>
      <c r="T1695">
        <v>0</v>
      </c>
      <c r="U1695">
        <v>0</v>
      </c>
      <c r="V1695">
        <v>1</v>
      </c>
      <c r="W1695">
        <v>0</v>
      </c>
      <c r="X1695">
        <v>0.85</v>
      </c>
    </row>
    <row r="1696" spans="1:24" x14ac:dyDescent="0.3">
      <c r="A1696" t="s">
        <v>2432</v>
      </c>
      <c r="B1696" s="1">
        <v>45937</v>
      </c>
      <c r="C1696" t="s">
        <v>97</v>
      </c>
      <c r="D1696" t="s">
        <v>26</v>
      </c>
      <c r="E1696" t="s">
        <v>27</v>
      </c>
      <c r="F1696" t="s">
        <v>28</v>
      </c>
      <c r="G1696" t="s">
        <v>29</v>
      </c>
      <c r="H1696" t="s">
        <v>102</v>
      </c>
      <c r="I1696" t="s">
        <v>875</v>
      </c>
      <c r="J1696" t="s">
        <v>99</v>
      </c>
      <c r="K1696" t="s">
        <v>85</v>
      </c>
      <c r="L1696" t="s">
        <v>34</v>
      </c>
      <c r="M1696" t="s">
        <v>71</v>
      </c>
      <c r="N1696" t="s">
        <v>36</v>
      </c>
      <c r="O1696">
        <v>60</v>
      </c>
      <c r="P1696">
        <v>60</v>
      </c>
      <c r="Q1696">
        <v>69.5</v>
      </c>
      <c r="R1696">
        <v>1250</v>
      </c>
      <c r="S1696">
        <v>1250</v>
      </c>
      <c r="T1696">
        <v>0</v>
      </c>
      <c r="U1696">
        <v>0</v>
      </c>
      <c r="V1696">
        <v>1</v>
      </c>
      <c r="W1696">
        <v>0</v>
      </c>
      <c r="X1696">
        <v>0.85</v>
      </c>
    </row>
    <row r="1697" spans="1:24" x14ac:dyDescent="0.3">
      <c r="A1697" t="s">
        <v>2433</v>
      </c>
      <c r="B1697" s="1">
        <v>45670</v>
      </c>
      <c r="C1697" t="s">
        <v>130</v>
      </c>
      <c r="D1697" t="s">
        <v>39</v>
      </c>
      <c r="E1697" t="s">
        <v>68</v>
      </c>
      <c r="F1697" t="s">
        <v>41</v>
      </c>
      <c r="G1697" t="s">
        <v>42</v>
      </c>
      <c r="H1697" t="s">
        <v>89</v>
      </c>
      <c r="I1697" t="s">
        <v>999</v>
      </c>
      <c r="J1697" t="s">
        <v>32</v>
      </c>
      <c r="K1697" t="s">
        <v>85</v>
      </c>
      <c r="L1697" t="s">
        <v>54</v>
      </c>
      <c r="M1697" t="s">
        <v>35</v>
      </c>
      <c r="N1697" t="s">
        <v>95</v>
      </c>
      <c r="O1697">
        <v>90</v>
      </c>
      <c r="P1697">
        <v>0</v>
      </c>
      <c r="Q1697">
        <v>103</v>
      </c>
      <c r="R1697">
        <v>1700</v>
      </c>
      <c r="S1697">
        <v>0</v>
      </c>
      <c r="T1697">
        <v>1700</v>
      </c>
      <c r="U1697">
        <v>1</v>
      </c>
      <c r="V1697">
        <v>0</v>
      </c>
      <c r="W1697">
        <v>0</v>
      </c>
      <c r="X1697">
        <v>0.85</v>
      </c>
    </row>
    <row r="1698" spans="1:24" x14ac:dyDescent="0.3">
      <c r="A1698" t="s">
        <v>2434</v>
      </c>
      <c r="B1698" s="1">
        <v>45772</v>
      </c>
      <c r="C1698" t="s">
        <v>92</v>
      </c>
      <c r="D1698" t="s">
        <v>82</v>
      </c>
      <c r="E1698" t="s">
        <v>40</v>
      </c>
      <c r="F1698" t="s">
        <v>41</v>
      </c>
      <c r="G1698" t="s">
        <v>42</v>
      </c>
      <c r="H1698" t="s">
        <v>89</v>
      </c>
      <c r="I1698" t="s">
        <v>1112</v>
      </c>
      <c r="J1698" t="s">
        <v>62</v>
      </c>
      <c r="K1698" t="s">
        <v>33</v>
      </c>
      <c r="L1698" t="s">
        <v>34</v>
      </c>
      <c r="M1698" t="s">
        <v>71</v>
      </c>
      <c r="N1698" t="s">
        <v>36</v>
      </c>
      <c r="O1698">
        <v>45</v>
      </c>
      <c r="P1698">
        <v>45</v>
      </c>
      <c r="Q1698">
        <v>58.3</v>
      </c>
      <c r="R1698">
        <v>1000</v>
      </c>
      <c r="S1698">
        <v>1000</v>
      </c>
      <c r="T1698">
        <v>0</v>
      </c>
      <c r="U1698">
        <v>0</v>
      </c>
      <c r="V1698">
        <v>1</v>
      </c>
      <c r="W1698">
        <v>0</v>
      </c>
      <c r="X1698">
        <v>0.85</v>
      </c>
    </row>
    <row r="1699" spans="1:24" x14ac:dyDescent="0.3">
      <c r="A1699" t="s">
        <v>2435</v>
      </c>
      <c r="B1699" s="1">
        <v>45740</v>
      </c>
      <c r="C1699" t="s">
        <v>56</v>
      </c>
      <c r="D1699" t="s">
        <v>39</v>
      </c>
      <c r="E1699" t="s">
        <v>83</v>
      </c>
      <c r="F1699" t="s">
        <v>28</v>
      </c>
      <c r="G1699" t="s">
        <v>29</v>
      </c>
      <c r="H1699" t="s">
        <v>120</v>
      </c>
      <c r="I1699" t="s">
        <v>143</v>
      </c>
      <c r="J1699" t="s">
        <v>53</v>
      </c>
      <c r="K1699" t="s">
        <v>63</v>
      </c>
      <c r="L1699" t="s">
        <v>54</v>
      </c>
      <c r="M1699" t="s">
        <v>71</v>
      </c>
      <c r="N1699" t="s">
        <v>95</v>
      </c>
      <c r="O1699">
        <v>60</v>
      </c>
      <c r="P1699">
        <v>0</v>
      </c>
      <c r="Q1699">
        <v>76</v>
      </c>
      <c r="R1699">
        <v>1300</v>
      </c>
      <c r="S1699">
        <v>0</v>
      </c>
      <c r="T1699">
        <v>1300</v>
      </c>
      <c r="U1699">
        <v>1</v>
      </c>
      <c r="V1699">
        <v>0</v>
      </c>
      <c r="W1699">
        <v>0</v>
      </c>
      <c r="X1699">
        <v>0.85</v>
      </c>
    </row>
    <row r="1700" spans="1:24" x14ac:dyDescent="0.3">
      <c r="A1700" t="s">
        <v>2436</v>
      </c>
      <c r="B1700" s="1">
        <v>45761</v>
      </c>
      <c r="C1700" t="s">
        <v>92</v>
      </c>
      <c r="D1700" t="s">
        <v>39</v>
      </c>
      <c r="E1700" t="s">
        <v>68</v>
      </c>
      <c r="F1700" t="s">
        <v>28</v>
      </c>
      <c r="G1700" t="s">
        <v>29</v>
      </c>
      <c r="H1700" t="s">
        <v>30</v>
      </c>
      <c r="I1700" t="s">
        <v>224</v>
      </c>
      <c r="J1700" t="s">
        <v>45</v>
      </c>
      <c r="K1700" t="s">
        <v>70</v>
      </c>
      <c r="L1700" t="s">
        <v>64</v>
      </c>
      <c r="M1700" t="s">
        <v>65</v>
      </c>
      <c r="N1700" t="s">
        <v>95</v>
      </c>
      <c r="O1700">
        <v>60</v>
      </c>
      <c r="P1700">
        <v>0</v>
      </c>
      <c r="Q1700">
        <v>78.400000000000006</v>
      </c>
      <c r="R1700">
        <v>1450</v>
      </c>
      <c r="S1700">
        <v>0</v>
      </c>
      <c r="T1700">
        <v>1450</v>
      </c>
      <c r="U1700">
        <v>1</v>
      </c>
      <c r="V1700">
        <v>0</v>
      </c>
      <c r="W1700">
        <v>0</v>
      </c>
      <c r="X1700">
        <v>0.85</v>
      </c>
    </row>
    <row r="1701" spans="1:24" x14ac:dyDescent="0.3">
      <c r="A1701" t="s">
        <v>2437</v>
      </c>
      <c r="B1701" s="1">
        <v>45736</v>
      </c>
      <c r="C1701" t="s">
        <v>56</v>
      </c>
      <c r="D1701" t="s">
        <v>50</v>
      </c>
      <c r="E1701" t="s">
        <v>27</v>
      </c>
      <c r="F1701" t="s">
        <v>58</v>
      </c>
      <c r="G1701" t="s">
        <v>59</v>
      </c>
      <c r="H1701" t="s">
        <v>117</v>
      </c>
      <c r="I1701" t="s">
        <v>2319</v>
      </c>
      <c r="J1701" t="s">
        <v>137</v>
      </c>
      <c r="K1701" t="s">
        <v>63</v>
      </c>
      <c r="L1701" t="s">
        <v>34</v>
      </c>
      <c r="M1701" t="s">
        <v>94</v>
      </c>
      <c r="N1701" t="s">
        <v>36</v>
      </c>
      <c r="O1701">
        <v>90</v>
      </c>
      <c r="P1701">
        <v>90</v>
      </c>
      <c r="Q1701">
        <v>101.5</v>
      </c>
      <c r="R1701">
        <v>2250</v>
      </c>
      <c r="S1701">
        <v>2250</v>
      </c>
      <c r="T1701">
        <v>0</v>
      </c>
      <c r="U1701">
        <v>0</v>
      </c>
      <c r="V1701">
        <v>1</v>
      </c>
      <c r="W1701">
        <v>0</v>
      </c>
      <c r="X1701">
        <v>0.85</v>
      </c>
    </row>
    <row r="1702" spans="1:24" x14ac:dyDescent="0.3">
      <c r="A1702" t="s">
        <v>2438</v>
      </c>
      <c r="B1702" s="1">
        <v>45962</v>
      </c>
      <c r="C1702" t="s">
        <v>38</v>
      </c>
      <c r="D1702" t="s">
        <v>88</v>
      </c>
      <c r="E1702" t="s">
        <v>83</v>
      </c>
      <c r="F1702" t="s">
        <v>28</v>
      </c>
      <c r="G1702" t="s">
        <v>29</v>
      </c>
      <c r="H1702" t="s">
        <v>102</v>
      </c>
      <c r="I1702" t="s">
        <v>2439</v>
      </c>
      <c r="J1702" t="s">
        <v>53</v>
      </c>
      <c r="K1702" t="s">
        <v>85</v>
      </c>
      <c r="L1702" t="s">
        <v>34</v>
      </c>
      <c r="M1702" t="s">
        <v>71</v>
      </c>
      <c r="N1702" t="s">
        <v>95</v>
      </c>
      <c r="O1702">
        <v>30</v>
      </c>
      <c r="P1702">
        <v>0</v>
      </c>
      <c r="Q1702">
        <v>34.5</v>
      </c>
      <c r="R1702">
        <v>750</v>
      </c>
      <c r="S1702">
        <v>0</v>
      </c>
      <c r="T1702">
        <v>750</v>
      </c>
      <c r="U1702">
        <v>1</v>
      </c>
      <c r="V1702">
        <v>0</v>
      </c>
      <c r="W1702">
        <v>0</v>
      </c>
      <c r="X1702">
        <v>0.85</v>
      </c>
    </row>
    <row r="1703" spans="1:24" x14ac:dyDescent="0.3">
      <c r="A1703" t="s">
        <v>2440</v>
      </c>
      <c r="B1703" s="1">
        <v>45845</v>
      </c>
      <c r="C1703" t="s">
        <v>101</v>
      </c>
      <c r="D1703" t="s">
        <v>39</v>
      </c>
      <c r="E1703" t="s">
        <v>40</v>
      </c>
      <c r="F1703" t="s">
        <v>41</v>
      </c>
      <c r="G1703" t="s">
        <v>42</v>
      </c>
      <c r="H1703" t="s">
        <v>125</v>
      </c>
      <c r="I1703" t="s">
        <v>1520</v>
      </c>
      <c r="J1703" t="s">
        <v>53</v>
      </c>
      <c r="K1703" t="s">
        <v>33</v>
      </c>
      <c r="L1703" t="s">
        <v>64</v>
      </c>
      <c r="M1703" t="s">
        <v>94</v>
      </c>
      <c r="N1703" t="s">
        <v>36</v>
      </c>
      <c r="O1703">
        <v>60</v>
      </c>
      <c r="P1703">
        <v>60</v>
      </c>
      <c r="Q1703">
        <v>65.3</v>
      </c>
      <c r="R1703">
        <v>1600</v>
      </c>
      <c r="S1703">
        <v>1600</v>
      </c>
      <c r="T1703">
        <v>0</v>
      </c>
      <c r="U1703">
        <v>0</v>
      </c>
      <c r="V1703">
        <v>1</v>
      </c>
      <c r="W1703">
        <v>0</v>
      </c>
      <c r="X1703">
        <v>0.85</v>
      </c>
    </row>
    <row r="1704" spans="1:24" x14ac:dyDescent="0.3">
      <c r="A1704" t="s">
        <v>2441</v>
      </c>
      <c r="B1704" s="1">
        <v>45922</v>
      </c>
      <c r="C1704" t="s">
        <v>49</v>
      </c>
      <c r="D1704" t="s">
        <v>39</v>
      </c>
      <c r="E1704" t="s">
        <v>27</v>
      </c>
      <c r="F1704" t="s">
        <v>41</v>
      </c>
      <c r="G1704" t="s">
        <v>42</v>
      </c>
      <c r="H1704" t="s">
        <v>51</v>
      </c>
      <c r="I1704" t="s">
        <v>860</v>
      </c>
      <c r="J1704" t="s">
        <v>137</v>
      </c>
      <c r="K1704" t="s">
        <v>46</v>
      </c>
      <c r="L1704" t="s">
        <v>64</v>
      </c>
      <c r="M1704" t="s">
        <v>94</v>
      </c>
      <c r="N1704" t="s">
        <v>36</v>
      </c>
      <c r="O1704">
        <v>60</v>
      </c>
      <c r="P1704">
        <v>60</v>
      </c>
      <c r="Q1704">
        <v>75.099999999999994</v>
      </c>
      <c r="R1704">
        <v>1350</v>
      </c>
      <c r="S1704">
        <v>1350</v>
      </c>
      <c r="T1704">
        <v>0</v>
      </c>
      <c r="U1704">
        <v>0</v>
      </c>
      <c r="V1704">
        <v>1</v>
      </c>
      <c r="W1704">
        <v>0</v>
      </c>
      <c r="X1704">
        <v>0.85</v>
      </c>
    </row>
    <row r="1705" spans="1:24" x14ac:dyDescent="0.3">
      <c r="A1705" t="s">
        <v>2442</v>
      </c>
      <c r="B1705" s="1">
        <v>45904</v>
      </c>
      <c r="C1705" t="s">
        <v>49</v>
      </c>
      <c r="D1705" t="s">
        <v>50</v>
      </c>
      <c r="E1705" t="s">
        <v>68</v>
      </c>
      <c r="F1705" t="s">
        <v>28</v>
      </c>
      <c r="G1705" t="s">
        <v>29</v>
      </c>
      <c r="H1705" t="s">
        <v>135</v>
      </c>
      <c r="I1705" t="s">
        <v>489</v>
      </c>
      <c r="J1705" t="s">
        <v>62</v>
      </c>
      <c r="K1705" t="s">
        <v>63</v>
      </c>
      <c r="L1705" t="s">
        <v>78</v>
      </c>
      <c r="M1705" t="s">
        <v>94</v>
      </c>
      <c r="N1705" t="s">
        <v>36</v>
      </c>
      <c r="O1705">
        <v>60</v>
      </c>
      <c r="P1705">
        <v>60</v>
      </c>
      <c r="Q1705">
        <v>73.2</v>
      </c>
      <c r="R1705">
        <v>1150</v>
      </c>
      <c r="S1705">
        <v>1150</v>
      </c>
      <c r="T1705">
        <v>0</v>
      </c>
      <c r="U1705">
        <v>0</v>
      </c>
      <c r="V1705">
        <v>1</v>
      </c>
      <c r="W1705">
        <v>0</v>
      </c>
      <c r="X1705">
        <v>0.85</v>
      </c>
    </row>
    <row r="1706" spans="1:24" x14ac:dyDescent="0.3">
      <c r="A1706" t="s">
        <v>2443</v>
      </c>
      <c r="B1706" s="1">
        <v>45919</v>
      </c>
      <c r="C1706" t="s">
        <v>49</v>
      </c>
      <c r="D1706" t="s">
        <v>82</v>
      </c>
      <c r="E1706" t="s">
        <v>68</v>
      </c>
      <c r="F1706" t="s">
        <v>41</v>
      </c>
      <c r="G1706" t="s">
        <v>42</v>
      </c>
      <c r="H1706" t="s">
        <v>111</v>
      </c>
      <c r="I1706" t="s">
        <v>366</v>
      </c>
      <c r="J1706" t="s">
        <v>32</v>
      </c>
      <c r="K1706" t="s">
        <v>46</v>
      </c>
      <c r="L1706" t="s">
        <v>64</v>
      </c>
      <c r="M1706" t="s">
        <v>71</v>
      </c>
      <c r="N1706" t="s">
        <v>95</v>
      </c>
      <c r="O1706">
        <v>90</v>
      </c>
      <c r="P1706">
        <v>0</v>
      </c>
      <c r="Q1706">
        <v>107.2</v>
      </c>
      <c r="R1706">
        <v>2000</v>
      </c>
      <c r="S1706">
        <v>0</v>
      </c>
      <c r="T1706">
        <v>2000</v>
      </c>
      <c r="U1706">
        <v>1</v>
      </c>
      <c r="V1706">
        <v>0</v>
      </c>
      <c r="W1706">
        <v>0</v>
      </c>
      <c r="X1706">
        <v>0.85</v>
      </c>
    </row>
    <row r="1707" spans="1:24" x14ac:dyDescent="0.3">
      <c r="A1707" t="s">
        <v>2444</v>
      </c>
      <c r="B1707" s="1">
        <v>45938</v>
      </c>
      <c r="C1707" t="s">
        <v>97</v>
      </c>
      <c r="D1707" t="s">
        <v>57</v>
      </c>
      <c r="E1707" t="s">
        <v>68</v>
      </c>
      <c r="F1707" t="s">
        <v>41</v>
      </c>
      <c r="G1707" t="s">
        <v>42</v>
      </c>
      <c r="H1707" t="s">
        <v>125</v>
      </c>
      <c r="I1707" t="s">
        <v>1139</v>
      </c>
      <c r="J1707" t="s">
        <v>53</v>
      </c>
      <c r="K1707" t="s">
        <v>85</v>
      </c>
      <c r="L1707" t="s">
        <v>64</v>
      </c>
      <c r="M1707" t="s">
        <v>35</v>
      </c>
      <c r="N1707" t="s">
        <v>36</v>
      </c>
      <c r="O1707">
        <v>45</v>
      </c>
      <c r="P1707">
        <v>45</v>
      </c>
      <c r="Q1707">
        <v>49.9</v>
      </c>
      <c r="R1707">
        <v>1200</v>
      </c>
      <c r="S1707">
        <v>1200</v>
      </c>
      <c r="T1707">
        <v>0</v>
      </c>
      <c r="U1707">
        <v>0</v>
      </c>
      <c r="V1707">
        <v>1</v>
      </c>
      <c r="W1707">
        <v>0</v>
      </c>
      <c r="X1707">
        <v>0.85</v>
      </c>
    </row>
    <row r="1708" spans="1:24" x14ac:dyDescent="0.3">
      <c r="A1708" t="s">
        <v>2445</v>
      </c>
      <c r="B1708" s="1">
        <v>45798</v>
      </c>
      <c r="C1708" t="s">
        <v>128</v>
      </c>
      <c r="D1708" t="s">
        <v>57</v>
      </c>
      <c r="E1708" t="s">
        <v>40</v>
      </c>
      <c r="F1708" t="s">
        <v>41</v>
      </c>
      <c r="G1708" t="s">
        <v>42</v>
      </c>
      <c r="H1708" t="s">
        <v>125</v>
      </c>
      <c r="I1708" t="s">
        <v>2446</v>
      </c>
      <c r="J1708" t="s">
        <v>62</v>
      </c>
      <c r="K1708" t="s">
        <v>63</v>
      </c>
      <c r="L1708" t="s">
        <v>54</v>
      </c>
      <c r="M1708" t="s">
        <v>47</v>
      </c>
      <c r="N1708" t="s">
        <v>36</v>
      </c>
      <c r="O1708">
        <v>30</v>
      </c>
      <c r="P1708">
        <v>30</v>
      </c>
      <c r="Q1708">
        <v>34.299999999999997</v>
      </c>
      <c r="R1708">
        <v>550</v>
      </c>
      <c r="S1708">
        <v>550</v>
      </c>
      <c r="T1708">
        <v>0</v>
      </c>
      <c r="U1708">
        <v>0</v>
      </c>
      <c r="V1708">
        <v>1</v>
      </c>
      <c r="W1708">
        <v>0</v>
      </c>
      <c r="X1708">
        <v>0.85</v>
      </c>
    </row>
    <row r="1709" spans="1:24" x14ac:dyDescent="0.3">
      <c r="A1709" t="s">
        <v>2447</v>
      </c>
      <c r="B1709" s="1">
        <v>45822</v>
      </c>
      <c r="C1709" t="s">
        <v>67</v>
      </c>
      <c r="D1709" t="s">
        <v>88</v>
      </c>
      <c r="E1709" t="s">
        <v>83</v>
      </c>
      <c r="F1709" t="s">
        <v>28</v>
      </c>
      <c r="G1709" t="s">
        <v>29</v>
      </c>
      <c r="H1709" t="s">
        <v>120</v>
      </c>
      <c r="I1709" t="s">
        <v>1263</v>
      </c>
      <c r="J1709" t="s">
        <v>53</v>
      </c>
      <c r="K1709" t="s">
        <v>85</v>
      </c>
      <c r="L1709" t="s">
        <v>34</v>
      </c>
      <c r="M1709" t="s">
        <v>71</v>
      </c>
      <c r="N1709" t="s">
        <v>36</v>
      </c>
      <c r="O1709">
        <v>45</v>
      </c>
      <c r="P1709">
        <v>45</v>
      </c>
      <c r="Q1709">
        <v>57.2</v>
      </c>
      <c r="R1709">
        <v>1100</v>
      </c>
      <c r="S1709">
        <v>1100</v>
      </c>
      <c r="T1709">
        <v>0</v>
      </c>
      <c r="U1709">
        <v>0</v>
      </c>
      <c r="V1709">
        <v>1</v>
      </c>
      <c r="W1709">
        <v>0</v>
      </c>
      <c r="X1709">
        <v>0.85</v>
      </c>
    </row>
    <row r="1710" spans="1:24" x14ac:dyDescent="0.3">
      <c r="A1710" t="s">
        <v>2448</v>
      </c>
      <c r="B1710" s="1">
        <v>45852</v>
      </c>
      <c r="C1710" t="s">
        <v>101</v>
      </c>
      <c r="D1710" t="s">
        <v>39</v>
      </c>
      <c r="E1710" t="s">
        <v>40</v>
      </c>
      <c r="F1710" t="s">
        <v>58</v>
      </c>
      <c r="G1710" t="s">
        <v>59</v>
      </c>
      <c r="H1710" t="s">
        <v>117</v>
      </c>
      <c r="I1710" t="s">
        <v>2044</v>
      </c>
      <c r="J1710" t="s">
        <v>32</v>
      </c>
      <c r="K1710" t="s">
        <v>85</v>
      </c>
      <c r="L1710" t="s">
        <v>64</v>
      </c>
      <c r="M1710" t="s">
        <v>71</v>
      </c>
      <c r="N1710" t="s">
        <v>95</v>
      </c>
      <c r="O1710">
        <v>60</v>
      </c>
      <c r="P1710">
        <v>0</v>
      </c>
      <c r="Q1710">
        <v>73.5</v>
      </c>
      <c r="R1710">
        <v>1500</v>
      </c>
      <c r="S1710">
        <v>0</v>
      </c>
      <c r="T1710">
        <v>1500</v>
      </c>
      <c r="U1710">
        <v>1</v>
      </c>
      <c r="V1710">
        <v>0</v>
      </c>
      <c r="W1710">
        <v>0</v>
      </c>
      <c r="X1710">
        <v>0.85</v>
      </c>
    </row>
    <row r="1711" spans="1:24" x14ac:dyDescent="0.3">
      <c r="A1711" t="s">
        <v>2449</v>
      </c>
      <c r="B1711" s="1">
        <v>46008</v>
      </c>
      <c r="C1711" t="s">
        <v>25</v>
      </c>
      <c r="D1711" t="s">
        <v>57</v>
      </c>
      <c r="E1711" t="s">
        <v>83</v>
      </c>
      <c r="F1711" t="s">
        <v>28</v>
      </c>
      <c r="G1711" t="s">
        <v>29</v>
      </c>
      <c r="H1711" t="s">
        <v>102</v>
      </c>
      <c r="I1711" t="s">
        <v>844</v>
      </c>
      <c r="J1711" t="s">
        <v>62</v>
      </c>
      <c r="K1711" t="s">
        <v>85</v>
      </c>
      <c r="L1711" t="s">
        <v>64</v>
      </c>
      <c r="M1711" t="s">
        <v>65</v>
      </c>
      <c r="N1711" t="s">
        <v>36</v>
      </c>
      <c r="O1711">
        <v>60</v>
      </c>
      <c r="P1711">
        <v>60</v>
      </c>
      <c r="Q1711">
        <v>81</v>
      </c>
      <c r="R1711">
        <v>1250</v>
      </c>
      <c r="S1711">
        <v>1250</v>
      </c>
      <c r="T1711">
        <v>0</v>
      </c>
      <c r="U1711">
        <v>0</v>
      </c>
      <c r="V1711">
        <v>1</v>
      </c>
      <c r="W1711">
        <v>0</v>
      </c>
      <c r="X1711">
        <v>0.85</v>
      </c>
    </row>
    <row r="1712" spans="1:24" x14ac:dyDescent="0.3">
      <c r="A1712" t="s">
        <v>2450</v>
      </c>
      <c r="B1712" s="1">
        <v>45745</v>
      </c>
      <c r="C1712" t="s">
        <v>56</v>
      </c>
      <c r="D1712" t="s">
        <v>88</v>
      </c>
      <c r="E1712" t="s">
        <v>27</v>
      </c>
      <c r="F1712" t="s">
        <v>41</v>
      </c>
      <c r="G1712" t="s">
        <v>42</v>
      </c>
      <c r="H1712" t="s">
        <v>51</v>
      </c>
      <c r="I1712" t="s">
        <v>542</v>
      </c>
      <c r="J1712" t="s">
        <v>45</v>
      </c>
      <c r="K1712" t="s">
        <v>104</v>
      </c>
      <c r="L1712" t="s">
        <v>34</v>
      </c>
      <c r="M1712" t="s">
        <v>86</v>
      </c>
      <c r="N1712" t="s">
        <v>95</v>
      </c>
      <c r="O1712">
        <v>30</v>
      </c>
      <c r="P1712">
        <v>0</v>
      </c>
      <c r="Q1712">
        <v>34.4</v>
      </c>
      <c r="R1712">
        <v>800</v>
      </c>
      <c r="S1712">
        <v>0</v>
      </c>
      <c r="T1712">
        <v>800</v>
      </c>
      <c r="U1712">
        <v>1</v>
      </c>
      <c r="V1712">
        <v>0</v>
      </c>
      <c r="W1712">
        <v>0</v>
      </c>
      <c r="X1712">
        <v>0.85</v>
      </c>
    </row>
    <row r="1713" spans="1:24" x14ac:dyDescent="0.3">
      <c r="A1713" t="s">
        <v>2451</v>
      </c>
      <c r="B1713" s="1">
        <v>45850</v>
      </c>
      <c r="C1713" t="s">
        <v>101</v>
      </c>
      <c r="D1713" t="s">
        <v>88</v>
      </c>
      <c r="E1713" t="s">
        <v>40</v>
      </c>
      <c r="F1713" t="s">
        <v>58</v>
      </c>
      <c r="G1713" t="s">
        <v>59</v>
      </c>
      <c r="H1713" t="s">
        <v>73</v>
      </c>
      <c r="I1713" t="s">
        <v>1465</v>
      </c>
      <c r="J1713" t="s">
        <v>62</v>
      </c>
      <c r="K1713" t="s">
        <v>104</v>
      </c>
      <c r="L1713" t="s">
        <v>34</v>
      </c>
      <c r="M1713" t="s">
        <v>35</v>
      </c>
      <c r="N1713" t="s">
        <v>95</v>
      </c>
      <c r="O1713">
        <v>60</v>
      </c>
      <c r="P1713">
        <v>0</v>
      </c>
      <c r="Q1713">
        <v>74.099999999999994</v>
      </c>
      <c r="R1713">
        <v>1500</v>
      </c>
      <c r="S1713">
        <v>0</v>
      </c>
      <c r="T1713">
        <v>1500</v>
      </c>
      <c r="U1713">
        <v>1</v>
      </c>
      <c r="V1713">
        <v>0</v>
      </c>
      <c r="W1713">
        <v>0</v>
      </c>
      <c r="X1713">
        <v>0.85</v>
      </c>
    </row>
    <row r="1714" spans="1:24" x14ac:dyDescent="0.3">
      <c r="A1714" t="s">
        <v>2452</v>
      </c>
      <c r="B1714" s="1">
        <v>45741</v>
      </c>
      <c r="C1714" t="s">
        <v>56</v>
      </c>
      <c r="D1714" t="s">
        <v>26</v>
      </c>
      <c r="E1714" t="s">
        <v>83</v>
      </c>
      <c r="F1714" t="s">
        <v>28</v>
      </c>
      <c r="G1714" t="s">
        <v>29</v>
      </c>
      <c r="H1714" t="s">
        <v>102</v>
      </c>
      <c r="I1714" t="s">
        <v>2059</v>
      </c>
      <c r="J1714" t="s">
        <v>62</v>
      </c>
      <c r="K1714" t="s">
        <v>63</v>
      </c>
      <c r="L1714" t="s">
        <v>34</v>
      </c>
      <c r="M1714" t="s">
        <v>47</v>
      </c>
      <c r="N1714" t="s">
        <v>95</v>
      </c>
      <c r="O1714">
        <v>45</v>
      </c>
      <c r="P1714">
        <v>0</v>
      </c>
      <c r="Q1714">
        <v>50</v>
      </c>
      <c r="R1714">
        <v>950</v>
      </c>
      <c r="S1714">
        <v>0</v>
      </c>
      <c r="T1714">
        <v>950</v>
      </c>
      <c r="U1714">
        <v>1</v>
      </c>
      <c r="V1714">
        <v>0</v>
      </c>
      <c r="W1714">
        <v>0</v>
      </c>
      <c r="X1714">
        <v>0.85</v>
      </c>
    </row>
    <row r="1715" spans="1:24" x14ac:dyDescent="0.3">
      <c r="A1715" t="s">
        <v>2453</v>
      </c>
      <c r="B1715" s="1">
        <v>45888</v>
      </c>
      <c r="C1715" t="s">
        <v>110</v>
      </c>
      <c r="D1715" t="s">
        <v>26</v>
      </c>
      <c r="E1715" t="s">
        <v>40</v>
      </c>
      <c r="F1715" t="s">
        <v>28</v>
      </c>
      <c r="G1715" t="s">
        <v>29</v>
      </c>
      <c r="H1715" t="s">
        <v>135</v>
      </c>
      <c r="I1715" t="s">
        <v>2454</v>
      </c>
      <c r="J1715" t="s">
        <v>45</v>
      </c>
      <c r="K1715" t="s">
        <v>104</v>
      </c>
      <c r="L1715" t="s">
        <v>78</v>
      </c>
      <c r="M1715" t="s">
        <v>65</v>
      </c>
      <c r="N1715" t="s">
        <v>36</v>
      </c>
      <c r="O1715">
        <v>60</v>
      </c>
      <c r="P1715">
        <v>60</v>
      </c>
      <c r="Q1715">
        <v>70.099999999999994</v>
      </c>
      <c r="R1715">
        <v>1300</v>
      </c>
      <c r="S1715">
        <v>1300</v>
      </c>
      <c r="T1715">
        <v>0</v>
      </c>
      <c r="U1715">
        <v>0</v>
      </c>
      <c r="V1715">
        <v>1</v>
      </c>
      <c r="W1715">
        <v>0</v>
      </c>
      <c r="X1715">
        <v>0.85</v>
      </c>
    </row>
    <row r="1716" spans="1:24" x14ac:dyDescent="0.3">
      <c r="A1716" t="s">
        <v>2455</v>
      </c>
      <c r="B1716" s="1">
        <v>45943</v>
      </c>
      <c r="C1716" t="s">
        <v>97</v>
      </c>
      <c r="D1716" t="s">
        <v>39</v>
      </c>
      <c r="E1716" t="s">
        <v>40</v>
      </c>
      <c r="F1716" t="s">
        <v>41</v>
      </c>
      <c r="G1716" t="s">
        <v>42</v>
      </c>
      <c r="H1716" t="s">
        <v>89</v>
      </c>
      <c r="I1716" t="s">
        <v>416</v>
      </c>
      <c r="J1716" t="s">
        <v>32</v>
      </c>
      <c r="K1716" t="s">
        <v>85</v>
      </c>
      <c r="L1716" t="s">
        <v>34</v>
      </c>
      <c r="M1716" t="s">
        <v>65</v>
      </c>
      <c r="N1716" t="s">
        <v>36</v>
      </c>
      <c r="O1716">
        <v>60</v>
      </c>
      <c r="P1716">
        <v>60</v>
      </c>
      <c r="Q1716">
        <v>66.8</v>
      </c>
      <c r="R1716">
        <v>1350</v>
      </c>
      <c r="S1716">
        <v>1350</v>
      </c>
      <c r="T1716">
        <v>0</v>
      </c>
      <c r="U1716">
        <v>0</v>
      </c>
      <c r="V1716">
        <v>1</v>
      </c>
      <c r="W1716">
        <v>0</v>
      </c>
      <c r="X1716">
        <v>0.85</v>
      </c>
    </row>
    <row r="1717" spans="1:24" x14ac:dyDescent="0.3">
      <c r="A1717" t="s">
        <v>2456</v>
      </c>
      <c r="B1717" s="1">
        <v>45917</v>
      </c>
      <c r="C1717" t="s">
        <v>49</v>
      </c>
      <c r="D1717" t="s">
        <v>57</v>
      </c>
      <c r="E1717" t="s">
        <v>68</v>
      </c>
      <c r="F1717" t="s">
        <v>58</v>
      </c>
      <c r="G1717" t="s">
        <v>59</v>
      </c>
      <c r="H1717" t="s">
        <v>296</v>
      </c>
      <c r="I1717" t="s">
        <v>337</v>
      </c>
      <c r="J1717" t="s">
        <v>99</v>
      </c>
      <c r="K1717" t="s">
        <v>63</v>
      </c>
      <c r="L1717" t="s">
        <v>54</v>
      </c>
      <c r="M1717" t="s">
        <v>65</v>
      </c>
      <c r="N1717" t="s">
        <v>36</v>
      </c>
      <c r="O1717">
        <v>30</v>
      </c>
      <c r="P1717">
        <v>30</v>
      </c>
      <c r="Q1717">
        <v>35.4</v>
      </c>
      <c r="R1717">
        <v>650</v>
      </c>
      <c r="S1717">
        <v>650</v>
      </c>
      <c r="T1717">
        <v>0</v>
      </c>
      <c r="U1717">
        <v>0</v>
      </c>
      <c r="V1717">
        <v>1</v>
      </c>
      <c r="W1717">
        <v>0</v>
      </c>
      <c r="X1717">
        <v>0.85</v>
      </c>
    </row>
    <row r="1718" spans="1:24" x14ac:dyDescent="0.3">
      <c r="A1718" t="s">
        <v>2457</v>
      </c>
      <c r="B1718" s="1">
        <v>45703</v>
      </c>
      <c r="C1718" t="s">
        <v>76</v>
      </c>
      <c r="D1718" t="s">
        <v>88</v>
      </c>
      <c r="E1718" t="s">
        <v>83</v>
      </c>
      <c r="F1718" t="s">
        <v>41</v>
      </c>
      <c r="G1718" t="s">
        <v>42</v>
      </c>
      <c r="H1718" t="s">
        <v>125</v>
      </c>
      <c r="I1718" t="s">
        <v>1906</v>
      </c>
      <c r="J1718" t="s">
        <v>62</v>
      </c>
      <c r="K1718" t="s">
        <v>70</v>
      </c>
      <c r="L1718" t="s">
        <v>64</v>
      </c>
      <c r="M1718" t="s">
        <v>47</v>
      </c>
      <c r="N1718" t="s">
        <v>36</v>
      </c>
      <c r="O1718">
        <v>60</v>
      </c>
      <c r="P1718">
        <v>60</v>
      </c>
      <c r="Q1718">
        <v>79.599999999999994</v>
      </c>
      <c r="R1718">
        <v>1350</v>
      </c>
      <c r="S1718">
        <v>1350</v>
      </c>
      <c r="T1718">
        <v>0</v>
      </c>
      <c r="U1718">
        <v>0</v>
      </c>
      <c r="V1718">
        <v>1</v>
      </c>
      <c r="W1718">
        <v>0</v>
      </c>
      <c r="X1718">
        <v>0.85</v>
      </c>
    </row>
    <row r="1719" spans="1:24" x14ac:dyDescent="0.3">
      <c r="A1719" t="s">
        <v>2458</v>
      </c>
      <c r="B1719" s="1">
        <v>45698</v>
      </c>
      <c r="C1719" t="s">
        <v>76</v>
      </c>
      <c r="D1719" t="s">
        <v>39</v>
      </c>
      <c r="E1719" t="s">
        <v>83</v>
      </c>
      <c r="F1719" t="s">
        <v>41</v>
      </c>
      <c r="G1719" t="s">
        <v>42</v>
      </c>
      <c r="H1719" t="s">
        <v>125</v>
      </c>
      <c r="I1719" t="s">
        <v>732</v>
      </c>
      <c r="J1719" t="s">
        <v>53</v>
      </c>
      <c r="K1719" t="s">
        <v>104</v>
      </c>
      <c r="L1719" t="s">
        <v>34</v>
      </c>
      <c r="M1719" t="s">
        <v>65</v>
      </c>
      <c r="N1719" t="s">
        <v>95</v>
      </c>
      <c r="O1719">
        <v>30</v>
      </c>
      <c r="P1719">
        <v>0</v>
      </c>
      <c r="Q1719">
        <v>40</v>
      </c>
      <c r="R1719">
        <v>800</v>
      </c>
      <c r="S1719">
        <v>0</v>
      </c>
      <c r="T1719">
        <v>800</v>
      </c>
      <c r="U1719">
        <v>1</v>
      </c>
      <c r="V1719">
        <v>0</v>
      </c>
      <c r="W1719">
        <v>0</v>
      </c>
      <c r="X1719">
        <v>0.85</v>
      </c>
    </row>
    <row r="1720" spans="1:24" x14ac:dyDescent="0.3">
      <c r="A1720" t="s">
        <v>2459</v>
      </c>
      <c r="B1720" s="1">
        <v>45992</v>
      </c>
      <c r="C1720" t="s">
        <v>25</v>
      </c>
      <c r="D1720" t="s">
        <v>39</v>
      </c>
      <c r="E1720" t="s">
        <v>40</v>
      </c>
      <c r="F1720" t="s">
        <v>41</v>
      </c>
      <c r="G1720" t="s">
        <v>42</v>
      </c>
      <c r="H1720" t="s">
        <v>43</v>
      </c>
      <c r="I1720" t="s">
        <v>261</v>
      </c>
      <c r="J1720" t="s">
        <v>62</v>
      </c>
      <c r="K1720" t="s">
        <v>104</v>
      </c>
      <c r="L1720" t="s">
        <v>34</v>
      </c>
      <c r="M1720" t="s">
        <v>65</v>
      </c>
      <c r="N1720" t="s">
        <v>36</v>
      </c>
      <c r="O1720">
        <v>60</v>
      </c>
      <c r="P1720">
        <v>60</v>
      </c>
      <c r="Q1720">
        <v>80.599999999999994</v>
      </c>
      <c r="R1720">
        <v>1350</v>
      </c>
      <c r="S1720">
        <v>1350</v>
      </c>
      <c r="T1720">
        <v>0</v>
      </c>
      <c r="U1720">
        <v>0</v>
      </c>
      <c r="V1720">
        <v>1</v>
      </c>
      <c r="W1720">
        <v>0</v>
      </c>
      <c r="X1720">
        <v>0.85</v>
      </c>
    </row>
    <row r="1721" spans="1:24" x14ac:dyDescent="0.3">
      <c r="A1721" t="s">
        <v>2460</v>
      </c>
      <c r="B1721" s="1">
        <v>45744</v>
      </c>
      <c r="C1721" t="s">
        <v>56</v>
      </c>
      <c r="D1721" t="s">
        <v>82</v>
      </c>
      <c r="E1721" t="s">
        <v>68</v>
      </c>
      <c r="F1721" t="s">
        <v>58</v>
      </c>
      <c r="G1721" t="s">
        <v>59</v>
      </c>
      <c r="H1721" t="s">
        <v>151</v>
      </c>
      <c r="I1721" t="s">
        <v>883</v>
      </c>
      <c r="J1721" t="s">
        <v>62</v>
      </c>
      <c r="K1721" t="s">
        <v>70</v>
      </c>
      <c r="L1721" t="s">
        <v>34</v>
      </c>
      <c r="M1721" t="s">
        <v>65</v>
      </c>
      <c r="N1721" t="s">
        <v>36</v>
      </c>
      <c r="O1721">
        <v>60</v>
      </c>
      <c r="P1721">
        <v>60</v>
      </c>
      <c r="Q1721">
        <v>76.099999999999994</v>
      </c>
      <c r="R1721">
        <v>1500</v>
      </c>
      <c r="S1721">
        <v>1500</v>
      </c>
      <c r="T1721">
        <v>0</v>
      </c>
      <c r="U1721">
        <v>0</v>
      </c>
      <c r="V1721">
        <v>1</v>
      </c>
      <c r="W1721">
        <v>0</v>
      </c>
      <c r="X1721">
        <v>0.85</v>
      </c>
    </row>
    <row r="1722" spans="1:24" x14ac:dyDescent="0.3">
      <c r="A1722" t="s">
        <v>2461</v>
      </c>
      <c r="B1722" s="1">
        <v>45937</v>
      </c>
      <c r="C1722" t="s">
        <v>97</v>
      </c>
      <c r="D1722" t="s">
        <v>26</v>
      </c>
      <c r="E1722" t="s">
        <v>40</v>
      </c>
      <c r="F1722" t="s">
        <v>28</v>
      </c>
      <c r="G1722" t="s">
        <v>29</v>
      </c>
      <c r="H1722" t="s">
        <v>102</v>
      </c>
      <c r="I1722" t="s">
        <v>318</v>
      </c>
      <c r="J1722" t="s">
        <v>45</v>
      </c>
      <c r="K1722" t="s">
        <v>46</v>
      </c>
      <c r="L1722" t="s">
        <v>34</v>
      </c>
      <c r="M1722" t="s">
        <v>47</v>
      </c>
      <c r="N1722" t="s">
        <v>36</v>
      </c>
      <c r="O1722">
        <v>45</v>
      </c>
      <c r="P1722">
        <v>45</v>
      </c>
      <c r="Q1722">
        <v>59.2</v>
      </c>
      <c r="R1722">
        <v>1100</v>
      </c>
      <c r="S1722">
        <v>1100</v>
      </c>
      <c r="T1722">
        <v>0</v>
      </c>
      <c r="U1722">
        <v>0</v>
      </c>
      <c r="V1722">
        <v>1</v>
      </c>
      <c r="W1722">
        <v>0</v>
      </c>
      <c r="X1722">
        <v>0.85</v>
      </c>
    </row>
    <row r="1723" spans="1:24" x14ac:dyDescent="0.3">
      <c r="A1723" t="s">
        <v>2462</v>
      </c>
      <c r="B1723" s="1">
        <v>45671</v>
      </c>
      <c r="C1723" t="s">
        <v>130</v>
      </c>
      <c r="D1723" t="s">
        <v>26</v>
      </c>
      <c r="E1723" t="s">
        <v>68</v>
      </c>
      <c r="F1723" t="s">
        <v>28</v>
      </c>
      <c r="G1723" t="s">
        <v>29</v>
      </c>
      <c r="H1723" t="s">
        <v>135</v>
      </c>
      <c r="I1723" t="s">
        <v>715</v>
      </c>
      <c r="J1723" t="s">
        <v>62</v>
      </c>
      <c r="K1723" t="s">
        <v>46</v>
      </c>
      <c r="L1723" t="s">
        <v>78</v>
      </c>
      <c r="M1723" t="s">
        <v>71</v>
      </c>
      <c r="N1723" t="s">
        <v>36</v>
      </c>
      <c r="O1723">
        <v>30</v>
      </c>
      <c r="P1723">
        <v>30</v>
      </c>
      <c r="Q1723">
        <v>38</v>
      </c>
      <c r="R1723">
        <v>600</v>
      </c>
      <c r="S1723">
        <v>600</v>
      </c>
      <c r="T1723">
        <v>0</v>
      </c>
      <c r="U1723">
        <v>0</v>
      </c>
      <c r="V1723">
        <v>1</v>
      </c>
      <c r="W1723">
        <v>0</v>
      </c>
      <c r="X1723">
        <v>0.85</v>
      </c>
    </row>
    <row r="1724" spans="1:24" x14ac:dyDescent="0.3">
      <c r="A1724" t="s">
        <v>2463</v>
      </c>
      <c r="B1724" s="1">
        <v>46008</v>
      </c>
      <c r="C1724" t="s">
        <v>25</v>
      </c>
      <c r="D1724" t="s">
        <v>57</v>
      </c>
      <c r="E1724" t="s">
        <v>27</v>
      </c>
      <c r="F1724" t="s">
        <v>58</v>
      </c>
      <c r="G1724" t="s">
        <v>59</v>
      </c>
      <c r="H1724" t="s">
        <v>117</v>
      </c>
      <c r="I1724" t="s">
        <v>468</v>
      </c>
      <c r="J1724" t="s">
        <v>62</v>
      </c>
      <c r="K1724" t="s">
        <v>46</v>
      </c>
      <c r="L1724" t="s">
        <v>54</v>
      </c>
      <c r="M1724" t="s">
        <v>71</v>
      </c>
      <c r="N1724" t="s">
        <v>36</v>
      </c>
      <c r="O1724">
        <v>60</v>
      </c>
      <c r="P1724">
        <v>60</v>
      </c>
      <c r="Q1724">
        <v>79.2</v>
      </c>
      <c r="R1724">
        <v>1300</v>
      </c>
      <c r="S1724">
        <v>1300</v>
      </c>
      <c r="T1724">
        <v>0</v>
      </c>
      <c r="U1724">
        <v>0</v>
      </c>
      <c r="V1724">
        <v>1</v>
      </c>
      <c r="W1724">
        <v>0</v>
      </c>
      <c r="X1724">
        <v>0.85</v>
      </c>
    </row>
    <row r="1725" spans="1:24" x14ac:dyDescent="0.3">
      <c r="A1725" t="s">
        <v>2464</v>
      </c>
      <c r="B1725" s="1">
        <v>45915</v>
      </c>
      <c r="C1725" t="s">
        <v>49</v>
      </c>
      <c r="D1725" t="s">
        <v>39</v>
      </c>
      <c r="E1725" t="s">
        <v>27</v>
      </c>
      <c r="F1725" t="s">
        <v>28</v>
      </c>
      <c r="G1725" t="s">
        <v>29</v>
      </c>
      <c r="H1725" t="s">
        <v>210</v>
      </c>
      <c r="I1725" t="s">
        <v>519</v>
      </c>
      <c r="J1725" t="s">
        <v>45</v>
      </c>
      <c r="K1725" t="s">
        <v>85</v>
      </c>
      <c r="L1725" t="s">
        <v>54</v>
      </c>
      <c r="M1725" t="s">
        <v>65</v>
      </c>
      <c r="N1725" t="s">
        <v>36</v>
      </c>
      <c r="O1725">
        <v>60</v>
      </c>
      <c r="P1725">
        <v>60</v>
      </c>
      <c r="Q1725">
        <v>73.099999999999994</v>
      </c>
      <c r="R1725">
        <v>1200</v>
      </c>
      <c r="S1725">
        <v>1200</v>
      </c>
      <c r="T1725">
        <v>0</v>
      </c>
      <c r="U1725">
        <v>0</v>
      </c>
      <c r="V1725">
        <v>1</v>
      </c>
      <c r="W1725">
        <v>0</v>
      </c>
      <c r="X1725">
        <v>0.85</v>
      </c>
    </row>
    <row r="1726" spans="1:24" x14ac:dyDescent="0.3">
      <c r="A1726" t="s">
        <v>2465</v>
      </c>
      <c r="B1726" s="1">
        <v>45796</v>
      </c>
      <c r="C1726" t="s">
        <v>128</v>
      </c>
      <c r="D1726" t="s">
        <v>39</v>
      </c>
      <c r="E1726" t="s">
        <v>83</v>
      </c>
      <c r="F1726" t="s">
        <v>28</v>
      </c>
      <c r="G1726" t="s">
        <v>29</v>
      </c>
      <c r="H1726" t="s">
        <v>30</v>
      </c>
      <c r="I1726" t="s">
        <v>639</v>
      </c>
      <c r="J1726" t="s">
        <v>53</v>
      </c>
      <c r="K1726" t="s">
        <v>46</v>
      </c>
      <c r="L1726" t="s">
        <v>54</v>
      </c>
      <c r="M1726" t="s">
        <v>65</v>
      </c>
      <c r="N1726" t="s">
        <v>95</v>
      </c>
      <c r="O1726">
        <v>30</v>
      </c>
      <c r="P1726">
        <v>0</v>
      </c>
      <c r="Q1726">
        <v>37.5</v>
      </c>
      <c r="R1726">
        <v>650</v>
      </c>
      <c r="S1726">
        <v>0</v>
      </c>
      <c r="T1726">
        <v>650</v>
      </c>
      <c r="U1726">
        <v>1</v>
      </c>
      <c r="V1726">
        <v>0</v>
      </c>
      <c r="W1726">
        <v>0</v>
      </c>
      <c r="X1726">
        <v>0.85</v>
      </c>
    </row>
    <row r="1727" spans="1:24" x14ac:dyDescent="0.3">
      <c r="A1727" t="s">
        <v>2466</v>
      </c>
      <c r="B1727" s="1">
        <v>45876</v>
      </c>
      <c r="C1727" t="s">
        <v>110</v>
      </c>
      <c r="D1727" t="s">
        <v>50</v>
      </c>
      <c r="E1727" t="s">
        <v>68</v>
      </c>
      <c r="F1727" t="s">
        <v>28</v>
      </c>
      <c r="G1727" t="s">
        <v>29</v>
      </c>
      <c r="H1727" t="s">
        <v>120</v>
      </c>
      <c r="I1727" t="s">
        <v>1805</v>
      </c>
      <c r="J1727" t="s">
        <v>45</v>
      </c>
      <c r="K1727" t="s">
        <v>85</v>
      </c>
      <c r="L1727" t="s">
        <v>34</v>
      </c>
      <c r="M1727" t="s">
        <v>35</v>
      </c>
      <c r="N1727" t="s">
        <v>95</v>
      </c>
      <c r="O1727">
        <v>45</v>
      </c>
      <c r="P1727">
        <v>0</v>
      </c>
      <c r="Q1727">
        <v>56.8</v>
      </c>
      <c r="R1727">
        <v>1100</v>
      </c>
      <c r="S1727">
        <v>0</v>
      </c>
      <c r="T1727">
        <v>1100</v>
      </c>
      <c r="U1727">
        <v>1</v>
      </c>
      <c r="V1727">
        <v>0</v>
      </c>
      <c r="W1727">
        <v>0</v>
      </c>
      <c r="X1727">
        <v>0.85</v>
      </c>
    </row>
    <row r="1728" spans="1:24" x14ac:dyDescent="0.3">
      <c r="A1728" t="s">
        <v>2467</v>
      </c>
      <c r="B1728" s="1">
        <v>45817</v>
      </c>
      <c r="C1728" t="s">
        <v>67</v>
      </c>
      <c r="D1728" t="s">
        <v>39</v>
      </c>
      <c r="E1728" t="s">
        <v>68</v>
      </c>
      <c r="F1728" t="s">
        <v>41</v>
      </c>
      <c r="G1728" t="s">
        <v>42</v>
      </c>
      <c r="H1728" t="s">
        <v>43</v>
      </c>
      <c r="I1728" t="s">
        <v>1788</v>
      </c>
      <c r="J1728" t="s">
        <v>53</v>
      </c>
      <c r="K1728" t="s">
        <v>63</v>
      </c>
      <c r="L1728" t="s">
        <v>64</v>
      </c>
      <c r="M1728" t="s">
        <v>71</v>
      </c>
      <c r="N1728" t="s">
        <v>36</v>
      </c>
      <c r="O1728">
        <v>45</v>
      </c>
      <c r="P1728">
        <v>45</v>
      </c>
      <c r="Q1728">
        <v>55.6</v>
      </c>
      <c r="R1728">
        <v>1200</v>
      </c>
      <c r="S1728">
        <v>1200</v>
      </c>
      <c r="T1728">
        <v>0</v>
      </c>
      <c r="U1728">
        <v>0</v>
      </c>
      <c r="V1728">
        <v>1</v>
      </c>
      <c r="W1728">
        <v>0</v>
      </c>
      <c r="X1728">
        <v>0.85</v>
      </c>
    </row>
    <row r="1729" spans="1:24" x14ac:dyDescent="0.3">
      <c r="A1729" t="s">
        <v>2468</v>
      </c>
      <c r="B1729" s="1">
        <v>45825</v>
      </c>
      <c r="C1729" t="s">
        <v>67</v>
      </c>
      <c r="D1729" t="s">
        <v>26</v>
      </c>
      <c r="E1729" t="s">
        <v>83</v>
      </c>
      <c r="F1729" t="s">
        <v>41</v>
      </c>
      <c r="G1729" t="s">
        <v>42</v>
      </c>
      <c r="H1729" t="s">
        <v>111</v>
      </c>
      <c r="I1729" t="s">
        <v>393</v>
      </c>
      <c r="J1729" t="s">
        <v>32</v>
      </c>
      <c r="K1729" t="s">
        <v>104</v>
      </c>
      <c r="L1729" t="s">
        <v>54</v>
      </c>
      <c r="M1729" t="s">
        <v>65</v>
      </c>
      <c r="N1729" t="s">
        <v>36</v>
      </c>
      <c r="O1729">
        <v>60</v>
      </c>
      <c r="P1729">
        <v>60</v>
      </c>
      <c r="Q1729">
        <v>70.400000000000006</v>
      </c>
      <c r="R1729">
        <v>1150</v>
      </c>
      <c r="S1729">
        <v>1150</v>
      </c>
      <c r="T1729">
        <v>0</v>
      </c>
      <c r="U1729">
        <v>0</v>
      </c>
      <c r="V1729">
        <v>1</v>
      </c>
      <c r="W1729">
        <v>0</v>
      </c>
      <c r="X1729">
        <v>0.85</v>
      </c>
    </row>
    <row r="1730" spans="1:24" x14ac:dyDescent="0.3">
      <c r="A1730" t="s">
        <v>2469</v>
      </c>
      <c r="B1730" s="1">
        <v>45930</v>
      </c>
      <c r="C1730" t="s">
        <v>49</v>
      </c>
      <c r="D1730" t="s">
        <v>26</v>
      </c>
      <c r="E1730" t="s">
        <v>27</v>
      </c>
      <c r="F1730" t="s">
        <v>41</v>
      </c>
      <c r="G1730" t="s">
        <v>42</v>
      </c>
      <c r="H1730" t="s">
        <v>125</v>
      </c>
      <c r="I1730" t="s">
        <v>300</v>
      </c>
      <c r="J1730" t="s">
        <v>99</v>
      </c>
      <c r="K1730" t="s">
        <v>63</v>
      </c>
      <c r="L1730" t="s">
        <v>64</v>
      </c>
      <c r="M1730" t="s">
        <v>35</v>
      </c>
      <c r="N1730" t="s">
        <v>36</v>
      </c>
      <c r="O1730">
        <v>45</v>
      </c>
      <c r="P1730">
        <v>45</v>
      </c>
      <c r="Q1730">
        <v>50.7</v>
      </c>
      <c r="R1730">
        <v>1000</v>
      </c>
      <c r="S1730">
        <v>1000</v>
      </c>
      <c r="T1730">
        <v>0</v>
      </c>
      <c r="U1730">
        <v>0</v>
      </c>
      <c r="V1730">
        <v>1</v>
      </c>
      <c r="W1730">
        <v>0</v>
      </c>
      <c r="X1730">
        <v>0.85</v>
      </c>
    </row>
    <row r="1731" spans="1:24" x14ac:dyDescent="0.3">
      <c r="A1731" t="s">
        <v>2470</v>
      </c>
      <c r="B1731" s="1">
        <v>45904</v>
      </c>
      <c r="C1731" t="s">
        <v>49</v>
      </c>
      <c r="D1731" t="s">
        <v>50</v>
      </c>
      <c r="E1731" t="s">
        <v>83</v>
      </c>
      <c r="F1731" t="s">
        <v>28</v>
      </c>
      <c r="G1731" t="s">
        <v>29</v>
      </c>
      <c r="H1731" t="s">
        <v>210</v>
      </c>
      <c r="I1731" t="s">
        <v>1253</v>
      </c>
      <c r="J1731" t="s">
        <v>45</v>
      </c>
      <c r="K1731" t="s">
        <v>63</v>
      </c>
      <c r="L1731" t="s">
        <v>34</v>
      </c>
      <c r="M1731" t="s">
        <v>86</v>
      </c>
      <c r="N1731" t="s">
        <v>36</v>
      </c>
      <c r="O1731">
        <v>60</v>
      </c>
      <c r="P1731">
        <v>60</v>
      </c>
      <c r="Q1731">
        <v>72</v>
      </c>
      <c r="R1731">
        <v>1450</v>
      </c>
      <c r="S1731">
        <v>1450</v>
      </c>
      <c r="T1731">
        <v>0</v>
      </c>
      <c r="U1731">
        <v>0</v>
      </c>
      <c r="V1731">
        <v>1</v>
      </c>
      <c r="W1731">
        <v>0</v>
      </c>
      <c r="X1731">
        <v>0.85</v>
      </c>
    </row>
    <row r="1732" spans="1:24" x14ac:dyDescent="0.3">
      <c r="A1732" t="s">
        <v>2471</v>
      </c>
      <c r="B1732" s="1">
        <v>45829</v>
      </c>
      <c r="C1732" t="s">
        <v>67</v>
      </c>
      <c r="D1732" t="s">
        <v>88</v>
      </c>
      <c r="E1732" t="s">
        <v>27</v>
      </c>
      <c r="F1732" t="s">
        <v>58</v>
      </c>
      <c r="G1732" t="s">
        <v>59</v>
      </c>
      <c r="H1732" t="s">
        <v>60</v>
      </c>
      <c r="I1732" t="s">
        <v>1584</v>
      </c>
      <c r="J1732" t="s">
        <v>99</v>
      </c>
      <c r="K1732" t="s">
        <v>104</v>
      </c>
      <c r="L1732" t="s">
        <v>64</v>
      </c>
      <c r="M1732" t="s">
        <v>65</v>
      </c>
      <c r="N1732" t="s">
        <v>36</v>
      </c>
      <c r="O1732">
        <v>45</v>
      </c>
      <c r="P1732">
        <v>45</v>
      </c>
      <c r="Q1732">
        <v>49.5</v>
      </c>
      <c r="R1732">
        <v>1100</v>
      </c>
      <c r="S1732">
        <v>1100</v>
      </c>
      <c r="T1732">
        <v>0</v>
      </c>
      <c r="U1732">
        <v>0</v>
      </c>
      <c r="V1732">
        <v>1</v>
      </c>
      <c r="W1732">
        <v>0</v>
      </c>
      <c r="X1732">
        <v>0.85</v>
      </c>
    </row>
    <row r="1733" spans="1:24" x14ac:dyDescent="0.3">
      <c r="A1733" t="s">
        <v>2472</v>
      </c>
      <c r="B1733" s="1">
        <v>45792</v>
      </c>
      <c r="C1733" t="s">
        <v>128</v>
      </c>
      <c r="D1733" t="s">
        <v>50</v>
      </c>
      <c r="E1733" t="s">
        <v>27</v>
      </c>
      <c r="F1733" t="s">
        <v>58</v>
      </c>
      <c r="G1733" t="s">
        <v>59</v>
      </c>
      <c r="H1733" t="s">
        <v>117</v>
      </c>
      <c r="I1733" t="s">
        <v>1759</v>
      </c>
      <c r="J1733" t="s">
        <v>99</v>
      </c>
      <c r="K1733" t="s">
        <v>104</v>
      </c>
      <c r="L1733" t="s">
        <v>34</v>
      </c>
      <c r="M1733" t="s">
        <v>65</v>
      </c>
      <c r="N1733" t="s">
        <v>36</v>
      </c>
      <c r="O1733">
        <v>30</v>
      </c>
      <c r="P1733">
        <v>30</v>
      </c>
      <c r="Q1733">
        <v>38.6</v>
      </c>
      <c r="R1733">
        <v>750</v>
      </c>
      <c r="S1733">
        <v>750</v>
      </c>
      <c r="T1733">
        <v>0</v>
      </c>
      <c r="U1733">
        <v>0</v>
      </c>
      <c r="V1733">
        <v>1</v>
      </c>
      <c r="W1733">
        <v>0</v>
      </c>
      <c r="X1733">
        <v>0.85</v>
      </c>
    </row>
    <row r="1734" spans="1:24" x14ac:dyDescent="0.3">
      <c r="A1734" t="s">
        <v>2473</v>
      </c>
      <c r="B1734" s="1">
        <v>45876</v>
      </c>
      <c r="C1734" t="s">
        <v>110</v>
      </c>
      <c r="D1734" t="s">
        <v>50</v>
      </c>
      <c r="E1734" t="s">
        <v>68</v>
      </c>
      <c r="F1734" t="s">
        <v>41</v>
      </c>
      <c r="G1734" t="s">
        <v>42</v>
      </c>
      <c r="H1734" t="s">
        <v>51</v>
      </c>
      <c r="I1734" t="s">
        <v>598</v>
      </c>
      <c r="J1734" t="s">
        <v>137</v>
      </c>
      <c r="K1734" t="s">
        <v>104</v>
      </c>
      <c r="L1734" t="s">
        <v>34</v>
      </c>
      <c r="M1734" t="s">
        <v>71</v>
      </c>
      <c r="N1734" t="s">
        <v>95</v>
      </c>
      <c r="O1734">
        <v>60</v>
      </c>
      <c r="P1734">
        <v>0</v>
      </c>
      <c r="Q1734">
        <v>71.8</v>
      </c>
      <c r="R1734">
        <v>1350</v>
      </c>
      <c r="S1734">
        <v>0</v>
      </c>
      <c r="T1734">
        <v>1350</v>
      </c>
      <c r="U1734">
        <v>1</v>
      </c>
      <c r="V1734">
        <v>0</v>
      </c>
      <c r="W1734">
        <v>0</v>
      </c>
      <c r="X1734">
        <v>0.85</v>
      </c>
    </row>
    <row r="1735" spans="1:24" x14ac:dyDescent="0.3">
      <c r="A1735" t="s">
        <v>2474</v>
      </c>
      <c r="B1735" s="1">
        <v>45719</v>
      </c>
      <c r="C1735" t="s">
        <v>56</v>
      </c>
      <c r="D1735" t="s">
        <v>39</v>
      </c>
      <c r="E1735" t="s">
        <v>68</v>
      </c>
      <c r="F1735" t="s">
        <v>28</v>
      </c>
      <c r="G1735" t="s">
        <v>29</v>
      </c>
      <c r="H1735" t="s">
        <v>135</v>
      </c>
      <c r="I1735" t="s">
        <v>489</v>
      </c>
      <c r="J1735" t="s">
        <v>32</v>
      </c>
      <c r="K1735" t="s">
        <v>63</v>
      </c>
      <c r="L1735" t="s">
        <v>54</v>
      </c>
      <c r="M1735" t="s">
        <v>65</v>
      </c>
      <c r="N1735" t="s">
        <v>36</v>
      </c>
      <c r="O1735">
        <v>45</v>
      </c>
      <c r="P1735">
        <v>45</v>
      </c>
      <c r="Q1735">
        <v>49.5</v>
      </c>
      <c r="R1735">
        <v>800</v>
      </c>
      <c r="S1735">
        <v>800</v>
      </c>
      <c r="T1735">
        <v>0</v>
      </c>
      <c r="U1735">
        <v>0</v>
      </c>
      <c r="V1735">
        <v>1</v>
      </c>
      <c r="W1735">
        <v>0</v>
      </c>
      <c r="X1735">
        <v>0.85</v>
      </c>
    </row>
    <row r="1736" spans="1:24" x14ac:dyDescent="0.3">
      <c r="A1736" t="s">
        <v>2475</v>
      </c>
      <c r="B1736" s="1">
        <v>46011</v>
      </c>
      <c r="C1736" t="s">
        <v>25</v>
      </c>
      <c r="D1736" t="s">
        <v>88</v>
      </c>
      <c r="E1736" t="s">
        <v>68</v>
      </c>
      <c r="F1736" t="s">
        <v>58</v>
      </c>
      <c r="G1736" t="s">
        <v>59</v>
      </c>
      <c r="H1736" t="s">
        <v>73</v>
      </c>
      <c r="I1736" t="s">
        <v>1014</v>
      </c>
      <c r="J1736" t="s">
        <v>62</v>
      </c>
      <c r="K1736" t="s">
        <v>33</v>
      </c>
      <c r="L1736" t="s">
        <v>34</v>
      </c>
      <c r="M1736" t="s">
        <v>65</v>
      </c>
      <c r="N1736" t="s">
        <v>36</v>
      </c>
      <c r="O1736">
        <v>75</v>
      </c>
      <c r="P1736">
        <v>75</v>
      </c>
      <c r="Q1736">
        <v>88.2</v>
      </c>
      <c r="R1736">
        <v>1900</v>
      </c>
      <c r="S1736">
        <v>1900</v>
      </c>
      <c r="T1736">
        <v>0</v>
      </c>
      <c r="U1736">
        <v>0</v>
      </c>
      <c r="V1736">
        <v>1</v>
      </c>
      <c r="W1736">
        <v>0</v>
      </c>
      <c r="X1736">
        <v>0.85</v>
      </c>
    </row>
    <row r="1737" spans="1:24" x14ac:dyDescent="0.3">
      <c r="A1737" t="s">
        <v>2476</v>
      </c>
      <c r="B1737" s="1">
        <v>45694</v>
      </c>
      <c r="C1737" t="s">
        <v>76</v>
      </c>
      <c r="D1737" t="s">
        <v>50</v>
      </c>
      <c r="E1737" t="s">
        <v>40</v>
      </c>
      <c r="F1737" t="s">
        <v>41</v>
      </c>
      <c r="G1737" t="s">
        <v>42</v>
      </c>
      <c r="H1737" t="s">
        <v>51</v>
      </c>
      <c r="I1737" t="s">
        <v>1194</v>
      </c>
      <c r="J1737" t="s">
        <v>99</v>
      </c>
      <c r="K1737" t="s">
        <v>85</v>
      </c>
      <c r="L1737" t="s">
        <v>54</v>
      </c>
      <c r="M1737" t="s">
        <v>65</v>
      </c>
      <c r="N1737" t="s">
        <v>153</v>
      </c>
      <c r="O1737">
        <v>90</v>
      </c>
      <c r="P1737">
        <v>0</v>
      </c>
      <c r="Q1737">
        <v>98.9</v>
      </c>
      <c r="R1737">
        <v>1700</v>
      </c>
      <c r="S1737">
        <v>0</v>
      </c>
      <c r="T1737">
        <v>0</v>
      </c>
      <c r="U1737">
        <v>0</v>
      </c>
      <c r="V1737">
        <v>0</v>
      </c>
      <c r="W1737">
        <v>0</v>
      </c>
      <c r="X1737">
        <v>0.85</v>
      </c>
    </row>
    <row r="1738" spans="1:24" x14ac:dyDescent="0.3">
      <c r="A1738" t="s">
        <v>2477</v>
      </c>
      <c r="B1738" s="1">
        <v>45762</v>
      </c>
      <c r="C1738" t="s">
        <v>92</v>
      </c>
      <c r="D1738" t="s">
        <v>26</v>
      </c>
      <c r="E1738" t="s">
        <v>83</v>
      </c>
      <c r="F1738" t="s">
        <v>28</v>
      </c>
      <c r="G1738" t="s">
        <v>29</v>
      </c>
      <c r="H1738" t="s">
        <v>30</v>
      </c>
      <c r="I1738" t="s">
        <v>648</v>
      </c>
      <c r="J1738" t="s">
        <v>62</v>
      </c>
      <c r="K1738" t="s">
        <v>85</v>
      </c>
      <c r="L1738" t="s">
        <v>78</v>
      </c>
      <c r="M1738" t="s">
        <v>35</v>
      </c>
      <c r="N1738" t="s">
        <v>36</v>
      </c>
      <c r="O1738">
        <v>75</v>
      </c>
      <c r="P1738">
        <v>75</v>
      </c>
      <c r="Q1738">
        <v>91.1</v>
      </c>
      <c r="R1738">
        <v>1450</v>
      </c>
      <c r="S1738">
        <v>1450</v>
      </c>
      <c r="T1738">
        <v>0</v>
      </c>
      <c r="U1738">
        <v>0</v>
      </c>
      <c r="V1738">
        <v>1</v>
      </c>
      <c r="W1738">
        <v>0</v>
      </c>
      <c r="X1738">
        <v>0.85</v>
      </c>
    </row>
    <row r="1739" spans="1:24" x14ac:dyDescent="0.3">
      <c r="A1739" t="s">
        <v>2478</v>
      </c>
      <c r="B1739" s="1">
        <v>45835</v>
      </c>
      <c r="C1739" t="s">
        <v>67</v>
      </c>
      <c r="D1739" t="s">
        <v>82</v>
      </c>
      <c r="E1739" t="s">
        <v>68</v>
      </c>
      <c r="F1739" t="s">
        <v>58</v>
      </c>
      <c r="G1739" t="s">
        <v>59</v>
      </c>
      <c r="H1739" t="s">
        <v>296</v>
      </c>
      <c r="I1739" t="s">
        <v>1859</v>
      </c>
      <c r="J1739" t="s">
        <v>62</v>
      </c>
      <c r="K1739" t="s">
        <v>63</v>
      </c>
      <c r="L1739" t="s">
        <v>34</v>
      </c>
      <c r="M1739" t="s">
        <v>71</v>
      </c>
      <c r="N1739" t="s">
        <v>36</v>
      </c>
      <c r="O1739">
        <v>30</v>
      </c>
      <c r="P1739">
        <v>30</v>
      </c>
      <c r="Q1739">
        <v>35.1</v>
      </c>
      <c r="R1739">
        <v>750</v>
      </c>
      <c r="S1739">
        <v>750</v>
      </c>
      <c r="T1739">
        <v>0</v>
      </c>
      <c r="U1739">
        <v>0</v>
      </c>
      <c r="V1739">
        <v>1</v>
      </c>
      <c r="W1739">
        <v>0</v>
      </c>
      <c r="X1739">
        <v>0.85</v>
      </c>
    </row>
    <row r="1740" spans="1:24" x14ac:dyDescent="0.3">
      <c r="A1740" t="s">
        <v>2479</v>
      </c>
      <c r="B1740" s="1">
        <v>46013</v>
      </c>
      <c r="C1740" t="s">
        <v>25</v>
      </c>
      <c r="D1740" t="s">
        <v>39</v>
      </c>
      <c r="E1740" t="s">
        <v>68</v>
      </c>
      <c r="F1740" t="s">
        <v>58</v>
      </c>
      <c r="G1740" t="s">
        <v>59</v>
      </c>
      <c r="H1740" t="s">
        <v>60</v>
      </c>
      <c r="I1740" t="s">
        <v>285</v>
      </c>
      <c r="J1740" t="s">
        <v>45</v>
      </c>
      <c r="K1740" t="s">
        <v>33</v>
      </c>
      <c r="L1740" t="s">
        <v>78</v>
      </c>
      <c r="M1740" t="s">
        <v>94</v>
      </c>
      <c r="N1740" t="s">
        <v>36</v>
      </c>
      <c r="O1740">
        <v>60</v>
      </c>
      <c r="P1740">
        <v>60</v>
      </c>
      <c r="Q1740">
        <v>71</v>
      </c>
      <c r="R1740">
        <v>1600</v>
      </c>
      <c r="S1740">
        <v>1600</v>
      </c>
      <c r="T1740">
        <v>0</v>
      </c>
      <c r="U1740">
        <v>0</v>
      </c>
      <c r="V1740">
        <v>1</v>
      </c>
      <c r="W1740">
        <v>0</v>
      </c>
      <c r="X1740">
        <v>0.85</v>
      </c>
    </row>
    <row r="1741" spans="1:24" x14ac:dyDescent="0.3">
      <c r="A1741" t="s">
        <v>2480</v>
      </c>
      <c r="B1741" s="1">
        <v>45898</v>
      </c>
      <c r="C1741" t="s">
        <v>110</v>
      </c>
      <c r="D1741" t="s">
        <v>82</v>
      </c>
      <c r="E1741" t="s">
        <v>68</v>
      </c>
      <c r="F1741" t="s">
        <v>41</v>
      </c>
      <c r="G1741" t="s">
        <v>42</v>
      </c>
      <c r="H1741" t="s">
        <v>51</v>
      </c>
      <c r="I1741" t="s">
        <v>860</v>
      </c>
      <c r="J1741" t="s">
        <v>53</v>
      </c>
      <c r="K1741" t="s">
        <v>63</v>
      </c>
      <c r="L1741" t="s">
        <v>34</v>
      </c>
      <c r="M1741" t="s">
        <v>47</v>
      </c>
      <c r="N1741" t="s">
        <v>36</v>
      </c>
      <c r="O1741">
        <v>30</v>
      </c>
      <c r="P1741">
        <v>30</v>
      </c>
      <c r="Q1741">
        <v>36.799999999999997</v>
      </c>
      <c r="R1741">
        <v>800</v>
      </c>
      <c r="S1741">
        <v>800</v>
      </c>
      <c r="T1741">
        <v>0</v>
      </c>
      <c r="U1741">
        <v>0</v>
      </c>
      <c r="V1741">
        <v>1</v>
      </c>
      <c r="W1741">
        <v>0</v>
      </c>
      <c r="X1741">
        <v>0.85</v>
      </c>
    </row>
    <row r="1742" spans="1:24" x14ac:dyDescent="0.3">
      <c r="A1742" t="s">
        <v>2481</v>
      </c>
      <c r="B1742" s="1">
        <v>46016</v>
      </c>
      <c r="C1742" t="s">
        <v>25</v>
      </c>
      <c r="D1742" t="s">
        <v>50</v>
      </c>
      <c r="E1742" t="s">
        <v>83</v>
      </c>
      <c r="F1742" t="s">
        <v>58</v>
      </c>
      <c r="G1742" t="s">
        <v>59</v>
      </c>
      <c r="H1742" t="s">
        <v>73</v>
      </c>
      <c r="I1742" t="s">
        <v>807</v>
      </c>
      <c r="J1742" t="s">
        <v>99</v>
      </c>
      <c r="K1742" t="s">
        <v>63</v>
      </c>
      <c r="L1742" t="s">
        <v>64</v>
      </c>
      <c r="M1742" t="s">
        <v>35</v>
      </c>
      <c r="N1742" t="s">
        <v>36</v>
      </c>
      <c r="O1742">
        <v>30</v>
      </c>
      <c r="P1742">
        <v>30</v>
      </c>
      <c r="Q1742">
        <v>34.200000000000003</v>
      </c>
      <c r="R1742">
        <v>750</v>
      </c>
      <c r="S1742">
        <v>750</v>
      </c>
      <c r="T1742">
        <v>0</v>
      </c>
      <c r="U1742">
        <v>0</v>
      </c>
      <c r="V1742">
        <v>1</v>
      </c>
      <c r="W1742">
        <v>0</v>
      </c>
      <c r="X1742">
        <v>0.85</v>
      </c>
    </row>
    <row r="1743" spans="1:24" x14ac:dyDescent="0.3">
      <c r="A1743" t="s">
        <v>2482</v>
      </c>
      <c r="B1743" s="1">
        <v>45757</v>
      </c>
      <c r="C1743" t="s">
        <v>92</v>
      </c>
      <c r="D1743" t="s">
        <v>50</v>
      </c>
      <c r="E1743" t="s">
        <v>40</v>
      </c>
      <c r="F1743" t="s">
        <v>58</v>
      </c>
      <c r="G1743" t="s">
        <v>59</v>
      </c>
      <c r="H1743" t="s">
        <v>60</v>
      </c>
      <c r="I1743" t="s">
        <v>2483</v>
      </c>
      <c r="J1743" t="s">
        <v>32</v>
      </c>
      <c r="K1743" t="s">
        <v>33</v>
      </c>
      <c r="L1743" t="s">
        <v>64</v>
      </c>
      <c r="M1743" t="s">
        <v>71</v>
      </c>
      <c r="N1743" t="s">
        <v>36</v>
      </c>
      <c r="O1743">
        <v>45</v>
      </c>
      <c r="P1743">
        <v>45</v>
      </c>
      <c r="Q1743">
        <v>54.9</v>
      </c>
      <c r="R1743">
        <v>1100</v>
      </c>
      <c r="S1743">
        <v>1100</v>
      </c>
      <c r="T1743">
        <v>0</v>
      </c>
      <c r="U1743">
        <v>0</v>
      </c>
      <c r="V1743">
        <v>1</v>
      </c>
      <c r="W1743">
        <v>0</v>
      </c>
      <c r="X1743">
        <v>0.85</v>
      </c>
    </row>
    <row r="1744" spans="1:24" x14ac:dyDescent="0.3">
      <c r="A1744" t="s">
        <v>2484</v>
      </c>
      <c r="B1744" s="1">
        <v>45889</v>
      </c>
      <c r="C1744" t="s">
        <v>110</v>
      </c>
      <c r="D1744" t="s">
        <v>57</v>
      </c>
      <c r="E1744" t="s">
        <v>27</v>
      </c>
      <c r="F1744" t="s">
        <v>41</v>
      </c>
      <c r="G1744" t="s">
        <v>42</v>
      </c>
      <c r="H1744" t="s">
        <v>89</v>
      </c>
      <c r="I1744" t="s">
        <v>2385</v>
      </c>
      <c r="J1744" t="s">
        <v>62</v>
      </c>
      <c r="K1744" t="s">
        <v>70</v>
      </c>
      <c r="L1744" t="s">
        <v>64</v>
      </c>
      <c r="M1744" t="s">
        <v>94</v>
      </c>
      <c r="N1744" t="s">
        <v>153</v>
      </c>
      <c r="O1744">
        <v>45</v>
      </c>
      <c r="P1744">
        <v>0</v>
      </c>
      <c r="Q1744">
        <v>57.2</v>
      </c>
      <c r="R1744">
        <v>1000</v>
      </c>
      <c r="S1744">
        <v>0</v>
      </c>
      <c r="T1744">
        <v>0</v>
      </c>
      <c r="U1744">
        <v>0</v>
      </c>
      <c r="V1744">
        <v>0</v>
      </c>
      <c r="W1744">
        <v>0</v>
      </c>
      <c r="X1744">
        <v>0.85</v>
      </c>
    </row>
    <row r="1745" spans="1:24" x14ac:dyDescent="0.3">
      <c r="A1745" t="s">
        <v>2485</v>
      </c>
      <c r="B1745" s="1">
        <v>45712</v>
      </c>
      <c r="C1745" t="s">
        <v>76</v>
      </c>
      <c r="D1745" t="s">
        <v>39</v>
      </c>
      <c r="E1745" t="s">
        <v>40</v>
      </c>
      <c r="F1745" t="s">
        <v>28</v>
      </c>
      <c r="G1745" t="s">
        <v>29</v>
      </c>
      <c r="H1745" t="s">
        <v>135</v>
      </c>
      <c r="I1745" t="s">
        <v>1999</v>
      </c>
      <c r="J1745" t="s">
        <v>62</v>
      </c>
      <c r="K1745" t="s">
        <v>70</v>
      </c>
      <c r="L1745" t="s">
        <v>34</v>
      </c>
      <c r="M1745" t="s">
        <v>65</v>
      </c>
      <c r="N1745" t="s">
        <v>36</v>
      </c>
      <c r="O1745">
        <v>75</v>
      </c>
      <c r="P1745">
        <v>75</v>
      </c>
      <c r="Q1745">
        <v>82.8</v>
      </c>
      <c r="R1745">
        <v>1550</v>
      </c>
      <c r="S1745">
        <v>1550</v>
      </c>
      <c r="T1745">
        <v>0</v>
      </c>
      <c r="U1745">
        <v>0</v>
      </c>
      <c r="V1745">
        <v>1</v>
      </c>
      <c r="W1745">
        <v>0</v>
      </c>
      <c r="X1745">
        <v>0.85</v>
      </c>
    </row>
    <row r="1746" spans="1:24" x14ac:dyDescent="0.3">
      <c r="A1746" t="s">
        <v>2486</v>
      </c>
      <c r="B1746" s="1">
        <v>46006</v>
      </c>
      <c r="C1746" t="s">
        <v>25</v>
      </c>
      <c r="D1746" t="s">
        <v>39</v>
      </c>
      <c r="E1746" t="s">
        <v>83</v>
      </c>
      <c r="F1746" t="s">
        <v>41</v>
      </c>
      <c r="G1746" t="s">
        <v>42</v>
      </c>
      <c r="H1746" t="s">
        <v>89</v>
      </c>
      <c r="I1746" t="s">
        <v>796</v>
      </c>
      <c r="J1746" t="s">
        <v>32</v>
      </c>
      <c r="K1746" t="s">
        <v>85</v>
      </c>
      <c r="L1746" t="s">
        <v>64</v>
      </c>
      <c r="M1746" t="s">
        <v>65</v>
      </c>
      <c r="N1746" t="s">
        <v>36</v>
      </c>
      <c r="O1746">
        <v>45</v>
      </c>
      <c r="P1746">
        <v>45</v>
      </c>
      <c r="Q1746">
        <v>53.1</v>
      </c>
      <c r="R1746">
        <v>1000</v>
      </c>
      <c r="S1746">
        <v>1000</v>
      </c>
      <c r="T1746">
        <v>0</v>
      </c>
      <c r="U1746">
        <v>0</v>
      </c>
      <c r="V1746">
        <v>1</v>
      </c>
      <c r="W1746">
        <v>0</v>
      </c>
      <c r="X1746">
        <v>0.85</v>
      </c>
    </row>
    <row r="1747" spans="1:24" x14ac:dyDescent="0.3">
      <c r="A1747" t="s">
        <v>2487</v>
      </c>
      <c r="B1747" s="1">
        <v>45765</v>
      </c>
      <c r="C1747" t="s">
        <v>92</v>
      </c>
      <c r="D1747" t="s">
        <v>82</v>
      </c>
      <c r="E1747" t="s">
        <v>27</v>
      </c>
      <c r="F1747" t="s">
        <v>41</v>
      </c>
      <c r="G1747" t="s">
        <v>42</v>
      </c>
      <c r="H1747" t="s">
        <v>43</v>
      </c>
      <c r="I1747" t="s">
        <v>1043</v>
      </c>
      <c r="J1747" t="s">
        <v>99</v>
      </c>
      <c r="K1747" t="s">
        <v>104</v>
      </c>
      <c r="L1747" t="s">
        <v>64</v>
      </c>
      <c r="M1747" t="s">
        <v>94</v>
      </c>
      <c r="N1747" t="s">
        <v>36</v>
      </c>
      <c r="O1747">
        <v>45</v>
      </c>
      <c r="P1747">
        <v>45</v>
      </c>
      <c r="Q1747">
        <v>50.8</v>
      </c>
      <c r="R1747">
        <v>1000</v>
      </c>
      <c r="S1747">
        <v>1000</v>
      </c>
      <c r="T1747">
        <v>0</v>
      </c>
      <c r="U1747">
        <v>0</v>
      </c>
      <c r="V1747">
        <v>1</v>
      </c>
      <c r="W1747">
        <v>0</v>
      </c>
      <c r="X1747">
        <v>0.85</v>
      </c>
    </row>
    <row r="1748" spans="1:24" x14ac:dyDescent="0.3">
      <c r="A1748" t="s">
        <v>2488</v>
      </c>
      <c r="B1748" s="1">
        <v>45811</v>
      </c>
      <c r="C1748" t="s">
        <v>67</v>
      </c>
      <c r="D1748" t="s">
        <v>26</v>
      </c>
      <c r="E1748" t="s">
        <v>83</v>
      </c>
      <c r="F1748" t="s">
        <v>58</v>
      </c>
      <c r="G1748" t="s">
        <v>59</v>
      </c>
      <c r="H1748" t="s">
        <v>117</v>
      </c>
      <c r="I1748" t="s">
        <v>844</v>
      </c>
      <c r="J1748" t="s">
        <v>62</v>
      </c>
      <c r="K1748" t="s">
        <v>33</v>
      </c>
      <c r="L1748" t="s">
        <v>34</v>
      </c>
      <c r="M1748" t="s">
        <v>94</v>
      </c>
      <c r="N1748" t="s">
        <v>36</v>
      </c>
      <c r="O1748">
        <v>30</v>
      </c>
      <c r="P1748">
        <v>30</v>
      </c>
      <c r="Q1748">
        <v>35</v>
      </c>
      <c r="R1748">
        <v>750</v>
      </c>
      <c r="S1748">
        <v>750</v>
      </c>
      <c r="T1748">
        <v>0</v>
      </c>
      <c r="U1748">
        <v>0</v>
      </c>
      <c r="V1748">
        <v>1</v>
      </c>
      <c r="W1748">
        <v>0</v>
      </c>
      <c r="X1748">
        <v>0.85</v>
      </c>
    </row>
    <row r="1749" spans="1:24" x14ac:dyDescent="0.3">
      <c r="A1749" t="s">
        <v>2489</v>
      </c>
      <c r="B1749" s="1">
        <v>45758</v>
      </c>
      <c r="C1749" t="s">
        <v>92</v>
      </c>
      <c r="D1749" t="s">
        <v>82</v>
      </c>
      <c r="E1749" t="s">
        <v>68</v>
      </c>
      <c r="F1749" t="s">
        <v>58</v>
      </c>
      <c r="G1749" t="s">
        <v>59</v>
      </c>
      <c r="H1749" t="s">
        <v>296</v>
      </c>
      <c r="I1749" t="s">
        <v>449</v>
      </c>
      <c r="J1749" t="s">
        <v>62</v>
      </c>
      <c r="K1749" t="s">
        <v>104</v>
      </c>
      <c r="L1749" t="s">
        <v>34</v>
      </c>
      <c r="M1749" t="s">
        <v>86</v>
      </c>
      <c r="N1749" t="s">
        <v>113</v>
      </c>
      <c r="O1749">
        <v>30</v>
      </c>
      <c r="P1749">
        <v>0</v>
      </c>
      <c r="Q1749">
        <v>34.6</v>
      </c>
      <c r="R1749">
        <v>750</v>
      </c>
      <c r="S1749">
        <v>0</v>
      </c>
      <c r="T1749">
        <v>750</v>
      </c>
      <c r="U1749">
        <v>0</v>
      </c>
      <c r="V1749">
        <v>0</v>
      </c>
      <c r="W1749">
        <v>1</v>
      </c>
      <c r="X1749">
        <v>0.85</v>
      </c>
    </row>
    <row r="1750" spans="1:24" x14ac:dyDescent="0.3">
      <c r="A1750" t="s">
        <v>2490</v>
      </c>
      <c r="B1750" s="1">
        <v>45930</v>
      </c>
      <c r="C1750" t="s">
        <v>49</v>
      </c>
      <c r="D1750" t="s">
        <v>26</v>
      </c>
      <c r="E1750" t="s">
        <v>40</v>
      </c>
      <c r="F1750" t="s">
        <v>58</v>
      </c>
      <c r="G1750" t="s">
        <v>59</v>
      </c>
      <c r="H1750" t="s">
        <v>117</v>
      </c>
      <c r="I1750" t="s">
        <v>863</v>
      </c>
      <c r="J1750" t="s">
        <v>62</v>
      </c>
      <c r="K1750" t="s">
        <v>85</v>
      </c>
      <c r="L1750" t="s">
        <v>34</v>
      </c>
      <c r="M1750" t="s">
        <v>86</v>
      </c>
      <c r="N1750" t="s">
        <v>36</v>
      </c>
      <c r="O1750">
        <v>60</v>
      </c>
      <c r="P1750">
        <v>60</v>
      </c>
      <c r="Q1750">
        <v>68.7</v>
      </c>
      <c r="R1750">
        <v>1500</v>
      </c>
      <c r="S1750">
        <v>1500</v>
      </c>
      <c r="T1750">
        <v>0</v>
      </c>
      <c r="U1750">
        <v>0</v>
      </c>
      <c r="V1750">
        <v>1</v>
      </c>
      <c r="W1750">
        <v>0</v>
      </c>
      <c r="X1750">
        <v>0.85</v>
      </c>
    </row>
    <row r="1751" spans="1:24" x14ac:dyDescent="0.3">
      <c r="A1751" t="s">
        <v>2491</v>
      </c>
      <c r="B1751" s="1">
        <v>45706</v>
      </c>
      <c r="C1751" t="s">
        <v>76</v>
      </c>
      <c r="D1751" t="s">
        <v>26</v>
      </c>
      <c r="E1751" t="s">
        <v>68</v>
      </c>
      <c r="F1751" t="s">
        <v>28</v>
      </c>
      <c r="G1751" t="s">
        <v>29</v>
      </c>
      <c r="H1751" t="s">
        <v>120</v>
      </c>
      <c r="I1751" t="s">
        <v>1059</v>
      </c>
      <c r="J1751" t="s">
        <v>62</v>
      </c>
      <c r="K1751" t="s">
        <v>70</v>
      </c>
      <c r="L1751" t="s">
        <v>34</v>
      </c>
      <c r="M1751" t="s">
        <v>47</v>
      </c>
      <c r="N1751" t="s">
        <v>36</v>
      </c>
      <c r="O1751">
        <v>90</v>
      </c>
      <c r="P1751">
        <v>90</v>
      </c>
      <c r="Q1751">
        <v>110.4</v>
      </c>
      <c r="R1751">
        <v>1900</v>
      </c>
      <c r="S1751">
        <v>1900</v>
      </c>
      <c r="T1751">
        <v>0</v>
      </c>
      <c r="U1751">
        <v>0</v>
      </c>
      <c r="V1751">
        <v>1</v>
      </c>
      <c r="W1751">
        <v>0</v>
      </c>
      <c r="X1751">
        <v>0.85</v>
      </c>
    </row>
    <row r="1752" spans="1:24" x14ac:dyDescent="0.3">
      <c r="A1752" t="s">
        <v>2492</v>
      </c>
      <c r="B1752" s="1">
        <v>45950</v>
      </c>
      <c r="C1752" t="s">
        <v>97</v>
      </c>
      <c r="D1752" t="s">
        <v>39</v>
      </c>
      <c r="E1752" t="s">
        <v>83</v>
      </c>
      <c r="F1752" t="s">
        <v>28</v>
      </c>
      <c r="G1752" t="s">
        <v>29</v>
      </c>
      <c r="H1752" t="s">
        <v>30</v>
      </c>
      <c r="I1752" t="s">
        <v>1008</v>
      </c>
      <c r="J1752" t="s">
        <v>62</v>
      </c>
      <c r="K1752" t="s">
        <v>104</v>
      </c>
      <c r="L1752" t="s">
        <v>54</v>
      </c>
      <c r="M1752" t="s">
        <v>47</v>
      </c>
      <c r="N1752" t="s">
        <v>113</v>
      </c>
      <c r="O1752">
        <v>45</v>
      </c>
      <c r="P1752">
        <v>0</v>
      </c>
      <c r="Q1752">
        <v>51.5</v>
      </c>
      <c r="R1752">
        <v>800</v>
      </c>
      <c r="S1752">
        <v>0</v>
      </c>
      <c r="T1752">
        <v>800</v>
      </c>
      <c r="U1752">
        <v>0</v>
      </c>
      <c r="V1752">
        <v>0</v>
      </c>
      <c r="W1752">
        <v>1</v>
      </c>
      <c r="X1752">
        <v>0.85</v>
      </c>
    </row>
    <row r="1753" spans="1:24" x14ac:dyDescent="0.3">
      <c r="A1753" t="s">
        <v>2493</v>
      </c>
      <c r="B1753" s="1">
        <v>45997</v>
      </c>
      <c r="C1753" t="s">
        <v>25</v>
      </c>
      <c r="D1753" t="s">
        <v>88</v>
      </c>
      <c r="E1753" t="s">
        <v>83</v>
      </c>
      <c r="F1753" t="s">
        <v>58</v>
      </c>
      <c r="G1753" t="s">
        <v>59</v>
      </c>
      <c r="H1753" t="s">
        <v>151</v>
      </c>
      <c r="I1753" t="s">
        <v>982</v>
      </c>
      <c r="J1753" t="s">
        <v>32</v>
      </c>
      <c r="K1753" t="s">
        <v>85</v>
      </c>
      <c r="L1753" t="s">
        <v>64</v>
      </c>
      <c r="M1753" t="s">
        <v>71</v>
      </c>
      <c r="N1753" t="s">
        <v>95</v>
      </c>
      <c r="O1753">
        <v>30</v>
      </c>
      <c r="P1753">
        <v>0</v>
      </c>
      <c r="Q1753">
        <v>34.799999999999997</v>
      </c>
      <c r="R1753">
        <v>750</v>
      </c>
      <c r="S1753">
        <v>0</v>
      </c>
      <c r="T1753">
        <v>750</v>
      </c>
      <c r="U1753">
        <v>1</v>
      </c>
      <c r="V1753">
        <v>0</v>
      </c>
      <c r="W1753">
        <v>0</v>
      </c>
      <c r="X1753">
        <v>0.85</v>
      </c>
    </row>
    <row r="1754" spans="1:24" x14ac:dyDescent="0.3">
      <c r="A1754" t="s">
        <v>2494</v>
      </c>
      <c r="B1754" s="1">
        <v>45891</v>
      </c>
      <c r="C1754" t="s">
        <v>110</v>
      </c>
      <c r="D1754" t="s">
        <v>82</v>
      </c>
      <c r="E1754" t="s">
        <v>83</v>
      </c>
      <c r="F1754" t="s">
        <v>28</v>
      </c>
      <c r="G1754" t="s">
        <v>29</v>
      </c>
      <c r="H1754" t="s">
        <v>102</v>
      </c>
      <c r="I1754" t="s">
        <v>1678</v>
      </c>
      <c r="J1754" t="s">
        <v>99</v>
      </c>
      <c r="K1754" t="s">
        <v>33</v>
      </c>
      <c r="L1754" t="s">
        <v>34</v>
      </c>
      <c r="M1754" t="s">
        <v>35</v>
      </c>
      <c r="N1754" t="s">
        <v>36</v>
      </c>
      <c r="O1754">
        <v>60</v>
      </c>
      <c r="P1754">
        <v>60</v>
      </c>
      <c r="Q1754">
        <v>66.400000000000006</v>
      </c>
      <c r="R1754">
        <v>1250</v>
      </c>
      <c r="S1754">
        <v>1250</v>
      </c>
      <c r="T1754">
        <v>0</v>
      </c>
      <c r="U1754">
        <v>0</v>
      </c>
      <c r="V1754">
        <v>1</v>
      </c>
      <c r="W1754">
        <v>0</v>
      </c>
      <c r="X1754">
        <v>0.85</v>
      </c>
    </row>
    <row r="1755" spans="1:24" x14ac:dyDescent="0.3">
      <c r="A1755" t="s">
        <v>2495</v>
      </c>
      <c r="B1755" s="1">
        <v>45700</v>
      </c>
      <c r="C1755" t="s">
        <v>76</v>
      </c>
      <c r="D1755" t="s">
        <v>57</v>
      </c>
      <c r="E1755" t="s">
        <v>83</v>
      </c>
      <c r="F1755" t="s">
        <v>58</v>
      </c>
      <c r="G1755" t="s">
        <v>59</v>
      </c>
      <c r="H1755" t="s">
        <v>73</v>
      </c>
      <c r="I1755" t="s">
        <v>560</v>
      </c>
      <c r="J1755" t="s">
        <v>32</v>
      </c>
      <c r="K1755" t="s">
        <v>70</v>
      </c>
      <c r="L1755" t="s">
        <v>34</v>
      </c>
      <c r="M1755" t="s">
        <v>94</v>
      </c>
      <c r="N1755" t="s">
        <v>36</v>
      </c>
      <c r="O1755">
        <v>45</v>
      </c>
      <c r="P1755">
        <v>45</v>
      </c>
      <c r="Q1755">
        <v>52.4</v>
      </c>
      <c r="R1755">
        <v>1100</v>
      </c>
      <c r="S1755">
        <v>1100</v>
      </c>
      <c r="T1755">
        <v>0</v>
      </c>
      <c r="U1755">
        <v>0</v>
      </c>
      <c r="V1755">
        <v>1</v>
      </c>
      <c r="W1755">
        <v>0</v>
      </c>
      <c r="X1755">
        <v>0.85</v>
      </c>
    </row>
    <row r="1756" spans="1:24" x14ac:dyDescent="0.3">
      <c r="A1756" t="s">
        <v>2496</v>
      </c>
      <c r="B1756" s="1">
        <v>45792</v>
      </c>
      <c r="C1756" t="s">
        <v>128</v>
      </c>
      <c r="D1756" t="s">
        <v>50</v>
      </c>
      <c r="E1756" t="s">
        <v>40</v>
      </c>
      <c r="F1756" t="s">
        <v>41</v>
      </c>
      <c r="G1756" t="s">
        <v>42</v>
      </c>
      <c r="H1756" t="s">
        <v>125</v>
      </c>
      <c r="I1756" t="s">
        <v>799</v>
      </c>
      <c r="J1756" t="s">
        <v>45</v>
      </c>
      <c r="K1756" t="s">
        <v>85</v>
      </c>
      <c r="L1756" t="s">
        <v>34</v>
      </c>
      <c r="M1756" t="s">
        <v>71</v>
      </c>
      <c r="N1756" t="s">
        <v>36</v>
      </c>
      <c r="O1756">
        <v>45</v>
      </c>
      <c r="P1756">
        <v>45</v>
      </c>
      <c r="Q1756">
        <v>53.4</v>
      </c>
      <c r="R1756">
        <v>1150</v>
      </c>
      <c r="S1756">
        <v>1150</v>
      </c>
      <c r="T1756">
        <v>0</v>
      </c>
      <c r="U1756">
        <v>0</v>
      </c>
      <c r="V1756">
        <v>1</v>
      </c>
      <c r="W1756">
        <v>0</v>
      </c>
      <c r="X1756">
        <v>0.85</v>
      </c>
    </row>
    <row r="1757" spans="1:24" x14ac:dyDescent="0.3">
      <c r="A1757" t="s">
        <v>2497</v>
      </c>
      <c r="B1757" s="1">
        <v>45973</v>
      </c>
      <c r="C1757" t="s">
        <v>38</v>
      </c>
      <c r="D1757" t="s">
        <v>57</v>
      </c>
      <c r="E1757" t="s">
        <v>27</v>
      </c>
      <c r="F1757" t="s">
        <v>28</v>
      </c>
      <c r="G1757" t="s">
        <v>29</v>
      </c>
      <c r="H1757" t="s">
        <v>30</v>
      </c>
      <c r="I1757" t="s">
        <v>484</v>
      </c>
      <c r="J1757" t="s">
        <v>99</v>
      </c>
      <c r="K1757" t="s">
        <v>70</v>
      </c>
      <c r="L1757" t="s">
        <v>78</v>
      </c>
      <c r="M1757" t="s">
        <v>65</v>
      </c>
      <c r="N1757" t="s">
        <v>36</v>
      </c>
      <c r="O1757">
        <v>90</v>
      </c>
      <c r="P1757">
        <v>90</v>
      </c>
      <c r="Q1757">
        <v>108.8</v>
      </c>
      <c r="R1757">
        <v>1700</v>
      </c>
      <c r="S1757">
        <v>1700</v>
      </c>
      <c r="T1757">
        <v>0</v>
      </c>
      <c r="U1757">
        <v>0</v>
      </c>
      <c r="V1757">
        <v>1</v>
      </c>
      <c r="W1757">
        <v>0</v>
      </c>
      <c r="X1757">
        <v>0.85</v>
      </c>
    </row>
    <row r="1758" spans="1:24" x14ac:dyDescent="0.3">
      <c r="A1758" t="s">
        <v>2498</v>
      </c>
      <c r="B1758" s="1">
        <v>45821</v>
      </c>
      <c r="C1758" t="s">
        <v>67</v>
      </c>
      <c r="D1758" t="s">
        <v>82</v>
      </c>
      <c r="E1758" t="s">
        <v>27</v>
      </c>
      <c r="F1758" t="s">
        <v>58</v>
      </c>
      <c r="G1758" t="s">
        <v>59</v>
      </c>
      <c r="H1758" t="s">
        <v>60</v>
      </c>
      <c r="I1758" t="s">
        <v>2499</v>
      </c>
      <c r="J1758" t="s">
        <v>62</v>
      </c>
      <c r="K1758" t="s">
        <v>85</v>
      </c>
      <c r="L1758" t="s">
        <v>78</v>
      </c>
      <c r="M1758" t="s">
        <v>94</v>
      </c>
      <c r="N1758" t="s">
        <v>36</v>
      </c>
      <c r="O1758">
        <v>60</v>
      </c>
      <c r="P1758">
        <v>60</v>
      </c>
      <c r="Q1758">
        <v>78.900000000000006</v>
      </c>
      <c r="R1758">
        <v>1400</v>
      </c>
      <c r="S1758">
        <v>1400</v>
      </c>
      <c r="T1758">
        <v>0</v>
      </c>
      <c r="U1758">
        <v>0</v>
      </c>
      <c r="V1758">
        <v>1</v>
      </c>
      <c r="W1758">
        <v>0</v>
      </c>
      <c r="X1758">
        <v>0.85</v>
      </c>
    </row>
    <row r="1759" spans="1:24" x14ac:dyDescent="0.3">
      <c r="A1759" t="s">
        <v>2500</v>
      </c>
      <c r="B1759" s="1">
        <v>45824</v>
      </c>
      <c r="C1759" t="s">
        <v>67</v>
      </c>
      <c r="D1759" t="s">
        <v>39</v>
      </c>
      <c r="E1759" t="s">
        <v>27</v>
      </c>
      <c r="F1759" t="s">
        <v>41</v>
      </c>
      <c r="G1759" t="s">
        <v>42</v>
      </c>
      <c r="H1759" t="s">
        <v>125</v>
      </c>
      <c r="I1759" t="s">
        <v>1135</v>
      </c>
      <c r="J1759" t="s">
        <v>53</v>
      </c>
      <c r="K1759" t="s">
        <v>104</v>
      </c>
      <c r="L1759" t="s">
        <v>78</v>
      </c>
      <c r="M1759" t="s">
        <v>86</v>
      </c>
      <c r="N1759" t="s">
        <v>36</v>
      </c>
      <c r="O1759">
        <v>90</v>
      </c>
      <c r="P1759">
        <v>90</v>
      </c>
      <c r="Q1759">
        <v>110.4</v>
      </c>
      <c r="R1759">
        <v>2250</v>
      </c>
      <c r="S1759">
        <v>2250</v>
      </c>
      <c r="T1759">
        <v>0</v>
      </c>
      <c r="U1759">
        <v>0</v>
      </c>
      <c r="V1759">
        <v>1</v>
      </c>
      <c r="W1759">
        <v>0</v>
      </c>
      <c r="X1759">
        <v>0.85</v>
      </c>
    </row>
    <row r="1760" spans="1:24" x14ac:dyDescent="0.3">
      <c r="A1760" t="s">
        <v>2501</v>
      </c>
      <c r="B1760" s="1">
        <v>45932</v>
      </c>
      <c r="C1760" t="s">
        <v>97</v>
      </c>
      <c r="D1760" t="s">
        <v>50</v>
      </c>
      <c r="E1760" t="s">
        <v>68</v>
      </c>
      <c r="F1760" t="s">
        <v>41</v>
      </c>
      <c r="G1760" t="s">
        <v>42</v>
      </c>
      <c r="H1760" t="s">
        <v>111</v>
      </c>
      <c r="I1760" t="s">
        <v>348</v>
      </c>
      <c r="J1760" t="s">
        <v>62</v>
      </c>
      <c r="K1760" t="s">
        <v>104</v>
      </c>
      <c r="L1760" t="s">
        <v>64</v>
      </c>
      <c r="M1760" t="s">
        <v>71</v>
      </c>
      <c r="N1760" t="s">
        <v>113</v>
      </c>
      <c r="O1760">
        <v>90</v>
      </c>
      <c r="P1760">
        <v>0</v>
      </c>
      <c r="Q1760">
        <v>118.1</v>
      </c>
      <c r="R1760">
        <v>2000</v>
      </c>
      <c r="S1760">
        <v>0</v>
      </c>
      <c r="T1760">
        <v>2000</v>
      </c>
      <c r="U1760">
        <v>0</v>
      </c>
      <c r="V1760">
        <v>0</v>
      </c>
      <c r="W1760">
        <v>1</v>
      </c>
      <c r="X1760">
        <v>0.85</v>
      </c>
    </row>
    <row r="1761" spans="1:24" x14ac:dyDescent="0.3">
      <c r="A1761" t="s">
        <v>2502</v>
      </c>
      <c r="B1761" s="1">
        <v>45757</v>
      </c>
      <c r="C1761" t="s">
        <v>92</v>
      </c>
      <c r="D1761" t="s">
        <v>50</v>
      </c>
      <c r="E1761" t="s">
        <v>83</v>
      </c>
      <c r="F1761" t="s">
        <v>41</v>
      </c>
      <c r="G1761" t="s">
        <v>42</v>
      </c>
      <c r="H1761" t="s">
        <v>89</v>
      </c>
      <c r="I1761" t="s">
        <v>1179</v>
      </c>
      <c r="J1761" t="s">
        <v>99</v>
      </c>
      <c r="K1761" t="s">
        <v>104</v>
      </c>
      <c r="L1761" t="s">
        <v>64</v>
      </c>
      <c r="M1761" t="s">
        <v>71</v>
      </c>
      <c r="N1761" t="s">
        <v>36</v>
      </c>
      <c r="O1761">
        <v>45</v>
      </c>
      <c r="P1761">
        <v>45</v>
      </c>
      <c r="Q1761">
        <v>57.3</v>
      </c>
      <c r="R1761">
        <v>1000</v>
      </c>
      <c r="S1761">
        <v>1000</v>
      </c>
      <c r="T1761">
        <v>0</v>
      </c>
      <c r="U1761">
        <v>0</v>
      </c>
      <c r="V1761">
        <v>1</v>
      </c>
      <c r="W1761">
        <v>0</v>
      </c>
      <c r="X1761">
        <v>0.85</v>
      </c>
    </row>
    <row r="1762" spans="1:24" x14ac:dyDescent="0.3">
      <c r="A1762" t="s">
        <v>2503</v>
      </c>
      <c r="B1762" s="1">
        <v>45672</v>
      </c>
      <c r="C1762" t="s">
        <v>130</v>
      </c>
      <c r="D1762" t="s">
        <v>57</v>
      </c>
      <c r="E1762" t="s">
        <v>40</v>
      </c>
      <c r="F1762" t="s">
        <v>28</v>
      </c>
      <c r="G1762" t="s">
        <v>29</v>
      </c>
      <c r="H1762" t="s">
        <v>135</v>
      </c>
      <c r="I1762" t="s">
        <v>1059</v>
      </c>
      <c r="J1762" t="s">
        <v>62</v>
      </c>
      <c r="K1762" t="s">
        <v>63</v>
      </c>
      <c r="L1762" t="s">
        <v>78</v>
      </c>
      <c r="M1762" t="s">
        <v>71</v>
      </c>
      <c r="N1762" t="s">
        <v>36</v>
      </c>
      <c r="O1762">
        <v>45</v>
      </c>
      <c r="P1762">
        <v>45</v>
      </c>
      <c r="Q1762">
        <v>50.8</v>
      </c>
      <c r="R1762">
        <v>850</v>
      </c>
      <c r="S1762">
        <v>850</v>
      </c>
      <c r="T1762">
        <v>0</v>
      </c>
      <c r="U1762">
        <v>0</v>
      </c>
      <c r="V1762">
        <v>1</v>
      </c>
      <c r="W1762">
        <v>0</v>
      </c>
      <c r="X1762">
        <v>0.85</v>
      </c>
    </row>
    <row r="1763" spans="1:24" x14ac:dyDescent="0.3">
      <c r="A1763" t="s">
        <v>2504</v>
      </c>
      <c r="B1763" s="1">
        <v>45882</v>
      </c>
      <c r="C1763" t="s">
        <v>110</v>
      </c>
      <c r="D1763" t="s">
        <v>57</v>
      </c>
      <c r="E1763" t="s">
        <v>27</v>
      </c>
      <c r="F1763" t="s">
        <v>28</v>
      </c>
      <c r="G1763" t="s">
        <v>29</v>
      </c>
      <c r="H1763" t="s">
        <v>120</v>
      </c>
      <c r="I1763" t="s">
        <v>2225</v>
      </c>
      <c r="J1763" t="s">
        <v>45</v>
      </c>
      <c r="K1763" t="s">
        <v>104</v>
      </c>
      <c r="L1763" t="s">
        <v>54</v>
      </c>
      <c r="M1763" t="s">
        <v>86</v>
      </c>
      <c r="N1763" t="s">
        <v>36</v>
      </c>
      <c r="O1763">
        <v>30</v>
      </c>
      <c r="P1763">
        <v>30</v>
      </c>
      <c r="Q1763">
        <v>37.5</v>
      </c>
      <c r="R1763">
        <v>600</v>
      </c>
      <c r="S1763">
        <v>600</v>
      </c>
      <c r="T1763">
        <v>0</v>
      </c>
      <c r="U1763">
        <v>0</v>
      </c>
      <c r="V1763">
        <v>1</v>
      </c>
      <c r="W1763">
        <v>0</v>
      </c>
      <c r="X1763">
        <v>0.85</v>
      </c>
    </row>
    <row r="1764" spans="1:24" x14ac:dyDescent="0.3">
      <c r="A1764" t="s">
        <v>2505</v>
      </c>
      <c r="B1764" s="1">
        <v>45948</v>
      </c>
      <c r="C1764" t="s">
        <v>97</v>
      </c>
      <c r="D1764" t="s">
        <v>88</v>
      </c>
      <c r="E1764" t="s">
        <v>68</v>
      </c>
      <c r="F1764" t="s">
        <v>58</v>
      </c>
      <c r="G1764" t="s">
        <v>59</v>
      </c>
      <c r="H1764" t="s">
        <v>60</v>
      </c>
      <c r="I1764" t="s">
        <v>1022</v>
      </c>
      <c r="J1764" t="s">
        <v>53</v>
      </c>
      <c r="K1764" t="s">
        <v>85</v>
      </c>
      <c r="L1764" t="s">
        <v>64</v>
      </c>
      <c r="M1764" t="s">
        <v>71</v>
      </c>
      <c r="N1764" t="s">
        <v>36</v>
      </c>
      <c r="O1764">
        <v>90</v>
      </c>
      <c r="P1764">
        <v>90</v>
      </c>
      <c r="Q1764">
        <v>115.7</v>
      </c>
      <c r="R1764">
        <v>2700</v>
      </c>
      <c r="S1764">
        <v>2700</v>
      </c>
      <c r="T1764">
        <v>0</v>
      </c>
      <c r="U1764">
        <v>0</v>
      </c>
      <c r="V1764">
        <v>1</v>
      </c>
      <c r="W1764">
        <v>0</v>
      </c>
      <c r="X1764">
        <v>0.85</v>
      </c>
    </row>
    <row r="1765" spans="1:24" x14ac:dyDescent="0.3">
      <c r="A1765" t="s">
        <v>2506</v>
      </c>
      <c r="B1765" s="1">
        <v>45933</v>
      </c>
      <c r="C1765" t="s">
        <v>97</v>
      </c>
      <c r="D1765" t="s">
        <v>82</v>
      </c>
      <c r="E1765" t="s">
        <v>68</v>
      </c>
      <c r="F1765" t="s">
        <v>58</v>
      </c>
      <c r="G1765" t="s">
        <v>59</v>
      </c>
      <c r="H1765" t="s">
        <v>117</v>
      </c>
      <c r="I1765" t="s">
        <v>1114</v>
      </c>
      <c r="J1765" t="s">
        <v>62</v>
      </c>
      <c r="K1765" t="s">
        <v>70</v>
      </c>
      <c r="L1765" t="s">
        <v>54</v>
      </c>
      <c r="M1765" t="s">
        <v>65</v>
      </c>
      <c r="N1765" t="s">
        <v>36</v>
      </c>
      <c r="O1765">
        <v>30</v>
      </c>
      <c r="P1765">
        <v>30</v>
      </c>
      <c r="Q1765">
        <v>37.700000000000003</v>
      </c>
      <c r="R1765">
        <v>650</v>
      </c>
      <c r="S1765">
        <v>650</v>
      </c>
      <c r="T1765">
        <v>0</v>
      </c>
      <c r="U1765">
        <v>0</v>
      </c>
      <c r="V1765">
        <v>1</v>
      </c>
      <c r="W1765">
        <v>0</v>
      </c>
      <c r="X1765">
        <v>0.85</v>
      </c>
    </row>
    <row r="1766" spans="1:24" x14ac:dyDescent="0.3">
      <c r="A1766" t="s">
        <v>2507</v>
      </c>
      <c r="B1766" s="1">
        <v>45719</v>
      </c>
      <c r="C1766" t="s">
        <v>56</v>
      </c>
      <c r="D1766" t="s">
        <v>39</v>
      </c>
      <c r="E1766" t="s">
        <v>83</v>
      </c>
      <c r="F1766" t="s">
        <v>28</v>
      </c>
      <c r="G1766" t="s">
        <v>29</v>
      </c>
      <c r="H1766" t="s">
        <v>102</v>
      </c>
      <c r="I1766" t="s">
        <v>503</v>
      </c>
      <c r="J1766" t="s">
        <v>45</v>
      </c>
      <c r="K1766" t="s">
        <v>104</v>
      </c>
      <c r="L1766" t="s">
        <v>34</v>
      </c>
      <c r="M1766" t="s">
        <v>65</v>
      </c>
      <c r="N1766" t="s">
        <v>36</v>
      </c>
      <c r="O1766">
        <v>30</v>
      </c>
      <c r="P1766">
        <v>30</v>
      </c>
      <c r="Q1766">
        <v>37.1</v>
      </c>
      <c r="R1766">
        <v>700</v>
      </c>
      <c r="S1766">
        <v>700</v>
      </c>
      <c r="T1766">
        <v>0</v>
      </c>
      <c r="U1766">
        <v>0</v>
      </c>
      <c r="V1766">
        <v>1</v>
      </c>
      <c r="W1766">
        <v>0</v>
      </c>
      <c r="X1766">
        <v>0.85</v>
      </c>
    </row>
    <row r="1767" spans="1:24" x14ac:dyDescent="0.3">
      <c r="A1767" t="s">
        <v>2508</v>
      </c>
      <c r="B1767" s="1">
        <v>45751</v>
      </c>
      <c r="C1767" t="s">
        <v>92</v>
      </c>
      <c r="D1767" t="s">
        <v>82</v>
      </c>
      <c r="E1767" t="s">
        <v>68</v>
      </c>
      <c r="F1767" t="s">
        <v>58</v>
      </c>
      <c r="G1767" t="s">
        <v>59</v>
      </c>
      <c r="H1767" t="s">
        <v>73</v>
      </c>
      <c r="I1767" t="s">
        <v>671</v>
      </c>
      <c r="J1767" t="s">
        <v>99</v>
      </c>
      <c r="K1767" t="s">
        <v>70</v>
      </c>
      <c r="L1767" t="s">
        <v>34</v>
      </c>
      <c r="M1767" t="s">
        <v>65</v>
      </c>
      <c r="N1767" t="s">
        <v>153</v>
      </c>
      <c r="O1767">
        <v>45</v>
      </c>
      <c r="P1767">
        <v>0</v>
      </c>
      <c r="Q1767">
        <v>52.3</v>
      </c>
      <c r="R1767">
        <v>1100</v>
      </c>
      <c r="S1767">
        <v>0</v>
      </c>
      <c r="T1767">
        <v>0</v>
      </c>
      <c r="U1767">
        <v>0</v>
      </c>
      <c r="V1767">
        <v>0</v>
      </c>
      <c r="W1767">
        <v>0</v>
      </c>
      <c r="X1767">
        <v>0.85</v>
      </c>
    </row>
    <row r="1768" spans="1:24" x14ac:dyDescent="0.3">
      <c r="A1768" t="s">
        <v>2509</v>
      </c>
      <c r="B1768" s="1">
        <v>45665</v>
      </c>
      <c r="C1768" t="s">
        <v>130</v>
      </c>
      <c r="D1768" t="s">
        <v>57</v>
      </c>
      <c r="E1768" t="s">
        <v>68</v>
      </c>
      <c r="F1768" t="s">
        <v>58</v>
      </c>
      <c r="G1768" t="s">
        <v>59</v>
      </c>
      <c r="H1768" t="s">
        <v>117</v>
      </c>
      <c r="I1768" t="s">
        <v>1168</v>
      </c>
      <c r="J1768" t="s">
        <v>53</v>
      </c>
      <c r="K1768" t="s">
        <v>104</v>
      </c>
      <c r="L1768" t="s">
        <v>34</v>
      </c>
      <c r="M1768" t="s">
        <v>71</v>
      </c>
      <c r="N1768" t="s">
        <v>36</v>
      </c>
      <c r="O1768">
        <v>30</v>
      </c>
      <c r="P1768">
        <v>30</v>
      </c>
      <c r="Q1768">
        <v>35.6</v>
      </c>
      <c r="R1768">
        <v>900</v>
      </c>
      <c r="S1768">
        <v>900</v>
      </c>
      <c r="T1768">
        <v>0</v>
      </c>
      <c r="U1768">
        <v>0</v>
      </c>
      <c r="V1768">
        <v>1</v>
      </c>
      <c r="W1768">
        <v>0</v>
      </c>
      <c r="X1768">
        <v>0.85</v>
      </c>
    </row>
    <row r="1769" spans="1:24" x14ac:dyDescent="0.3">
      <c r="A1769" t="s">
        <v>2510</v>
      </c>
      <c r="B1769" s="1">
        <v>45785</v>
      </c>
      <c r="C1769" t="s">
        <v>128</v>
      </c>
      <c r="D1769" t="s">
        <v>50</v>
      </c>
      <c r="E1769" t="s">
        <v>40</v>
      </c>
      <c r="F1769" t="s">
        <v>41</v>
      </c>
      <c r="G1769" t="s">
        <v>42</v>
      </c>
      <c r="H1769" t="s">
        <v>89</v>
      </c>
      <c r="I1769" t="s">
        <v>528</v>
      </c>
      <c r="J1769" t="s">
        <v>53</v>
      </c>
      <c r="K1769" t="s">
        <v>104</v>
      </c>
      <c r="L1769" t="s">
        <v>34</v>
      </c>
      <c r="M1769" t="s">
        <v>47</v>
      </c>
      <c r="N1769" t="s">
        <v>36</v>
      </c>
      <c r="O1769">
        <v>60</v>
      </c>
      <c r="P1769">
        <v>60</v>
      </c>
      <c r="Q1769">
        <v>72.599999999999994</v>
      </c>
      <c r="R1769">
        <v>1600</v>
      </c>
      <c r="S1769">
        <v>1600</v>
      </c>
      <c r="T1769">
        <v>0</v>
      </c>
      <c r="U1769">
        <v>0</v>
      </c>
      <c r="V1769">
        <v>1</v>
      </c>
      <c r="W1769">
        <v>0</v>
      </c>
      <c r="X1769">
        <v>0.85</v>
      </c>
    </row>
    <row r="1770" spans="1:24" x14ac:dyDescent="0.3">
      <c r="A1770" t="s">
        <v>2511</v>
      </c>
      <c r="B1770" s="1">
        <v>45747</v>
      </c>
      <c r="C1770" t="s">
        <v>56</v>
      </c>
      <c r="D1770" t="s">
        <v>39</v>
      </c>
      <c r="E1770" t="s">
        <v>27</v>
      </c>
      <c r="F1770" t="s">
        <v>28</v>
      </c>
      <c r="G1770" t="s">
        <v>29</v>
      </c>
      <c r="H1770" t="s">
        <v>135</v>
      </c>
      <c r="I1770" t="s">
        <v>690</v>
      </c>
      <c r="J1770" t="s">
        <v>32</v>
      </c>
      <c r="K1770" t="s">
        <v>63</v>
      </c>
      <c r="L1770" t="s">
        <v>34</v>
      </c>
      <c r="M1770" t="s">
        <v>47</v>
      </c>
      <c r="N1770" t="s">
        <v>36</v>
      </c>
      <c r="O1770">
        <v>45</v>
      </c>
      <c r="P1770">
        <v>45</v>
      </c>
      <c r="Q1770">
        <v>56.7</v>
      </c>
      <c r="R1770">
        <v>950</v>
      </c>
      <c r="S1770">
        <v>950</v>
      </c>
      <c r="T1770">
        <v>0</v>
      </c>
      <c r="U1770">
        <v>0</v>
      </c>
      <c r="V1770">
        <v>1</v>
      </c>
      <c r="W1770">
        <v>0</v>
      </c>
      <c r="X1770">
        <v>0.85</v>
      </c>
    </row>
    <row r="1771" spans="1:24" x14ac:dyDescent="0.3">
      <c r="A1771" t="s">
        <v>2512</v>
      </c>
      <c r="B1771" s="1">
        <v>45880</v>
      </c>
      <c r="C1771" t="s">
        <v>110</v>
      </c>
      <c r="D1771" t="s">
        <v>39</v>
      </c>
      <c r="E1771" t="s">
        <v>68</v>
      </c>
      <c r="F1771" t="s">
        <v>58</v>
      </c>
      <c r="G1771" t="s">
        <v>59</v>
      </c>
      <c r="H1771" t="s">
        <v>73</v>
      </c>
      <c r="I1771" t="s">
        <v>671</v>
      </c>
      <c r="J1771" t="s">
        <v>62</v>
      </c>
      <c r="K1771" t="s">
        <v>85</v>
      </c>
      <c r="L1771" t="s">
        <v>34</v>
      </c>
      <c r="M1771" t="s">
        <v>35</v>
      </c>
      <c r="N1771" t="s">
        <v>36</v>
      </c>
      <c r="O1771">
        <v>45</v>
      </c>
      <c r="P1771">
        <v>45</v>
      </c>
      <c r="Q1771">
        <v>50.8</v>
      </c>
      <c r="R1771">
        <v>1100</v>
      </c>
      <c r="S1771">
        <v>1100</v>
      </c>
      <c r="T1771">
        <v>0</v>
      </c>
      <c r="U1771">
        <v>0</v>
      </c>
      <c r="V1771">
        <v>1</v>
      </c>
      <c r="W1771">
        <v>0</v>
      </c>
      <c r="X1771">
        <v>0.85</v>
      </c>
    </row>
    <row r="1772" spans="1:24" x14ac:dyDescent="0.3">
      <c r="A1772" t="s">
        <v>2513</v>
      </c>
      <c r="B1772" s="1">
        <v>45708</v>
      </c>
      <c r="C1772" t="s">
        <v>76</v>
      </c>
      <c r="D1772" t="s">
        <v>50</v>
      </c>
      <c r="E1772" t="s">
        <v>27</v>
      </c>
      <c r="F1772" t="s">
        <v>41</v>
      </c>
      <c r="G1772" t="s">
        <v>42</v>
      </c>
      <c r="H1772" t="s">
        <v>89</v>
      </c>
      <c r="I1772" t="s">
        <v>877</v>
      </c>
      <c r="J1772" t="s">
        <v>62</v>
      </c>
      <c r="K1772" t="s">
        <v>70</v>
      </c>
      <c r="L1772" t="s">
        <v>34</v>
      </c>
      <c r="M1772" t="s">
        <v>47</v>
      </c>
      <c r="N1772" t="s">
        <v>36</v>
      </c>
      <c r="O1772">
        <v>60</v>
      </c>
      <c r="P1772">
        <v>60</v>
      </c>
      <c r="Q1772">
        <v>72.099999999999994</v>
      </c>
      <c r="R1772">
        <v>1350</v>
      </c>
      <c r="S1772">
        <v>1350</v>
      </c>
      <c r="T1772">
        <v>0</v>
      </c>
      <c r="U1772">
        <v>0</v>
      </c>
      <c r="V1772">
        <v>1</v>
      </c>
      <c r="W1772">
        <v>0</v>
      </c>
      <c r="X1772">
        <v>0.85</v>
      </c>
    </row>
    <row r="1773" spans="1:24" x14ac:dyDescent="0.3">
      <c r="A1773" t="s">
        <v>2514</v>
      </c>
      <c r="B1773" s="1">
        <v>45920</v>
      </c>
      <c r="C1773" t="s">
        <v>49</v>
      </c>
      <c r="D1773" t="s">
        <v>88</v>
      </c>
      <c r="E1773" t="s">
        <v>27</v>
      </c>
      <c r="F1773" t="s">
        <v>58</v>
      </c>
      <c r="G1773" t="s">
        <v>59</v>
      </c>
      <c r="H1773" t="s">
        <v>60</v>
      </c>
      <c r="I1773" t="s">
        <v>616</v>
      </c>
      <c r="J1773" t="s">
        <v>53</v>
      </c>
      <c r="K1773" t="s">
        <v>63</v>
      </c>
      <c r="L1773" t="s">
        <v>34</v>
      </c>
      <c r="M1773" t="s">
        <v>94</v>
      </c>
      <c r="N1773" t="s">
        <v>36</v>
      </c>
      <c r="O1773">
        <v>60</v>
      </c>
      <c r="P1773">
        <v>60</v>
      </c>
      <c r="Q1773">
        <v>69.900000000000006</v>
      </c>
      <c r="R1773">
        <v>1800</v>
      </c>
      <c r="S1773">
        <v>1800</v>
      </c>
      <c r="T1773">
        <v>0</v>
      </c>
      <c r="U1773">
        <v>0</v>
      </c>
      <c r="V1773">
        <v>1</v>
      </c>
      <c r="W1773">
        <v>0</v>
      </c>
      <c r="X1773">
        <v>0.85</v>
      </c>
    </row>
    <row r="1774" spans="1:24" x14ac:dyDescent="0.3">
      <c r="A1774" t="s">
        <v>2515</v>
      </c>
      <c r="B1774" s="1">
        <v>45784</v>
      </c>
      <c r="C1774" t="s">
        <v>128</v>
      </c>
      <c r="D1774" t="s">
        <v>57</v>
      </c>
      <c r="E1774" t="s">
        <v>40</v>
      </c>
      <c r="F1774" t="s">
        <v>58</v>
      </c>
      <c r="G1774" t="s">
        <v>59</v>
      </c>
      <c r="H1774" t="s">
        <v>151</v>
      </c>
      <c r="I1774" t="s">
        <v>213</v>
      </c>
      <c r="J1774" t="s">
        <v>62</v>
      </c>
      <c r="K1774" t="s">
        <v>70</v>
      </c>
      <c r="L1774" t="s">
        <v>54</v>
      </c>
      <c r="M1774" t="s">
        <v>47</v>
      </c>
      <c r="N1774" t="s">
        <v>153</v>
      </c>
      <c r="O1774">
        <v>60</v>
      </c>
      <c r="P1774">
        <v>0</v>
      </c>
      <c r="Q1774">
        <v>66.900000000000006</v>
      </c>
      <c r="R1774">
        <v>1300</v>
      </c>
      <c r="S1774">
        <v>0</v>
      </c>
      <c r="T1774">
        <v>0</v>
      </c>
      <c r="U1774">
        <v>0</v>
      </c>
      <c r="V1774">
        <v>0</v>
      </c>
      <c r="W1774">
        <v>0</v>
      </c>
      <c r="X1774">
        <v>0.85</v>
      </c>
    </row>
    <row r="1775" spans="1:24" x14ac:dyDescent="0.3">
      <c r="A1775" t="s">
        <v>2516</v>
      </c>
      <c r="B1775" s="1">
        <v>45835</v>
      </c>
      <c r="C1775" t="s">
        <v>67</v>
      </c>
      <c r="D1775" t="s">
        <v>82</v>
      </c>
      <c r="E1775" t="s">
        <v>27</v>
      </c>
      <c r="F1775" t="s">
        <v>41</v>
      </c>
      <c r="G1775" t="s">
        <v>42</v>
      </c>
      <c r="H1775" t="s">
        <v>89</v>
      </c>
      <c r="I1775" t="s">
        <v>1030</v>
      </c>
      <c r="J1775" t="s">
        <v>137</v>
      </c>
      <c r="K1775" t="s">
        <v>70</v>
      </c>
      <c r="L1775" t="s">
        <v>34</v>
      </c>
      <c r="M1775" t="s">
        <v>86</v>
      </c>
      <c r="N1775" t="s">
        <v>36</v>
      </c>
      <c r="O1775">
        <v>75</v>
      </c>
      <c r="P1775">
        <v>75</v>
      </c>
      <c r="Q1775">
        <v>84.3</v>
      </c>
      <c r="R1775">
        <v>1700</v>
      </c>
      <c r="S1775">
        <v>1700</v>
      </c>
      <c r="T1775">
        <v>0</v>
      </c>
      <c r="U1775">
        <v>0</v>
      </c>
      <c r="V1775">
        <v>1</v>
      </c>
      <c r="W1775">
        <v>0</v>
      </c>
      <c r="X1775">
        <v>0.85</v>
      </c>
    </row>
    <row r="1776" spans="1:24" x14ac:dyDescent="0.3">
      <c r="A1776" t="s">
        <v>2517</v>
      </c>
      <c r="B1776" s="1">
        <v>45929</v>
      </c>
      <c r="C1776" t="s">
        <v>49</v>
      </c>
      <c r="D1776" t="s">
        <v>39</v>
      </c>
      <c r="E1776" t="s">
        <v>40</v>
      </c>
      <c r="F1776" t="s">
        <v>28</v>
      </c>
      <c r="G1776" t="s">
        <v>29</v>
      </c>
      <c r="H1776" t="s">
        <v>30</v>
      </c>
      <c r="I1776" t="s">
        <v>1052</v>
      </c>
      <c r="J1776" t="s">
        <v>53</v>
      </c>
      <c r="K1776" t="s">
        <v>104</v>
      </c>
      <c r="L1776" t="s">
        <v>34</v>
      </c>
      <c r="M1776" t="s">
        <v>71</v>
      </c>
      <c r="N1776" t="s">
        <v>95</v>
      </c>
      <c r="O1776">
        <v>60</v>
      </c>
      <c r="P1776">
        <v>0</v>
      </c>
      <c r="Q1776">
        <v>75.8</v>
      </c>
      <c r="R1776">
        <v>1500</v>
      </c>
      <c r="S1776">
        <v>0</v>
      </c>
      <c r="T1776">
        <v>1500</v>
      </c>
      <c r="U1776">
        <v>1</v>
      </c>
      <c r="V1776">
        <v>0</v>
      </c>
      <c r="W1776">
        <v>0</v>
      </c>
      <c r="X1776">
        <v>0.85</v>
      </c>
    </row>
    <row r="1777" spans="1:24" x14ac:dyDescent="0.3">
      <c r="A1777" t="s">
        <v>2518</v>
      </c>
      <c r="B1777" s="1">
        <v>45789</v>
      </c>
      <c r="C1777" t="s">
        <v>128</v>
      </c>
      <c r="D1777" t="s">
        <v>39</v>
      </c>
      <c r="E1777" t="s">
        <v>27</v>
      </c>
      <c r="F1777" t="s">
        <v>28</v>
      </c>
      <c r="G1777" t="s">
        <v>29</v>
      </c>
      <c r="H1777" t="s">
        <v>120</v>
      </c>
      <c r="I1777" t="s">
        <v>375</v>
      </c>
      <c r="J1777" t="s">
        <v>62</v>
      </c>
      <c r="K1777" t="s">
        <v>46</v>
      </c>
      <c r="L1777" t="s">
        <v>34</v>
      </c>
      <c r="M1777" t="s">
        <v>65</v>
      </c>
      <c r="N1777" t="s">
        <v>36</v>
      </c>
      <c r="O1777">
        <v>60</v>
      </c>
      <c r="P1777">
        <v>60</v>
      </c>
      <c r="Q1777">
        <v>66.5</v>
      </c>
      <c r="R1777">
        <v>1250</v>
      </c>
      <c r="S1777">
        <v>1250</v>
      </c>
      <c r="T1777">
        <v>0</v>
      </c>
      <c r="U1777">
        <v>0</v>
      </c>
      <c r="V1777">
        <v>1</v>
      </c>
      <c r="W1777">
        <v>0</v>
      </c>
      <c r="X1777">
        <v>0.85</v>
      </c>
    </row>
    <row r="1778" spans="1:24" x14ac:dyDescent="0.3">
      <c r="A1778" t="s">
        <v>2519</v>
      </c>
      <c r="B1778" s="1">
        <v>46008</v>
      </c>
      <c r="C1778" t="s">
        <v>25</v>
      </c>
      <c r="D1778" t="s">
        <v>57</v>
      </c>
      <c r="E1778" t="s">
        <v>68</v>
      </c>
      <c r="F1778" t="s">
        <v>58</v>
      </c>
      <c r="G1778" t="s">
        <v>59</v>
      </c>
      <c r="H1778" t="s">
        <v>296</v>
      </c>
      <c r="I1778" t="s">
        <v>546</v>
      </c>
      <c r="J1778" t="s">
        <v>53</v>
      </c>
      <c r="K1778" t="s">
        <v>70</v>
      </c>
      <c r="L1778" t="s">
        <v>34</v>
      </c>
      <c r="M1778" t="s">
        <v>35</v>
      </c>
      <c r="N1778" t="s">
        <v>36</v>
      </c>
      <c r="O1778">
        <v>45</v>
      </c>
      <c r="P1778">
        <v>45</v>
      </c>
      <c r="Q1778">
        <v>50.7</v>
      </c>
      <c r="R1778">
        <v>1350</v>
      </c>
      <c r="S1778">
        <v>1350</v>
      </c>
      <c r="T1778">
        <v>0</v>
      </c>
      <c r="U1778">
        <v>0</v>
      </c>
      <c r="V1778">
        <v>1</v>
      </c>
      <c r="W1778">
        <v>0</v>
      </c>
      <c r="X1778">
        <v>0.85</v>
      </c>
    </row>
    <row r="1779" spans="1:24" x14ac:dyDescent="0.3">
      <c r="A1779" t="s">
        <v>2520</v>
      </c>
      <c r="B1779" s="1">
        <v>45871</v>
      </c>
      <c r="C1779" t="s">
        <v>110</v>
      </c>
      <c r="D1779" t="s">
        <v>88</v>
      </c>
      <c r="E1779" t="s">
        <v>27</v>
      </c>
      <c r="F1779" t="s">
        <v>28</v>
      </c>
      <c r="G1779" t="s">
        <v>29</v>
      </c>
      <c r="H1779" t="s">
        <v>120</v>
      </c>
      <c r="I1779" t="s">
        <v>1030</v>
      </c>
      <c r="J1779" t="s">
        <v>62</v>
      </c>
      <c r="K1779" t="s">
        <v>104</v>
      </c>
      <c r="L1779" t="s">
        <v>34</v>
      </c>
      <c r="M1779" t="s">
        <v>94</v>
      </c>
      <c r="N1779" t="s">
        <v>95</v>
      </c>
      <c r="O1779">
        <v>60</v>
      </c>
      <c r="P1779">
        <v>0</v>
      </c>
      <c r="Q1779">
        <v>75.2</v>
      </c>
      <c r="R1779">
        <v>1250</v>
      </c>
      <c r="S1779">
        <v>0</v>
      </c>
      <c r="T1779">
        <v>1250</v>
      </c>
      <c r="U1779">
        <v>1</v>
      </c>
      <c r="V1779">
        <v>0</v>
      </c>
      <c r="W1779">
        <v>0</v>
      </c>
      <c r="X1779">
        <v>0.85</v>
      </c>
    </row>
    <row r="1780" spans="1:24" x14ac:dyDescent="0.3">
      <c r="A1780" t="s">
        <v>2521</v>
      </c>
      <c r="B1780" s="1">
        <v>45696</v>
      </c>
      <c r="C1780" t="s">
        <v>76</v>
      </c>
      <c r="D1780" t="s">
        <v>88</v>
      </c>
      <c r="E1780" t="s">
        <v>27</v>
      </c>
      <c r="F1780" t="s">
        <v>28</v>
      </c>
      <c r="G1780" t="s">
        <v>29</v>
      </c>
      <c r="H1780" t="s">
        <v>102</v>
      </c>
      <c r="I1780" t="s">
        <v>2522</v>
      </c>
      <c r="J1780" t="s">
        <v>137</v>
      </c>
      <c r="K1780" t="s">
        <v>46</v>
      </c>
      <c r="L1780" t="s">
        <v>64</v>
      </c>
      <c r="M1780" t="s">
        <v>86</v>
      </c>
      <c r="N1780" t="s">
        <v>36</v>
      </c>
      <c r="O1780">
        <v>75</v>
      </c>
      <c r="P1780">
        <v>75</v>
      </c>
      <c r="Q1780">
        <v>84.7</v>
      </c>
      <c r="R1780">
        <v>1550</v>
      </c>
      <c r="S1780">
        <v>1550</v>
      </c>
      <c r="T1780">
        <v>0</v>
      </c>
      <c r="U1780">
        <v>0</v>
      </c>
      <c r="V1780">
        <v>1</v>
      </c>
      <c r="W1780">
        <v>0</v>
      </c>
      <c r="X1780">
        <v>0.85</v>
      </c>
    </row>
    <row r="1781" spans="1:24" x14ac:dyDescent="0.3">
      <c r="A1781" t="s">
        <v>2523</v>
      </c>
      <c r="B1781" s="1">
        <v>45688</v>
      </c>
      <c r="C1781" t="s">
        <v>130</v>
      </c>
      <c r="D1781" t="s">
        <v>82</v>
      </c>
      <c r="E1781" t="s">
        <v>83</v>
      </c>
      <c r="F1781" t="s">
        <v>41</v>
      </c>
      <c r="G1781" t="s">
        <v>42</v>
      </c>
      <c r="H1781" t="s">
        <v>89</v>
      </c>
      <c r="I1781" t="s">
        <v>690</v>
      </c>
      <c r="J1781" t="s">
        <v>45</v>
      </c>
      <c r="K1781" t="s">
        <v>70</v>
      </c>
      <c r="L1781" t="s">
        <v>34</v>
      </c>
      <c r="M1781" t="s">
        <v>94</v>
      </c>
      <c r="N1781" t="s">
        <v>36</v>
      </c>
      <c r="O1781">
        <v>30</v>
      </c>
      <c r="P1781">
        <v>30</v>
      </c>
      <c r="Q1781">
        <v>37.4</v>
      </c>
      <c r="R1781">
        <v>800</v>
      </c>
      <c r="S1781">
        <v>800</v>
      </c>
      <c r="T1781">
        <v>0</v>
      </c>
      <c r="U1781">
        <v>0</v>
      </c>
      <c r="V1781">
        <v>1</v>
      </c>
      <c r="W1781">
        <v>0</v>
      </c>
      <c r="X1781">
        <v>0.85</v>
      </c>
    </row>
    <row r="1782" spans="1:24" x14ac:dyDescent="0.3">
      <c r="A1782" t="s">
        <v>2524</v>
      </c>
      <c r="B1782" s="1">
        <v>45688</v>
      </c>
      <c r="C1782" t="s">
        <v>130</v>
      </c>
      <c r="D1782" t="s">
        <v>82</v>
      </c>
      <c r="E1782" t="s">
        <v>68</v>
      </c>
      <c r="F1782" t="s">
        <v>41</v>
      </c>
      <c r="G1782" t="s">
        <v>42</v>
      </c>
      <c r="H1782" t="s">
        <v>43</v>
      </c>
      <c r="I1782" t="s">
        <v>650</v>
      </c>
      <c r="J1782" t="s">
        <v>99</v>
      </c>
      <c r="K1782" t="s">
        <v>70</v>
      </c>
      <c r="L1782" t="s">
        <v>34</v>
      </c>
      <c r="M1782" t="s">
        <v>35</v>
      </c>
      <c r="N1782" t="s">
        <v>36</v>
      </c>
      <c r="O1782">
        <v>90</v>
      </c>
      <c r="P1782">
        <v>90</v>
      </c>
      <c r="Q1782">
        <v>112.9</v>
      </c>
      <c r="R1782">
        <v>2000</v>
      </c>
      <c r="S1782">
        <v>2000</v>
      </c>
      <c r="T1782">
        <v>0</v>
      </c>
      <c r="U1782">
        <v>0</v>
      </c>
      <c r="V1782">
        <v>1</v>
      </c>
      <c r="W1782">
        <v>0</v>
      </c>
      <c r="X1782">
        <v>0.85</v>
      </c>
    </row>
    <row r="1783" spans="1:24" x14ac:dyDescent="0.3">
      <c r="A1783" t="s">
        <v>2525</v>
      </c>
      <c r="B1783" s="1">
        <v>45705</v>
      </c>
      <c r="C1783" t="s">
        <v>76</v>
      </c>
      <c r="D1783" t="s">
        <v>39</v>
      </c>
      <c r="E1783" t="s">
        <v>68</v>
      </c>
      <c r="F1783" t="s">
        <v>41</v>
      </c>
      <c r="G1783" t="s">
        <v>42</v>
      </c>
      <c r="H1783" t="s">
        <v>43</v>
      </c>
      <c r="I1783" t="s">
        <v>848</v>
      </c>
      <c r="J1783" t="s">
        <v>53</v>
      </c>
      <c r="K1783" t="s">
        <v>70</v>
      </c>
      <c r="L1783" t="s">
        <v>64</v>
      </c>
      <c r="M1783" t="s">
        <v>47</v>
      </c>
      <c r="N1783" t="s">
        <v>113</v>
      </c>
      <c r="O1783">
        <v>45</v>
      </c>
      <c r="P1783">
        <v>0</v>
      </c>
      <c r="Q1783">
        <v>51.4</v>
      </c>
      <c r="R1783">
        <v>1200</v>
      </c>
      <c r="S1783">
        <v>0</v>
      </c>
      <c r="T1783">
        <v>1200</v>
      </c>
      <c r="U1783">
        <v>0</v>
      </c>
      <c r="V1783">
        <v>0</v>
      </c>
      <c r="W1783">
        <v>1</v>
      </c>
      <c r="X1783">
        <v>0.85</v>
      </c>
    </row>
    <row r="1784" spans="1:24" x14ac:dyDescent="0.3">
      <c r="A1784" t="s">
        <v>2526</v>
      </c>
      <c r="B1784" s="1">
        <v>45997</v>
      </c>
      <c r="C1784" t="s">
        <v>25</v>
      </c>
      <c r="D1784" t="s">
        <v>88</v>
      </c>
      <c r="E1784" t="s">
        <v>27</v>
      </c>
      <c r="F1784" t="s">
        <v>41</v>
      </c>
      <c r="G1784" t="s">
        <v>42</v>
      </c>
      <c r="H1784" t="s">
        <v>51</v>
      </c>
      <c r="I1784" t="s">
        <v>636</v>
      </c>
      <c r="J1784" t="s">
        <v>53</v>
      </c>
      <c r="K1784" t="s">
        <v>46</v>
      </c>
      <c r="L1784" t="s">
        <v>64</v>
      </c>
      <c r="M1784" t="s">
        <v>71</v>
      </c>
      <c r="N1784" t="s">
        <v>36</v>
      </c>
      <c r="O1784">
        <v>30</v>
      </c>
      <c r="P1784">
        <v>30</v>
      </c>
      <c r="Q1784">
        <v>35.799999999999997</v>
      </c>
      <c r="R1784">
        <v>800</v>
      </c>
      <c r="S1784">
        <v>800</v>
      </c>
      <c r="T1784">
        <v>0</v>
      </c>
      <c r="U1784">
        <v>0</v>
      </c>
      <c r="V1784">
        <v>1</v>
      </c>
      <c r="W1784">
        <v>0</v>
      </c>
      <c r="X1784">
        <v>0.85</v>
      </c>
    </row>
    <row r="1785" spans="1:24" x14ac:dyDescent="0.3">
      <c r="A1785" t="s">
        <v>2527</v>
      </c>
      <c r="B1785" s="1">
        <v>45948</v>
      </c>
      <c r="C1785" t="s">
        <v>97</v>
      </c>
      <c r="D1785" t="s">
        <v>88</v>
      </c>
      <c r="E1785" t="s">
        <v>27</v>
      </c>
      <c r="F1785" t="s">
        <v>41</v>
      </c>
      <c r="G1785" t="s">
        <v>42</v>
      </c>
      <c r="H1785" t="s">
        <v>51</v>
      </c>
      <c r="I1785" t="s">
        <v>887</v>
      </c>
      <c r="J1785" t="s">
        <v>62</v>
      </c>
      <c r="K1785" t="s">
        <v>85</v>
      </c>
      <c r="L1785" t="s">
        <v>54</v>
      </c>
      <c r="M1785" t="s">
        <v>65</v>
      </c>
      <c r="N1785" t="s">
        <v>36</v>
      </c>
      <c r="O1785">
        <v>75</v>
      </c>
      <c r="P1785">
        <v>75</v>
      </c>
      <c r="Q1785">
        <v>85.1</v>
      </c>
      <c r="R1785">
        <v>1450</v>
      </c>
      <c r="S1785">
        <v>1450</v>
      </c>
      <c r="T1785">
        <v>0</v>
      </c>
      <c r="U1785">
        <v>0</v>
      </c>
      <c r="V1785">
        <v>1</v>
      </c>
      <c r="W1785">
        <v>0</v>
      </c>
      <c r="X1785">
        <v>0.85</v>
      </c>
    </row>
    <row r="1786" spans="1:24" x14ac:dyDescent="0.3">
      <c r="A1786" t="s">
        <v>2528</v>
      </c>
      <c r="B1786" s="1">
        <v>46015</v>
      </c>
      <c r="C1786" t="s">
        <v>25</v>
      </c>
      <c r="D1786" t="s">
        <v>57</v>
      </c>
      <c r="E1786" t="s">
        <v>83</v>
      </c>
      <c r="F1786" t="s">
        <v>28</v>
      </c>
      <c r="G1786" t="s">
        <v>29</v>
      </c>
      <c r="H1786" t="s">
        <v>210</v>
      </c>
      <c r="I1786" t="s">
        <v>412</v>
      </c>
      <c r="J1786" t="s">
        <v>99</v>
      </c>
      <c r="K1786" t="s">
        <v>46</v>
      </c>
      <c r="L1786" t="s">
        <v>78</v>
      </c>
      <c r="M1786" t="s">
        <v>71</v>
      </c>
      <c r="N1786" t="s">
        <v>36</v>
      </c>
      <c r="O1786">
        <v>60</v>
      </c>
      <c r="P1786">
        <v>60</v>
      </c>
      <c r="Q1786">
        <v>75.900000000000006</v>
      </c>
      <c r="R1786">
        <v>1150</v>
      </c>
      <c r="S1786">
        <v>1150</v>
      </c>
      <c r="T1786">
        <v>0</v>
      </c>
      <c r="U1786">
        <v>0</v>
      </c>
      <c r="V1786">
        <v>1</v>
      </c>
      <c r="W1786">
        <v>0</v>
      </c>
      <c r="X1786">
        <v>0.85</v>
      </c>
    </row>
    <row r="1787" spans="1:24" x14ac:dyDescent="0.3">
      <c r="A1787" t="s">
        <v>2529</v>
      </c>
      <c r="B1787" s="1">
        <v>45733</v>
      </c>
      <c r="C1787" t="s">
        <v>56</v>
      </c>
      <c r="D1787" t="s">
        <v>39</v>
      </c>
      <c r="E1787" t="s">
        <v>83</v>
      </c>
      <c r="F1787" t="s">
        <v>28</v>
      </c>
      <c r="G1787" t="s">
        <v>29</v>
      </c>
      <c r="H1787" t="s">
        <v>120</v>
      </c>
      <c r="I1787" t="s">
        <v>988</v>
      </c>
      <c r="J1787" t="s">
        <v>45</v>
      </c>
      <c r="K1787" t="s">
        <v>46</v>
      </c>
      <c r="L1787" t="s">
        <v>34</v>
      </c>
      <c r="M1787" t="s">
        <v>47</v>
      </c>
      <c r="N1787" t="s">
        <v>95</v>
      </c>
      <c r="O1787">
        <v>90</v>
      </c>
      <c r="P1787">
        <v>0</v>
      </c>
      <c r="Q1787">
        <v>104.2</v>
      </c>
      <c r="R1787">
        <v>2150</v>
      </c>
      <c r="S1787">
        <v>0</v>
      </c>
      <c r="T1787">
        <v>2150</v>
      </c>
      <c r="U1787">
        <v>1</v>
      </c>
      <c r="V1787">
        <v>0</v>
      </c>
      <c r="W1787">
        <v>0</v>
      </c>
      <c r="X1787">
        <v>0.85</v>
      </c>
    </row>
    <row r="1788" spans="1:24" x14ac:dyDescent="0.3">
      <c r="A1788" t="s">
        <v>2530</v>
      </c>
      <c r="B1788" s="1">
        <v>46013</v>
      </c>
      <c r="C1788" t="s">
        <v>25</v>
      </c>
      <c r="D1788" t="s">
        <v>39</v>
      </c>
      <c r="E1788" t="s">
        <v>27</v>
      </c>
      <c r="F1788" t="s">
        <v>41</v>
      </c>
      <c r="G1788" t="s">
        <v>42</v>
      </c>
      <c r="H1788" t="s">
        <v>43</v>
      </c>
      <c r="I1788" t="s">
        <v>229</v>
      </c>
      <c r="J1788" t="s">
        <v>62</v>
      </c>
      <c r="K1788" t="s">
        <v>104</v>
      </c>
      <c r="L1788" t="s">
        <v>78</v>
      </c>
      <c r="M1788" t="s">
        <v>35</v>
      </c>
      <c r="N1788" t="s">
        <v>36</v>
      </c>
      <c r="O1788">
        <v>60</v>
      </c>
      <c r="P1788">
        <v>60</v>
      </c>
      <c r="Q1788">
        <v>72.400000000000006</v>
      </c>
      <c r="R1788">
        <v>1250</v>
      </c>
      <c r="S1788">
        <v>1250</v>
      </c>
      <c r="T1788">
        <v>0</v>
      </c>
      <c r="U1788">
        <v>0</v>
      </c>
      <c r="V1788">
        <v>1</v>
      </c>
      <c r="W1788">
        <v>0</v>
      </c>
      <c r="X1788">
        <v>0.85</v>
      </c>
    </row>
    <row r="1789" spans="1:24" x14ac:dyDescent="0.3">
      <c r="A1789" t="s">
        <v>2531</v>
      </c>
      <c r="B1789" s="1">
        <v>45978</v>
      </c>
      <c r="C1789" t="s">
        <v>38</v>
      </c>
      <c r="D1789" t="s">
        <v>39</v>
      </c>
      <c r="E1789" t="s">
        <v>83</v>
      </c>
      <c r="F1789" t="s">
        <v>41</v>
      </c>
      <c r="G1789" t="s">
        <v>42</v>
      </c>
      <c r="H1789" t="s">
        <v>125</v>
      </c>
      <c r="I1789" t="s">
        <v>1826</v>
      </c>
      <c r="J1789" t="s">
        <v>99</v>
      </c>
      <c r="K1789" t="s">
        <v>46</v>
      </c>
      <c r="L1789" t="s">
        <v>64</v>
      </c>
      <c r="M1789" t="s">
        <v>71</v>
      </c>
      <c r="N1789" t="s">
        <v>36</v>
      </c>
      <c r="O1789">
        <v>45</v>
      </c>
      <c r="P1789">
        <v>45</v>
      </c>
      <c r="Q1789">
        <v>58.9</v>
      </c>
      <c r="R1789">
        <v>1000</v>
      </c>
      <c r="S1789">
        <v>1000</v>
      </c>
      <c r="T1789">
        <v>0</v>
      </c>
      <c r="U1789">
        <v>0</v>
      </c>
      <c r="V1789">
        <v>1</v>
      </c>
      <c r="W1789">
        <v>0</v>
      </c>
      <c r="X1789">
        <v>0.85</v>
      </c>
    </row>
    <row r="1790" spans="1:24" x14ac:dyDescent="0.3">
      <c r="A1790" t="s">
        <v>2532</v>
      </c>
      <c r="B1790" s="1">
        <v>45794</v>
      </c>
      <c r="C1790" t="s">
        <v>128</v>
      </c>
      <c r="D1790" t="s">
        <v>88</v>
      </c>
      <c r="E1790" t="s">
        <v>68</v>
      </c>
      <c r="F1790" t="s">
        <v>41</v>
      </c>
      <c r="G1790" t="s">
        <v>42</v>
      </c>
      <c r="H1790" t="s">
        <v>43</v>
      </c>
      <c r="I1790" t="s">
        <v>442</v>
      </c>
      <c r="J1790" t="s">
        <v>53</v>
      </c>
      <c r="K1790" t="s">
        <v>63</v>
      </c>
      <c r="L1790" t="s">
        <v>64</v>
      </c>
      <c r="M1790" t="s">
        <v>47</v>
      </c>
      <c r="N1790" t="s">
        <v>36</v>
      </c>
      <c r="O1790">
        <v>45</v>
      </c>
      <c r="P1790">
        <v>45</v>
      </c>
      <c r="Q1790">
        <v>57.4</v>
      </c>
      <c r="R1790">
        <v>1200</v>
      </c>
      <c r="S1790">
        <v>1200</v>
      </c>
      <c r="T1790">
        <v>0</v>
      </c>
      <c r="U1790">
        <v>0</v>
      </c>
      <c r="V1790">
        <v>1</v>
      </c>
      <c r="W1790">
        <v>0</v>
      </c>
      <c r="X1790">
        <v>0.85</v>
      </c>
    </row>
    <row r="1791" spans="1:24" x14ac:dyDescent="0.3">
      <c r="A1791" t="s">
        <v>2533</v>
      </c>
      <c r="B1791" s="1">
        <v>45807</v>
      </c>
      <c r="C1791" t="s">
        <v>128</v>
      </c>
      <c r="D1791" t="s">
        <v>82</v>
      </c>
      <c r="E1791" t="s">
        <v>68</v>
      </c>
      <c r="F1791" t="s">
        <v>41</v>
      </c>
      <c r="G1791" t="s">
        <v>42</v>
      </c>
      <c r="H1791" t="s">
        <v>111</v>
      </c>
      <c r="I1791" t="s">
        <v>728</v>
      </c>
      <c r="J1791" t="s">
        <v>45</v>
      </c>
      <c r="K1791" t="s">
        <v>63</v>
      </c>
      <c r="L1791" t="s">
        <v>78</v>
      </c>
      <c r="M1791" t="s">
        <v>47</v>
      </c>
      <c r="N1791" t="s">
        <v>36</v>
      </c>
      <c r="O1791">
        <v>75</v>
      </c>
      <c r="P1791">
        <v>75</v>
      </c>
      <c r="Q1791">
        <v>88.8</v>
      </c>
      <c r="R1791">
        <v>1800</v>
      </c>
      <c r="S1791">
        <v>1800</v>
      </c>
      <c r="T1791">
        <v>0</v>
      </c>
      <c r="U1791">
        <v>0</v>
      </c>
      <c r="V1791">
        <v>1</v>
      </c>
      <c r="W1791">
        <v>0</v>
      </c>
      <c r="X1791">
        <v>0.85</v>
      </c>
    </row>
    <row r="1792" spans="1:24" x14ac:dyDescent="0.3">
      <c r="A1792" t="s">
        <v>2534</v>
      </c>
      <c r="B1792" s="1">
        <v>45794</v>
      </c>
      <c r="C1792" t="s">
        <v>128</v>
      </c>
      <c r="D1792" t="s">
        <v>88</v>
      </c>
      <c r="E1792" t="s">
        <v>83</v>
      </c>
      <c r="F1792" t="s">
        <v>41</v>
      </c>
      <c r="G1792" t="s">
        <v>42</v>
      </c>
      <c r="H1792" t="s">
        <v>43</v>
      </c>
      <c r="I1792" t="s">
        <v>2017</v>
      </c>
      <c r="J1792" t="s">
        <v>45</v>
      </c>
      <c r="K1792" t="s">
        <v>46</v>
      </c>
      <c r="L1792" t="s">
        <v>34</v>
      </c>
      <c r="M1792" t="s">
        <v>86</v>
      </c>
      <c r="N1792" t="s">
        <v>36</v>
      </c>
      <c r="O1792">
        <v>60</v>
      </c>
      <c r="P1792">
        <v>60</v>
      </c>
      <c r="Q1792">
        <v>65.900000000000006</v>
      </c>
      <c r="R1792">
        <v>1550</v>
      </c>
      <c r="S1792">
        <v>1550</v>
      </c>
      <c r="T1792">
        <v>0</v>
      </c>
      <c r="U1792">
        <v>0</v>
      </c>
      <c r="V1792">
        <v>1</v>
      </c>
      <c r="W1792">
        <v>0</v>
      </c>
      <c r="X1792">
        <v>0.85</v>
      </c>
    </row>
    <row r="1793" spans="1:24" x14ac:dyDescent="0.3">
      <c r="A1793" t="s">
        <v>2535</v>
      </c>
      <c r="B1793" s="1">
        <v>45862</v>
      </c>
      <c r="C1793" t="s">
        <v>101</v>
      </c>
      <c r="D1793" t="s">
        <v>50</v>
      </c>
      <c r="E1793" t="s">
        <v>27</v>
      </c>
      <c r="F1793" t="s">
        <v>41</v>
      </c>
      <c r="G1793" t="s">
        <v>42</v>
      </c>
      <c r="H1793" t="s">
        <v>43</v>
      </c>
      <c r="I1793" t="s">
        <v>1626</v>
      </c>
      <c r="J1793" t="s">
        <v>53</v>
      </c>
      <c r="K1793" t="s">
        <v>70</v>
      </c>
      <c r="L1793" t="s">
        <v>34</v>
      </c>
      <c r="M1793" t="s">
        <v>86</v>
      </c>
      <c r="N1793" t="s">
        <v>36</v>
      </c>
      <c r="O1793">
        <v>60</v>
      </c>
      <c r="P1793">
        <v>60</v>
      </c>
      <c r="Q1793">
        <v>77.900000000000006</v>
      </c>
      <c r="R1793">
        <v>1600</v>
      </c>
      <c r="S1793">
        <v>1600</v>
      </c>
      <c r="T1793">
        <v>0</v>
      </c>
      <c r="U1793">
        <v>0</v>
      </c>
      <c r="V1793">
        <v>1</v>
      </c>
      <c r="W1793">
        <v>0</v>
      </c>
      <c r="X1793">
        <v>0.85</v>
      </c>
    </row>
    <row r="1794" spans="1:24" x14ac:dyDescent="0.3">
      <c r="A1794" t="s">
        <v>2536</v>
      </c>
      <c r="B1794" s="1">
        <v>45777</v>
      </c>
      <c r="C1794" t="s">
        <v>92</v>
      </c>
      <c r="D1794" t="s">
        <v>57</v>
      </c>
      <c r="E1794" t="s">
        <v>68</v>
      </c>
      <c r="F1794" t="s">
        <v>58</v>
      </c>
      <c r="G1794" t="s">
        <v>59</v>
      </c>
      <c r="H1794" t="s">
        <v>117</v>
      </c>
      <c r="I1794" t="s">
        <v>580</v>
      </c>
      <c r="J1794" t="s">
        <v>99</v>
      </c>
      <c r="K1794" t="s">
        <v>85</v>
      </c>
      <c r="L1794" t="s">
        <v>34</v>
      </c>
      <c r="M1794" t="s">
        <v>65</v>
      </c>
      <c r="N1794" t="s">
        <v>36</v>
      </c>
      <c r="O1794">
        <v>90</v>
      </c>
      <c r="P1794">
        <v>90</v>
      </c>
      <c r="Q1794">
        <v>107.4</v>
      </c>
      <c r="R1794">
        <v>2250</v>
      </c>
      <c r="S1794">
        <v>2250</v>
      </c>
      <c r="T1794">
        <v>0</v>
      </c>
      <c r="U1794">
        <v>0</v>
      </c>
      <c r="V1794">
        <v>1</v>
      </c>
      <c r="W1794">
        <v>0</v>
      </c>
      <c r="X1794">
        <v>0.85</v>
      </c>
    </row>
    <row r="1795" spans="1:24" x14ac:dyDescent="0.3">
      <c r="A1795" t="s">
        <v>2537</v>
      </c>
      <c r="B1795" s="1">
        <v>45748</v>
      </c>
      <c r="C1795" t="s">
        <v>92</v>
      </c>
      <c r="D1795" t="s">
        <v>26</v>
      </c>
      <c r="E1795" t="s">
        <v>68</v>
      </c>
      <c r="F1795" t="s">
        <v>41</v>
      </c>
      <c r="G1795" t="s">
        <v>42</v>
      </c>
      <c r="H1795" t="s">
        <v>111</v>
      </c>
      <c r="I1795" t="s">
        <v>619</v>
      </c>
      <c r="J1795" t="s">
        <v>99</v>
      </c>
      <c r="K1795" t="s">
        <v>104</v>
      </c>
      <c r="L1795" t="s">
        <v>64</v>
      </c>
      <c r="M1795" t="s">
        <v>35</v>
      </c>
      <c r="N1795" t="s">
        <v>36</v>
      </c>
      <c r="O1795">
        <v>45</v>
      </c>
      <c r="P1795">
        <v>45</v>
      </c>
      <c r="Q1795">
        <v>58.1</v>
      </c>
      <c r="R1795">
        <v>1000</v>
      </c>
      <c r="S1795">
        <v>1000</v>
      </c>
      <c r="T1795">
        <v>0</v>
      </c>
      <c r="U1795">
        <v>0</v>
      </c>
      <c r="V1795">
        <v>1</v>
      </c>
      <c r="W1795">
        <v>0</v>
      </c>
      <c r="X1795">
        <v>0.85</v>
      </c>
    </row>
    <row r="1796" spans="1:24" x14ac:dyDescent="0.3">
      <c r="A1796" t="s">
        <v>2538</v>
      </c>
      <c r="B1796" s="1">
        <v>45859</v>
      </c>
      <c r="C1796" t="s">
        <v>101</v>
      </c>
      <c r="D1796" t="s">
        <v>39</v>
      </c>
      <c r="E1796" t="s">
        <v>40</v>
      </c>
      <c r="F1796" t="s">
        <v>28</v>
      </c>
      <c r="G1796" t="s">
        <v>29</v>
      </c>
      <c r="H1796" t="s">
        <v>102</v>
      </c>
      <c r="I1796" t="s">
        <v>184</v>
      </c>
      <c r="J1796" t="s">
        <v>45</v>
      </c>
      <c r="K1796" t="s">
        <v>104</v>
      </c>
      <c r="L1796" t="s">
        <v>78</v>
      </c>
      <c r="M1796" t="s">
        <v>47</v>
      </c>
      <c r="N1796" t="s">
        <v>95</v>
      </c>
      <c r="O1796">
        <v>60</v>
      </c>
      <c r="P1796">
        <v>0</v>
      </c>
      <c r="Q1796">
        <v>73.8</v>
      </c>
      <c r="R1796">
        <v>1300</v>
      </c>
      <c r="S1796">
        <v>0</v>
      </c>
      <c r="T1796">
        <v>1300</v>
      </c>
      <c r="U1796">
        <v>1</v>
      </c>
      <c r="V1796">
        <v>0</v>
      </c>
      <c r="W1796">
        <v>0</v>
      </c>
      <c r="X1796">
        <v>0.85</v>
      </c>
    </row>
    <row r="1797" spans="1:24" x14ac:dyDescent="0.3">
      <c r="A1797" t="s">
        <v>2539</v>
      </c>
      <c r="B1797" s="1">
        <v>45861</v>
      </c>
      <c r="C1797" t="s">
        <v>101</v>
      </c>
      <c r="D1797" t="s">
        <v>57</v>
      </c>
      <c r="E1797" t="s">
        <v>40</v>
      </c>
      <c r="F1797" t="s">
        <v>28</v>
      </c>
      <c r="G1797" t="s">
        <v>29</v>
      </c>
      <c r="H1797" t="s">
        <v>210</v>
      </c>
      <c r="I1797" t="s">
        <v>1688</v>
      </c>
      <c r="J1797" t="s">
        <v>53</v>
      </c>
      <c r="K1797" t="s">
        <v>46</v>
      </c>
      <c r="L1797" t="s">
        <v>34</v>
      </c>
      <c r="M1797" t="s">
        <v>65</v>
      </c>
      <c r="N1797" t="s">
        <v>36</v>
      </c>
      <c r="O1797">
        <v>45</v>
      </c>
      <c r="P1797">
        <v>45</v>
      </c>
      <c r="Q1797">
        <v>49.6</v>
      </c>
      <c r="R1797">
        <v>1100</v>
      </c>
      <c r="S1797">
        <v>1100</v>
      </c>
      <c r="T1797">
        <v>0</v>
      </c>
      <c r="U1797">
        <v>0</v>
      </c>
      <c r="V1797">
        <v>1</v>
      </c>
      <c r="W1797">
        <v>0</v>
      </c>
      <c r="X1797">
        <v>0.85</v>
      </c>
    </row>
    <row r="1798" spans="1:24" x14ac:dyDescent="0.3">
      <c r="A1798" t="s">
        <v>2540</v>
      </c>
      <c r="B1798" s="1">
        <v>45834</v>
      </c>
      <c r="C1798" t="s">
        <v>67</v>
      </c>
      <c r="D1798" t="s">
        <v>50</v>
      </c>
      <c r="E1798" t="s">
        <v>83</v>
      </c>
      <c r="F1798" t="s">
        <v>28</v>
      </c>
      <c r="G1798" t="s">
        <v>29</v>
      </c>
      <c r="H1798" t="s">
        <v>210</v>
      </c>
      <c r="I1798" t="s">
        <v>103</v>
      </c>
      <c r="J1798" t="s">
        <v>137</v>
      </c>
      <c r="K1798" t="s">
        <v>70</v>
      </c>
      <c r="L1798" t="s">
        <v>54</v>
      </c>
      <c r="M1798" t="s">
        <v>47</v>
      </c>
      <c r="N1798" t="s">
        <v>36</v>
      </c>
      <c r="O1798">
        <v>45</v>
      </c>
      <c r="P1798">
        <v>45</v>
      </c>
      <c r="Q1798">
        <v>49.4</v>
      </c>
      <c r="R1798">
        <v>800</v>
      </c>
      <c r="S1798">
        <v>800</v>
      </c>
      <c r="T1798">
        <v>0</v>
      </c>
      <c r="U1798">
        <v>0</v>
      </c>
      <c r="V1798">
        <v>1</v>
      </c>
      <c r="W1798">
        <v>0</v>
      </c>
      <c r="X1798">
        <v>0.85</v>
      </c>
    </row>
    <row r="1799" spans="1:24" x14ac:dyDescent="0.3">
      <c r="A1799" t="s">
        <v>2541</v>
      </c>
      <c r="B1799" s="1">
        <v>45959</v>
      </c>
      <c r="C1799" t="s">
        <v>97</v>
      </c>
      <c r="D1799" t="s">
        <v>57</v>
      </c>
      <c r="E1799" t="s">
        <v>40</v>
      </c>
      <c r="F1799" t="s">
        <v>58</v>
      </c>
      <c r="G1799" t="s">
        <v>59</v>
      </c>
      <c r="H1799" t="s">
        <v>296</v>
      </c>
      <c r="I1799" t="s">
        <v>1796</v>
      </c>
      <c r="J1799" t="s">
        <v>53</v>
      </c>
      <c r="K1799" t="s">
        <v>85</v>
      </c>
      <c r="L1799" t="s">
        <v>64</v>
      </c>
      <c r="M1799" t="s">
        <v>65</v>
      </c>
      <c r="N1799" t="s">
        <v>36</v>
      </c>
      <c r="O1799">
        <v>60</v>
      </c>
      <c r="P1799">
        <v>60</v>
      </c>
      <c r="Q1799">
        <v>80.8</v>
      </c>
      <c r="R1799">
        <v>1800</v>
      </c>
      <c r="S1799">
        <v>1800</v>
      </c>
      <c r="T1799">
        <v>0</v>
      </c>
      <c r="U1799">
        <v>0</v>
      </c>
      <c r="V1799">
        <v>1</v>
      </c>
      <c r="W1799">
        <v>0</v>
      </c>
      <c r="X1799">
        <v>0.85</v>
      </c>
    </row>
    <row r="1800" spans="1:24" x14ac:dyDescent="0.3">
      <c r="A1800" t="s">
        <v>2542</v>
      </c>
      <c r="B1800" s="1">
        <v>45999</v>
      </c>
      <c r="C1800" t="s">
        <v>25</v>
      </c>
      <c r="D1800" t="s">
        <v>39</v>
      </c>
      <c r="E1800" t="s">
        <v>83</v>
      </c>
      <c r="F1800" t="s">
        <v>28</v>
      </c>
      <c r="G1800" t="s">
        <v>29</v>
      </c>
      <c r="H1800" t="s">
        <v>210</v>
      </c>
      <c r="I1800" t="s">
        <v>754</v>
      </c>
      <c r="J1800" t="s">
        <v>62</v>
      </c>
      <c r="K1800" t="s">
        <v>70</v>
      </c>
      <c r="L1800" t="s">
        <v>54</v>
      </c>
      <c r="M1800" t="s">
        <v>94</v>
      </c>
      <c r="N1800" t="s">
        <v>36</v>
      </c>
      <c r="O1800">
        <v>60</v>
      </c>
      <c r="P1800">
        <v>60</v>
      </c>
      <c r="Q1800">
        <v>75</v>
      </c>
      <c r="R1800">
        <v>1050</v>
      </c>
      <c r="S1800">
        <v>1050</v>
      </c>
      <c r="T1800">
        <v>0</v>
      </c>
      <c r="U1800">
        <v>0</v>
      </c>
      <c r="V1800">
        <v>1</v>
      </c>
      <c r="W1800">
        <v>0</v>
      </c>
      <c r="X1800">
        <v>0.85</v>
      </c>
    </row>
    <row r="1801" spans="1:24" x14ac:dyDescent="0.3">
      <c r="A1801" t="s">
        <v>2543</v>
      </c>
      <c r="B1801" s="1">
        <v>45722</v>
      </c>
      <c r="C1801" t="s">
        <v>56</v>
      </c>
      <c r="D1801" t="s">
        <v>50</v>
      </c>
      <c r="E1801" t="s">
        <v>83</v>
      </c>
      <c r="F1801" t="s">
        <v>58</v>
      </c>
      <c r="G1801" t="s">
        <v>59</v>
      </c>
      <c r="H1801" t="s">
        <v>60</v>
      </c>
      <c r="I1801" t="s">
        <v>726</v>
      </c>
      <c r="J1801" t="s">
        <v>32</v>
      </c>
      <c r="K1801" t="s">
        <v>104</v>
      </c>
      <c r="L1801" t="s">
        <v>34</v>
      </c>
      <c r="M1801" t="s">
        <v>65</v>
      </c>
      <c r="N1801" t="s">
        <v>36</v>
      </c>
      <c r="O1801">
        <v>30</v>
      </c>
      <c r="P1801">
        <v>30</v>
      </c>
      <c r="Q1801">
        <v>34.4</v>
      </c>
      <c r="R1801">
        <v>750</v>
      </c>
      <c r="S1801">
        <v>750</v>
      </c>
      <c r="T1801">
        <v>0</v>
      </c>
      <c r="U1801">
        <v>0</v>
      </c>
      <c r="V1801">
        <v>1</v>
      </c>
      <c r="W1801">
        <v>0</v>
      </c>
      <c r="X1801">
        <v>0.85</v>
      </c>
    </row>
    <row r="1802" spans="1:24" x14ac:dyDescent="0.3">
      <c r="A1802" t="s">
        <v>2544</v>
      </c>
      <c r="B1802" s="1">
        <v>45941</v>
      </c>
      <c r="C1802" t="s">
        <v>97</v>
      </c>
      <c r="D1802" t="s">
        <v>88</v>
      </c>
      <c r="E1802" t="s">
        <v>68</v>
      </c>
      <c r="F1802" t="s">
        <v>41</v>
      </c>
      <c r="G1802" t="s">
        <v>42</v>
      </c>
      <c r="H1802" t="s">
        <v>51</v>
      </c>
      <c r="I1802" t="s">
        <v>464</v>
      </c>
      <c r="J1802" t="s">
        <v>62</v>
      </c>
      <c r="K1802" t="s">
        <v>33</v>
      </c>
      <c r="L1802" t="s">
        <v>34</v>
      </c>
      <c r="M1802" t="s">
        <v>94</v>
      </c>
      <c r="N1802" t="s">
        <v>36</v>
      </c>
      <c r="O1802">
        <v>60</v>
      </c>
      <c r="P1802">
        <v>60</v>
      </c>
      <c r="Q1802">
        <v>67.099999999999994</v>
      </c>
      <c r="R1802">
        <v>1350</v>
      </c>
      <c r="S1802">
        <v>1350</v>
      </c>
      <c r="T1802">
        <v>0</v>
      </c>
      <c r="U1802">
        <v>0</v>
      </c>
      <c r="V1802">
        <v>1</v>
      </c>
      <c r="W1802">
        <v>0</v>
      </c>
      <c r="X1802">
        <v>0.85</v>
      </c>
    </row>
    <row r="1803" spans="1:24" x14ac:dyDescent="0.3">
      <c r="A1803" t="s">
        <v>2545</v>
      </c>
      <c r="B1803" s="1">
        <v>45864</v>
      </c>
      <c r="C1803" t="s">
        <v>101</v>
      </c>
      <c r="D1803" t="s">
        <v>88</v>
      </c>
      <c r="E1803" t="s">
        <v>83</v>
      </c>
      <c r="F1803" t="s">
        <v>28</v>
      </c>
      <c r="G1803" t="s">
        <v>29</v>
      </c>
      <c r="H1803" t="s">
        <v>120</v>
      </c>
      <c r="I1803" t="s">
        <v>424</v>
      </c>
      <c r="J1803" t="s">
        <v>45</v>
      </c>
      <c r="K1803" t="s">
        <v>46</v>
      </c>
      <c r="L1803" t="s">
        <v>34</v>
      </c>
      <c r="M1803" t="s">
        <v>35</v>
      </c>
      <c r="N1803" t="s">
        <v>36</v>
      </c>
      <c r="O1803">
        <v>60</v>
      </c>
      <c r="P1803">
        <v>60</v>
      </c>
      <c r="Q1803">
        <v>68.2</v>
      </c>
      <c r="R1803">
        <v>1450</v>
      </c>
      <c r="S1803">
        <v>1450</v>
      </c>
      <c r="T1803">
        <v>0</v>
      </c>
      <c r="U1803">
        <v>0</v>
      </c>
      <c r="V1803">
        <v>1</v>
      </c>
      <c r="W1803">
        <v>0</v>
      </c>
      <c r="X1803">
        <v>0.85</v>
      </c>
    </row>
    <row r="1804" spans="1:24" x14ac:dyDescent="0.3">
      <c r="A1804" t="s">
        <v>2546</v>
      </c>
      <c r="B1804" s="1">
        <v>45799</v>
      </c>
      <c r="C1804" t="s">
        <v>128</v>
      </c>
      <c r="D1804" t="s">
        <v>50</v>
      </c>
      <c r="E1804" t="s">
        <v>27</v>
      </c>
      <c r="F1804" t="s">
        <v>41</v>
      </c>
      <c r="G1804" t="s">
        <v>42</v>
      </c>
      <c r="H1804" t="s">
        <v>43</v>
      </c>
      <c r="I1804" t="s">
        <v>292</v>
      </c>
      <c r="J1804" t="s">
        <v>53</v>
      </c>
      <c r="K1804" t="s">
        <v>33</v>
      </c>
      <c r="L1804" t="s">
        <v>54</v>
      </c>
      <c r="M1804" t="s">
        <v>94</v>
      </c>
      <c r="N1804" t="s">
        <v>95</v>
      </c>
      <c r="O1804">
        <v>60</v>
      </c>
      <c r="P1804">
        <v>0</v>
      </c>
      <c r="Q1804">
        <v>70.099999999999994</v>
      </c>
      <c r="R1804">
        <v>1400</v>
      </c>
      <c r="S1804">
        <v>0</v>
      </c>
      <c r="T1804">
        <v>1400</v>
      </c>
      <c r="U1804">
        <v>1</v>
      </c>
      <c r="V1804">
        <v>0</v>
      </c>
      <c r="W1804">
        <v>0</v>
      </c>
      <c r="X1804">
        <v>0.85</v>
      </c>
    </row>
    <row r="1805" spans="1:24" x14ac:dyDescent="0.3">
      <c r="A1805" t="s">
        <v>2547</v>
      </c>
      <c r="B1805" s="1">
        <v>45901</v>
      </c>
      <c r="C1805" t="s">
        <v>49</v>
      </c>
      <c r="D1805" t="s">
        <v>39</v>
      </c>
      <c r="E1805" t="s">
        <v>83</v>
      </c>
      <c r="F1805" t="s">
        <v>58</v>
      </c>
      <c r="G1805" t="s">
        <v>59</v>
      </c>
      <c r="H1805" t="s">
        <v>296</v>
      </c>
      <c r="I1805" t="s">
        <v>622</v>
      </c>
      <c r="J1805" t="s">
        <v>32</v>
      </c>
      <c r="K1805" t="s">
        <v>85</v>
      </c>
      <c r="L1805" t="s">
        <v>54</v>
      </c>
      <c r="M1805" t="s">
        <v>47</v>
      </c>
      <c r="N1805" t="s">
        <v>36</v>
      </c>
      <c r="O1805">
        <v>45</v>
      </c>
      <c r="P1805">
        <v>45</v>
      </c>
      <c r="Q1805">
        <v>59.2</v>
      </c>
      <c r="R1805">
        <v>950</v>
      </c>
      <c r="S1805">
        <v>950</v>
      </c>
      <c r="T1805">
        <v>0</v>
      </c>
      <c r="U1805">
        <v>0</v>
      </c>
      <c r="V1805">
        <v>1</v>
      </c>
      <c r="W1805">
        <v>0</v>
      </c>
      <c r="X1805">
        <v>0.85</v>
      </c>
    </row>
    <row r="1806" spans="1:24" x14ac:dyDescent="0.3">
      <c r="A1806" t="s">
        <v>2548</v>
      </c>
      <c r="B1806" s="1">
        <v>45824</v>
      </c>
      <c r="C1806" t="s">
        <v>67</v>
      </c>
      <c r="D1806" t="s">
        <v>39</v>
      </c>
      <c r="E1806" t="s">
        <v>40</v>
      </c>
      <c r="F1806" t="s">
        <v>41</v>
      </c>
      <c r="G1806" t="s">
        <v>42</v>
      </c>
      <c r="H1806" t="s">
        <v>125</v>
      </c>
      <c r="I1806" t="s">
        <v>184</v>
      </c>
      <c r="J1806" t="s">
        <v>45</v>
      </c>
      <c r="K1806" t="s">
        <v>85</v>
      </c>
      <c r="L1806" t="s">
        <v>78</v>
      </c>
      <c r="M1806" t="s">
        <v>94</v>
      </c>
      <c r="N1806" t="s">
        <v>36</v>
      </c>
      <c r="O1806">
        <v>60</v>
      </c>
      <c r="P1806">
        <v>60</v>
      </c>
      <c r="Q1806">
        <v>76.400000000000006</v>
      </c>
      <c r="R1806">
        <v>1450</v>
      </c>
      <c r="S1806">
        <v>1450</v>
      </c>
      <c r="T1806">
        <v>0</v>
      </c>
      <c r="U1806">
        <v>0</v>
      </c>
      <c r="V1806">
        <v>1</v>
      </c>
      <c r="W1806">
        <v>0</v>
      </c>
      <c r="X1806">
        <v>0.85</v>
      </c>
    </row>
    <row r="1807" spans="1:24" x14ac:dyDescent="0.3">
      <c r="A1807" t="s">
        <v>2549</v>
      </c>
      <c r="B1807" s="1">
        <v>45784</v>
      </c>
      <c r="C1807" t="s">
        <v>128</v>
      </c>
      <c r="D1807" t="s">
        <v>57</v>
      </c>
      <c r="E1807" t="s">
        <v>68</v>
      </c>
      <c r="F1807" t="s">
        <v>41</v>
      </c>
      <c r="G1807" t="s">
        <v>42</v>
      </c>
      <c r="H1807" t="s">
        <v>51</v>
      </c>
      <c r="I1807" t="s">
        <v>1355</v>
      </c>
      <c r="J1807" t="s">
        <v>62</v>
      </c>
      <c r="K1807" t="s">
        <v>104</v>
      </c>
      <c r="L1807" t="s">
        <v>34</v>
      </c>
      <c r="M1807" t="s">
        <v>65</v>
      </c>
      <c r="N1807" t="s">
        <v>36</v>
      </c>
      <c r="O1807">
        <v>60</v>
      </c>
      <c r="P1807">
        <v>60</v>
      </c>
      <c r="Q1807">
        <v>75.8</v>
      </c>
      <c r="R1807">
        <v>1350</v>
      </c>
      <c r="S1807">
        <v>1350</v>
      </c>
      <c r="T1807">
        <v>0</v>
      </c>
      <c r="U1807">
        <v>0</v>
      </c>
      <c r="V1807">
        <v>1</v>
      </c>
      <c r="W1807">
        <v>0</v>
      </c>
      <c r="X1807">
        <v>0.85</v>
      </c>
    </row>
    <row r="1808" spans="1:24" x14ac:dyDescent="0.3">
      <c r="A1808" t="s">
        <v>2550</v>
      </c>
      <c r="B1808" s="1">
        <v>45743</v>
      </c>
      <c r="C1808" t="s">
        <v>56</v>
      </c>
      <c r="D1808" t="s">
        <v>50</v>
      </c>
      <c r="E1808" t="s">
        <v>68</v>
      </c>
      <c r="F1808" t="s">
        <v>58</v>
      </c>
      <c r="G1808" t="s">
        <v>59</v>
      </c>
      <c r="H1808" t="s">
        <v>117</v>
      </c>
      <c r="I1808" t="s">
        <v>2110</v>
      </c>
      <c r="J1808" t="s">
        <v>53</v>
      </c>
      <c r="K1808" t="s">
        <v>33</v>
      </c>
      <c r="L1808" t="s">
        <v>34</v>
      </c>
      <c r="M1808" t="s">
        <v>86</v>
      </c>
      <c r="N1808" t="s">
        <v>36</v>
      </c>
      <c r="O1808">
        <v>45</v>
      </c>
      <c r="P1808">
        <v>45</v>
      </c>
      <c r="Q1808">
        <v>52.5</v>
      </c>
      <c r="R1808">
        <v>1350</v>
      </c>
      <c r="S1808">
        <v>1350</v>
      </c>
      <c r="T1808">
        <v>0</v>
      </c>
      <c r="U1808">
        <v>0</v>
      </c>
      <c r="V1808">
        <v>1</v>
      </c>
      <c r="W1808">
        <v>0</v>
      </c>
      <c r="X1808">
        <v>0.85</v>
      </c>
    </row>
    <row r="1809" spans="1:24" x14ac:dyDescent="0.3">
      <c r="A1809" t="s">
        <v>2551</v>
      </c>
      <c r="B1809" s="1">
        <v>45849</v>
      </c>
      <c r="C1809" t="s">
        <v>101</v>
      </c>
      <c r="D1809" t="s">
        <v>82</v>
      </c>
      <c r="E1809" t="s">
        <v>27</v>
      </c>
      <c r="F1809" t="s">
        <v>28</v>
      </c>
      <c r="G1809" t="s">
        <v>29</v>
      </c>
      <c r="H1809" t="s">
        <v>210</v>
      </c>
      <c r="I1809" t="s">
        <v>1441</v>
      </c>
      <c r="J1809" t="s">
        <v>62</v>
      </c>
      <c r="K1809" t="s">
        <v>63</v>
      </c>
      <c r="L1809" t="s">
        <v>34</v>
      </c>
      <c r="M1809" t="s">
        <v>86</v>
      </c>
      <c r="N1809" t="s">
        <v>36</v>
      </c>
      <c r="O1809">
        <v>60</v>
      </c>
      <c r="P1809">
        <v>60</v>
      </c>
      <c r="Q1809">
        <v>78</v>
      </c>
      <c r="R1809">
        <v>1250</v>
      </c>
      <c r="S1809">
        <v>1250</v>
      </c>
      <c r="T1809">
        <v>0</v>
      </c>
      <c r="U1809">
        <v>0</v>
      </c>
      <c r="V1809">
        <v>1</v>
      </c>
      <c r="W1809">
        <v>0</v>
      </c>
      <c r="X1809">
        <v>0.85</v>
      </c>
    </row>
    <row r="1810" spans="1:24" x14ac:dyDescent="0.3">
      <c r="A1810" t="s">
        <v>2552</v>
      </c>
      <c r="B1810" s="1">
        <v>45894</v>
      </c>
      <c r="C1810" t="s">
        <v>110</v>
      </c>
      <c r="D1810" t="s">
        <v>39</v>
      </c>
      <c r="E1810" t="s">
        <v>27</v>
      </c>
      <c r="F1810" t="s">
        <v>41</v>
      </c>
      <c r="G1810" t="s">
        <v>42</v>
      </c>
      <c r="H1810" t="s">
        <v>125</v>
      </c>
      <c r="I1810" t="s">
        <v>2101</v>
      </c>
      <c r="J1810" t="s">
        <v>45</v>
      </c>
      <c r="K1810" t="s">
        <v>46</v>
      </c>
      <c r="L1810" t="s">
        <v>78</v>
      </c>
      <c r="M1810" t="s">
        <v>94</v>
      </c>
      <c r="N1810" t="s">
        <v>36</v>
      </c>
      <c r="O1810">
        <v>60</v>
      </c>
      <c r="P1810">
        <v>60</v>
      </c>
      <c r="Q1810">
        <v>74.7</v>
      </c>
      <c r="R1810">
        <v>1450</v>
      </c>
      <c r="S1810">
        <v>1450</v>
      </c>
      <c r="T1810">
        <v>0</v>
      </c>
      <c r="U1810">
        <v>0</v>
      </c>
      <c r="V1810">
        <v>1</v>
      </c>
      <c r="W1810">
        <v>0</v>
      </c>
      <c r="X1810">
        <v>0.85</v>
      </c>
    </row>
    <row r="1811" spans="1:24" x14ac:dyDescent="0.3">
      <c r="A1811" t="s">
        <v>2553</v>
      </c>
      <c r="B1811" s="1">
        <v>45894</v>
      </c>
      <c r="C1811" t="s">
        <v>110</v>
      </c>
      <c r="D1811" t="s">
        <v>39</v>
      </c>
      <c r="E1811" t="s">
        <v>27</v>
      </c>
      <c r="F1811" t="s">
        <v>58</v>
      </c>
      <c r="G1811" t="s">
        <v>59</v>
      </c>
      <c r="H1811" t="s">
        <v>117</v>
      </c>
      <c r="I1811" t="s">
        <v>1535</v>
      </c>
      <c r="J1811" t="s">
        <v>32</v>
      </c>
      <c r="K1811" t="s">
        <v>70</v>
      </c>
      <c r="L1811" t="s">
        <v>64</v>
      </c>
      <c r="M1811" t="s">
        <v>35</v>
      </c>
      <c r="N1811" t="s">
        <v>36</v>
      </c>
      <c r="O1811">
        <v>45</v>
      </c>
      <c r="P1811">
        <v>45</v>
      </c>
      <c r="Q1811">
        <v>52.9</v>
      </c>
      <c r="R1811">
        <v>1100</v>
      </c>
      <c r="S1811">
        <v>1100</v>
      </c>
      <c r="T1811">
        <v>0</v>
      </c>
      <c r="U1811">
        <v>0</v>
      </c>
      <c r="V1811">
        <v>1</v>
      </c>
      <c r="W1811">
        <v>0</v>
      </c>
      <c r="X1811">
        <v>0.85</v>
      </c>
    </row>
    <row r="1812" spans="1:24" x14ac:dyDescent="0.3">
      <c r="A1812" t="s">
        <v>2554</v>
      </c>
      <c r="B1812" s="1">
        <v>46004</v>
      </c>
      <c r="C1812" t="s">
        <v>25</v>
      </c>
      <c r="D1812" t="s">
        <v>88</v>
      </c>
      <c r="E1812" t="s">
        <v>68</v>
      </c>
      <c r="F1812" t="s">
        <v>28</v>
      </c>
      <c r="G1812" t="s">
        <v>29</v>
      </c>
      <c r="H1812" t="s">
        <v>102</v>
      </c>
      <c r="I1812" t="s">
        <v>513</v>
      </c>
      <c r="J1812" t="s">
        <v>45</v>
      </c>
      <c r="K1812" t="s">
        <v>85</v>
      </c>
      <c r="L1812" t="s">
        <v>34</v>
      </c>
      <c r="M1812" t="s">
        <v>86</v>
      </c>
      <c r="N1812" t="s">
        <v>95</v>
      </c>
      <c r="O1812">
        <v>60</v>
      </c>
      <c r="P1812">
        <v>0</v>
      </c>
      <c r="Q1812">
        <v>68.400000000000006</v>
      </c>
      <c r="R1812">
        <v>1450</v>
      </c>
      <c r="S1812">
        <v>0</v>
      </c>
      <c r="T1812">
        <v>1450</v>
      </c>
      <c r="U1812">
        <v>1</v>
      </c>
      <c r="V1812">
        <v>0</v>
      </c>
      <c r="W1812">
        <v>0</v>
      </c>
      <c r="X1812">
        <v>0.85</v>
      </c>
    </row>
    <row r="1813" spans="1:24" x14ac:dyDescent="0.3">
      <c r="A1813" t="s">
        <v>2555</v>
      </c>
      <c r="B1813" s="1">
        <v>45754</v>
      </c>
      <c r="C1813" t="s">
        <v>92</v>
      </c>
      <c r="D1813" t="s">
        <v>39</v>
      </c>
      <c r="E1813" t="s">
        <v>27</v>
      </c>
      <c r="F1813" t="s">
        <v>41</v>
      </c>
      <c r="G1813" t="s">
        <v>42</v>
      </c>
      <c r="H1813" t="s">
        <v>125</v>
      </c>
      <c r="I1813" t="s">
        <v>184</v>
      </c>
      <c r="J1813" t="s">
        <v>99</v>
      </c>
      <c r="K1813" t="s">
        <v>63</v>
      </c>
      <c r="L1813" t="s">
        <v>64</v>
      </c>
      <c r="M1813" t="s">
        <v>94</v>
      </c>
      <c r="N1813" t="s">
        <v>36</v>
      </c>
      <c r="O1813">
        <v>60</v>
      </c>
      <c r="P1813">
        <v>60</v>
      </c>
      <c r="Q1813">
        <v>69.400000000000006</v>
      </c>
      <c r="R1813">
        <v>1350</v>
      </c>
      <c r="S1813">
        <v>1350</v>
      </c>
      <c r="T1813">
        <v>0</v>
      </c>
      <c r="U1813">
        <v>0</v>
      </c>
      <c r="V1813">
        <v>1</v>
      </c>
      <c r="W1813">
        <v>0</v>
      </c>
      <c r="X1813">
        <v>0.85</v>
      </c>
    </row>
    <row r="1814" spans="1:24" x14ac:dyDescent="0.3">
      <c r="A1814" t="s">
        <v>2556</v>
      </c>
      <c r="B1814" s="1">
        <v>45953</v>
      </c>
      <c r="C1814" t="s">
        <v>97</v>
      </c>
      <c r="D1814" t="s">
        <v>50</v>
      </c>
      <c r="E1814" t="s">
        <v>40</v>
      </c>
      <c r="F1814" t="s">
        <v>28</v>
      </c>
      <c r="G1814" t="s">
        <v>29</v>
      </c>
      <c r="H1814" t="s">
        <v>102</v>
      </c>
      <c r="I1814" t="s">
        <v>166</v>
      </c>
      <c r="J1814" t="s">
        <v>62</v>
      </c>
      <c r="K1814" t="s">
        <v>104</v>
      </c>
      <c r="L1814" t="s">
        <v>54</v>
      </c>
      <c r="M1814" t="s">
        <v>65</v>
      </c>
      <c r="N1814" t="s">
        <v>36</v>
      </c>
      <c r="O1814">
        <v>30</v>
      </c>
      <c r="P1814">
        <v>30</v>
      </c>
      <c r="Q1814">
        <v>38.700000000000003</v>
      </c>
      <c r="R1814">
        <v>550</v>
      </c>
      <c r="S1814">
        <v>550</v>
      </c>
      <c r="T1814">
        <v>0</v>
      </c>
      <c r="U1814">
        <v>0</v>
      </c>
      <c r="V1814">
        <v>1</v>
      </c>
      <c r="W1814">
        <v>0</v>
      </c>
      <c r="X1814">
        <v>0.85</v>
      </c>
    </row>
    <row r="1815" spans="1:24" x14ac:dyDescent="0.3">
      <c r="A1815" t="s">
        <v>2557</v>
      </c>
      <c r="B1815" s="1">
        <v>45704</v>
      </c>
      <c r="C1815" t="s">
        <v>76</v>
      </c>
      <c r="D1815" t="s">
        <v>287</v>
      </c>
      <c r="E1815" t="s">
        <v>83</v>
      </c>
      <c r="F1815" t="s">
        <v>28</v>
      </c>
      <c r="G1815" t="s">
        <v>29</v>
      </c>
      <c r="H1815" t="s">
        <v>135</v>
      </c>
      <c r="I1815" t="s">
        <v>754</v>
      </c>
      <c r="J1815" t="s">
        <v>53</v>
      </c>
      <c r="K1815" t="s">
        <v>63</v>
      </c>
      <c r="L1815" t="s">
        <v>64</v>
      </c>
      <c r="M1815" t="s">
        <v>94</v>
      </c>
      <c r="N1815" t="s">
        <v>95</v>
      </c>
      <c r="O1815">
        <v>90</v>
      </c>
      <c r="P1815">
        <v>0</v>
      </c>
      <c r="Q1815">
        <v>99.9</v>
      </c>
      <c r="R1815">
        <v>2250</v>
      </c>
      <c r="S1815">
        <v>0</v>
      </c>
      <c r="T1815">
        <v>2250</v>
      </c>
      <c r="U1815">
        <v>1</v>
      </c>
      <c r="V1815">
        <v>0</v>
      </c>
      <c r="W1815">
        <v>0</v>
      </c>
      <c r="X1815">
        <v>0.85</v>
      </c>
    </row>
    <row r="1816" spans="1:24" x14ac:dyDescent="0.3">
      <c r="A1816" t="s">
        <v>2558</v>
      </c>
      <c r="B1816" s="1">
        <v>45864</v>
      </c>
      <c r="C1816" t="s">
        <v>101</v>
      </c>
      <c r="D1816" t="s">
        <v>88</v>
      </c>
      <c r="E1816" t="s">
        <v>40</v>
      </c>
      <c r="F1816" t="s">
        <v>28</v>
      </c>
      <c r="G1816" t="s">
        <v>29</v>
      </c>
      <c r="H1816" t="s">
        <v>135</v>
      </c>
      <c r="I1816" t="s">
        <v>1147</v>
      </c>
      <c r="J1816" t="s">
        <v>32</v>
      </c>
      <c r="K1816" t="s">
        <v>70</v>
      </c>
      <c r="L1816" t="s">
        <v>54</v>
      </c>
      <c r="M1816" t="s">
        <v>47</v>
      </c>
      <c r="N1816" t="s">
        <v>36</v>
      </c>
      <c r="O1816">
        <v>60</v>
      </c>
      <c r="P1816">
        <v>60</v>
      </c>
      <c r="Q1816">
        <v>71.7</v>
      </c>
      <c r="R1816">
        <v>1050</v>
      </c>
      <c r="S1816">
        <v>1050</v>
      </c>
      <c r="T1816">
        <v>0</v>
      </c>
      <c r="U1816">
        <v>0</v>
      </c>
      <c r="V1816">
        <v>1</v>
      </c>
      <c r="W1816">
        <v>0</v>
      </c>
      <c r="X1816">
        <v>0.85</v>
      </c>
    </row>
    <row r="1817" spans="1:24" x14ac:dyDescent="0.3">
      <c r="A1817" t="s">
        <v>2559</v>
      </c>
      <c r="B1817" s="1">
        <v>46012</v>
      </c>
      <c r="C1817" t="s">
        <v>25</v>
      </c>
      <c r="D1817" t="s">
        <v>287</v>
      </c>
      <c r="E1817" t="s">
        <v>68</v>
      </c>
      <c r="F1817" t="s">
        <v>28</v>
      </c>
      <c r="G1817" t="s">
        <v>29</v>
      </c>
      <c r="H1817" t="s">
        <v>30</v>
      </c>
      <c r="I1817" t="s">
        <v>2214</v>
      </c>
      <c r="J1817" t="s">
        <v>45</v>
      </c>
      <c r="K1817" t="s">
        <v>104</v>
      </c>
      <c r="L1817" t="s">
        <v>78</v>
      </c>
      <c r="M1817" t="s">
        <v>47</v>
      </c>
      <c r="N1817" t="s">
        <v>36</v>
      </c>
      <c r="O1817">
        <v>30</v>
      </c>
      <c r="P1817">
        <v>30</v>
      </c>
      <c r="Q1817">
        <v>39.700000000000003</v>
      </c>
      <c r="R1817">
        <v>650</v>
      </c>
      <c r="S1817">
        <v>650</v>
      </c>
      <c r="T1817">
        <v>0</v>
      </c>
      <c r="U1817">
        <v>0</v>
      </c>
      <c r="V1817">
        <v>1</v>
      </c>
      <c r="W1817">
        <v>0</v>
      </c>
      <c r="X1817">
        <v>0.85</v>
      </c>
    </row>
    <row r="1818" spans="1:24" x14ac:dyDescent="0.3">
      <c r="A1818" t="s">
        <v>2560</v>
      </c>
      <c r="B1818" s="1">
        <v>45674</v>
      </c>
      <c r="C1818" t="s">
        <v>130</v>
      </c>
      <c r="D1818" t="s">
        <v>82</v>
      </c>
      <c r="E1818" t="s">
        <v>83</v>
      </c>
      <c r="F1818" t="s">
        <v>58</v>
      </c>
      <c r="G1818" t="s">
        <v>59</v>
      </c>
      <c r="H1818" t="s">
        <v>73</v>
      </c>
      <c r="I1818" t="s">
        <v>2352</v>
      </c>
      <c r="J1818" t="s">
        <v>45</v>
      </c>
      <c r="K1818" t="s">
        <v>33</v>
      </c>
      <c r="L1818" t="s">
        <v>64</v>
      </c>
      <c r="M1818" t="s">
        <v>94</v>
      </c>
      <c r="N1818" t="s">
        <v>36</v>
      </c>
      <c r="O1818">
        <v>60</v>
      </c>
      <c r="P1818">
        <v>60</v>
      </c>
      <c r="Q1818">
        <v>67.8</v>
      </c>
      <c r="R1818">
        <v>1700</v>
      </c>
      <c r="S1818">
        <v>1700</v>
      </c>
      <c r="T1818">
        <v>0</v>
      </c>
      <c r="U1818">
        <v>0</v>
      </c>
      <c r="V1818">
        <v>1</v>
      </c>
      <c r="W1818">
        <v>0</v>
      </c>
      <c r="X1818">
        <v>0.85</v>
      </c>
    </row>
    <row r="1819" spans="1:24" x14ac:dyDescent="0.3">
      <c r="A1819" t="s">
        <v>2561</v>
      </c>
      <c r="B1819" s="1">
        <v>46003</v>
      </c>
      <c r="C1819" t="s">
        <v>25</v>
      </c>
      <c r="D1819" t="s">
        <v>82</v>
      </c>
      <c r="E1819" t="s">
        <v>27</v>
      </c>
      <c r="F1819" t="s">
        <v>28</v>
      </c>
      <c r="G1819" t="s">
        <v>29</v>
      </c>
      <c r="H1819" t="s">
        <v>30</v>
      </c>
      <c r="I1819" t="s">
        <v>147</v>
      </c>
      <c r="J1819" t="s">
        <v>45</v>
      </c>
      <c r="K1819" t="s">
        <v>46</v>
      </c>
      <c r="L1819" t="s">
        <v>64</v>
      </c>
      <c r="M1819" t="s">
        <v>35</v>
      </c>
      <c r="N1819" t="s">
        <v>36</v>
      </c>
      <c r="O1819">
        <v>60</v>
      </c>
      <c r="P1819">
        <v>60</v>
      </c>
      <c r="Q1819">
        <v>68.099999999999994</v>
      </c>
      <c r="R1819">
        <v>1450</v>
      </c>
      <c r="S1819">
        <v>1450</v>
      </c>
      <c r="T1819">
        <v>0</v>
      </c>
      <c r="U1819">
        <v>0</v>
      </c>
      <c r="V1819">
        <v>1</v>
      </c>
      <c r="W1819">
        <v>0</v>
      </c>
      <c r="X1819">
        <v>0.85</v>
      </c>
    </row>
    <row r="1820" spans="1:24" x14ac:dyDescent="0.3">
      <c r="A1820" t="s">
        <v>2562</v>
      </c>
      <c r="B1820" s="1">
        <v>45782</v>
      </c>
      <c r="C1820" t="s">
        <v>128</v>
      </c>
      <c r="D1820" t="s">
        <v>39</v>
      </c>
      <c r="E1820" t="s">
        <v>83</v>
      </c>
      <c r="F1820" t="s">
        <v>58</v>
      </c>
      <c r="G1820" t="s">
        <v>59</v>
      </c>
      <c r="H1820" t="s">
        <v>73</v>
      </c>
      <c r="I1820" t="s">
        <v>2327</v>
      </c>
      <c r="J1820" t="s">
        <v>62</v>
      </c>
      <c r="K1820" t="s">
        <v>63</v>
      </c>
      <c r="L1820" t="s">
        <v>64</v>
      </c>
      <c r="M1820" t="s">
        <v>86</v>
      </c>
      <c r="N1820" t="s">
        <v>36</v>
      </c>
      <c r="O1820">
        <v>45</v>
      </c>
      <c r="P1820">
        <v>45</v>
      </c>
      <c r="Q1820">
        <v>55</v>
      </c>
      <c r="R1820">
        <v>1100</v>
      </c>
      <c r="S1820">
        <v>1100</v>
      </c>
      <c r="T1820">
        <v>0</v>
      </c>
      <c r="U1820">
        <v>0</v>
      </c>
      <c r="V1820">
        <v>1</v>
      </c>
      <c r="W1820">
        <v>0</v>
      </c>
      <c r="X1820">
        <v>0.85</v>
      </c>
    </row>
    <row r="1821" spans="1:24" x14ac:dyDescent="0.3">
      <c r="A1821" t="s">
        <v>2563</v>
      </c>
      <c r="B1821" s="1">
        <v>45715</v>
      </c>
      <c r="C1821" t="s">
        <v>76</v>
      </c>
      <c r="D1821" t="s">
        <v>50</v>
      </c>
      <c r="E1821" t="s">
        <v>40</v>
      </c>
      <c r="F1821" t="s">
        <v>28</v>
      </c>
      <c r="G1821" t="s">
        <v>29</v>
      </c>
      <c r="H1821" t="s">
        <v>120</v>
      </c>
      <c r="I1821" t="s">
        <v>1531</v>
      </c>
      <c r="J1821" t="s">
        <v>62</v>
      </c>
      <c r="K1821" t="s">
        <v>104</v>
      </c>
      <c r="L1821" t="s">
        <v>78</v>
      </c>
      <c r="M1821" t="s">
        <v>47</v>
      </c>
      <c r="N1821" t="s">
        <v>36</v>
      </c>
      <c r="O1821">
        <v>60</v>
      </c>
      <c r="P1821">
        <v>60</v>
      </c>
      <c r="Q1821">
        <v>77.400000000000006</v>
      </c>
      <c r="R1821">
        <v>1150</v>
      </c>
      <c r="S1821">
        <v>1150</v>
      </c>
      <c r="T1821">
        <v>0</v>
      </c>
      <c r="U1821">
        <v>0</v>
      </c>
      <c r="V1821">
        <v>1</v>
      </c>
      <c r="W1821">
        <v>0</v>
      </c>
      <c r="X1821">
        <v>0.85</v>
      </c>
    </row>
    <row r="1822" spans="1:24" x14ac:dyDescent="0.3">
      <c r="A1822" t="s">
        <v>2564</v>
      </c>
      <c r="B1822" s="1">
        <v>45877</v>
      </c>
      <c r="C1822" t="s">
        <v>110</v>
      </c>
      <c r="D1822" t="s">
        <v>82</v>
      </c>
      <c r="E1822" t="s">
        <v>27</v>
      </c>
      <c r="F1822" t="s">
        <v>41</v>
      </c>
      <c r="G1822" t="s">
        <v>42</v>
      </c>
      <c r="H1822" t="s">
        <v>111</v>
      </c>
      <c r="I1822" t="s">
        <v>139</v>
      </c>
      <c r="J1822" t="s">
        <v>99</v>
      </c>
      <c r="K1822" t="s">
        <v>63</v>
      </c>
      <c r="L1822" t="s">
        <v>34</v>
      </c>
      <c r="M1822" t="s">
        <v>65</v>
      </c>
      <c r="N1822" t="s">
        <v>36</v>
      </c>
      <c r="O1822">
        <v>45</v>
      </c>
      <c r="P1822">
        <v>45</v>
      </c>
      <c r="Q1822">
        <v>60.7</v>
      </c>
      <c r="R1822">
        <v>1000</v>
      </c>
      <c r="S1822">
        <v>1000</v>
      </c>
      <c r="T1822">
        <v>0</v>
      </c>
      <c r="U1822">
        <v>0</v>
      </c>
      <c r="V1822">
        <v>1</v>
      </c>
      <c r="W1822">
        <v>0</v>
      </c>
      <c r="X1822">
        <v>0.85</v>
      </c>
    </row>
    <row r="1823" spans="1:24" x14ac:dyDescent="0.3">
      <c r="A1823" t="s">
        <v>2565</v>
      </c>
      <c r="B1823" s="1">
        <v>45975</v>
      </c>
      <c r="C1823" t="s">
        <v>38</v>
      </c>
      <c r="D1823" t="s">
        <v>82</v>
      </c>
      <c r="E1823" t="s">
        <v>83</v>
      </c>
      <c r="F1823" t="s">
        <v>41</v>
      </c>
      <c r="G1823" t="s">
        <v>42</v>
      </c>
      <c r="H1823" t="s">
        <v>125</v>
      </c>
      <c r="I1823" t="s">
        <v>350</v>
      </c>
      <c r="J1823" t="s">
        <v>32</v>
      </c>
      <c r="K1823" t="s">
        <v>33</v>
      </c>
      <c r="L1823" t="s">
        <v>64</v>
      </c>
      <c r="M1823" t="s">
        <v>47</v>
      </c>
      <c r="N1823" t="s">
        <v>36</v>
      </c>
      <c r="O1823">
        <v>75</v>
      </c>
      <c r="P1823">
        <v>75</v>
      </c>
      <c r="Q1823">
        <v>87.5</v>
      </c>
      <c r="R1823">
        <v>1700</v>
      </c>
      <c r="S1823">
        <v>1700</v>
      </c>
      <c r="T1823">
        <v>0</v>
      </c>
      <c r="U1823">
        <v>0</v>
      </c>
      <c r="V1823">
        <v>1</v>
      </c>
      <c r="W1823">
        <v>0</v>
      </c>
      <c r="X1823">
        <v>0.85</v>
      </c>
    </row>
    <row r="1824" spans="1:24" x14ac:dyDescent="0.3">
      <c r="A1824" t="s">
        <v>2566</v>
      </c>
      <c r="B1824" s="1">
        <v>45691</v>
      </c>
      <c r="C1824" t="s">
        <v>76</v>
      </c>
      <c r="D1824" t="s">
        <v>39</v>
      </c>
      <c r="E1824" t="s">
        <v>83</v>
      </c>
      <c r="F1824" t="s">
        <v>41</v>
      </c>
      <c r="G1824" t="s">
        <v>42</v>
      </c>
      <c r="H1824" t="s">
        <v>43</v>
      </c>
      <c r="I1824" t="s">
        <v>1066</v>
      </c>
      <c r="J1824" t="s">
        <v>62</v>
      </c>
      <c r="K1824" t="s">
        <v>104</v>
      </c>
      <c r="L1824" t="s">
        <v>54</v>
      </c>
      <c r="M1824" t="s">
        <v>86</v>
      </c>
      <c r="N1824" t="s">
        <v>36</v>
      </c>
      <c r="O1824">
        <v>60</v>
      </c>
      <c r="P1824">
        <v>60</v>
      </c>
      <c r="Q1824">
        <v>72.400000000000006</v>
      </c>
      <c r="R1824">
        <v>1150</v>
      </c>
      <c r="S1824">
        <v>1150</v>
      </c>
      <c r="T1824">
        <v>0</v>
      </c>
      <c r="U1824">
        <v>0</v>
      </c>
      <c r="V1824">
        <v>1</v>
      </c>
      <c r="W1824">
        <v>0</v>
      </c>
      <c r="X1824">
        <v>0.85</v>
      </c>
    </row>
    <row r="1825" spans="1:24" x14ac:dyDescent="0.3">
      <c r="A1825" t="s">
        <v>2567</v>
      </c>
      <c r="B1825" s="1">
        <v>45729</v>
      </c>
      <c r="C1825" t="s">
        <v>56</v>
      </c>
      <c r="D1825" t="s">
        <v>50</v>
      </c>
      <c r="E1825" t="s">
        <v>27</v>
      </c>
      <c r="F1825" t="s">
        <v>41</v>
      </c>
      <c r="G1825" t="s">
        <v>42</v>
      </c>
      <c r="H1825" t="s">
        <v>125</v>
      </c>
      <c r="I1825" t="s">
        <v>1329</v>
      </c>
      <c r="J1825" t="s">
        <v>45</v>
      </c>
      <c r="K1825" t="s">
        <v>33</v>
      </c>
      <c r="L1825" t="s">
        <v>64</v>
      </c>
      <c r="M1825" t="s">
        <v>47</v>
      </c>
      <c r="N1825" t="s">
        <v>36</v>
      </c>
      <c r="O1825">
        <v>60</v>
      </c>
      <c r="P1825">
        <v>60</v>
      </c>
      <c r="Q1825">
        <v>79.400000000000006</v>
      </c>
      <c r="R1825">
        <v>1550</v>
      </c>
      <c r="S1825">
        <v>1550</v>
      </c>
      <c r="T1825">
        <v>0</v>
      </c>
      <c r="U1825">
        <v>0</v>
      </c>
      <c r="V1825">
        <v>1</v>
      </c>
      <c r="W1825">
        <v>0</v>
      </c>
      <c r="X1825">
        <v>0.85</v>
      </c>
    </row>
    <row r="1826" spans="1:24" x14ac:dyDescent="0.3">
      <c r="A1826" t="s">
        <v>2568</v>
      </c>
      <c r="B1826" s="1">
        <v>45737</v>
      </c>
      <c r="C1826" t="s">
        <v>56</v>
      </c>
      <c r="D1826" t="s">
        <v>82</v>
      </c>
      <c r="E1826" t="s">
        <v>68</v>
      </c>
      <c r="F1826" t="s">
        <v>28</v>
      </c>
      <c r="G1826" t="s">
        <v>29</v>
      </c>
      <c r="H1826" t="s">
        <v>30</v>
      </c>
      <c r="I1826" t="s">
        <v>418</v>
      </c>
      <c r="J1826" t="s">
        <v>53</v>
      </c>
      <c r="K1826" t="s">
        <v>46</v>
      </c>
      <c r="L1826" t="s">
        <v>54</v>
      </c>
      <c r="M1826" t="s">
        <v>86</v>
      </c>
      <c r="N1826" t="s">
        <v>36</v>
      </c>
      <c r="O1826">
        <v>60</v>
      </c>
      <c r="P1826">
        <v>60</v>
      </c>
      <c r="Q1826">
        <v>70.099999999999994</v>
      </c>
      <c r="R1826">
        <v>1300</v>
      </c>
      <c r="S1826">
        <v>1300</v>
      </c>
      <c r="T1826">
        <v>0</v>
      </c>
      <c r="U1826">
        <v>0</v>
      </c>
      <c r="V1826">
        <v>1</v>
      </c>
      <c r="W1826">
        <v>0</v>
      </c>
      <c r="X1826">
        <v>0.85</v>
      </c>
    </row>
    <row r="1827" spans="1:24" x14ac:dyDescent="0.3">
      <c r="A1827" t="s">
        <v>2569</v>
      </c>
      <c r="B1827" s="1">
        <v>45670</v>
      </c>
      <c r="C1827" t="s">
        <v>130</v>
      </c>
      <c r="D1827" t="s">
        <v>39</v>
      </c>
      <c r="E1827" t="s">
        <v>27</v>
      </c>
      <c r="F1827" t="s">
        <v>58</v>
      </c>
      <c r="G1827" t="s">
        <v>59</v>
      </c>
      <c r="H1827" t="s">
        <v>117</v>
      </c>
      <c r="I1827" t="s">
        <v>764</v>
      </c>
      <c r="J1827" t="s">
        <v>45</v>
      </c>
      <c r="K1827" t="s">
        <v>46</v>
      </c>
      <c r="L1827" t="s">
        <v>34</v>
      </c>
      <c r="M1827" t="s">
        <v>71</v>
      </c>
      <c r="N1827" t="s">
        <v>36</v>
      </c>
      <c r="O1827">
        <v>45</v>
      </c>
      <c r="P1827">
        <v>45</v>
      </c>
      <c r="Q1827">
        <v>59.6</v>
      </c>
      <c r="R1827">
        <v>1300</v>
      </c>
      <c r="S1827">
        <v>1300</v>
      </c>
      <c r="T1827">
        <v>0</v>
      </c>
      <c r="U1827">
        <v>0</v>
      </c>
      <c r="V1827">
        <v>1</v>
      </c>
      <c r="W1827">
        <v>0</v>
      </c>
      <c r="X1827">
        <v>0.85</v>
      </c>
    </row>
    <row r="1828" spans="1:24" x14ac:dyDescent="0.3">
      <c r="A1828" t="s">
        <v>2570</v>
      </c>
      <c r="B1828" s="1">
        <v>45773</v>
      </c>
      <c r="C1828" t="s">
        <v>92</v>
      </c>
      <c r="D1828" t="s">
        <v>88</v>
      </c>
      <c r="E1828" t="s">
        <v>68</v>
      </c>
      <c r="F1828" t="s">
        <v>28</v>
      </c>
      <c r="G1828" t="s">
        <v>29</v>
      </c>
      <c r="H1828" t="s">
        <v>210</v>
      </c>
      <c r="I1828" t="s">
        <v>1066</v>
      </c>
      <c r="J1828" t="s">
        <v>62</v>
      </c>
      <c r="K1828" t="s">
        <v>46</v>
      </c>
      <c r="L1828" t="s">
        <v>54</v>
      </c>
      <c r="M1828" t="s">
        <v>35</v>
      </c>
      <c r="N1828" t="s">
        <v>36</v>
      </c>
      <c r="O1828">
        <v>30</v>
      </c>
      <c r="P1828">
        <v>30</v>
      </c>
      <c r="Q1828">
        <v>37.6</v>
      </c>
      <c r="R1828">
        <v>550</v>
      </c>
      <c r="S1828">
        <v>550</v>
      </c>
      <c r="T1828">
        <v>0</v>
      </c>
      <c r="U1828">
        <v>0</v>
      </c>
      <c r="V1828">
        <v>1</v>
      </c>
      <c r="W1828">
        <v>0</v>
      </c>
      <c r="X1828">
        <v>0.85</v>
      </c>
    </row>
    <row r="1829" spans="1:24" x14ac:dyDescent="0.3">
      <c r="A1829" t="s">
        <v>2571</v>
      </c>
      <c r="B1829" s="1">
        <v>45978</v>
      </c>
      <c r="C1829" t="s">
        <v>38</v>
      </c>
      <c r="D1829" t="s">
        <v>39</v>
      </c>
      <c r="E1829" t="s">
        <v>83</v>
      </c>
      <c r="F1829" t="s">
        <v>28</v>
      </c>
      <c r="G1829" t="s">
        <v>29</v>
      </c>
      <c r="H1829" t="s">
        <v>30</v>
      </c>
      <c r="I1829" t="s">
        <v>259</v>
      </c>
      <c r="J1829" t="s">
        <v>99</v>
      </c>
      <c r="K1829" t="s">
        <v>70</v>
      </c>
      <c r="L1829" t="s">
        <v>34</v>
      </c>
      <c r="M1829" t="s">
        <v>86</v>
      </c>
      <c r="N1829" t="s">
        <v>36</v>
      </c>
      <c r="O1829">
        <v>30</v>
      </c>
      <c r="P1829">
        <v>30</v>
      </c>
      <c r="Q1829">
        <v>36.1</v>
      </c>
      <c r="R1829">
        <v>600</v>
      </c>
      <c r="S1829">
        <v>600</v>
      </c>
      <c r="T1829">
        <v>0</v>
      </c>
      <c r="U1829">
        <v>0</v>
      </c>
      <c r="V1829">
        <v>1</v>
      </c>
      <c r="W1829">
        <v>0</v>
      </c>
      <c r="X1829">
        <v>0.85</v>
      </c>
    </row>
    <row r="1830" spans="1:24" x14ac:dyDescent="0.3">
      <c r="A1830" t="s">
        <v>2572</v>
      </c>
      <c r="B1830" s="1">
        <v>45790</v>
      </c>
      <c r="C1830" t="s">
        <v>128</v>
      </c>
      <c r="D1830" t="s">
        <v>26</v>
      </c>
      <c r="E1830" t="s">
        <v>27</v>
      </c>
      <c r="F1830" t="s">
        <v>58</v>
      </c>
      <c r="G1830" t="s">
        <v>59</v>
      </c>
      <c r="H1830" t="s">
        <v>60</v>
      </c>
      <c r="I1830" t="s">
        <v>453</v>
      </c>
      <c r="J1830" t="s">
        <v>62</v>
      </c>
      <c r="K1830" t="s">
        <v>85</v>
      </c>
      <c r="L1830" t="s">
        <v>64</v>
      </c>
      <c r="M1830" t="s">
        <v>86</v>
      </c>
      <c r="N1830" t="s">
        <v>36</v>
      </c>
      <c r="O1830">
        <v>60</v>
      </c>
      <c r="P1830">
        <v>60</v>
      </c>
      <c r="Q1830">
        <v>72.599999999999994</v>
      </c>
      <c r="R1830">
        <v>1500</v>
      </c>
      <c r="S1830">
        <v>1500</v>
      </c>
      <c r="T1830">
        <v>0</v>
      </c>
      <c r="U1830">
        <v>0</v>
      </c>
      <c r="V1830">
        <v>1</v>
      </c>
      <c r="W1830">
        <v>0</v>
      </c>
      <c r="X1830">
        <v>0.85</v>
      </c>
    </row>
    <row r="1831" spans="1:24" x14ac:dyDescent="0.3">
      <c r="A1831" t="s">
        <v>2573</v>
      </c>
      <c r="B1831" s="1">
        <v>45686</v>
      </c>
      <c r="C1831" t="s">
        <v>130</v>
      </c>
      <c r="D1831" t="s">
        <v>57</v>
      </c>
      <c r="E1831" t="s">
        <v>83</v>
      </c>
      <c r="F1831" t="s">
        <v>58</v>
      </c>
      <c r="G1831" t="s">
        <v>59</v>
      </c>
      <c r="H1831" t="s">
        <v>73</v>
      </c>
      <c r="I1831" t="s">
        <v>1038</v>
      </c>
      <c r="J1831" t="s">
        <v>62</v>
      </c>
      <c r="K1831" t="s">
        <v>46</v>
      </c>
      <c r="L1831" t="s">
        <v>34</v>
      </c>
      <c r="M1831" t="s">
        <v>86</v>
      </c>
      <c r="N1831" t="s">
        <v>95</v>
      </c>
      <c r="O1831">
        <v>60</v>
      </c>
      <c r="P1831">
        <v>0</v>
      </c>
      <c r="Q1831">
        <v>71.5</v>
      </c>
      <c r="R1831">
        <v>1500</v>
      </c>
      <c r="S1831">
        <v>0</v>
      </c>
      <c r="T1831">
        <v>1500</v>
      </c>
      <c r="U1831">
        <v>1</v>
      </c>
      <c r="V1831">
        <v>0</v>
      </c>
      <c r="W1831">
        <v>0</v>
      </c>
      <c r="X1831">
        <v>0.85</v>
      </c>
    </row>
    <row r="1832" spans="1:24" x14ac:dyDescent="0.3">
      <c r="A1832" t="s">
        <v>2574</v>
      </c>
      <c r="B1832" s="1">
        <v>45810</v>
      </c>
      <c r="C1832" t="s">
        <v>67</v>
      </c>
      <c r="D1832" t="s">
        <v>39</v>
      </c>
      <c r="E1832" t="s">
        <v>68</v>
      </c>
      <c r="F1832" t="s">
        <v>41</v>
      </c>
      <c r="G1832" t="s">
        <v>42</v>
      </c>
      <c r="H1832" t="s">
        <v>43</v>
      </c>
      <c r="I1832" t="s">
        <v>1800</v>
      </c>
      <c r="J1832" t="s">
        <v>62</v>
      </c>
      <c r="K1832" t="s">
        <v>85</v>
      </c>
      <c r="L1832" t="s">
        <v>64</v>
      </c>
      <c r="M1832" t="s">
        <v>71</v>
      </c>
      <c r="N1832" t="s">
        <v>36</v>
      </c>
      <c r="O1832">
        <v>90</v>
      </c>
      <c r="P1832">
        <v>90</v>
      </c>
      <c r="Q1832">
        <v>115</v>
      </c>
      <c r="R1832">
        <v>2000</v>
      </c>
      <c r="S1832">
        <v>2000</v>
      </c>
      <c r="T1832">
        <v>0</v>
      </c>
      <c r="U1832">
        <v>0</v>
      </c>
      <c r="V1832">
        <v>1</v>
      </c>
      <c r="W1832">
        <v>0</v>
      </c>
      <c r="X1832">
        <v>0.85</v>
      </c>
    </row>
    <row r="1833" spans="1:24" x14ac:dyDescent="0.3">
      <c r="A1833" t="s">
        <v>2575</v>
      </c>
      <c r="B1833" s="1">
        <v>45881</v>
      </c>
      <c r="C1833" t="s">
        <v>110</v>
      </c>
      <c r="D1833" t="s">
        <v>26</v>
      </c>
      <c r="E1833" t="s">
        <v>83</v>
      </c>
      <c r="F1833" t="s">
        <v>28</v>
      </c>
      <c r="G1833" t="s">
        <v>29</v>
      </c>
      <c r="H1833" t="s">
        <v>30</v>
      </c>
      <c r="I1833" t="s">
        <v>308</v>
      </c>
      <c r="J1833" t="s">
        <v>53</v>
      </c>
      <c r="K1833" t="s">
        <v>33</v>
      </c>
      <c r="L1833" t="s">
        <v>64</v>
      </c>
      <c r="M1833" t="s">
        <v>65</v>
      </c>
      <c r="N1833" t="s">
        <v>36</v>
      </c>
      <c r="O1833">
        <v>45</v>
      </c>
      <c r="P1833">
        <v>45</v>
      </c>
      <c r="Q1833">
        <v>54.1</v>
      </c>
      <c r="R1833">
        <v>1100</v>
      </c>
      <c r="S1833">
        <v>1100</v>
      </c>
      <c r="T1833">
        <v>0</v>
      </c>
      <c r="U1833">
        <v>0</v>
      </c>
      <c r="V1833">
        <v>1</v>
      </c>
      <c r="W1833">
        <v>0</v>
      </c>
      <c r="X1833">
        <v>0.85</v>
      </c>
    </row>
    <row r="1834" spans="1:24" x14ac:dyDescent="0.3">
      <c r="A1834" t="s">
        <v>2576</v>
      </c>
      <c r="B1834" s="1">
        <v>45915</v>
      </c>
      <c r="C1834" t="s">
        <v>49</v>
      </c>
      <c r="D1834" t="s">
        <v>39</v>
      </c>
      <c r="E1834" t="s">
        <v>68</v>
      </c>
      <c r="F1834" t="s">
        <v>28</v>
      </c>
      <c r="G1834" t="s">
        <v>29</v>
      </c>
      <c r="H1834" t="s">
        <v>102</v>
      </c>
      <c r="I1834" t="s">
        <v>2499</v>
      </c>
      <c r="J1834" t="s">
        <v>53</v>
      </c>
      <c r="K1834" t="s">
        <v>85</v>
      </c>
      <c r="L1834" t="s">
        <v>78</v>
      </c>
      <c r="M1834" t="s">
        <v>47</v>
      </c>
      <c r="N1834" t="s">
        <v>113</v>
      </c>
      <c r="O1834">
        <v>45</v>
      </c>
      <c r="P1834">
        <v>0</v>
      </c>
      <c r="Q1834">
        <v>55.6</v>
      </c>
      <c r="R1834">
        <v>1050</v>
      </c>
      <c r="S1834">
        <v>0</v>
      </c>
      <c r="T1834">
        <v>1050</v>
      </c>
      <c r="U1834">
        <v>0</v>
      </c>
      <c r="V1834">
        <v>0</v>
      </c>
      <c r="W1834">
        <v>1</v>
      </c>
      <c r="X1834">
        <v>0.85</v>
      </c>
    </row>
    <row r="1835" spans="1:24" x14ac:dyDescent="0.3">
      <c r="A1835" t="s">
        <v>2577</v>
      </c>
      <c r="B1835" s="1">
        <v>45694</v>
      </c>
      <c r="C1835" t="s">
        <v>76</v>
      </c>
      <c r="D1835" t="s">
        <v>50</v>
      </c>
      <c r="E1835" t="s">
        <v>68</v>
      </c>
      <c r="F1835" t="s">
        <v>41</v>
      </c>
      <c r="G1835" t="s">
        <v>42</v>
      </c>
      <c r="H1835" t="s">
        <v>125</v>
      </c>
      <c r="I1835" t="s">
        <v>1769</v>
      </c>
      <c r="J1835" t="s">
        <v>99</v>
      </c>
      <c r="K1835" t="s">
        <v>63</v>
      </c>
      <c r="L1835" t="s">
        <v>34</v>
      </c>
      <c r="M1835" t="s">
        <v>94</v>
      </c>
      <c r="N1835" t="s">
        <v>36</v>
      </c>
      <c r="O1835">
        <v>90</v>
      </c>
      <c r="P1835">
        <v>90</v>
      </c>
      <c r="Q1835">
        <v>108.3</v>
      </c>
      <c r="R1835">
        <v>2000</v>
      </c>
      <c r="S1835">
        <v>2000</v>
      </c>
      <c r="T1835">
        <v>0</v>
      </c>
      <c r="U1835">
        <v>0</v>
      </c>
      <c r="V1835">
        <v>1</v>
      </c>
      <c r="W1835">
        <v>0</v>
      </c>
      <c r="X1835">
        <v>0.85</v>
      </c>
    </row>
    <row r="1836" spans="1:24" x14ac:dyDescent="0.3">
      <c r="A1836" t="s">
        <v>2578</v>
      </c>
      <c r="B1836" s="1">
        <v>45752</v>
      </c>
      <c r="C1836" t="s">
        <v>92</v>
      </c>
      <c r="D1836" t="s">
        <v>88</v>
      </c>
      <c r="E1836" t="s">
        <v>83</v>
      </c>
      <c r="F1836" t="s">
        <v>41</v>
      </c>
      <c r="G1836" t="s">
        <v>42</v>
      </c>
      <c r="H1836" t="s">
        <v>125</v>
      </c>
      <c r="I1836" t="s">
        <v>200</v>
      </c>
      <c r="J1836" t="s">
        <v>32</v>
      </c>
      <c r="K1836" t="s">
        <v>33</v>
      </c>
      <c r="L1836" t="s">
        <v>78</v>
      </c>
      <c r="M1836" t="s">
        <v>71</v>
      </c>
      <c r="N1836" t="s">
        <v>95</v>
      </c>
      <c r="O1836">
        <v>90</v>
      </c>
      <c r="P1836">
        <v>0</v>
      </c>
      <c r="Q1836">
        <v>98.2</v>
      </c>
      <c r="R1836">
        <v>1850</v>
      </c>
      <c r="S1836">
        <v>0</v>
      </c>
      <c r="T1836">
        <v>1850</v>
      </c>
      <c r="U1836">
        <v>1</v>
      </c>
      <c r="V1836">
        <v>0</v>
      </c>
      <c r="W1836">
        <v>0</v>
      </c>
      <c r="X1836">
        <v>0.85</v>
      </c>
    </row>
    <row r="1837" spans="1:24" x14ac:dyDescent="0.3">
      <c r="A1837" t="s">
        <v>2579</v>
      </c>
      <c r="B1837" s="1">
        <v>45898</v>
      </c>
      <c r="C1837" t="s">
        <v>110</v>
      </c>
      <c r="D1837" t="s">
        <v>82</v>
      </c>
      <c r="E1837" t="s">
        <v>68</v>
      </c>
      <c r="F1837" t="s">
        <v>58</v>
      </c>
      <c r="G1837" t="s">
        <v>59</v>
      </c>
      <c r="H1837" t="s">
        <v>73</v>
      </c>
      <c r="I1837" t="s">
        <v>1020</v>
      </c>
      <c r="J1837" t="s">
        <v>45</v>
      </c>
      <c r="K1837" t="s">
        <v>46</v>
      </c>
      <c r="L1837" t="s">
        <v>64</v>
      </c>
      <c r="M1837" t="s">
        <v>47</v>
      </c>
      <c r="N1837" t="s">
        <v>36</v>
      </c>
      <c r="O1837">
        <v>75</v>
      </c>
      <c r="P1837">
        <v>75</v>
      </c>
      <c r="Q1837">
        <v>85.7</v>
      </c>
      <c r="R1837">
        <v>2150</v>
      </c>
      <c r="S1837">
        <v>2150</v>
      </c>
      <c r="T1837">
        <v>0</v>
      </c>
      <c r="U1837">
        <v>0</v>
      </c>
      <c r="V1837">
        <v>1</v>
      </c>
      <c r="W1837">
        <v>0</v>
      </c>
      <c r="X1837">
        <v>0.85</v>
      </c>
    </row>
    <row r="1838" spans="1:24" x14ac:dyDescent="0.3">
      <c r="A1838" t="s">
        <v>2580</v>
      </c>
      <c r="B1838" s="1">
        <v>45792</v>
      </c>
      <c r="C1838" t="s">
        <v>128</v>
      </c>
      <c r="D1838" t="s">
        <v>50</v>
      </c>
      <c r="E1838" t="s">
        <v>27</v>
      </c>
      <c r="F1838" t="s">
        <v>41</v>
      </c>
      <c r="G1838" t="s">
        <v>42</v>
      </c>
      <c r="H1838" t="s">
        <v>51</v>
      </c>
      <c r="I1838" t="s">
        <v>850</v>
      </c>
      <c r="J1838" t="s">
        <v>53</v>
      </c>
      <c r="K1838" t="s">
        <v>33</v>
      </c>
      <c r="L1838" t="s">
        <v>34</v>
      </c>
      <c r="M1838" t="s">
        <v>94</v>
      </c>
      <c r="N1838" t="s">
        <v>153</v>
      </c>
      <c r="O1838">
        <v>60</v>
      </c>
      <c r="P1838">
        <v>0</v>
      </c>
      <c r="Q1838">
        <v>68.7</v>
      </c>
      <c r="R1838">
        <v>1600</v>
      </c>
      <c r="S1838">
        <v>0</v>
      </c>
      <c r="T1838">
        <v>0</v>
      </c>
      <c r="U1838">
        <v>0</v>
      </c>
      <c r="V1838">
        <v>0</v>
      </c>
      <c r="W1838">
        <v>0</v>
      </c>
      <c r="X1838">
        <v>0.85</v>
      </c>
    </row>
    <row r="1839" spans="1:24" x14ac:dyDescent="0.3">
      <c r="A1839" t="s">
        <v>2581</v>
      </c>
      <c r="B1839" s="1">
        <v>45758</v>
      </c>
      <c r="C1839" t="s">
        <v>92</v>
      </c>
      <c r="D1839" t="s">
        <v>82</v>
      </c>
      <c r="E1839" t="s">
        <v>27</v>
      </c>
      <c r="F1839" t="s">
        <v>41</v>
      </c>
      <c r="G1839" t="s">
        <v>42</v>
      </c>
      <c r="H1839" t="s">
        <v>43</v>
      </c>
      <c r="I1839" t="s">
        <v>251</v>
      </c>
      <c r="J1839" t="s">
        <v>62</v>
      </c>
      <c r="K1839" t="s">
        <v>70</v>
      </c>
      <c r="L1839" t="s">
        <v>64</v>
      </c>
      <c r="M1839" t="s">
        <v>65</v>
      </c>
      <c r="N1839" t="s">
        <v>36</v>
      </c>
      <c r="O1839">
        <v>75</v>
      </c>
      <c r="P1839">
        <v>75</v>
      </c>
      <c r="Q1839">
        <v>83.8</v>
      </c>
      <c r="R1839">
        <v>1700</v>
      </c>
      <c r="S1839">
        <v>1700</v>
      </c>
      <c r="T1839">
        <v>0</v>
      </c>
      <c r="U1839">
        <v>0</v>
      </c>
      <c r="V1839">
        <v>1</v>
      </c>
      <c r="W1839">
        <v>0</v>
      </c>
      <c r="X1839">
        <v>0.85</v>
      </c>
    </row>
    <row r="1840" spans="1:24" x14ac:dyDescent="0.3">
      <c r="A1840" t="s">
        <v>2582</v>
      </c>
      <c r="B1840" s="1">
        <v>45867</v>
      </c>
      <c r="C1840" t="s">
        <v>101</v>
      </c>
      <c r="D1840" t="s">
        <v>26</v>
      </c>
      <c r="E1840" t="s">
        <v>27</v>
      </c>
      <c r="F1840" t="s">
        <v>41</v>
      </c>
      <c r="G1840" t="s">
        <v>42</v>
      </c>
      <c r="H1840" t="s">
        <v>125</v>
      </c>
      <c r="I1840" t="s">
        <v>2583</v>
      </c>
      <c r="J1840" t="s">
        <v>45</v>
      </c>
      <c r="K1840" t="s">
        <v>85</v>
      </c>
      <c r="L1840" t="s">
        <v>64</v>
      </c>
      <c r="M1840" t="s">
        <v>35</v>
      </c>
      <c r="N1840" t="s">
        <v>36</v>
      </c>
      <c r="O1840">
        <v>60</v>
      </c>
      <c r="P1840">
        <v>60</v>
      </c>
      <c r="Q1840">
        <v>72</v>
      </c>
      <c r="R1840">
        <v>1550</v>
      </c>
      <c r="S1840">
        <v>1550</v>
      </c>
      <c r="T1840">
        <v>0</v>
      </c>
      <c r="U1840">
        <v>0</v>
      </c>
      <c r="V1840">
        <v>1</v>
      </c>
      <c r="W1840">
        <v>0</v>
      </c>
      <c r="X1840">
        <v>0.85</v>
      </c>
    </row>
    <row r="1841" spans="1:24" x14ac:dyDescent="0.3">
      <c r="A1841" t="s">
        <v>2584</v>
      </c>
      <c r="B1841" s="1">
        <v>45801</v>
      </c>
      <c r="C1841" t="s">
        <v>128</v>
      </c>
      <c r="D1841" t="s">
        <v>88</v>
      </c>
      <c r="E1841" t="s">
        <v>27</v>
      </c>
      <c r="F1841" t="s">
        <v>41</v>
      </c>
      <c r="G1841" t="s">
        <v>42</v>
      </c>
      <c r="H1841" t="s">
        <v>125</v>
      </c>
      <c r="I1841" t="s">
        <v>251</v>
      </c>
      <c r="J1841" t="s">
        <v>62</v>
      </c>
      <c r="K1841" t="s">
        <v>70</v>
      </c>
      <c r="L1841" t="s">
        <v>34</v>
      </c>
      <c r="M1841" t="s">
        <v>71</v>
      </c>
      <c r="N1841" t="s">
        <v>36</v>
      </c>
      <c r="O1841">
        <v>60</v>
      </c>
      <c r="P1841">
        <v>60</v>
      </c>
      <c r="Q1841">
        <v>68.900000000000006</v>
      </c>
      <c r="R1841">
        <v>1350</v>
      </c>
      <c r="S1841">
        <v>1350</v>
      </c>
      <c r="T1841">
        <v>0</v>
      </c>
      <c r="U1841">
        <v>0</v>
      </c>
      <c r="V1841">
        <v>1</v>
      </c>
      <c r="W1841">
        <v>0</v>
      </c>
      <c r="X1841">
        <v>0.85</v>
      </c>
    </row>
    <row r="1842" spans="1:24" x14ac:dyDescent="0.3">
      <c r="A1842" t="s">
        <v>2585</v>
      </c>
      <c r="B1842" s="1">
        <v>45918</v>
      </c>
      <c r="C1842" t="s">
        <v>49</v>
      </c>
      <c r="D1842" t="s">
        <v>50</v>
      </c>
      <c r="E1842" t="s">
        <v>68</v>
      </c>
      <c r="F1842" t="s">
        <v>41</v>
      </c>
      <c r="G1842" t="s">
        <v>42</v>
      </c>
      <c r="H1842" t="s">
        <v>125</v>
      </c>
      <c r="I1842" t="s">
        <v>663</v>
      </c>
      <c r="J1842" t="s">
        <v>62</v>
      </c>
      <c r="K1842" t="s">
        <v>63</v>
      </c>
      <c r="L1842" t="s">
        <v>34</v>
      </c>
      <c r="M1842" t="s">
        <v>94</v>
      </c>
      <c r="N1842" t="s">
        <v>36</v>
      </c>
      <c r="O1842">
        <v>60</v>
      </c>
      <c r="P1842">
        <v>60</v>
      </c>
      <c r="Q1842">
        <v>76.599999999999994</v>
      </c>
      <c r="R1842">
        <v>1350</v>
      </c>
      <c r="S1842">
        <v>1350</v>
      </c>
      <c r="T1842">
        <v>0</v>
      </c>
      <c r="U1842">
        <v>0</v>
      </c>
      <c r="V1842">
        <v>1</v>
      </c>
      <c r="W1842">
        <v>0</v>
      </c>
      <c r="X1842">
        <v>0.85</v>
      </c>
    </row>
    <row r="1843" spans="1:24" x14ac:dyDescent="0.3">
      <c r="A1843" t="s">
        <v>2586</v>
      </c>
      <c r="B1843" s="1">
        <v>45836</v>
      </c>
      <c r="C1843" t="s">
        <v>67</v>
      </c>
      <c r="D1843" t="s">
        <v>88</v>
      </c>
      <c r="E1843" t="s">
        <v>27</v>
      </c>
      <c r="F1843" t="s">
        <v>41</v>
      </c>
      <c r="G1843" t="s">
        <v>42</v>
      </c>
      <c r="H1843" t="s">
        <v>111</v>
      </c>
      <c r="I1843" t="s">
        <v>555</v>
      </c>
      <c r="J1843" t="s">
        <v>62</v>
      </c>
      <c r="K1843" t="s">
        <v>63</v>
      </c>
      <c r="L1843" t="s">
        <v>64</v>
      </c>
      <c r="M1843" t="s">
        <v>47</v>
      </c>
      <c r="N1843" t="s">
        <v>36</v>
      </c>
      <c r="O1843">
        <v>45</v>
      </c>
      <c r="P1843">
        <v>45</v>
      </c>
      <c r="Q1843">
        <v>58.3</v>
      </c>
      <c r="R1843">
        <v>1000</v>
      </c>
      <c r="S1843">
        <v>1000</v>
      </c>
      <c r="T1843">
        <v>0</v>
      </c>
      <c r="U1843">
        <v>0</v>
      </c>
      <c r="V1843">
        <v>1</v>
      </c>
      <c r="W1843">
        <v>0</v>
      </c>
      <c r="X1843">
        <v>0.85</v>
      </c>
    </row>
    <row r="1844" spans="1:24" x14ac:dyDescent="0.3">
      <c r="A1844" t="s">
        <v>2587</v>
      </c>
      <c r="B1844" s="1">
        <v>45782</v>
      </c>
      <c r="C1844" t="s">
        <v>128</v>
      </c>
      <c r="D1844" t="s">
        <v>39</v>
      </c>
      <c r="E1844" t="s">
        <v>40</v>
      </c>
      <c r="F1844" t="s">
        <v>58</v>
      </c>
      <c r="G1844" t="s">
        <v>59</v>
      </c>
      <c r="H1844" t="s">
        <v>73</v>
      </c>
      <c r="I1844" t="s">
        <v>2087</v>
      </c>
      <c r="J1844" t="s">
        <v>32</v>
      </c>
      <c r="K1844" t="s">
        <v>33</v>
      </c>
      <c r="L1844" t="s">
        <v>64</v>
      </c>
      <c r="M1844" t="s">
        <v>65</v>
      </c>
      <c r="N1844" t="s">
        <v>113</v>
      </c>
      <c r="O1844">
        <v>30</v>
      </c>
      <c r="P1844">
        <v>0</v>
      </c>
      <c r="Q1844">
        <v>35.5</v>
      </c>
      <c r="R1844">
        <v>750</v>
      </c>
      <c r="S1844">
        <v>0</v>
      </c>
      <c r="T1844">
        <v>750</v>
      </c>
      <c r="U1844">
        <v>0</v>
      </c>
      <c r="V1844">
        <v>0</v>
      </c>
      <c r="W1844">
        <v>1</v>
      </c>
      <c r="X1844">
        <v>0.85</v>
      </c>
    </row>
    <row r="1845" spans="1:24" x14ac:dyDescent="0.3">
      <c r="A1845" t="s">
        <v>2588</v>
      </c>
      <c r="B1845" s="1">
        <v>45738</v>
      </c>
      <c r="C1845" t="s">
        <v>56</v>
      </c>
      <c r="D1845" t="s">
        <v>88</v>
      </c>
      <c r="E1845" t="s">
        <v>27</v>
      </c>
      <c r="F1845" t="s">
        <v>28</v>
      </c>
      <c r="G1845" t="s">
        <v>29</v>
      </c>
      <c r="H1845" t="s">
        <v>102</v>
      </c>
      <c r="I1845" t="s">
        <v>2589</v>
      </c>
      <c r="J1845" t="s">
        <v>32</v>
      </c>
      <c r="K1845" t="s">
        <v>63</v>
      </c>
      <c r="L1845" t="s">
        <v>34</v>
      </c>
      <c r="M1845" t="s">
        <v>86</v>
      </c>
      <c r="N1845" t="s">
        <v>36</v>
      </c>
      <c r="O1845">
        <v>45</v>
      </c>
      <c r="P1845">
        <v>45</v>
      </c>
      <c r="Q1845">
        <v>55.6</v>
      </c>
      <c r="R1845">
        <v>950</v>
      </c>
      <c r="S1845">
        <v>950</v>
      </c>
      <c r="T1845">
        <v>0</v>
      </c>
      <c r="U1845">
        <v>0</v>
      </c>
      <c r="V1845">
        <v>1</v>
      </c>
      <c r="W1845">
        <v>0</v>
      </c>
      <c r="X1845">
        <v>0.85</v>
      </c>
    </row>
    <row r="1846" spans="1:24" x14ac:dyDescent="0.3">
      <c r="A1846" t="s">
        <v>2590</v>
      </c>
      <c r="B1846" s="1">
        <v>45913</v>
      </c>
      <c r="C1846" t="s">
        <v>49</v>
      </c>
      <c r="D1846" t="s">
        <v>88</v>
      </c>
      <c r="E1846" t="s">
        <v>27</v>
      </c>
      <c r="F1846" t="s">
        <v>41</v>
      </c>
      <c r="G1846" t="s">
        <v>42</v>
      </c>
      <c r="H1846" t="s">
        <v>111</v>
      </c>
      <c r="I1846" t="s">
        <v>528</v>
      </c>
      <c r="J1846" t="s">
        <v>53</v>
      </c>
      <c r="K1846" t="s">
        <v>33</v>
      </c>
      <c r="L1846" t="s">
        <v>34</v>
      </c>
      <c r="M1846" t="s">
        <v>65</v>
      </c>
      <c r="N1846" t="s">
        <v>36</v>
      </c>
      <c r="O1846">
        <v>45</v>
      </c>
      <c r="P1846">
        <v>45</v>
      </c>
      <c r="Q1846">
        <v>55.7</v>
      </c>
      <c r="R1846">
        <v>1200</v>
      </c>
      <c r="S1846">
        <v>1200</v>
      </c>
      <c r="T1846">
        <v>0</v>
      </c>
      <c r="U1846">
        <v>0</v>
      </c>
      <c r="V1846">
        <v>1</v>
      </c>
      <c r="W1846">
        <v>0</v>
      </c>
      <c r="X1846">
        <v>0.85</v>
      </c>
    </row>
    <row r="1847" spans="1:24" x14ac:dyDescent="0.3">
      <c r="A1847" t="s">
        <v>2591</v>
      </c>
      <c r="B1847" s="1">
        <v>45800</v>
      </c>
      <c r="C1847" t="s">
        <v>128</v>
      </c>
      <c r="D1847" t="s">
        <v>82</v>
      </c>
      <c r="E1847" t="s">
        <v>83</v>
      </c>
      <c r="F1847" t="s">
        <v>41</v>
      </c>
      <c r="G1847" t="s">
        <v>42</v>
      </c>
      <c r="H1847" t="s">
        <v>89</v>
      </c>
      <c r="I1847" t="s">
        <v>535</v>
      </c>
      <c r="J1847" t="s">
        <v>62</v>
      </c>
      <c r="K1847" t="s">
        <v>104</v>
      </c>
      <c r="L1847" t="s">
        <v>34</v>
      </c>
      <c r="M1847" t="s">
        <v>94</v>
      </c>
      <c r="N1847" t="s">
        <v>36</v>
      </c>
      <c r="O1847">
        <v>45</v>
      </c>
      <c r="P1847">
        <v>45</v>
      </c>
      <c r="Q1847">
        <v>54.3</v>
      </c>
      <c r="R1847">
        <v>1000</v>
      </c>
      <c r="S1847">
        <v>1000</v>
      </c>
      <c r="T1847">
        <v>0</v>
      </c>
      <c r="U1847">
        <v>0</v>
      </c>
      <c r="V1847">
        <v>1</v>
      </c>
      <c r="W1847">
        <v>0</v>
      </c>
      <c r="X1847">
        <v>0.85</v>
      </c>
    </row>
    <row r="1848" spans="1:24" x14ac:dyDescent="0.3">
      <c r="A1848" t="s">
        <v>2592</v>
      </c>
      <c r="B1848" s="1">
        <v>45680</v>
      </c>
      <c r="C1848" t="s">
        <v>130</v>
      </c>
      <c r="D1848" t="s">
        <v>50</v>
      </c>
      <c r="E1848" t="s">
        <v>27</v>
      </c>
      <c r="F1848" t="s">
        <v>58</v>
      </c>
      <c r="G1848" t="s">
        <v>59</v>
      </c>
      <c r="H1848" t="s">
        <v>296</v>
      </c>
      <c r="I1848" t="s">
        <v>1941</v>
      </c>
      <c r="J1848" t="s">
        <v>99</v>
      </c>
      <c r="K1848" t="s">
        <v>85</v>
      </c>
      <c r="L1848" t="s">
        <v>34</v>
      </c>
      <c r="M1848" t="s">
        <v>94</v>
      </c>
      <c r="N1848" t="s">
        <v>36</v>
      </c>
      <c r="O1848">
        <v>45</v>
      </c>
      <c r="P1848">
        <v>45</v>
      </c>
      <c r="Q1848">
        <v>58.6</v>
      </c>
      <c r="R1848">
        <v>1100</v>
      </c>
      <c r="S1848">
        <v>1100</v>
      </c>
      <c r="T1848">
        <v>0</v>
      </c>
      <c r="U1848">
        <v>0</v>
      </c>
      <c r="V1848">
        <v>1</v>
      </c>
      <c r="W1848">
        <v>0</v>
      </c>
      <c r="X1848">
        <v>0.85</v>
      </c>
    </row>
    <row r="1849" spans="1:24" x14ac:dyDescent="0.3">
      <c r="A1849" t="s">
        <v>2593</v>
      </c>
      <c r="B1849" s="1">
        <v>45849</v>
      </c>
      <c r="C1849" t="s">
        <v>101</v>
      </c>
      <c r="D1849" t="s">
        <v>82</v>
      </c>
      <c r="E1849" t="s">
        <v>83</v>
      </c>
      <c r="F1849" t="s">
        <v>58</v>
      </c>
      <c r="G1849" t="s">
        <v>59</v>
      </c>
      <c r="H1849" t="s">
        <v>73</v>
      </c>
      <c r="I1849" t="s">
        <v>2010</v>
      </c>
      <c r="J1849" t="s">
        <v>45</v>
      </c>
      <c r="K1849" t="s">
        <v>104</v>
      </c>
      <c r="L1849" t="s">
        <v>34</v>
      </c>
      <c r="M1849" t="s">
        <v>35</v>
      </c>
      <c r="N1849" t="s">
        <v>36</v>
      </c>
      <c r="O1849">
        <v>75</v>
      </c>
      <c r="P1849">
        <v>75</v>
      </c>
      <c r="Q1849">
        <v>82.5</v>
      </c>
      <c r="R1849">
        <v>2150</v>
      </c>
      <c r="S1849">
        <v>2150</v>
      </c>
      <c r="T1849">
        <v>0</v>
      </c>
      <c r="U1849">
        <v>0</v>
      </c>
      <c r="V1849">
        <v>1</v>
      </c>
      <c r="W1849">
        <v>0</v>
      </c>
      <c r="X1849">
        <v>0.85</v>
      </c>
    </row>
    <row r="1850" spans="1:24" x14ac:dyDescent="0.3">
      <c r="A1850" t="s">
        <v>2594</v>
      </c>
      <c r="B1850" s="1">
        <v>45737</v>
      </c>
      <c r="C1850" t="s">
        <v>56</v>
      </c>
      <c r="D1850" t="s">
        <v>82</v>
      </c>
      <c r="E1850" t="s">
        <v>27</v>
      </c>
      <c r="F1850" t="s">
        <v>58</v>
      </c>
      <c r="G1850" t="s">
        <v>59</v>
      </c>
      <c r="H1850" t="s">
        <v>151</v>
      </c>
      <c r="I1850" t="s">
        <v>1071</v>
      </c>
      <c r="J1850" t="s">
        <v>62</v>
      </c>
      <c r="K1850" t="s">
        <v>46</v>
      </c>
      <c r="L1850" t="s">
        <v>64</v>
      </c>
      <c r="M1850" t="s">
        <v>94</v>
      </c>
      <c r="N1850" t="s">
        <v>113</v>
      </c>
      <c r="O1850">
        <v>45</v>
      </c>
      <c r="P1850">
        <v>0</v>
      </c>
      <c r="Q1850">
        <v>55</v>
      </c>
      <c r="R1850">
        <v>1100</v>
      </c>
      <c r="S1850">
        <v>0</v>
      </c>
      <c r="T1850">
        <v>1100</v>
      </c>
      <c r="U1850">
        <v>0</v>
      </c>
      <c r="V1850">
        <v>0</v>
      </c>
      <c r="W1850">
        <v>1</v>
      </c>
      <c r="X1850">
        <v>0.85</v>
      </c>
    </row>
    <row r="1851" spans="1:24" x14ac:dyDescent="0.3">
      <c r="A1851" t="s">
        <v>2595</v>
      </c>
      <c r="B1851" s="1">
        <v>45728</v>
      </c>
      <c r="C1851" t="s">
        <v>56</v>
      </c>
      <c r="D1851" t="s">
        <v>57</v>
      </c>
      <c r="E1851" t="s">
        <v>68</v>
      </c>
      <c r="F1851" t="s">
        <v>28</v>
      </c>
      <c r="G1851" t="s">
        <v>29</v>
      </c>
      <c r="H1851" t="s">
        <v>30</v>
      </c>
      <c r="I1851" t="s">
        <v>2017</v>
      </c>
      <c r="J1851" t="s">
        <v>137</v>
      </c>
      <c r="K1851" t="s">
        <v>70</v>
      </c>
      <c r="L1851" t="s">
        <v>34</v>
      </c>
      <c r="M1851" t="s">
        <v>47</v>
      </c>
      <c r="N1851" t="s">
        <v>36</v>
      </c>
      <c r="O1851">
        <v>45</v>
      </c>
      <c r="P1851">
        <v>45</v>
      </c>
      <c r="Q1851">
        <v>60.2</v>
      </c>
      <c r="R1851">
        <v>950</v>
      </c>
      <c r="S1851">
        <v>950</v>
      </c>
      <c r="T1851">
        <v>0</v>
      </c>
      <c r="U1851">
        <v>0</v>
      </c>
      <c r="V1851">
        <v>1</v>
      </c>
      <c r="W1851">
        <v>0</v>
      </c>
      <c r="X1851">
        <v>0.85</v>
      </c>
    </row>
    <row r="1852" spans="1:24" x14ac:dyDescent="0.3">
      <c r="A1852" t="s">
        <v>2596</v>
      </c>
      <c r="B1852" s="1">
        <v>45784</v>
      </c>
      <c r="C1852" t="s">
        <v>128</v>
      </c>
      <c r="D1852" t="s">
        <v>57</v>
      </c>
      <c r="E1852" t="s">
        <v>27</v>
      </c>
      <c r="F1852" t="s">
        <v>28</v>
      </c>
      <c r="G1852" t="s">
        <v>29</v>
      </c>
      <c r="H1852" t="s">
        <v>210</v>
      </c>
      <c r="I1852" t="s">
        <v>1899</v>
      </c>
      <c r="J1852" t="s">
        <v>99</v>
      </c>
      <c r="K1852" t="s">
        <v>70</v>
      </c>
      <c r="L1852" t="s">
        <v>34</v>
      </c>
      <c r="M1852" t="s">
        <v>94</v>
      </c>
      <c r="N1852" t="s">
        <v>36</v>
      </c>
      <c r="O1852">
        <v>45</v>
      </c>
      <c r="P1852">
        <v>45</v>
      </c>
      <c r="Q1852">
        <v>55</v>
      </c>
      <c r="R1852">
        <v>950</v>
      </c>
      <c r="S1852">
        <v>950</v>
      </c>
      <c r="T1852">
        <v>0</v>
      </c>
      <c r="U1852">
        <v>0</v>
      </c>
      <c r="V1852">
        <v>1</v>
      </c>
      <c r="W1852">
        <v>0</v>
      </c>
      <c r="X1852">
        <v>0.85</v>
      </c>
    </row>
    <row r="1853" spans="1:24" x14ac:dyDescent="0.3">
      <c r="A1853" t="s">
        <v>2597</v>
      </c>
      <c r="B1853" s="1">
        <v>45840</v>
      </c>
      <c r="C1853" t="s">
        <v>101</v>
      </c>
      <c r="D1853" t="s">
        <v>57</v>
      </c>
      <c r="E1853" t="s">
        <v>27</v>
      </c>
      <c r="F1853" t="s">
        <v>41</v>
      </c>
      <c r="G1853" t="s">
        <v>42</v>
      </c>
      <c r="H1853" t="s">
        <v>125</v>
      </c>
      <c r="I1853" t="s">
        <v>2101</v>
      </c>
      <c r="J1853" t="s">
        <v>62</v>
      </c>
      <c r="K1853" t="s">
        <v>104</v>
      </c>
      <c r="L1853" t="s">
        <v>34</v>
      </c>
      <c r="M1853" t="s">
        <v>35</v>
      </c>
      <c r="N1853" t="s">
        <v>36</v>
      </c>
      <c r="O1853">
        <v>60</v>
      </c>
      <c r="P1853">
        <v>60</v>
      </c>
      <c r="Q1853">
        <v>65.599999999999994</v>
      </c>
      <c r="R1853">
        <v>1350</v>
      </c>
      <c r="S1853">
        <v>1350</v>
      </c>
      <c r="T1853">
        <v>0</v>
      </c>
      <c r="U1853">
        <v>0</v>
      </c>
      <c r="V1853">
        <v>1</v>
      </c>
      <c r="W1853">
        <v>0</v>
      </c>
      <c r="X1853">
        <v>0.85</v>
      </c>
    </row>
    <row r="1854" spans="1:24" x14ac:dyDescent="0.3">
      <c r="A1854" t="s">
        <v>2598</v>
      </c>
      <c r="B1854" s="1">
        <v>45670</v>
      </c>
      <c r="C1854" t="s">
        <v>130</v>
      </c>
      <c r="D1854" t="s">
        <v>39</v>
      </c>
      <c r="E1854" t="s">
        <v>68</v>
      </c>
      <c r="F1854" t="s">
        <v>28</v>
      </c>
      <c r="G1854" t="s">
        <v>29</v>
      </c>
      <c r="H1854" t="s">
        <v>30</v>
      </c>
      <c r="I1854" t="s">
        <v>314</v>
      </c>
      <c r="J1854" t="s">
        <v>62</v>
      </c>
      <c r="K1854" t="s">
        <v>63</v>
      </c>
      <c r="L1854" t="s">
        <v>64</v>
      </c>
      <c r="M1854" t="s">
        <v>71</v>
      </c>
      <c r="N1854" t="s">
        <v>36</v>
      </c>
      <c r="O1854">
        <v>60</v>
      </c>
      <c r="P1854">
        <v>60</v>
      </c>
      <c r="Q1854">
        <v>65.3</v>
      </c>
      <c r="R1854">
        <v>1250</v>
      </c>
      <c r="S1854">
        <v>1250</v>
      </c>
      <c r="T1854">
        <v>0</v>
      </c>
      <c r="U1854">
        <v>0</v>
      </c>
      <c r="V1854">
        <v>1</v>
      </c>
      <c r="W1854">
        <v>0</v>
      </c>
      <c r="X1854">
        <v>0.85</v>
      </c>
    </row>
    <row r="1855" spans="1:24" x14ac:dyDescent="0.3">
      <c r="A1855" t="s">
        <v>2599</v>
      </c>
      <c r="B1855" s="1">
        <v>45898</v>
      </c>
      <c r="C1855" t="s">
        <v>110</v>
      </c>
      <c r="D1855" t="s">
        <v>82</v>
      </c>
      <c r="E1855" t="s">
        <v>68</v>
      </c>
      <c r="F1855" t="s">
        <v>58</v>
      </c>
      <c r="G1855" t="s">
        <v>59</v>
      </c>
      <c r="H1855" t="s">
        <v>60</v>
      </c>
      <c r="I1855" t="s">
        <v>2101</v>
      </c>
      <c r="J1855" t="s">
        <v>62</v>
      </c>
      <c r="K1855" t="s">
        <v>70</v>
      </c>
      <c r="L1855" t="s">
        <v>34</v>
      </c>
      <c r="M1855" t="s">
        <v>65</v>
      </c>
      <c r="N1855" t="s">
        <v>36</v>
      </c>
      <c r="O1855">
        <v>60</v>
      </c>
      <c r="P1855">
        <v>60</v>
      </c>
      <c r="Q1855">
        <v>80.2</v>
      </c>
      <c r="R1855">
        <v>1500</v>
      </c>
      <c r="S1855">
        <v>1500</v>
      </c>
      <c r="T1855">
        <v>0</v>
      </c>
      <c r="U1855">
        <v>0</v>
      </c>
      <c r="V1855">
        <v>1</v>
      </c>
      <c r="W1855">
        <v>0</v>
      </c>
      <c r="X1855">
        <v>0.85</v>
      </c>
    </row>
    <row r="1856" spans="1:24" x14ac:dyDescent="0.3">
      <c r="A1856" t="s">
        <v>2600</v>
      </c>
      <c r="B1856" s="1">
        <v>45912</v>
      </c>
      <c r="C1856" t="s">
        <v>49</v>
      </c>
      <c r="D1856" t="s">
        <v>82</v>
      </c>
      <c r="E1856" t="s">
        <v>83</v>
      </c>
      <c r="F1856" t="s">
        <v>28</v>
      </c>
      <c r="G1856" t="s">
        <v>29</v>
      </c>
      <c r="H1856" t="s">
        <v>210</v>
      </c>
      <c r="I1856" t="s">
        <v>292</v>
      </c>
      <c r="J1856" t="s">
        <v>62</v>
      </c>
      <c r="K1856" t="s">
        <v>70</v>
      </c>
      <c r="L1856" t="s">
        <v>54</v>
      </c>
      <c r="M1856" t="s">
        <v>47</v>
      </c>
      <c r="N1856" t="s">
        <v>36</v>
      </c>
      <c r="O1856">
        <v>45</v>
      </c>
      <c r="P1856">
        <v>45</v>
      </c>
      <c r="Q1856">
        <v>60.5</v>
      </c>
      <c r="R1856">
        <v>800</v>
      </c>
      <c r="S1856">
        <v>800</v>
      </c>
      <c r="T1856">
        <v>0</v>
      </c>
      <c r="U1856">
        <v>0</v>
      </c>
      <c r="V1856">
        <v>1</v>
      </c>
      <c r="W1856">
        <v>0</v>
      </c>
      <c r="X1856">
        <v>0.85</v>
      </c>
    </row>
    <row r="1857" spans="1:24" x14ac:dyDescent="0.3">
      <c r="A1857" t="s">
        <v>2601</v>
      </c>
      <c r="B1857" s="1">
        <v>45790</v>
      </c>
      <c r="C1857" t="s">
        <v>128</v>
      </c>
      <c r="D1857" t="s">
        <v>26</v>
      </c>
      <c r="E1857" t="s">
        <v>83</v>
      </c>
      <c r="F1857" t="s">
        <v>41</v>
      </c>
      <c r="G1857" t="s">
        <v>42</v>
      </c>
      <c r="H1857" t="s">
        <v>125</v>
      </c>
      <c r="I1857" t="s">
        <v>1765</v>
      </c>
      <c r="J1857" t="s">
        <v>62</v>
      </c>
      <c r="K1857" t="s">
        <v>33</v>
      </c>
      <c r="L1857" t="s">
        <v>64</v>
      </c>
      <c r="M1857" t="s">
        <v>65</v>
      </c>
      <c r="N1857" t="s">
        <v>95</v>
      </c>
      <c r="O1857">
        <v>60</v>
      </c>
      <c r="P1857">
        <v>0</v>
      </c>
      <c r="Q1857">
        <v>80.7</v>
      </c>
      <c r="R1857">
        <v>1350</v>
      </c>
      <c r="S1857">
        <v>0</v>
      </c>
      <c r="T1857">
        <v>1350</v>
      </c>
      <c r="U1857">
        <v>1</v>
      </c>
      <c r="V1857">
        <v>0</v>
      </c>
      <c r="W1857">
        <v>0</v>
      </c>
      <c r="X1857">
        <v>0.85</v>
      </c>
    </row>
    <row r="1858" spans="1:24" x14ac:dyDescent="0.3">
      <c r="A1858" t="s">
        <v>2602</v>
      </c>
      <c r="B1858" s="1">
        <v>45667</v>
      </c>
      <c r="C1858" t="s">
        <v>130</v>
      </c>
      <c r="D1858" t="s">
        <v>82</v>
      </c>
      <c r="E1858" t="s">
        <v>68</v>
      </c>
      <c r="F1858" t="s">
        <v>41</v>
      </c>
      <c r="G1858" t="s">
        <v>42</v>
      </c>
      <c r="H1858" t="s">
        <v>51</v>
      </c>
      <c r="I1858" t="s">
        <v>1187</v>
      </c>
      <c r="J1858" t="s">
        <v>137</v>
      </c>
      <c r="K1858" t="s">
        <v>46</v>
      </c>
      <c r="L1858" t="s">
        <v>34</v>
      </c>
      <c r="M1858" t="s">
        <v>35</v>
      </c>
      <c r="N1858" t="s">
        <v>95</v>
      </c>
      <c r="O1858">
        <v>60</v>
      </c>
      <c r="P1858">
        <v>0</v>
      </c>
      <c r="Q1858">
        <v>76.8</v>
      </c>
      <c r="R1858">
        <v>1350</v>
      </c>
      <c r="S1858">
        <v>0</v>
      </c>
      <c r="T1858">
        <v>1350</v>
      </c>
      <c r="U1858">
        <v>1</v>
      </c>
      <c r="V1858">
        <v>0</v>
      </c>
      <c r="W1858">
        <v>0</v>
      </c>
      <c r="X1858">
        <v>0.85</v>
      </c>
    </row>
    <row r="1859" spans="1:24" x14ac:dyDescent="0.3">
      <c r="A1859" t="s">
        <v>2603</v>
      </c>
      <c r="B1859" s="1">
        <v>45910</v>
      </c>
      <c r="C1859" t="s">
        <v>49</v>
      </c>
      <c r="D1859" t="s">
        <v>57</v>
      </c>
      <c r="E1859" t="s">
        <v>83</v>
      </c>
      <c r="F1859" t="s">
        <v>41</v>
      </c>
      <c r="G1859" t="s">
        <v>42</v>
      </c>
      <c r="H1859" t="s">
        <v>51</v>
      </c>
      <c r="I1859" t="s">
        <v>576</v>
      </c>
      <c r="J1859" t="s">
        <v>53</v>
      </c>
      <c r="K1859" t="s">
        <v>85</v>
      </c>
      <c r="L1859" t="s">
        <v>34</v>
      </c>
      <c r="M1859" t="s">
        <v>71</v>
      </c>
      <c r="N1859" t="s">
        <v>36</v>
      </c>
      <c r="O1859">
        <v>60</v>
      </c>
      <c r="P1859">
        <v>60</v>
      </c>
      <c r="Q1859">
        <v>68.3</v>
      </c>
      <c r="R1859">
        <v>1600</v>
      </c>
      <c r="S1859">
        <v>1600</v>
      </c>
      <c r="T1859">
        <v>0</v>
      </c>
      <c r="U1859">
        <v>0</v>
      </c>
      <c r="V1859">
        <v>1</v>
      </c>
      <c r="W1859">
        <v>0</v>
      </c>
      <c r="X1859">
        <v>0.85</v>
      </c>
    </row>
    <row r="1860" spans="1:24" x14ac:dyDescent="0.3">
      <c r="A1860" t="s">
        <v>2604</v>
      </c>
      <c r="B1860" s="1">
        <v>45673</v>
      </c>
      <c r="C1860" t="s">
        <v>130</v>
      </c>
      <c r="D1860" t="s">
        <v>50</v>
      </c>
      <c r="E1860" t="s">
        <v>40</v>
      </c>
      <c r="F1860" t="s">
        <v>41</v>
      </c>
      <c r="G1860" t="s">
        <v>42</v>
      </c>
      <c r="H1860" t="s">
        <v>89</v>
      </c>
      <c r="I1860" t="s">
        <v>1289</v>
      </c>
      <c r="J1860" t="s">
        <v>53</v>
      </c>
      <c r="K1860" t="s">
        <v>104</v>
      </c>
      <c r="L1860" t="s">
        <v>34</v>
      </c>
      <c r="M1860" t="s">
        <v>94</v>
      </c>
      <c r="N1860" t="s">
        <v>36</v>
      </c>
      <c r="O1860">
        <v>60</v>
      </c>
      <c r="P1860">
        <v>60</v>
      </c>
      <c r="Q1860">
        <v>67</v>
      </c>
      <c r="R1860">
        <v>1600</v>
      </c>
      <c r="S1860">
        <v>1600</v>
      </c>
      <c r="T1860">
        <v>0</v>
      </c>
      <c r="U1860">
        <v>0</v>
      </c>
      <c r="V1860">
        <v>1</v>
      </c>
      <c r="W1860">
        <v>0</v>
      </c>
      <c r="X1860">
        <v>0.85</v>
      </c>
    </row>
    <row r="1861" spans="1:24" x14ac:dyDescent="0.3">
      <c r="A1861" t="s">
        <v>2605</v>
      </c>
      <c r="B1861" s="1">
        <v>45926</v>
      </c>
      <c r="C1861" t="s">
        <v>49</v>
      </c>
      <c r="D1861" t="s">
        <v>82</v>
      </c>
      <c r="E1861" t="s">
        <v>68</v>
      </c>
      <c r="F1861" t="s">
        <v>58</v>
      </c>
      <c r="G1861" t="s">
        <v>59</v>
      </c>
      <c r="H1861" t="s">
        <v>60</v>
      </c>
      <c r="I1861" t="s">
        <v>2454</v>
      </c>
      <c r="J1861" t="s">
        <v>62</v>
      </c>
      <c r="K1861" t="s">
        <v>63</v>
      </c>
      <c r="L1861" t="s">
        <v>64</v>
      </c>
      <c r="M1861" t="s">
        <v>35</v>
      </c>
      <c r="N1861" t="s">
        <v>36</v>
      </c>
      <c r="O1861">
        <v>60</v>
      </c>
      <c r="P1861">
        <v>60</v>
      </c>
      <c r="Q1861">
        <v>76.900000000000006</v>
      </c>
      <c r="R1861">
        <v>1500</v>
      </c>
      <c r="S1861">
        <v>1500</v>
      </c>
      <c r="T1861">
        <v>0</v>
      </c>
      <c r="U1861">
        <v>0</v>
      </c>
      <c r="V1861">
        <v>1</v>
      </c>
      <c r="W1861">
        <v>0</v>
      </c>
      <c r="X1861">
        <v>0.85</v>
      </c>
    </row>
    <row r="1862" spans="1:24" x14ac:dyDescent="0.3">
      <c r="A1862" t="s">
        <v>2606</v>
      </c>
      <c r="B1862" s="1">
        <v>45822</v>
      </c>
      <c r="C1862" t="s">
        <v>67</v>
      </c>
      <c r="D1862" t="s">
        <v>88</v>
      </c>
      <c r="E1862" t="s">
        <v>83</v>
      </c>
      <c r="F1862" t="s">
        <v>28</v>
      </c>
      <c r="G1862" t="s">
        <v>29</v>
      </c>
      <c r="H1862" t="s">
        <v>120</v>
      </c>
      <c r="I1862" t="s">
        <v>437</v>
      </c>
      <c r="J1862" t="s">
        <v>32</v>
      </c>
      <c r="K1862" t="s">
        <v>46</v>
      </c>
      <c r="L1862" t="s">
        <v>64</v>
      </c>
      <c r="M1862" t="s">
        <v>47</v>
      </c>
      <c r="N1862" t="s">
        <v>36</v>
      </c>
      <c r="O1862">
        <v>60</v>
      </c>
      <c r="P1862">
        <v>60</v>
      </c>
      <c r="Q1862">
        <v>74.2</v>
      </c>
      <c r="R1862">
        <v>1250</v>
      </c>
      <c r="S1862">
        <v>1250</v>
      </c>
      <c r="T1862">
        <v>0</v>
      </c>
      <c r="U1862">
        <v>0</v>
      </c>
      <c r="V1862">
        <v>1</v>
      </c>
      <c r="W1862">
        <v>0</v>
      </c>
      <c r="X1862">
        <v>0.85</v>
      </c>
    </row>
    <row r="1863" spans="1:24" x14ac:dyDescent="0.3">
      <c r="A1863" t="s">
        <v>2607</v>
      </c>
      <c r="B1863" s="1">
        <v>45738</v>
      </c>
      <c r="C1863" t="s">
        <v>56</v>
      </c>
      <c r="D1863" t="s">
        <v>88</v>
      </c>
      <c r="E1863" t="s">
        <v>27</v>
      </c>
      <c r="F1863" t="s">
        <v>28</v>
      </c>
      <c r="G1863" t="s">
        <v>29</v>
      </c>
      <c r="H1863" t="s">
        <v>135</v>
      </c>
      <c r="I1863" t="s">
        <v>687</v>
      </c>
      <c r="J1863" t="s">
        <v>62</v>
      </c>
      <c r="K1863" t="s">
        <v>85</v>
      </c>
      <c r="L1863" t="s">
        <v>34</v>
      </c>
      <c r="M1863" t="s">
        <v>65</v>
      </c>
      <c r="N1863" t="s">
        <v>36</v>
      </c>
      <c r="O1863">
        <v>30</v>
      </c>
      <c r="P1863">
        <v>30</v>
      </c>
      <c r="Q1863">
        <v>35.200000000000003</v>
      </c>
      <c r="R1863">
        <v>600</v>
      </c>
      <c r="S1863">
        <v>600</v>
      </c>
      <c r="T1863">
        <v>0</v>
      </c>
      <c r="U1863">
        <v>0</v>
      </c>
      <c r="V1863">
        <v>1</v>
      </c>
      <c r="W1863">
        <v>0</v>
      </c>
      <c r="X1863">
        <v>0.85</v>
      </c>
    </row>
    <row r="1864" spans="1:24" x14ac:dyDescent="0.3">
      <c r="A1864" t="s">
        <v>2608</v>
      </c>
      <c r="B1864" s="1">
        <v>45971</v>
      </c>
      <c r="C1864" t="s">
        <v>38</v>
      </c>
      <c r="D1864" t="s">
        <v>39</v>
      </c>
      <c r="E1864" t="s">
        <v>68</v>
      </c>
      <c r="F1864" t="s">
        <v>41</v>
      </c>
      <c r="G1864" t="s">
        <v>42</v>
      </c>
      <c r="H1864" t="s">
        <v>125</v>
      </c>
      <c r="I1864" t="s">
        <v>580</v>
      </c>
      <c r="J1864" t="s">
        <v>99</v>
      </c>
      <c r="K1864" t="s">
        <v>104</v>
      </c>
      <c r="L1864" t="s">
        <v>34</v>
      </c>
      <c r="M1864" t="s">
        <v>35</v>
      </c>
      <c r="N1864" t="s">
        <v>36</v>
      </c>
      <c r="O1864">
        <v>90</v>
      </c>
      <c r="P1864">
        <v>90</v>
      </c>
      <c r="Q1864">
        <v>112.5</v>
      </c>
      <c r="R1864">
        <v>2000</v>
      </c>
      <c r="S1864">
        <v>2000</v>
      </c>
      <c r="T1864">
        <v>0</v>
      </c>
      <c r="U1864">
        <v>0</v>
      </c>
      <c r="V1864">
        <v>1</v>
      </c>
      <c r="W1864">
        <v>0</v>
      </c>
      <c r="X1864">
        <v>0.85</v>
      </c>
    </row>
    <row r="1865" spans="1:24" x14ac:dyDescent="0.3">
      <c r="A1865" t="s">
        <v>2609</v>
      </c>
      <c r="B1865" s="1">
        <v>45887</v>
      </c>
      <c r="C1865" t="s">
        <v>110</v>
      </c>
      <c r="D1865" t="s">
        <v>39</v>
      </c>
      <c r="E1865" t="s">
        <v>83</v>
      </c>
      <c r="F1865" t="s">
        <v>28</v>
      </c>
      <c r="G1865" t="s">
        <v>29</v>
      </c>
      <c r="H1865" t="s">
        <v>135</v>
      </c>
      <c r="I1865" t="s">
        <v>77</v>
      </c>
      <c r="J1865" t="s">
        <v>32</v>
      </c>
      <c r="K1865" t="s">
        <v>63</v>
      </c>
      <c r="L1865" t="s">
        <v>34</v>
      </c>
      <c r="M1865" t="s">
        <v>65</v>
      </c>
      <c r="N1865" t="s">
        <v>95</v>
      </c>
      <c r="O1865">
        <v>60</v>
      </c>
      <c r="P1865">
        <v>0</v>
      </c>
      <c r="Q1865">
        <v>75.900000000000006</v>
      </c>
      <c r="R1865">
        <v>1250</v>
      </c>
      <c r="S1865">
        <v>0</v>
      </c>
      <c r="T1865">
        <v>1250</v>
      </c>
      <c r="U1865">
        <v>1</v>
      </c>
      <c r="V1865">
        <v>0</v>
      </c>
      <c r="W1865">
        <v>0</v>
      </c>
      <c r="X1865">
        <v>0.85</v>
      </c>
    </row>
    <row r="1866" spans="1:24" x14ac:dyDescent="0.3">
      <c r="A1866" t="s">
        <v>2610</v>
      </c>
      <c r="B1866" s="1">
        <v>45986</v>
      </c>
      <c r="C1866" t="s">
        <v>38</v>
      </c>
      <c r="D1866" t="s">
        <v>26</v>
      </c>
      <c r="E1866" t="s">
        <v>83</v>
      </c>
      <c r="F1866" t="s">
        <v>58</v>
      </c>
      <c r="G1866" t="s">
        <v>59</v>
      </c>
      <c r="H1866" t="s">
        <v>151</v>
      </c>
      <c r="I1866" t="s">
        <v>1906</v>
      </c>
      <c r="J1866" t="s">
        <v>32</v>
      </c>
      <c r="K1866" t="s">
        <v>104</v>
      </c>
      <c r="L1866" t="s">
        <v>34</v>
      </c>
      <c r="M1866" t="s">
        <v>71</v>
      </c>
      <c r="N1866" t="s">
        <v>36</v>
      </c>
      <c r="O1866">
        <v>45</v>
      </c>
      <c r="P1866">
        <v>45</v>
      </c>
      <c r="Q1866">
        <v>60.7</v>
      </c>
      <c r="R1866">
        <v>1100</v>
      </c>
      <c r="S1866">
        <v>1100</v>
      </c>
      <c r="T1866">
        <v>0</v>
      </c>
      <c r="U1866">
        <v>0</v>
      </c>
      <c r="V1866">
        <v>1</v>
      </c>
      <c r="W1866">
        <v>0</v>
      </c>
      <c r="X1866">
        <v>0.85</v>
      </c>
    </row>
    <row r="1867" spans="1:24" x14ac:dyDescent="0.3">
      <c r="A1867" t="s">
        <v>2611</v>
      </c>
      <c r="B1867" s="1">
        <v>45691</v>
      </c>
      <c r="C1867" t="s">
        <v>76</v>
      </c>
      <c r="D1867" t="s">
        <v>39</v>
      </c>
      <c r="E1867" t="s">
        <v>83</v>
      </c>
      <c r="F1867" t="s">
        <v>41</v>
      </c>
      <c r="G1867" t="s">
        <v>42</v>
      </c>
      <c r="H1867" t="s">
        <v>125</v>
      </c>
      <c r="I1867" t="s">
        <v>2155</v>
      </c>
      <c r="J1867" t="s">
        <v>62</v>
      </c>
      <c r="K1867" t="s">
        <v>104</v>
      </c>
      <c r="L1867" t="s">
        <v>54</v>
      </c>
      <c r="M1867" t="s">
        <v>47</v>
      </c>
      <c r="N1867" t="s">
        <v>113</v>
      </c>
      <c r="O1867">
        <v>60</v>
      </c>
      <c r="P1867">
        <v>0</v>
      </c>
      <c r="Q1867">
        <v>79.3</v>
      </c>
      <c r="R1867">
        <v>1150</v>
      </c>
      <c r="S1867">
        <v>0</v>
      </c>
      <c r="T1867">
        <v>1150</v>
      </c>
      <c r="U1867">
        <v>0</v>
      </c>
      <c r="V1867">
        <v>0</v>
      </c>
      <c r="W1867">
        <v>1</v>
      </c>
      <c r="X1867">
        <v>0.85</v>
      </c>
    </row>
    <row r="1868" spans="1:24" x14ac:dyDescent="0.3">
      <c r="A1868" t="s">
        <v>2612</v>
      </c>
      <c r="B1868" s="1">
        <v>45689</v>
      </c>
      <c r="C1868" t="s">
        <v>76</v>
      </c>
      <c r="D1868" t="s">
        <v>88</v>
      </c>
      <c r="E1868" t="s">
        <v>83</v>
      </c>
      <c r="F1868" t="s">
        <v>41</v>
      </c>
      <c r="G1868" t="s">
        <v>42</v>
      </c>
      <c r="H1868" t="s">
        <v>89</v>
      </c>
      <c r="I1868" t="s">
        <v>2359</v>
      </c>
      <c r="J1868" t="s">
        <v>53</v>
      </c>
      <c r="K1868" t="s">
        <v>70</v>
      </c>
      <c r="L1868" t="s">
        <v>54</v>
      </c>
      <c r="M1868" t="s">
        <v>71</v>
      </c>
      <c r="N1868" t="s">
        <v>36</v>
      </c>
      <c r="O1868">
        <v>30</v>
      </c>
      <c r="P1868">
        <v>30</v>
      </c>
      <c r="Q1868">
        <v>33.700000000000003</v>
      </c>
      <c r="R1868">
        <v>700</v>
      </c>
      <c r="S1868">
        <v>700</v>
      </c>
      <c r="T1868">
        <v>0</v>
      </c>
      <c r="U1868">
        <v>0</v>
      </c>
      <c r="V1868">
        <v>1</v>
      </c>
      <c r="W1868">
        <v>0</v>
      </c>
      <c r="X1868">
        <v>0.85</v>
      </c>
    </row>
    <row r="1869" spans="1:24" x14ac:dyDescent="0.3">
      <c r="A1869" t="s">
        <v>2613</v>
      </c>
      <c r="B1869" s="1">
        <v>45884</v>
      </c>
      <c r="C1869" t="s">
        <v>110</v>
      </c>
      <c r="D1869" t="s">
        <v>82</v>
      </c>
      <c r="E1869" t="s">
        <v>27</v>
      </c>
      <c r="F1869" t="s">
        <v>41</v>
      </c>
      <c r="G1869" t="s">
        <v>42</v>
      </c>
      <c r="H1869" t="s">
        <v>89</v>
      </c>
      <c r="I1869" t="s">
        <v>879</v>
      </c>
      <c r="J1869" t="s">
        <v>45</v>
      </c>
      <c r="K1869" t="s">
        <v>63</v>
      </c>
      <c r="L1869" t="s">
        <v>64</v>
      </c>
      <c r="M1869" t="s">
        <v>65</v>
      </c>
      <c r="N1869" t="s">
        <v>113</v>
      </c>
      <c r="O1869">
        <v>75</v>
      </c>
      <c r="P1869">
        <v>0</v>
      </c>
      <c r="Q1869">
        <v>100.4</v>
      </c>
      <c r="R1869">
        <v>1950</v>
      </c>
      <c r="S1869">
        <v>0</v>
      </c>
      <c r="T1869">
        <v>1950</v>
      </c>
      <c r="U1869">
        <v>0</v>
      </c>
      <c r="V1869">
        <v>0</v>
      </c>
      <c r="W1869">
        <v>1</v>
      </c>
      <c r="X1869">
        <v>0.85</v>
      </c>
    </row>
    <row r="1870" spans="1:24" x14ac:dyDescent="0.3">
      <c r="A1870" t="s">
        <v>2614</v>
      </c>
      <c r="B1870" s="1">
        <v>45820</v>
      </c>
      <c r="C1870" t="s">
        <v>67</v>
      </c>
      <c r="D1870" t="s">
        <v>50</v>
      </c>
      <c r="E1870" t="s">
        <v>27</v>
      </c>
      <c r="F1870" t="s">
        <v>58</v>
      </c>
      <c r="G1870" t="s">
        <v>59</v>
      </c>
      <c r="H1870" t="s">
        <v>60</v>
      </c>
      <c r="I1870" t="s">
        <v>422</v>
      </c>
      <c r="J1870" t="s">
        <v>99</v>
      </c>
      <c r="K1870" t="s">
        <v>46</v>
      </c>
      <c r="L1870" t="s">
        <v>64</v>
      </c>
      <c r="M1870" t="s">
        <v>86</v>
      </c>
      <c r="N1870" t="s">
        <v>36</v>
      </c>
      <c r="O1870">
        <v>45</v>
      </c>
      <c r="P1870">
        <v>45</v>
      </c>
      <c r="Q1870">
        <v>53.6</v>
      </c>
      <c r="R1870">
        <v>1100</v>
      </c>
      <c r="S1870">
        <v>1100</v>
      </c>
      <c r="T1870">
        <v>0</v>
      </c>
      <c r="U1870">
        <v>0</v>
      </c>
      <c r="V1870">
        <v>1</v>
      </c>
      <c r="W1870">
        <v>0</v>
      </c>
      <c r="X1870">
        <v>0.85</v>
      </c>
    </row>
    <row r="1871" spans="1:24" x14ac:dyDescent="0.3">
      <c r="A1871" t="s">
        <v>2615</v>
      </c>
      <c r="B1871" s="1">
        <v>45717</v>
      </c>
      <c r="C1871" t="s">
        <v>56</v>
      </c>
      <c r="D1871" t="s">
        <v>88</v>
      </c>
      <c r="E1871" t="s">
        <v>40</v>
      </c>
      <c r="F1871" t="s">
        <v>28</v>
      </c>
      <c r="G1871" t="s">
        <v>29</v>
      </c>
      <c r="H1871" t="s">
        <v>135</v>
      </c>
      <c r="I1871" t="s">
        <v>1568</v>
      </c>
      <c r="J1871" t="s">
        <v>45</v>
      </c>
      <c r="K1871" t="s">
        <v>33</v>
      </c>
      <c r="L1871" t="s">
        <v>34</v>
      </c>
      <c r="M1871" t="s">
        <v>71</v>
      </c>
      <c r="N1871" t="s">
        <v>36</v>
      </c>
      <c r="O1871">
        <v>90</v>
      </c>
      <c r="P1871">
        <v>90</v>
      </c>
      <c r="Q1871">
        <v>99.9</v>
      </c>
      <c r="R1871">
        <v>2150</v>
      </c>
      <c r="S1871">
        <v>2150</v>
      </c>
      <c r="T1871">
        <v>0</v>
      </c>
      <c r="U1871">
        <v>0</v>
      </c>
      <c r="V1871">
        <v>1</v>
      </c>
      <c r="W1871">
        <v>0</v>
      </c>
      <c r="X1871">
        <v>0.85</v>
      </c>
    </row>
    <row r="1872" spans="1:24" x14ac:dyDescent="0.3">
      <c r="A1872" t="s">
        <v>2616</v>
      </c>
      <c r="B1872" s="1">
        <v>45731</v>
      </c>
      <c r="C1872" t="s">
        <v>56</v>
      </c>
      <c r="D1872" t="s">
        <v>88</v>
      </c>
      <c r="E1872" t="s">
        <v>40</v>
      </c>
      <c r="F1872" t="s">
        <v>41</v>
      </c>
      <c r="G1872" t="s">
        <v>42</v>
      </c>
      <c r="H1872" t="s">
        <v>89</v>
      </c>
      <c r="I1872" t="s">
        <v>1187</v>
      </c>
      <c r="J1872" t="s">
        <v>62</v>
      </c>
      <c r="K1872" t="s">
        <v>46</v>
      </c>
      <c r="L1872" t="s">
        <v>64</v>
      </c>
      <c r="M1872" t="s">
        <v>71</v>
      </c>
      <c r="N1872" t="s">
        <v>36</v>
      </c>
      <c r="O1872">
        <v>60</v>
      </c>
      <c r="P1872">
        <v>60</v>
      </c>
      <c r="Q1872">
        <v>65.7</v>
      </c>
      <c r="R1872">
        <v>1350</v>
      </c>
      <c r="S1872">
        <v>1350</v>
      </c>
      <c r="T1872">
        <v>0</v>
      </c>
      <c r="U1872">
        <v>0</v>
      </c>
      <c r="V1872">
        <v>1</v>
      </c>
      <c r="W1872">
        <v>0</v>
      </c>
      <c r="X1872">
        <v>0.85</v>
      </c>
    </row>
    <row r="1873" spans="1:24" x14ac:dyDescent="0.3">
      <c r="A1873" t="s">
        <v>2617</v>
      </c>
      <c r="B1873" s="1">
        <v>45817</v>
      </c>
      <c r="C1873" t="s">
        <v>67</v>
      </c>
      <c r="D1873" t="s">
        <v>39</v>
      </c>
      <c r="E1873" t="s">
        <v>40</v>
      </c>
      <c r="F1873" t="s">
        <v>28</v>
      </c>
      <c r="G1873" t="s">
        <v>29</v>
      </c>
      <c r="H1873" t="s">
        <v>135</v>
      </c>
      <c r="I1873" t="s">
        <v>2327</v>
      </c>
      <c r="J1873" t="s">
        <v>137</v>
      </c>
      <c r="K1873" t="s">
        <v>46</v>
      </c>
      <c r="L1873" t="s">
        <v>34</v>
      </c>
      <c r="M1873" t="s">
        <v>47</v>
      </c>
      <c r="N1873" t="s">
        <v>95</v>
      </c>
      <c r="O1873">
        <v>45</v>
      </c>
      <c r="P1873">
        <v>0</v>
      </c>
      <c r="Q1873">
        <v>56.5</v>
      </c>
      <c r="R1873">
        <v>950</v>
      </c>
      <c r="S1873">
        <v>0</v>
      </c>
      <c r="T1873">
        <v>950</v>
      </c>
      <c r="U1873">
        <v>1</v>
      </c>
      <c r="V1873">
        <v>0</v>
      </c>
      <c r="W1873">
        <v>0</v>
      </c>
      <c r="X1873">
        <v>0.85</v>
      </c>
    </row>
    <row r="1874" spans="1:24" x14ac:dyDescent="0.3">
      <c r="A1874" t="s">
        <v>2618</v>
      </c>
      <c r="B1874" s="1">
        <v>45932</v>
      </c>
      <c r="C1874" t="s">
        <v>97</v>
      </c>
      <c r="D1874" t="s">
        <v>50</v>
      </c>
      <c r="E1874" t="s">
        <v>40</v>
      </c>
      <c r="F1874" t="s">
        <v>28</v>
      </c>
      <c r="G1874" t="s">
        <v>29</v>
      </c>
      <c r="H1874" t="s">
        <v>102</v>
      </c>
      <c r="I1874" t="s">
        <v>2619</v>
      </c>
      <c r="J1874" t="s">
        <v>32</v>
      </c>
      <c r="K1874" t="s">
        <v>46</v>
      </c>
      <c r="L1874" t="s">
        <v>34</v>
      </c>
      <c r="M1874" t="s">
        <v>65</v>
      </c>
      <c r="N1874" t="s">
        <v>36</v>
      </c>
      <c r="O1874">
        <v>45</v>
      </c>
      <c r="P1874">
        <v>45</v>
      </c>
      <c r="Q1874">
        <v>57.9</v>
      </c>
      <c r="R1874">
        <v>950</v>
      </c>
      <c r="S1874">
        <v>950</v>
      </c>
      <c r="T1874">
        <v>0</v>
      </c>
      <c r="U1874">
        <v>0</v>
      </c>
      <c r="V1874">
        <v>1</v>
      </c>
      <c r="W1874">
        <v>0</v>
      </c>
      <c r="X1874">
        <v>0.85</v>
      </c>
    </row>
    <row r="1875" spans="1:24" x14ac:dyDescent="0.3">
      <c r="A1875" t="s">
        <v>2620</v>
      </c>
      <c r="B1875" s="1">
        <v>45920</v>
      </c>
      <c r="C1875" t="s">
        <v>49</v>
      </c>
      <c r="D1875" t="s">
        <v>88</v>
      </c>
      <c r="E1875" t="s">
        <v>27</v>
      </c>
      <c r="F1875" t="s">
        <v>41</v>
      </c>
      <c r="G1875" t="s">
        <v>42</v>
      </c>
      <c r="H1875" t="s">
        <v>51</v>
      </c>
      <c r="I1875" t="s">
        <v>958</v>
      </c>
      <c r="J1875" t="s">
        <v>53</v>
      </c>
      <c r="K1875" t="s">
        <v>63</v>
      </c>
      <c r="L1875" t="s">
        <v>54</v>
      </c>
      <c r="M1875" t="s">
        <v>47</v>
      </c>
      <c r="N1875" t="s">
        <v>36</v>
      </c>
      <c r="O1875">
        <v>60</v>
      </c>
      <c r="P1875">
        <v>60</v>
      </c>
      <c r="Q1875">
        <v>67.2</v>
      </c>
      <c r="R1875">
        <v>1400</v>
      </c>
      <c r="S1875">
        <v>1400</v>
      </c>
      <c r="T1875">
        <v>0</v>
      </c>
      <c r="U1875">
        <v>0</v>
      </c>
      <c r="V1875">
        <v>1</v>
      </c>
      <c r="W1875">
        <v>0</v>
      </c>
      <c r="X1875">
        <v>0.85</v>
      </c>
    </row>
    <row r="1876" spans="1:24" x14ac:dyDescent="0.3">
      <c r="A1876" t="s">
        <v>2621</v>
      </c>
      <c r="B1876" s="1">
        <v>45992</v>
      </c>
      <c r="C1876" t="s">
        <v>25</v>
      </c>
      <c r="D1876" t="s">
        <v>39</v>
      </c>
      <c r="E1876" t="s">
        <v>83</v>
      </c>
      <c r="F1876" t="s">
        <v>58</v>
      </c>
      <c r="G1876" t="s">
        <v>59</v>
      </c>
      <c r="H1876" t="s">
        <v>296</v>
      </c>
      <c r="I1876" t="s">
        <v>911</v>
      </c>
      <c r="J1876" t="s">
        <v>62</v>
      </c>
      <c r="K1876" t="s">
        <v>85</v>
      </c>
      <c r="L1876" t="s">
        <v>78</v>
      </c>
      <c r="M1876" t="s">
        <v>35</v>
      </c>
      <c r="N1876" t="s">
        <v>36</v>
      </c>
      <c r="O1876">
        <v>30</v>
      </c>
      <c r="P1876">
        <v>30</v>
      </c>
      <c r="Q1876">
        <v>38.799999999999997</v>
      </c>
      <c r="R1876">
        <v>700</v>
      </c>
      <c r="S1876">
        <v>700</v>
      </c>
      <c r="T1876">
        <v>0</v>
      </c>
      <c r="U1876">
        <v>0</v>
      </c>
      <c r="V1876">
        <v>1</v>
      </c>
      <c r="W1876">
        <v>0</v>
      </c>
      <c r="X1876">
        <v>0.85</v>
      </c>
    </row>
    <row r="1877" spans="1:24" x14ac:dyDescent="0.3">
      <c r="A1877" t="s">
        <v>2622</v>
      </c>
      <c r="B1877" s="1">
        <v>45699</v>
      </c>
      <c r="C1877" t="s">
        <v>76</v>
      </c>
      <c r="D1877" t="s">
        <v>26</v>
      </c>
      <c r="E1877" t="s">
        <v>68</v>
      </c>
      <c r="F1877" t="s">
        <v>41</v>
      </c>
      <c r="G1877" t="s">
        <v>42</v>
      </c>
      <c r="H1877" t="s">
        <v>51</v>
      </c>
      <c r="I1877" t="s">
        <v>564</v>
      </c>
      <c r="J1877" t="s">
        <v>137</v>
      </c>
      <c r="K1877" t="s">
        <v>63</v>
      </c>
      <c r="L1877" t="s">
        <v>64</v>
      </c>
      <c r="M1877" t="s">
        <v>35</v>
      </c>
      <c r="N1877" t="s">
        <v>36</v>
      </c>
      <c r="O1877">
        <v>45</v>
      </c>
      <c r="P1877">
        <v>45</v>
      </c>
      <c r="Q1877">
        <v>57.2</v>
      </c>
      <c r="R1877">
        <v>1000</v>
      </c>
      <c r="S1877">
        <v>1000</v>
      </c>
      <c r="T1877">
        <v>0</v>
      </c>
      <c r="U1877">
        <v>0</v>
      </c>
      <c r="V1877">
        <v>1</v>
      </c>
      <c r="W1877">
        <v>0</v>
      </c>
      <c r="X1877">
        <v>0.85</v>
      </c>
    </row>
    <row r="1878" spans="1:24" x14ac:dyDescent="0.3">
      <c r="A1878" t="s">
        <v>2623</v>
      </c>
      <c r="B1878" s="1">
        <v>45995</v>
      </c>
      <c r="C1878" t="s">
        <v>25</v>
      </c>
      <c r="D1878" t="s">
        <v>50</v>
      </c>
      <c r="E1878" t="s">
        <v>27</v>
      </c>
      <c r="F1878" t="s">
        <v>41</v>
      </c>
      <c r="G1878" t="s">
        <v>42</v>
      </c>
      <c r="H1878" t="s">
        <v>43</v>
      </c>
      <c r="I1878" t="s">
        <v>486</v>
      </c>
      <c r="J1878" t="s">
        <v>62</v>
      </c>
      <c r="K1878" t="s">
        <v>63</v>
      </c>
      <c r="L1878" t="s">
        <v>64</v>
      </c>
      <c r="M1878" t="s">
        <v>65</v>
      </c>
      <c r="N1878" t="s">
        <v>36</v>
      </c>
      <c r="O1878">
        <v>60</v>
      </c>
      <c r="P1878">
        <v>60</v>
      </c>
      <c r="Q1878">
        <v>67.599999999999994</v>
      </c>
      <c r="R1878">
        <v>1350</v>
      </c>
      <c r="S1878">
        <v>1350</v>
      </c>
      <c r="T1878">
        <v>0</v>
      </c>
      <c r="U1878">
        <v>0</v>
      </c>
      <c r="V1878">
        <v>1</v>
      </c>
      <c r="W1878">
        <v>0</v>
      </c>
      <c r="X1878">
        <v>0.85</v>
      </c>
    </row>
    <row r="1879" spans="1:24" x14ac:dyDescent="0.3">
      <c r="A1879" t="s">
        <v>2624</v>
      </c>
      <c r="B1879" s="1">
        <v>45800</v>
      </c>
      <c r="C1879" t="s">
        <v>128</v>
      </c>
      <c r="D1879" t="s">
        <v>82</v>
      </c>
      <c r="E1879" t="s">
        <v>68</v>
      </c>
      <c r="F1879" t="s">
        <v>41</v>
      </c>
      <c r="G1879" t="s">
        <v>42</v>
      </c>
      <c r="H1879" t="s">
        <v>125</v>
      </c>
      <c r="I1879" t="s">
        <v>648</v>
      </c>
      <c r="J1879" t="s">
        <v>53</v>
      </c>
      <c r="K1879" t="s">
        <v>85</v>
      </c>
      <c r="L1879" t="s">
        <v>34</v>
      </c>
      <c r="M1879" t="s">
        <v>65</v>
      </c>
      <c r="N1879" t="s">
        <v>36</v>
      </c>
      <c r="O1879">
        <v>75</v>
      </c>
      <c r="P1879">
        <v>75</v>
      </c>
      <c r="Q1879">
        <v>97.7</v>
      </c>
      <c r="R1879">
        <v>2000</v>
      </c>
      <c r="S1879">
        <v>2000</v>
      </c>
      <c r="T1879">
        <v>0</v>
      </c>
      <c r="U1879">
        <v>0</v>
      </c>
      <c r="V1879">
        <v>1</v>
      </c>
      <c r="W1879">
        <v>0</v>
      </c>
      <c r="X1879">
        <v>0.85</v>
      </c>
    </row>
    <row r="1880" spans="1:24" x14ac:dyDescent="0.3">
      <c r="A1880" t="s">
        <v>2625</v>
      </c>
      <c r="B1880" s="1">
        <v>45918</v>
      </c>
      <c r="C1880" t="s">
        <v>49</v>
      </c>
      <c r="D1880" t="s">
        <v>50</v>
      </c>
      <c r="E1880" t="s">
        <v>83</v>
      </c>
      <c r="F1880" t="s">
        <v>41</v>
      </c>
      <c r="G1880" t="s">
        <v>42</v>
      </c>
      <c r="H1880" t="s">
        <v>111</v>
      </c>
      <c r="I1880" t="s">
        <v>1139</v>
      </c>
      <c r="J1880" t="s">
        <v>62</v>
      </c>
      <c r="K1880" t="s">
        <v>46</v>
      </c>
      <c r="L1880" t="s">
        <v>34</v>
      </c>
      <c r="M1880" t="s">
        <v>94</v>
      </c>
      <c r="N1880" t="s">
        <v>36</v>
      </c>
      <c r="O1880">
        <v>60</v>
      </c>
      <c r="P1880">
        <v>60</v>
      </c>
      <c r="Q1880">
        <v>73.599999999999994</v>
      </c>
      <c r="R1880">
        <v>1350</v>
      </c>
      <c r="S1880">
        <v>1350</v>
      </c>
      <c r="T1880">
        <v>0</v>
      </c>
      <c r="U1880">
        <v>0</v>
      </c>
      <c r="V1880">
        <v>1</v>
      </c>
      <c r="W1880">
        <v>0</v>
      </c>
      <c r="X1880">
        <v>0.85</v>
      </c>
    </row>
    <row r="1881" spans="1:24" x14ac:dyDescent="0.3">
      <c r="A1881" t="s">
        <v>2626</v>
      </c>
      <c r="B1881" s="1">
        <v>45719</v>
      </c>
      <c r="C1881" t="s">
        <v>56</v>
      </c>
      <c r="D1881" t="s">
        <v>39</v>
      </c>
      <c r="E1881" t="s">
        <v>83</v>
      </c>
      <c r="F1881" t="s">
        <v>28</v>
      </c>
      <c r="G1881" t="s">
        <v>29</v>
      </c>
      <c r="H1881" t="s">
        <v>120</v>
      </c>
      <c r="I1881" t="s">
        <v>530</v>
      </c>
      <c r="J1881" t="s">
        <v>45</v>
      </c>
      <c r="K1881" t="s">
        <v>33</v>
      </c>
      <c r="L1881" t="s">
        <v>34</v>
      </c>
      <c r="M1881" t="s">
        <v>94</v>
      </c>
      <c r="N1881" t="s">
        <v>95</v>
      </c>
      <c r="O1881">
        <v>60</v>
      </c>
      <c r="P1881">
        <v>0</v>
      </c>
      <c r="Q1881">
        <v>81</v>
      </c>
      <c r="R1881">
        <v>1450</v>
      </c>
      <c r="S1881">
        <v>0</v>
      </c>
      <c r="T1881">
        <v>1450</v>
      </c>
      <c r="U1881">
        <v>1</v>
      </c>
      <c r="V1881">
        <v>0</v>
      </c>
      <c r="W1881">
        <v>0</v>
      </c>
      <c r="X1881">
        <v>0.85</v>
      </c>
    </row>
    <row r="1882" spans="1:24" x14ac:dyDescent="0.3">
      <c r="A1882" t="s">
        <v>2627</v>
      </c>
      <c r="B1882" s="1">
        <v>45740</v>
      </c>
      <c r="C1882" t="s">
        <v>56</v>
      </c>
      <c r="D1882" t="s">
        <v>39</v>
      </c>
      <c r="E1882" t="s">
        <v>27</v>
      </c>
      <c r="F1882" t="s">
        <v>28</v>
      </c>
      <c r="G1882" t="s">
        <v>29</v>
      </c>
      <c r="H1882" t="s">
        <v>102</v>
      </c>
      <c r="I1882" t="s">
        <v>1457</v>
      </c>
      <c r="J1882" t="s">
        <v>62</v>
      </c>
      <c r="K1882" t="s">
        <v>63</v>
      </c>
      <c r="L1882" t="s">
        <v>34</v>
      </c>
      <c r="M1882" t="s">
        <v>65</v>
      </c>
      <c r="N1882" t="s">
        <v>36</v>
      </c>
      <c r="O1882">
        <v>45</v>
      </c>
      <c r="P1882">
        <v>45</v>
      </c>
      <c r="Q1882">
        <v>50.5</v>
      </c>
      <c r="R1882">
        <v>950</v>
      </c>
      <c r="S1882">
        <v>950</v>
      </c>
      <c r="T1882">
        <v>0</v>
      </c>
      <c r="U1882">
        <v>0</v>
      </c>
      <c r="V1882">
        <v>1</v>
      </c>
      <c r="W1882">
        <v>0</v>
      </c>
      <c r="X1882">
        <v>0.85</v>
      </c>
    </row>
    <row r="1883" spans="1:24" x14ac:dyDescent="0.3">
      <c r="A1883" t="s">
        <v>2628</v>
      </c>
      <c r="B1883" s="1">
        <v>45854</v>
      </c>
      <c r="C1883" t="s">
        <v>101</v>
      </c>
      <c r="D1883" t="s">
        <v>57</v>
      </c>
      <c r="E1883" t="s">
        <v>27</v>
      </c>
      <c r="F1883" t="s">
        <v>28</v>
      </c>
      <c r="G1883" t="s">
        <v>29</v>
      </c>
      <c r="H1883" t="s">
        <v>30</v>
      </c>
      <c r="I1883" t="s">
        <v>705</v>
      </c>
      <c r="J1883" t="s">
        <v>62</v>
      </c>
      <c r="K1883" t="s">
        <v>46</v>
      </c>
      <c r="L1883" t="s">
        <v>34</v>
      </c>
      <c r="M1883" t="s">
        <v>71</v>
      </c>
      <c r="N1883" t="s">
        <v>113</v>
      </c>
      <c r="O1883">
        <v>60</v>
      </c>
      <c r="P1883">
        <v>0</v>
      </c>
      <c r="Q1883">
        <v>66.7</v>
      </c>
      <c r="R1883">
        <v>1250</v>
      </c>
      <c r="S1883">
        <v>0</v>
      </c>
      <c r="T1883">
        <v>1250</v>
      </c>
      <c r="U1883">
        <v>0</v>
      </c>
      <c r="V1883">
        <v>0</v>
      </c>
      <c r="W1883">
        <v>1</v>
      </c>
      <c r="X1883">
        <v>0.85</v>
      </c>
    </row>
    <row r="1884" spans="1:24" x14ac:dyDescent="0.3">
      <c r="A1884" t="s">
        <v>2629</v>
      </c>
      <c r="B1884" s="1">
        <v>45888</v>
      </c>
      <c r="C1884" t="s">
        <v>110</v>
      </c>
      <c r="D1884" t="s">
        <v>26</v>
      </c>
      <c r="E1884" t="s">
        <v>68</v>
      </c>
      <c r="F1884" t="s">
        <v>41</v>
      </c>
      <c r="G1884" t="s">
        <v>42</v>
      </c>
      <c r="H1884" t="s">
        <v>89</v>
      </c>
      <c r="I1884" t="s">
        <v>722</v>
      </c>
      <c r="J1884" t="s">
        <v>137</v>
      </c>
      <c r="K1884" t="s">
        <v>33</v>
      </c>
      <c r="L1884" t="s">
        <v>64</v>
      </c>
      <c r="M1884" t="s">
        <v>65</v>
      </c>
      <c r="N1884" t="s">
        <v>36</v>
      </c>
      <c r="O1884">
        <v>60</v>
      </c>
      <c r="P1884">
        <v>60</v>
      </c>
      <c r="Q1884">
        <v>68.2</v>
      </c>
      <c r="R1884">
        <v>1350</v>
      </c>
      <c r="S1884">
        <v>1350</v>
      </c>
      <c r="T1884">
        <v>0</v>
      </c>
      <c r="U1884">
        <v>0</v>
      </c>
      <c r="V1884">
        <v>1</v>
      </c>
      <c r="W1884">
        <v>0</v>
      </c>
      <c r="X1884">
        <v>0.85</v>
      </c>
    </row>
    <row r="1885" spans="1:24" x14ac:dyDescent="0.3">
      <c r="A1885" t="s">
        <v>2630</v>
      </c>
      <c r="B1885" s="1">
        <v>45658</v>
      </c>
      <c r="C1885" t="s">
        <v>130</v>
      </c>
      <c r="D1885" t="s">
        <v>57</v>
      </c>
      <c r="E1885" t="s">
        <v>83</v>
      </c>
      <c r="F1885" t="s">
        <v>28</v>
      </c>
      <c r="G1885" t="s">
        <v>29</v>
      </c>
      <c r="H1885" t="s">
        <v>135</v>
      </c>
      <c r="I1885" t="s">
        <v>624</v>
      </c>
      <c r="J1885" t="s">
        <v>32</v>
      </c>
      <c r="K1885" t="s">
        <v>63</v>
      </c>
      <c r="L1885" t="s">
        <v>34</v>
      </c>
      <c r="M1885" t="s">
        <v>94</v>
      </c>
      <c r="N1885" t="s">
        <v>36</v>
      </c>
      <c r="O1885">
        <v>60</v>
      </c>
      <c r="P1885">
        <v>60</v>
      </c>
      <c r="Q1885">
        <v>78.3</v>
      </c>
      <c r="R1885">
        <v>1250</v>
      </c>
      <c r="S1885">
        <v>1250</v>
      </c>
      <c r="T1885">
        <v>0</v>
      </c>
      <c r="U1885">
        <v>0</v>
      </c>
      <c r="V1885">
        <v>1</v>
      </c>
      <c r="W1885">
        <v>0</v>
      </c>
      <c r="X1885">
        <v>0.85</v>
      </c>
    </row>
    <row r="1886" spans="1:24" x14ac:dyDescent="0.3">
      <c r="A1886" t="s">
        <v>2631</v>
      </c>
      <c r="B1886" s="1">
        <v>45940</v>
      </c>
      <c r="C1886" t="s">
        <v>97</v>
      </c>
      <c r="D1886" t="s">
        <v>82</v>
      </c>
      <c r="E1886" t="s">
        <v>27</v>
      </c>
      <c r="F1886" t="s">
        <v>41</v>
      </c>
      <c r="G1886" t="s">
        <v>42</v>
      </c>
      <c r="H1886" t="s">
        <v>89</v>
      </c>
      <c r="I1886" t="s">
        <v>1319</v>
      </c>
      <c r="J1886" t="s">
        <v>99</v>
      </c>
      <c r="K1886" t="s">
        <v>70</v>
      </c>
      <c r="L1886" t="s">
        <v>34</v>
      </c>
      <c r="M1886" t="s">
        <v>35</v>
      </c>
      <c r="N1886" t="s">
        <v>36</v>
      </c>
      <c r="O1886">
        <v>60</v>
      </c>
      <c r="P1886">
        <v>60</v>
      </c>
      <c r="Q1886">
        <v>80.099999999999994</v>
      </c>
      <c r="R1886">
        <v>1350</v>
      </c>
      <c r="S1886">
        <v>1350</v>
      </c>
      <c r="T1886">
        <v>0</v>
      </c>
      <c r="U1886">
        <v>0</v>
      </c>
      <c r="V1886">
        <v>1</v>
      </c>
      <c r="W1886">
        <v>0</v>
      </c>
      <c r="X1886">
        <v>0.85</v>
      </c>
    </row>
    <row r="1887" spans="1:24" x14ac:dyDescent="0.3">
      <c r="A1887" t="s">
        <v>2632</v>
      </c>
      <c r="B1887" s="1">
        <v>45722</v>
      </c>
      <c r="C1887" t="s">
        <v>56</v>
      </c>
      <c r="D1887" t="s">
        <v>50</v>
      </c>
      <c r="E1887" t="s">
        <v>27</v>
      </c>
      <c r="F1887" t="s">
        <v>41</v>
      </c>
      <c r="G1887" t="s">
        <v>42</v>
      </c>
      <c r="H1887" t="s">
        <v>89</v>
      </c>
      <c r="I1887" t="s">
        <v>2589</v>
      </c>
      <c r="J1887" t="s">
        <v>53</v>
      </c>
      <c r="K1887" t="s">
        <v>85</v>
      </c>
      <c r="L1887" t="s">
        <v>54</v>
      </c>
      <c r="M1887" t="s">
        <v>94</v>
      </c>
      <c r="N1887" t="s">
        <v>36</v>
      </c>
      <c r="O1887">
        <v>75</v>
      </c>
      <c r="P1887">
        <v>75</v>
      </c>
      <c r="Q1887">
        <v>82.1</v>
      </c>
      <c r="R1887">
        <v>1700</v>
      </c>
      <c r="S1887">
        <v>1700</v>
      </c>
      <c r="T1887">
        <v>0</v>
      </c>
      <c r="U1887">
        <v>0</v>
      </c>
      <c r="V1887">
        <v>1</v>
      </c>
      <c r="W1887">
        <v>0</v>
      </c>
      <c r="X1887">
        <v>0.85</v>
      </c>
    </row>
    <row r="1888" spans="1:24" x14ac:dyDescent="0.3">
      <c r="A1888" t="s">
        <v>2633</v>
      </c>
      <c r="B1888" s="1">
        <v>45783</v>
      </c>
      <c r="C1888" t="s">
        <v>128</v>
      </c>
      <c r="D1888" t="s">
        <v>26</v>
      </c>
      <c r="E1888" t="s">
        <v>68</v>
      </c>
      <c r="F1888" t="s">
        <v>41</v>
      </c>
      <c r="G1888" t="s">
        <v>42</v>
      </c>
      <c r="H1888" t="s">
        <v>51</v>
      </c>
      <c r="I1888" t="s">
        <v>186</v>
      </c>
      <c r="J1888" t="s">
        <v>62</v>
      </c>
      <c r="K1888" t="s">
        <v>104</v>
      </c>
      <c r="L1888" t="s">
        <v>64</v>
      </c>
      <c r="M1888" t="s">
        <v>35</v>
      </c>
      <c r="N1888" t="s">
        <v>36</v>
      </c>
      <c r="O1888">
        <v>60</v>
      </c>
      <c r="P1888">
        <v>60</v>
      </c>
      <c r="Q1888">
        <v>66</v>
      </c>
      <c r="R1888">
        <v>1350</v>
      </c>
      <c r="S1888">
        <v>1350</v>
      </c>
      <c r="T1888">
        <v>0</v>
      </c>
      <c r="U1888">
        <v>0</v>
      </c>
      <c r="V1888">
        <v>1</v>
      </c>
      <c r="W1888">
        <v>0</v>
      </c>
      <c r="X1888">
        <v>0.85</v>
      </c>
    </row>
    <row r="1889" spans="1:24" x14ac:dyDescent="0.3">
      <c r="A1889" t="s">
        <v>2634</v>
      </c>
      <c r="B1889" s="1">
        <v>45825</v>
      </c>
      <c r="C1889" t="s">
        <v>67</v>
      </c>
      <c r="D1889" t="s">
        <v>26</v>
      </c>
      <c r="E1889" t="s">
        <v>27</v>
      </c>
      <c r="F1889" t="s">
        <v>58</v>
      </c>
      <c r="G1889" t="s">
        <v>59</v>
      </c>
      <c r="H1889" t="s">
        <v>73</v>
      </c>
      <c r="I1889" t="s">
        <v>2357</v>
      </c>
      <c r="J1889" t="s">
        <v>53</v>
      </c>
      <c r="K1889" t="s">
        <v>85</v>
      </c>
      <c r="L1889" t="s">
        <v>34</v>
      </c>
      <c r="M1889" t="s">
        <v>65</v>
      </c>
      <c r="N1889" t="s">
        <v>36</v>
      </c>
      <c r="O1889">
        <v>30</v>
      </c>
      <c r="P1889">
        <v>30</v>
      </c>
      <c r="Q1889">
        <v>32.799999999999997</v>
      </c>
      <c r="R1889">
        <v>900</v>
      </c>
      <c r="S1889">
        <v>900</v>
      </c>
      <c r="T1889">
        <v>0</v>
      </c>
      <c r="U1889">
        <v>0</v>
      </c>
      <c r="V1889">
        <v>1</v>
      </c>
      <c r="W1889">
        <v>0</v>
      </c>
      <c r="X1889">
        <v>0.85</v>
      </c>
    </row>
    <row r="1890" spans="1:24" x14ac:dyDescent="0.3">
      <c r="A1890" t="s">
        <v>2635</v>
      </c>
      <c r="B1890" s="1">
        <v>45961</v>
      </c>
      <c r="C1890" t="s">
        <v>97</v>
      </c>
      <c r="D1890" t="s">
        <v>82</v>
      </c>
      <c r="E1890" t="s">
        <v>68</v>
      </c>
      <c r="F1890" t="s">
        <v>28</v>
      </c>
      <c r="G1890" t="s">
        <v>29</v>
      </c>
      <c r="H1890" t="s">
        <v>120</v>
      </c>
      <c r="I1890" t="s">
        <v>677</v>
      </c>
      <c r="J1890" t="s">
        <v>62</v>
      </c>
      <c r="K1890" t="s">
        <v>46</v>
      </c>
      <c r="L1890" t="s">
        <v>34</v>
      </c>
      <c r="M1890" t="s">
        <v>35</v>
      </c>
      <c r="N1890" t="s">
        <v>36</v>
      </c>
      <c r="O1890">
        <v>60</v>
      </c>
      <c r="P1890">
        <v>60</v>
      </c>
      <c r="Q1890">
        <v>79.599999999999994</v>
      </c>
      <c r="R1890">
        <v>1250</v>
      </c>
      <c r="S1890">
        <v>1250</v>
      </c>
      <c r="T1890">
        <v>0</v>
      </c>
      <c r="U1890">
        <v>0</v>
      </c>
      <c r="V1890">
        <v>1</v>
      </c>
      <c r="W1890">
        <v>0</v>
      </c>
      <c r="X1890">
        <v>0.85</v>
      </c>
    </row>
    <row r="1891" spans="1:24" x14ac:dyDescent="0.3">
      <c r="A1891" t="s">
        <v>2636</v>
      </c>
      <c r="B1891" s="1">
        <v>45950</v>
      </c>
      <c r="C1891" t="s">
        <v>97</v>
      </c>
      <c r="D1891" t="s">
        <v>39</v>
      </c>
      <c r="E1891" t="s">
        <v>68</v>
      </c>
      <c r="F1891" t="s">
        <v>58</v>
      </c>
      <c r="G1891" t="s">
        <v>59</v>
      </c>
      <c r="H1891" t="s">
        <v>151</v>
      </c>
      <c r="I1891" t="s">
        <v>906</v>
      </c>
      <c r="J1891" t="s">
        <v>62</v>
      </c>
      <c r="K1891" t="s">
        <v>104</v>
      </c>
      <c r="L1891" t="s">
        <v>64</v>
      </c>
      <c r="M1891" t="s">
        <v>94</v>
      </c>
      <c r="N1891" t="s">
        <v>36</v>
      </c>
      <c r="O1891">
        <v>60</v>
      </c>
      <c r="P1891">
        <v>60</v>
      </c>
      <c r="Q1891">
        <v>73.400000000000006</v>
      </c>
      <c r="R1891">
        <v>1500</v>
      </c>
      <c r="S1891">
        <v>1500</v>
      </c>
      <c r="T1891">
        <v>0</v>
      </c>
      <c r="U1891">
        <v>0</v>
      </c>
      <c r="V1891">
        <v>1</v>
      </c>
      <c r="W1891">
        <v>0</v>
      </c>
      <c r="X1891">
        <v>0.85</v>
      </c>
    </row>
    <row r="1892" spans="1:24" x14ac:dyDescent="0.3">
      <c r="A1892" t="s">
        <v>2637</v>
      </c>
      <c r="B1892" s="1">
        <v>45867</v>
      </c>
      <c r="C1892" t="s">
        <v>101</v>
      </c>
      <c r="D1892" t="s">
        <v>26</v>
      </c>
      <c r="E1892" t="s">
        <v>83</v>
      </c>
      <c r="F1892" t="s">
        <v>41</v>
      </c>
      <c r="G1892" t="s">
        <v>42</v>
      </c>
      <c r="H1892" t="s">
        <v>89</v>
      </c>
      <c r="I1892" t="s">
        <v>890</v>
      </c>
      <c r="J1892" t="s">
        <v>53</v>
      </c>
      <c r="K1892" t="s">
        <v>104</v>
      </c>
      <c r="L1892" t="s">
        <v>64</v>
      </c>
      <c r="M1892" t="s">
        <v>94</v>
      </c>
      <c r="N1892" t="s">
        <v>36</v>
      </c>
      <c r="O1892">
        <v>60</v>
      </c>
      <c r="P1892">
        <v>60</v>
      </c>
      <c r="Q1892">
        <v>70.400000000000006</v>
      </c>
      <c r="R1892">
        <v>1600</v>
      </c>
      <c r="S1892">
        <v>1600</v>
      </c>
      <c r="T1892">
        <v>0</v>
      </c>
      <c r="U1892">
        <v>0</v>
      </c>
      <c r="V1892">
        <v>1</v>
      </c>
      <c r="W1892">
        <v>0</v>
      </c>
      <c r="X1892">
        <v>0.85</v>
      </c>
    </row>
    <row r="1893" spans="1:24" x14ac:dyDescent="0.3">
      <c r="A1893" t="s">
        <v>2638</v>
      </c>
      <c r="B1893" s="1">
        <v>45985</v>
      </c>
      <c r="C1893" t="s">
        <v>38</v>
      </c>
      <c r="D1893" t="s">
        <v>39</v>
      </c>
      <c r="E1893" t="s">
        <v>83</v>
      </c>
      <c r="F1893" t="s">
        <v>28</v>
      </c>
      <c r="G1893" t="s">
        <v>29</v>
      </c>
      <c r="H1893" t="s">
        <v>135</v>
      </c>
      <c r="I1893" t="s">
        <v>560</v>
      </c>
      <c r="J1893" t="s">
        <v>99</v>
      </c>
      <c r="K1893" t="s">
        <v>46</v>
      </c>
      <c r="L1893" t="s">
        <v>64</v>
      </c>
      <c r="M1893" t="s">
        <v>35</v>
      </c>
      <c r="N1893" t="s">
        <v>36</v>
      </c>
      <c r="O1893">
        <v>30</v>
      </c>
      <c r="P1893">
        <v>30</v>
      </c>
      <c r="Q1893">
        <v>34.799999999999997</v>
      </c>
      <c r="R1893">
        <v>600</v>
      </c>
      <c r="S1893">
        <v>600</v>
      </c>
      <c r="T1893">
        <v>0</v>
      </c>
      <c r="U1893">
        <v>0</v>
      </c>
      <c r="V1893">
        <v>1</v>
      </c>
      <c r="W1893">
        <v>0</v>
      </c>
      <c r="X1893">
        <v>0.85</v>
      </c>
    </row>
    <row r="1894" spans="1:24" x14ac:dyDescent="0.3">
      <c r="A1894" t="s">
        <v>2639</v>
      </c>
      <c r="B1894" s="1">
        <v>45860</v>
      </c>
      <c r="C1894" t="s">
        <v>101</v>
      </c>
      <c r="D1894" t="s">
        <v>26</v>
      </c>
      <c r="E1894" t="s">
        <v>83</v>
      </c>
      <c r="F1894" t="s">
        <v>58</v>
      </c>
      <c r="G1894" t="s">
        <v>59</v>
      </c>
      <c r="H1894" t="s">
        <v>151</v>
      </c>
      <c r="I1894" t="s">
        <v>424</v>
      </c>
      <c r="J1894" t="s">
        <v>99</v>
      </c>
      <c r="K1894" t="s">
        <v>33</v>
      </c>
      <c r="L1894" t="s">
        <v>64</v>
      </c>
      <c r="M1894" t="s">
        <v>35</v>
      </c>
      <c r="N1894" t="s">
        <v>36</v>
      </c>
      <c r="O1894">
        <v>60</v>
      </c>
      <c r="P1894">
        <v>60</v>
      </c>
      <c r="Q1894">
        <v>76.900000000000006</v>
      </c>
      <c r="R1894">
        <v>1500</v>
      </c>
      <c r="S1894">
        <v>1500</v>
      </c>
      <c r="T1894">
        <v>0</v>
      </c>
      <c r="U1894">
        <v>0</v>
      </c>
      <c r="V1894">
        <v>1</v>
      </c>
      <c r="W1894">
        <v>0</v>
      </c>
      <c r="X1894">
        <v>0.85</v>
      </c>
    </row>
    <row r="1895" spans="1:24" x14ac:dyDescent="0.3">
      <c r="A1895" t="s">
        <v>2640</v>
      </c>
      <c r="B1895" s="1">
        <v>45854</v>
      </c>
      <c r="C1895" t="s">
        <v>101</v>
      </c>
      <c r="D1895" t="s">
        <v>57</v>
      </c>
      <c r="E1895" t="s">
        <v>83</v>
      </c>
      <c r="F1895" t="s">
        <v>58</v>
      </c>
      <c r="G1895" t="s">
        <v>59</v>
      </c>
      <c r="H1895" t="s">
        <v>296</v>
      </c>
      <c r="I1895" t="s">
        <v>1345</v>
      </c>
      <c r="J1895" t="s">
        <v>53</v>
      </c>
      <c r="K1895" t="s">
        <v>63</v>
      </c>
      <c r="L1895" t="s">
        <v>54</v>
      </c>
      <c r="M1895" t="s">
        <v>71</v>
      </c>
      <c r="N1895" t="s">
        <v>36</v>
      </c>
      <c r="O1895">
        <v>60</v>
      </c>
      <c r="P1895">
        <v>60</v>
      </c>
      <c r="Q1895">
        <v>68.3</v>
      </c>
      <c r="R1895">
        <v>1550</v>
      </c>
      <c r="S1895">
        <v>1550</v>
      </c>
      <c r="T1895">
        <v>0</v>
      </c>
      <c r="U1895">
        <v>0</v>
      </c>
      <c r="V1895">
        <v>1</v>
      </c>
      <c r="W1895">
        <v>0</v>
      </c>
      <c r="X1895">
        <v>0.85</v>
      </c>
    </row>
    <row r="1896" spans="1:24" x14ac:dyDescent="0.3">
      <c r="A1896" t="s">
        <v>2641</v>
      </c>
      <c r="B1896" s="1">
        <v>45808</v>
      </c>
      <c r="C1896" t="s">
        <v>128</v>
      </c>
      <c r="D1896" t="s">
        <v>88</v>
      </c>
      <c r="E1896" t="s">
        <v>83</v>
      </c>
      <c r="F1896" t="s">
        <v>28</v>
      </c>
      <c r="G1896" t="s">
        <v>29</v>
      </c>
      <c r="H1896" t="s">
        <v>30</v>
      </c>
      <c r="I1896" t="s">
        <v>2059</v>
      </c>
      <c r="J1896" t="s">
        <v>53</v>
      </c>
      <c r="K1896" t="s">
        <v>46</v>
      </c>
      <c r="L1896" t="s">
        <v>54</v>
      </c>
      <c r="M1896" t="s">
        <v>94</v>
      </c>
      <c r="N1896" t="s">
        <v>36</v>
      </c>
      <c r="O1896">
        <v>60</v>
      </c>
      <c r="P1896">
        <v>60</v>
      </c>
      <c r="Q1896">
        <v>66.7</v>
      </c>
      <c r="R1896">
        <v>1300</v>
      </c>
      <c r="S1896">
        <v>1300</v>
      </c>
      <c r="T1896">
        <v>0</v>
      </c>
      <c r="U1896">
        <v>0</v>
      </c>
      <c r="V1896">
        <v>1</v>
      </c>
      <c r="W1896">
        <v>0</v>
      </c>
      <c r="X1896">
        <v>0.85</v>
      </c>
    </row>
    <row r="1897" spans="1:24" x14ac:dyDescent="0.3">
      <c r="A1897" t="s">
        <v>2642</v>
      </c>
      <c r="B1897" s="1">
        <v>45892</v>
      </c>
      <c r="C1897" t="s">
        <v>110</v>
      </c>
      <c r="D1897" t="s">
        <v>88</v>
      </c>
      <c r="E1897" t="s">
        <v>27</v>
      </c>
      <c r="F1897" t="s">
        <v>41</v>
      </c>
      <c r="G1897" t="s">
        <v>42</v>
      </c>
      <c r="H1897" t="s">
        <v>125</v>
      </c>
      <c r="I1897" t="s">
        <v>523</v>
      </c>
      <c r="J1897" t="s">
        <v>53</v>
      </c>
      <c r="K1897" t="s">
        <v>70</v>
      </c>
      <c r="L1897" t="s">
        <v>34</v>
      </c>
      <c r="M1897" t="s">
        <v>47</v>
      </c>
      <c r="N1897" t="s">
        <v>36</v>
      </c>
      <c r="O1897">
        <v>30</v>
      </c>
      <c r="P1897">
        <v>30</v>
      </c>
      <c r="Q1897">
        <v>39.1</v>
      </c>
      <c r="R1897">
        <v>800</v>
      </c>
      <c r="S1897">
        <v>800</v>
      </c>
      <c r="T1897">
        <v>0</v>
      </c>
      <c r="U1897">
        <v>0</v>
      </c>
      <c r="V1897">
        <v>1</v>
      </c>
      <c r="W1897">
        <v>0</v>
      </c>
      <c r="X1897">
        <v>0.85</v>
      </c>
    </row>
    <row r="1898" spans="1:24" x14ac:dyDescent="0.3">
      <c r="A1898" t="s">
        <v>2643</v>
      </c>
      <c r="B1898" s="1">
        <v>45836</v>
      </c>
      <c r="C1898" t="s">
        <v>67</v>
      </c>
      <c r="D1898" t="s">
        <v>88</v>
      </c>
      <c r="E1898" t="s">
        <v>83</v>
      </c>
      <c r="F1898" t="s">
        <v>41</v>
      </c>
      <c r="G1898" t="s">
        <v>42</v>
      </c>
      <c r="H1898" t="s">
        <v>43</v>
      </c>
      <c r="I1898" t="s">
        <v>2446</v>
      </c>
      <c r="J1898" t="s">
        <v>32</v>
      </c>
      <c r="K1898" t="s">
        <v>104</v>
      </c>
      <c r="L1898" t="s">
        <v>54</v>
      </c>
      <c r="M1898" t="s">
        <v>65</v>
      </c>
      <c r="N1898" t="s">
        <v>36</v>
      </c>
      <c r="O1898">
        <v>45</v>
      </c>
      <c r="P1898">
        <v>45</v>
      </c>
      <c r="Q1898">
        <v>56</v>
      </c>
      <c r="R1898">
        <v>850</v>
      </c>
      <c r="S1898">
        <v>850</v>
      </c>
      <c r="T1898">
        <v>0</v>
      </c>
      <c r="U1898">
        <v>0</v>
      </c>
      <c r="V1898">
        <v>1</v>
      </c>
      <c r="W1898">
        <v>0</v>
      </c>
      <c r="X1898">
        <v>0.85</v>
      </c>
    </row>
    <row r="1899" spans="1:24" x14ac:dyDescent="0.3">
      <c r="A1899" t="s">
        <v>2644</v>
      </c>
      <c r="B1899" s="1">
        <v>45831</v>
      </c>
      <c r="C1899" t="s">
        <v>67</v>
      </c>
      <c r="D1899" t="s">
        <v>39</v>
      </c>
      <c r="E1899" t="s">
        <v>68</v>
      </c>
      <c r="F1899" t="s">
        <v>41</v>
      </c>
      <c r="G1899" t="s">
        <v>42</v>
      </c>
      <c r="H1899" t="s">
        <v>125</v>
      </c>
      <c r="I1899" t="s">
        <v>366</v>
      </c>
      <c r="J1899" t="s">
        <v>53</v>
      </c>
      <c r="K1899" t="s">
        <v>63</v>
      </c>
      <c r="L1899" t="s">
        <v>78</v>
      </c>
      <c r="M1899" t="s">
        <v>47</v>
      </c>
      <c r="N1899" t="s">
        <v>36</v>
      </c>
      <c r="O1899">
        <v>60</v>
      </c>
      <c r="P1899">
        <v>60</v>
      </c>
      <c r="Q1899">
        <v>80.2</v>
      </c>
      <c r="R1899">
        <v>1500</v>
      </c>
      <c r="S1899">
        <v>1500</v>
      </c>
      <c r="T1899">
        <v>0</v>
      </c>
      <c r="U1899">
        <v>0</v>
      </c>
      <c r="V1899">
        <v>1</v>
      </c>
      <c r="W1899">
        <v>0</v>
      </c>
      <c r="X1899">
        <v>0.85</v>
      </c>
    </row>
    <row r="1900" spans="1:24" x14ac:dyDescent="0.3">
      <c r="A1900" t="s">
        <v>2645</v>
      </c>
      <c r="B1900" s="1">
        <v>45973</v>
      </c>
      <c r="C1900" t="s">
        <v>38</v>
      </c>
      <c r="D1900" t="s">
        <v>57</v>
      </c>
      <c r="E1900" t="s">
        <v>68</v>
      </c>
      <c r="F1900" t="s">
        <v>58</v>
      </c>
      <c r="G1900" t="s">
        <v>59</v>
      </c>
      <c r="H1900" t="s">
        <v>151</v>
      </c>
      <c r="I1900" t="s">
        <v>269</v>
      </c>
      <c r="J1900" t="s">
        <v>99</v>
      </c>
      <c r="K1900" t="s">
        <v>70</v>
      </c>
      <c r="L1900" t="s">
        <v>34</v>
      </c>
      <c r="M1900" t="s">
        <v>86</v>
      </c>
      <c r="N1900" t="s">
        <v>36</v>
      </c>
      <c r="O1900">
        <v>60</v>
      </c>
      <c r="P1900">
        <v>60</v>
      </c>
      <c r="Q1900">
        <v>69.400000000000006</v>
      </c>
      <c r="R1900">
        <v>1500</v>
      </c>
      <c r="S1900">
        <v>1500</v>
      </c>
      <c r="T1900">
        <v>0</v>
      </c>
      <c r="U1900">
        <v>0</v>
      </c>
      <c r="V1900">
        <v>1</v>
      </c>
      <c r="W1900">
        <v>0</v>
      </c>
      <c r="X1900">
        <v>0.85</v>
      </c>
    </row>
    <row r="1901" spans="1:24" x14ac:dyDescent="0.3">
      <c r="A1901" t="s">
        <v>2646</v>
      </c>
      <c r="B1901" s="1">
        <v>45992</v>
      </c>
      <c r="C1901" t="s">
        <v>25</v>
      </c>
      <c r="D1901" t="s">
        <v>39</v>
      </c>
      <c r="E1901" t="s">
        <v>83</v>
      </c>
      <c r="F1901" t="s">
        <v>28</v>
      </c>
      <c r="G1901" t="s">
        <v>29</v>
      </c>
      <c r="H1901" t="s">
        <v>102</v>
      </c>
      <c r="I1901" t="s">
        <v>992</v>
      </c>
      <c r="J1901" t="s">
        <v>62</v>
      </c>
      <c r="K1901" t="s">
        <v>33</v>
      </c>
      <c r="L1901" t="s">
        <v>34</v>
      </c>
      <c r="M1901" t="s">
        <v>86</v>
      </c>
      <c r="N1901" t="s">
        <v>36</v>
      </c>
      <c r="O1901">
        <v>60</v>
      </c>
      <c r="P1901">
        <v>60</v>
      </c>
      <c r="Q1901">
        <v>78.2</v>
      </c>
      <c r="R1901">
        <v>1250</v>
      </c>
      <c r="S1901">
        <v>1250</v>
      </c>
      <c r="T1901">
        <v>0</v>
      </c>
      <c r="U1901">
        <v>0</v>
      </c>
      <c r="V1901">
        <v>1</v>
      </c>
      <c r="W1901">
        <v>0</v>
      </c>
      <c r="X1901">
        <v>0.85</v>
      </c>
    </row>
    <row r="1902" spans="1:24" x14ac:dyDescent="0.3">
      <c r="A1902" t="s">
        <v>2647</v>
      </c>
      <c r="B1902" s="1">
        <v>45684</v>
      </c>
      <c r="C1902" t="s">
        <v>130</v>
      </c>
      <c r="D1902" t="s">
        <v>39</v>
      </c>
      <c r="E1902" t="s">
        <v>83</v>
      </c>
      <c r="F1902" t="s">
        <v>58</v>
      </c>
      <c r="G1902" t="s">
        <v>59</v>
      </c>
      <c r="H1902" t="s">
        <v>73</v>
      </c>
      <c r="I1902" t="s">
        <v>839</v>
      </c>
      <c r="J1902" t="s">
        <v>62</v>
      </c>
      <c r="K1902" t="s">
        <v>63</v>
      </c>
      <c r="L1902" t="s">
        <v>64</v>
      </c>
      <c r="M1902" t="s">
        <v>94</v>
      </c>
      <c r="N1902" t="s">
        <v>36</v>
      </c>
      <c r="O1902">
        <v>75</v>
      </c>
      <c r="P1902">
        <v>75</v>
      </c>
      <c r="Q1902">
        <v>101.3</v>
      </c>
      <c r="R1902">
        <v>1900</v>
      </c>
      <c r="S1902">
        <v>1900</v>
      </c>
      <c r="T1902">
        <v>0</v>
      </c>
      <c r="U1902">
        <v>0</v>
      </c>
      <c r="V1902">
        <v>1</v>
      </c>
      <c r="W1902">
        <v>0</v>
      </c>
      <c r="X1902">
        <v>0.85</v>
      </c>
    </row>
    <row r="1903" spans="1:24" x14ac:dyDescent="0.3">
      <c r="A1903" t="s">
        <v>2648</v>
      </c>
      <c r="B1903" s="1">
        <v>45759</v>
      </c>
      <c r="C1903" t="s">
        <v>92</v>
      </c>
      <c r="D1903" t="s">
        <v>88</v>
      </c>
      <c r="E1903" t="s">
        <v>68</v>
      </c>
      <c r="F1903" t="s">
        <v>58</v>
      </c>
      <c r="G1903" t="s">
        <v>59</v>
      </c>
      <c r="H1903" t="s">
        <v>73</v>
      </c>
      <c r="I1903" t="s">
        <v>391</v>
      </c>
      <c r="J1903" t="s">
        <v>99</v>
      </c>
      <c r="K1903" t="s">
        <v>104</v>
      </c>
      <c r="L1903" t="s">
        <v>34</v>
      </c>
      <c r="M1903" t="s">
        <v>71</v>
      </c>
      <c r="N1903" t="s">
        <v>36</v>
      </c>
      <c r="O1903">
        <v>45</v>
      </c>
      <c r="P1903">
        <v>45</v>
      </c>
      <c r="Q1903">
        <v>60.1</v>
      </c>
      <c r="R1903">
        <v>1100</v>
      </c>
      <c r="S1903">
        <v>1100</v>
      </c>
      <c r="T1903">
        <v>0</v>
      </c>
      <c r="U1903">
        <v>0</v>
      </c>
      <c r="V1903">
        <v>1</v>
      </c>
      <c r="W1903">
        <v>0</v>
      </c>
      <c r="X1903">
        <v>0.85</v>
      </c>
    </row>
    <row r="1904" spans="1:24" x14ac:dyDescent="0.3">
      <c r="A1904" t="s">
        <v>2649</v>
      </c>
      <c r="B1904" s="1">
        <v>45765</v>
      </c>
      <c r="C1904" t="s">
        <v>92</v>
      </c>
      <c r="D1904" t="s">
        <v>82</v>
      </c>
      <c r="E1904" t="s">
        <v>68</v>
      </c>
      <c r="F1904" t="s">
        <v>41</v>
      </c>
      <c r="G1904" t="s">
        <v>42</v>
      </c>
      <c r="H1904" t="s">
        <v>111</v>
      </c>
      <c r="I1904" t="s">
        <v>850</v>
      </c>
      <c r="J1904" t="s">
        <v>62</v>
      </c>
      <c r="K1904" t="s">
        <v>33</v>
      </c>
      <c r="L1904" t="s">
        <v>34</v>
      </c>
      <c r="M1904" t="s">
        <v>65</v>
      </c>
      <c r="N1904" t="s">
        <v>36</v>
      </c>
      <c r="O1904">
        <v>45</v>
      </c>
      <c r="P1904">
        <v>45</v>
      </c>
      <c r="Q1904">
        <v>55.1</v>
      </c>
      <c r="R1904">
        <v>1000</v>
      </c>
      <c r="S1904">
        <v>1000</v>
      </c>
      <c r="T1904">
        <v>0</v>
      </c>
      <c r="U1904">
        <v>0</v>
      </c>
      <c r="V1904">
        <v>1</v>
      </c>
      <c r="W1904">
        <v>0</v>
      </c>
      <c r="X1904">
        <v>0.85</v>
      </c>
    </row>
    <row r="1905" spans="1:24" x14ac:dyDescent="0.3">
      <c r="A1905" t="s">
        <v>2650</v>
      </c>
      <c r="B1905" s="1">
        <v>45709</v>
      </c>
      <c r="C1905" t="s">
        <v>76</v>
      </c>
      <c r="D1905" t="s">
        <v>82</v>
      </c>
      <c r="E1905" t="s">
        <v>68</v>
      </c>
      <c r="F1905" t="s">
        <v>28</v>
      </c>
      <c r="G1905" t="s">
        <v>29</v>
      </c>
      <c r="H1905" t="s">
        <v>135</v>
      </c>
      <c r="I1905" t="s">
        <v>368</v>
      </c>
      <c r="J1905" t="s">
        <v>99</v>
      </c>
      <c r="K1905" t="s">
        <v>104</v>
      </c>
      <c r="L1905" t="s">
        <v>34</v>
      </c>
      <c r="M1905" t="s">
        <v>47</v>
      </c>
      <c r="N1905" t="s">
        <v>36</v>
      </c>
      <c r="O1905">
        <v>30</v>
      </c>
      <c r="P1905">
        <v>30</v>
      </c>
      <c r="Q1905">
        <v>35</v>
      </c>
      <c r="R1905">
        <v>600</v>
      </c>
      <c r="S1905">
        <v>600</v>
      </c>
      <c r="T1905">
        <v>0</v>
      </c>
      <c r="U1905">
        <v>0</v>
      </c>
      <c r="V1905">
        <v>1</v>
      </c>
      <c r="W1905">
        <v>0</v>
      </c>
      <c r="X1905">
        <v>0.85</v>
      </c>
    </row>
    <row r="1906" spans="1:24" x14ac:dyDescent="0.3">
      <c r="A1906" t="s">
        <v>2651</v>
      </c>
      <c r="B1906" s="1">
        <v>45815</v>
      </c>
      <c r="C1906" t="s">
        <v>67</v>
      </c>
      <c r="D1906" t="s">
        <v>88</v>
      </c>
      <c r="E1906" t="s">
        <v>68</v>
      </c>
      <c r="F1906" t="s">
        <v>58</v>
      </c>
      <c r="G1906" t="s">
        <v>59</v>
      </c>
      <c r="H1906" t="s">
        <v>60</v>
      </c>
      <c r="I1906" t="s">
        <v>186</v>
      </c>
      <c r="J1906" t="s">
        <v>62</v>
      </c>
      <c r="K1906" t="s">
        <v>33</v>
      </c>
      <c r="L1906" t="s">
        <v>64</v>
      </c>
      <c r="M1906" t="s">
        <v>65</v>
      </c>
      <c r="N1906" t="s">
        <v>36</v>
      </c>
      <c r="O1906">
        <v>90</v>
      </c>
      <c r="P1906">
        <v>90</v>
      </c>
      <c r="Q1906">
        <v>98</v>
      </c>
      <c r="R1906">
        <v>2250</v>
      </c>
      <c r="S1906">
        <v>2250</v>
      </c>
      <c r="T1906">
        <v>0</v>
      </c>
      <c r="U1906">
        <v>0</v>
      </c>
      <c r="V1906">
        <v>1</v>
      </c>
      <c r="W1906">
        <v>0</v>
      </c>
      <c r="X1906">
        <v>0.85</v>
      </c>
    </row>
    <row r="1907" spans="1:24" x14ac:dyDescent="0.3">
      <c r="A1907" t="s">
        <v>2652</v>
      </c>
      <c r="B1907" s="1">
        <v>45833</v>
      </c>
      <c r="C1907" t="s">
        <v>67</v>
      </c>
      <c r="D1907" t="s">
        <v>57</v>
      </c>
      <c r="E1907" t="s">
        <v>27</v>
      </c>
      <c r="F1907" t="s">
        <v>58</v>
      </c>
      <c r="G1907" t="s">
        <v>59</v>
      </c>
      <c r="H1907" t="s">
        <v>151</v>
      </c>
      <c r="I1907" t="s">
        <v>464</v>
      </c>
      <c r="J1907" t="s">
        <v>62</v>
      </c>
      <c r="K1907" t="s">
        <v>63</v>
      </c>
      <c r="L1907" t="s">
        <v>54</v>
      </c>
      <c r="M1907" t="s">
        <v>47</v>
      </c>
      <c r="N1907" t="s">
        <v>36</v>
      </c>
      <c r="O1907">
        <v>60</v>
      </c>
      <c r="P1907">
        <v>60</v>
      </c>
      <c r="Q1907">
        <v>75.8</v>
      </c>
      <c r="R1907">
        <v>1300</v>
      </c>
      <c r="S1907">
        <v>1300</v>
      </c>
      <c r="T1907">
        <v>0</v>
      </c>
      <c r="U1907">
        <v>0</v>
      </c>
      <c r="V1907">
        <v>1</v>
      </c>
      <c r="W1907">
        <v>0</v>
      </c>
      <c r="X1907">
        <v>0.85</v>
      </c>
    </row>
    <row r="1908" spans="1:24" x14ac:dyDescent="0.3">
      <c r="A1908" t="s">
        <v>2653</v>
      </c>
      <c r="B1908" s="1">
        <v>45775</v>
      </c>
      <c r="C1908" t="s">
        <v>92</v>
      </c>
      <c r="D1908" t="s">
        <v>39</v>
      </c>
      <c r="E1908" t="s">
        <v>68</v>
      </c>
      <c r="F1908" t="s">
        <v>41</v>
      </c>
      <c r="G1908" t="s">
        <v>42</v>
      </c>
      <c r="H1908" t="s">
        <v>125</v>
      </c>
      <c r="I1908" t="s">
        <v>489</v>
      </c>
      <c r="J1908" t="s">
        <v>99</v>
      </c>
      <c r="K1908" t="s">
        <v>85</v>
      </c>
      <c r="L1908" t="s">
        <v>34</v>
      </c>
      <c r="M1908" t="s">
        <v>71</v>
      </c>
      <c r="N1908" t="s">
        <v>36</v>
      </c>
      <c r="O1908">
        <v>45</v>
      </c>
      <c r="P1908">
        <v>45</v>
      </c>
      <c r="Q1908">
        <v>58.9</v>
      </c>
      <c r="R1908">
        <v>1000</v>
      </c>
      <c r="S1908">
        <v>1000</v>
      </c>
      <c r="T1908">
        <v>0</v>
      </c>
      <c r="U1908">
        <v>0</v>
      </c>
      <c r="V1908">
        <v>1</v>
      </c>
      <c r="W1908">
        <v>0</v>
      </c>
      <c r="X1908">
        <v>0.85</v>
      </c>
    </row>
    <row r="1909" spans="1:24" x14ac:dyDescent="0.3">
      <c r="A1909" t="s">
        <v>2654</v>
      </c>
      <c r="B1909" s="1">
        <v>45979</v>
      </c>
      <c r="C1909" t="s">
        <v>38</v>
      </c>
      <c r="D1909" t="s">
        <v>26</v>
      </c>
      <c r="E1909" t="s">
        <v>83</v>
      </c>
      <c r="F1909" t="s">
        <v>58</v>
      </c>
      <c r="G1909" t="s">
        <v>59</v>
      </c>
      <c r="H1909" t="s">
        <v>117</v>
      </c>
      <c r="I1909" t="s">
        <v>1803</v>
      </c>
      <c r="J1909" t="s">
        <v>53</v>
      </c>
      <c r="K1909" t="s">
        <v>46</v>
      </c>
      <c r="L1909" t="s">
        <v>64</v>
      </c>
      <c r="M1909" t="s">
        <v>65</v>
      </c>
      <c r="N1909" t="s">
        <v>95</v>
      </c>
      <c r="O1909">
        <v>60</v>
      </c>
      <c r="P1909">
        <v>0</v>
      </c>
      <c r="Q1909">
        <v>76.400000000000006</v>
      </c>
      <c r="R1909">
        <v>1800</v>
      </c>
      <c r="S1909">
        <v>0</v>
      </c>
      <c r="T1909">
        <v>1800</v>
      </c>
      <c r="U1909">
        <v>1</v>
      </c>
      <c r="V1909">
        <v>0</v>
      </c>
      <c r="W1909">
        <v>0</v>
      </c>
      <c r="X1909">
        <v>0.85</v>
      </c>
    </row>
    <row r="1910" spans="1:24" x14ac:dyDescent="0.3">
      <c r="A1910" t="s">
        <v>2655</v>
      </c>
      <c r="B1910" s="1">
        <v>45750</v>
      </c>
      <c r="C1910" t="s">
        <v>92</v>
      </c>
      <c r="D1910" t="s">
        <v>50</v>
      </c>
      <c r="E1910" t="s">
        <v>68</v>
      </c>
      <c r="F1910" t="s">
        <v>41</v>
      </c>
      <c r="G1910" t="s">
        <v>42</v>
      </c>
      <c r="H1910" t="s">
        <v>51</v>
      </c>
      <c r="I1910" t="s">
        <v>346</v>
      </c>
      <c r="J1910" t="s">
        <v>62</v>
      </c>
      <c r="K1910" t="s">
        <v>104</v>
      </c>
      <c r="L1910" t="s">
        <v>54</v>
      </c>
      <c r="M1910" t="s">
        <v>86</v>
      </c>
      <c r="N1910" t="s">
        <v>36</v>
      </c>
      <c r="O1910">
        <v>60</v>
      </c>
      <c r="P1910">
        <v>60</v>
      </c>
      <c r="Q1910">
        <v>77.7</v>
      </c>
      <c r="R1910">
        <v>1150</v>
      </c>
      <c r="S1910">
        <v>1150</v>
      </c>
      <c r="T1910">
        <v>0</v>
      </c>
      <c r="U1910">
        <v>0</v>
      </c>
      <c r="V1910">
        <v>1</v>
      </c>
      <c r="W1910">
        <v>0</v>
      </c>
      <c r="X1910">
        <v>0.85</v>
      </c>
    </row>
    <row r="1911" spans="1:24" x14ac:dyDescent="0.3">
      <c r="A1911" t="s">
        <v>2656</v>
      </c>
      <c r="B1911" s="1">
        <v>45911</v>
      </c>
      <c r="C1911" t="s">
        <v>49</v>
      </c>
      <c r="D1911" t="s">
        <v>50</v>
      </c>
      <c r="E1911" t="s">
        <v>68</v>
      </c>
      <c r="F1911" t="s">
        <v>58</v>
      </c>
      <c r="G1911" t="s">
        <v>59</v>
      </c>
      <c r="H1911" t="s">
        <v>117</v>
      </c>
      <c r="I1911" t="s">
        <v>598</v>
      </c>
      <c r="J1911" t="s">
        <v>45</v>
      </c>
      <c r="K1911" t="s">
        <v>46</v>
      </c>
      <c r="L1911" t="s">
        <v>64</v>
      </c>
      <c r="M1911" t="s">
        <v>71</v>
      </c>
      <c r="N1911" t="s">
        <v>113</v>
      </c>
      <c r="O1911">
        <v>60</v>
      </c>
      <c r="P1911">
        <v>0</v>
      </c>
      <c r="Q1911">
        <v>66.8</v>
      </c>
      <c r="R1911">
        <v>1700</v>
      </c>
      <c r="S1911">
        <v>0</v>
      </c>
      <c r="T1911">
        <v>1700</v>
      </c>
      <c r="U1911">
        <v>0</v>
      </c>
      <c r="V1911">
        <v>0</v>
      </c>
      <c r="W1911">
        <v>1</v>
      </c>
      <c r="X1911">
        <v>0.85</v>
      </c>
    </row>
    <row r="1912" spans="1:24" x14ac:dyDescent="0.3">
      <c r="A1912" t="s">
        <v>2657</v>
      </c>
      <c r="B1912" s="1">
        <v>45969</v>
      </c>
      <c r="C1912" t="s">
        <v>38</v>
      </c>
      <c r="D1912" t="s">
        <v>88</v>
      </c>
      <c r="E1912" t="s">
        <v>27</v>
      </c>
      <c r="F1912" t="s">
        <v>41</v>
      </c>
      <c r="G1912" t="s">
        <v>42</v>
      </c>
      <c r="H1912" t="s">
        <v>89</v>
      </c>
      <c r="I1912" t="s">
        <v>251</v>
      </c>
      <c r="J1912" t="s">
        <v>137</v>
      </c>
      <c r="K1912" t="s">
        <v>63</v>
      </c>
      <c r="L1912" t="s">
        <v>64</v>
      </c>
      <c r="M1912" t="s">
        <v>65</v>
      </c>
      <c r="N1912" t="s">
        <v>36</v>
      </c>
      <c r="O1912">
        <v>60</v>
      </c>
      <c r="P1912">
        <v>60</v>
      </c>
      <c r="Q1912">
        <v>65.3</v>
      </c>
      <c r="R1912">
        <v>1350</v>
      </c>
      <c r="S1912">
        <v>1350</v>
      </c>
      <c r="T1912">
        <v>0</v>
      </c>
      <c r="U1912">
        <v>0</v>
      </c>
      <c r="V1912">
        <v>1</v>
      </c>
      <c r="W1912">
        <v>0</v>
      </c>
      <c r="X1912">
        <v>0.85</v>
      </c>
    </row>
    <row r="1913" spans="1:24" x14ac:dyDescent="0.3">
      <c r="A1913" t="s">
        <v>2658</v>
      </c>
      <c r="B1913" s="1">
        <v>45968</v>
      </c>
      <c r="C1913" t="s">
        <v>38</v>
      </c>
      <c r="D1913" t="s">
        <v>82</v>
      </c>
      <c r="E1913" t="s">
        <v>40</v>
      </c>
      <c r="F1913" t="s">
        <v>58</v>
      </c>
      <c r="G1913" t="s">
        <v>59</v>
      </c>
      <c r="H1913" t="s">
        <v>296</v>
      </c>
      <c r="I1913" t="s">
        <v>306</v>
      </c>
      <c r="J1913" t="s">
        <v>45</v>
      </c>
      <c r="K1913" t="s">
        <v>63</v>
      </c>
      <c r="L1913" t="s">
        <v>64</v>
      </c>
      <c r="M1913" t="s">
        <v>35</v>
      </c>
      <c r="N1913" t="s">
        <v>36</v>
      </c>
      <c r="O1913">
        <v>45</v>
      </c>
      <c r="P1913">
        <v>45</v>
      </c>
      <c r="Q1913">
        <v>50.3</v>
      </c>
      <c r="R1913">
        <v>1300</v>
      </c>
      <c r="S1913">
        <v>1300</v>
      </c>
      <c r="T1913">
        <v>0</v>
      </c>
      <c r="U1913">
        <v>0</v>
      </c>
      <c r="V1913">
        <v>1</v>
      </c>
      <c r="W1913">
        <v>0</v>
      </c>
      <c r="X1913">
        <v>0.85</v>
      </c>
    </row>
    <row r="1914" spans="1:24" x14ac:dyDescent="0.3">
      <c r="A1914" t="s">
        <v>2659</v>
      </c>
      <c r="B1914" s="1">
        <v>45699</v>
      </c>
      <c r="C1914" t="s">
        <v>76</v>
      </c>
      <c r="D1914" t="s">
        <v>26</v>
      </c>
      <c r="E1914" t="s">
        <v>68</v>
      </c>
      <c r="F1914" t="s">
        <v>41</v>
      </c>
      <c r="G1914" t="s">
        <v>42</v>
      </c>
      <c r="H1914" t="s">
        <v>43</v>
      </c>
      <c r="I1914" t="s">
        <v>1020</v>
      </c>
      <c r="J1914" t="s">
        <v>62</v>
      </c>
      <c r="K1914" t="s">
        <v>63</v>
      </c>
      <c r="L1914" t="s">
        <v>64</v>
      </c>
      <c r="M1914" t="s">
        <v>35</v>
      </c>
      <c r="N1914" t="s">
        <v>36</v>
      </c>
      <c r="O1914">
        <v>75</v>
      </c>
      <c r="P1914">
        <v>75</v>
      </c>
      <c r="Q1914">
        <v>92.4</v>
      </c>
      <c r="R1914">
        <v>1700</v>
      </c>
      <c r="S1914">
        <v>1700</v>
      </c>
      <c r="T1914">
        <v>0</v>
      </c>
      <c r="U1914">
        <v>0</v>
      </c>
      <c r="V1914">
        <v>1</v>
      </c>
      <c r="W1914">
        <v>0</v>
      </c>
      <c r="X1914">
        <v>0.85</v>
      </c>
    </row>
    <row r="1915" spans="1:24" x14ac:dyDescent="0.3">
      <c r="A1915" t="s">
        <v>2660</v>
      </c>
      <c r="B1915" s="1">
        <v>45770</v>
      </c>
      <c r="C1915" t="s">
        <v>92</v>
      </c>
      <c r="D1915" t="s">
        <v>57</v>
      </c>
      <c r="E1915" t="s">
        <v>27</v>
      </c>
      <c r="F1915" t="s">
        <v>28</v>
      </c>
      <c r="G1915" t="s">
        <v>29</v>
      </c>
      <c r="H1915" t="s">
        <v>120</v>
      </c>
      <c r="I1915" t="s">
        <v>937</v>
      </c>
      <c r="J1915" t="s">
        <v>137</v>
      </c>
      <c r="K1915" t="s">
        <v>46</v>
      </c>
      <c r="L1915" t="s">
        <v>34</v>
      </c>
      <c r="M1915" t="s">
        <v>86</v>
      </c>
      <c r="N1915" t="s">
        <v>36</v>
      </c>
      <c r="O1915">
        <v>60</v>
      </c>
      <c r="P1915">
        <v>60</v>
      </c>
      <c r="Q1915">
        <v>68.3</v>
      </c>
      <c r="R1915">
        <v>1250</v>
      </c>
      <c r="S1915">
        <v>1250</v>
      </c>
      <c r="T1915">
        <v>0</v>
      </c>
      <c r="U1915">
        <v>0</v>
      </c>
      <c r="V1915">
        <v>1</v>
      </c>
      <c r="W1915">
        <v>0</v>
      </c>
      <c r="X1915">
        <v>0.85</v>
      </c>
    </row>
    <row r="1916" spans="1:24" x14ac:dyDescent="0.3">
      <c r="A1916" t="s">
        <v>2661</v>
      </c>
      <c r="B1916" s="1">
        <v>45868</v>
      </c>
      <c r="C1916" t="s">
        <v>101</v>
      </c>
      <c r="D1916" t="s">
        <v>57</v>
      </c>
      <c r="E1916" t="s">
        <v>40</v>
      </c>
      <c r="F1916" t="s">
        <v>28</v>
      </c>
      <c r="G1916" t="s">
        <v>29</v>
      </c>
      <c r="H1916" t="s">
        <v>120</v>
      </c>
      <c r="I1916" t="s">
        <v>1137</v>
      </c>
      <c r="J1916" t="s">
        <v>62</v>
      </c>
      <c r="K1916" t="s">
        <v>104</v>
      </c>
      <c r="L1916" t="s">
        <v>64</v>
      </c>
      <c r="M1916" t="s">
        <v>86</v>
      </c>
      <c r="N1916" t="s">
        <v>36</v>
      </c>
      <c r="O1916">
        <v>45</v>
      </c>
      <c r="P1916">
        <v>45</v>
      </c>
      <c r="Q1916">
        <v>58.6</v>
      </c>
      <c r="R1916">
        <v>950</v>
      </c>
      <c r="S1916">
        <v>950</v>
      </c>
      <c r="T1916">
        <v>0</v>
      </c>
      <c r="U1916">
        <v>0</v>
      </c>
      <c r="V1916">
        <v>1</v>
      </c>
      <c r="W1916">
        <v>0</v>
      </c>
      <c r="X1916">
        <v>0.85</v>
      </c>
    </row>
    <row r="1917" spans="1:24" x14ac:dyDescent="0.3">
      <c r="A1917" t="s">
        <v>2662</v>
      </c>
      <c r="B1917" s="1">
        <v>46003</v>
      </c>
      <c r="C1917" t="s">
        <v>25</v>
      </c>
      <c r="D1917" t="s">
        <v>82</v>
      </c>
      <c r="E1917" t="s">
        <v>68</v>
      </c>
      <c r="F1917" t="s">
        <v>41</v>
      </c>
      <c r="G1917" t="s">
        <v>42</v>
      </c>
      <c r="H1917" t="s">
        <v>51</v>
      </c>
      <c r="I1917" t="s">
        <v>407</v>
      </c>
      <c r="J1917" t="s">
        <v>62</v>
      </c>
      <c r="K1917" t="s">
        <v>33</v>
      </c>
      <c r="L1917" t="s">
        <v>64</v>
      </c>
      <c r="M1917" t="s">
        <v>94</v>
      </c>
      <c r="N1917" t="s">
        <v>36</v>
      </c>
      <c r="O1917">
        <v>45</v>
      </c>
      <c r="P1917">
        <v>45</v>
      </c>
      <c r="Q1917">
        <v>52</v>
      </c>
      <c r="R1917">
        <v>1000</v>
      </c>
      <c r="S1917">
        <v>1000</v>
      </c>
      <c r="T1917">
        <v>0</v>
      </c>
      <c r="U1917">
        <v>0</v>
      </c>
      <c r="V1917">
        <v>1</v>
      </c>
      <c r="W1917">
        <v>0</v>
      </c>
      <c r="X1917">
        <v>0.85</v>
      </c>
    </row>
    <row r="1918" spans="1:24" x14ac:dyDescent="0.3">
      <c r="A1918" t="s">
        <v>2663</v>
      </c>
      <c r="B1918" s="1">
        <v>45706</v>
      </c>
      <c r="C1918" t="s">
        <v>76</v>
      </c>
      <c r="D1918" t="s">
        <v>26</v>
      </c>
      <c r="E1918" t="s">
        <v>27</v>
      </c>
      <c r="F1918" t="s">
        <v>41</v>
      </c>
      <c r="G1918" t="s">
        <v>42</v>
      </c>
      <c r="H1918" t="s">
        <v>111</v>
      </c>
      <c r="I1918" t="s">
        <v>2278</v>
      </c>
      <c r="J1918" t="s">
        <v>53</v>
      </c>
      <c r="K1918" t="s">
        <v>46</v>
      </c>
      <c r="L1918" t="s">
        <v>34</v>
      </c>
      <c r="M1918" t="s">
        <v>65</v>
      </c>
      <c r="N1918" t="s">
        <v>95</v>
      </c>
      <c r="O1918">
        <v>60</v>
      </c>
      <c r="P1918">
        <v>0</v>
      </c>
      <c r="Q1918">
        <v>68</v>
      </c>
      <c r="R1918">
        <v>1600</v>
      </c>
      <c r="S1918">
        <v>0</v>
      </c>
      <c r="T1918">
        <v>1600</v>
      </c>
      <c r="U1918">
        <v>1</v>
      </c>
      <c r="V1918">
        <v>0</v>
      </c>
      <c r="W1918">
        <v>0</v>
      </c>
      <c r="X1918">
        <v>0.85</v>
      </c>
    </row>
    <row r="1919" spans="1:24" x14ac:dyDescent="0.3">
      <c r="A1919" t="s">
        <v>2664</v>
      </c>
      <c r="B1919" s="1">
        <v>45742</v>
      </c>
      <c r="C1919" t="s">
        <v>56</v>
      </c>
      <c r="D1919" t="s">
        <v>57</v>
      </c>
      <c r="E1919" t="s">
        <v>27</v>
      </c>
      <c r="F1919" t="s">
        <v>28</v>
      </c>
      <c r="G1919" t="s">
        <v>29</v>
      </c>
      <c r="H1919" t="s">
        <v>210</v>
      </c>
      <c r="I1919" t="s">
        <v>1196</v>
      </c>
      <c r="J1919" t="s">
        <v>137</v>
      </c>
      <c r="K1919" t="s">
        <v>46</v>
      </c>
      <c r="L1919" t="s">
        <v>64</v>
      </c>
      <c r="M1919" t="s">
        <v>47</v>
      </c>
      <c r="N1919" t="s">
        <v>36</v>
      </c>
      <c r="O1919">
        <v>60</v>
      </c>
      <c r="P1919">
        <v>60</v>
      </c>
      <c r="Q1919">
        <v>67.400000000000006</v>
      </c>
      <c r="R1919">
        <v>1250</v>
      </c>
      <c r="S1919">
        <v>1250</v>
      </c>
      <c r="T1919">
        <v>0</v>
      </c>
      <c r="U1919">
        <v>0</v>
      </c>
      <c r="V1919">
        <v>1</v>
      </c>
      <c r="W1919">
        <v>0</v>
      </c>
      <c r="X1919">
        <v>0.85</v>
      </c>
    </row>
    <row r="1920" spans="1:24" x14ac:dyDescent="0.3">
      <c r="A1920" t="s">
        <v>2665</v>
      </c>
      <c r="B1920" s="1">
        <v>45997</v>
      </c>
      <c r="C1920" t="s">
        <v>25</v>
      </c>
      <c r="D1920" t="s">
        <v>88</v>
      </c>
      <c r="E1920" t="s">
        <v>27</v>
      </c>
      <c r="F1920" t="s">
        <v>28</v>
      </c>
      <c r="G1920" t="s">
        <v>29</v>
      </c>
      <c r="H1920" t="s">
        <v>120</v>
      </c>
      <c r="I1920" t="s">
        <v>1259</v>
      </c>
      <c r="J1920" t="s">
        <v>99</v>
      </c>
      <c r="K1920" t="s">
        <v>85</v>
      </c>
      <c r="L1920" t="s">
        <v>64</v>
      </c>
      <c r="M1920" t="s">
        <v>65</v>
      </c>
      <c r="N1920" t="s">
        <v>36</v>
      </c>
      <c r="O1920">
        <v>45</v>
      </c>
      <c r="P1920">
        <v>45</v>
      </c>
      <c r="Q1920">
        <v>53.2</v>
      </c>
      <c r="R1920">
        <v>950</v>
      </c>
      <c r="S1920">
        <v>950</v>
      </c>
      <c r="T1920">
        <v>0</v>
      </c>
      <c r="U1920">
        <v>0</v>
      </c>
      <c r="V1920">
        <v>1</v>
      </c>
      <c r="W1920">
        <v>0</v>
      </c>
      <c r="X1920">
        <v>0.85</v>
      </c>
    </row>
    <row r="1921" spans="1:24" x14ac:dyDescent="0.3">
      <c r="A1921" t="s">
        <v>2666</v>
      </c>
      <c r="B1921" s="1">
        <v>45932</v>
      </c>
      <c r="C1921" t="s">
        <v>97</v>
      </c>
      <c r="D1921" t="s">
        <v>50</v>
      </c>
      <c r="E1921" t="s">
        <v>40</v>
      </c>
      <c r="F1921" t="s">
        <v>41</v>
      </c>
      <c r="G1921" t="s">
        <v>42</v>
      </c>
      <c r="H1921" t="s">
        <v>51</v>
      </c>
      <c r="I1921" t="s">
        <v>2667</v>
      </c>
      <c r="J1921" t="s">
        <v>62</v>
      </c>
      <c r="K1921" t="s">
        <v>33</v>
      </c>
      <c r="L1921" t="s">
        <v>34</v>
      </c>
      <c r="M1921" t="s">
        <v>35</v>
      </c>
      <c r="N1921" t="s">
        <v>36</v>
      </c>
      <c r="O1921">
        <v>60</v>
      </c>
      <c r="P1921">
        <v>60</v>
      </c>
      <c r="Q1921">
        <v>71.400000000000006</v>
      </c>
      <c r="R1921">
        <v>1350</v>
      </c>
      <c r="S1921">
        <v>1350</v>
      </c>
      <c r="T1921">
        <v>0</v>
      </c>
      <c r="U1921">
        <v>0</v>
      </c>
      <c r="V1921">
        <v>1</v>
      </c>
      <c r="W1921">
        <v>0</v>
      </c>
      <c r="X1921">
        <v>0.85</v>
      </c>
    </row>
    <row r="1922" spans="1:24" x14ac:dyDescent="0.3">
      <c r="A1922" t="s">
        <v>2668</v>
      </c>
      <c r="B1922" s="1">
        <v>45811</v>
      </c>
      <c r="C1922" t="s">
        <v>67</v>
      </c>
      <c r="D1922" t="s">
        <v>26</v>
      </c>
      <c r="E1922" t="s">
        <v>27</v>
      </c>
      <c r="F1922" t="s">
        <v>58</v>
      </c>
      <c r="G1922" t="s">
        <v>59</v>
      </c>
      <c r="H1922" t="s">
        <v>73</v>
      </c>
      <c r="I1922" t="s">
        <v>1746</v>
      </c>
      <c r="J1922" t="s">
        <v>45</v>
      </c>
      <c r="K1922" t="s">
        <v>63</v>
      </c>
      <c r="L1922" t="s">
        <v>78</v>
      </c>
      <c r="M1922" t="s">
        <v>65</v>
      </c>
      <c r="N1922" t="s">
        <v>36</v>
      </c>
      <c r="O1922">
        <v>75</v>
      </c>
      <c r="P1922">
        <v>75</v>
      </c>
      <c r="Q1922">
        <v>88</v>
      </c>
      <c r="R1922">
        <v>2000</v>
      </c>
      <c r="S1922">
        <v>2000</v>
      </c>
      <c r="T1922">
        <v>0</v>
      </c>
      <c r="U1922">
        <v>0</v>
      </c>
      <c r="V1922">
        <v>1</v>
      </c>
      <c r="W1922">
        <v>0</v>
      </c>
      <c r="X1922">
        <v>0.85</v>
      </c>
    </row>
    <row r="1923" spans="1:24" x14ac:dyDescent="0.3">
      <c r="A1923" t="s">
        <v>2669</v>
      </c>
      <c r="B1923" s="1">
        <v>45790</v>
      </c>
      <c r="C1923" t="s">
        <v>128</v>
      </c>
      <c r="D1923" t="s">
        <v>26</v>
      </c>
      <c r="E1923" t="s">
        <v>68</v>
      </c>
      <c r="F1923" t="s">
        <v>58</v>
      </c>
      <c r="G1923" t="s">
        <v>59</v>
      </c>
      <c r="H1923" t="s">
        <v>296</v>
      </c>
      <c r="I1923" t="s">
        <v>1114</v>
      </c>
      <c r="J1923" t="s">
        <v>62</v>
      </c>
      <c r="K1923" t="s">
        <v>85</v>
      </c>
      <c r="L1923" t="s">
        <v>34</v>
      </c>
      <c r="M1923" t="s">
        <v>65</v>
      </c>
      <c r="N1923" t="s">
        <v>36</v>
      </c>
      <c r="O1923">
        <v>60</v>
      </c>
      <c r="P1923">
        <v>60</v>
      </c>
      <c r="Q1923">
        <v>76.900000000000006</v>
      </c>
      <c r="R1923">
        <v>1500</v>
      </c>
      <c r="S1923">
        <v>1500</v>
      </c>
      <c r="T1923">
        <v>0</v>
      </c>
      <c r="U1923">
        <v>0</v>
      </c>
      <c r="V1923">
        <v>1</v>
      </c>
      <c r="W1923">
        <v>0</v>
      </c>
      <c r="X1923">
        <v>0.85</v>
      </c>
    </row>
    <row r="1924" spans="1:24" x14ac:dyDescent="0.3">
      <c r="A1924" t="s">
        <v>2670</v>
      </c>
      <c r="B1924" s="1">
        <v>45968</v>
      </c>
      <c r="C1924" t="s">
        <v>38</v>
      </c>
      <c r="D1924" t="s">
        <v>82</v>
      </c>
      <c r="E1924" t="s">
        <v>27</v>
      </c>
      <c r="F1924" t="s">
        <v>28</v>
      </c>
      <c r="G1924" t="s">
        <v>29</v>
      </c>
      <c r="H1924" t="s">
        <v>135</v>
      </c>
      <c r="I1924" t="s">
        <v>803</v>
      </c>
      <c r="J1924" t="s">
        <v>53</v>
      </c>
      <c r="K1924" t="s">
        <v>70</v>
      </c>
      <c r="L1924" t="s">
        <v>34</v>
      </c>
      <c r="M1924" t="s">
        <v>86</v>
      </c>
      <c r="N1924" t="s">
        <v>113</v>
      </c>
      <c r="O1924">
        <v>75</v>
      </c>
      <c r="P1924">
        <v>0</v>
      </c>
      <c r="Q1924">
        <v>94.1</v>
      </c>
      <c r="R1924">
        <v>1900</v>
      </c>
      <c r="S1924">
        <v>0</v>
      </c>
      <c r="T1924">
        <v>1900</v>
      </c>
      <c r="U1924">
        <v>0</v>
      </c>
      <c r="V1924">
        <v>0</v>
      </c>
      <c r="W1924">
        <v>1</v>
      </c>
      <c r="X1924">
        <v>0.85</v>
      </c>
    </row>
    <row r="1925" spans="1:24" x14ac:dyDescent="0.3">
      <c r="A1925" t="s">
        <v>2671</v>
      </c>
      <c r="B1925" s="1">
        <v>45754</v>
      </c>
      <c r="C1925" t="s">
        <v>92</v>
      </c>
      <c r="D1925" t="s">
        <v>39</v>
      </c>
      <c r="E1925" t="s">
        <v>40</v>
      </c>
      <c r="F1925" t="s">
        <v>28</v>
      </c>
      <c r="G1925" t="s">
        <v>29</v>
      </c>
      <c r="H1925" t="s">
        <v>102</v>
      </c>
      <c r="I1925" t="s">
        <v>955</v>
      </c>
      <c r="J1925" t="s">
        <v>32</v>
      </c>
      <c r="K1925" t="s">
        <v>70</v>
      </c>
      <c r="L1925" t="s">
        <v>64</v>
      </c>
      <c r="M1925" t="s">
        <v>86</v>
      </c>
      <c r="N1925" t="s">
        <v>36</v>
      </c>
      <c r="O1925">
        <v>45</v>
      </c>
      <c r="P1925">
        <v>45</v>
      </c>
      <c r="Q1925">
        <v>54.3</v>
      </c>
      <c r="R1925">
        <v>950</v>
      </c>
      <c r="S1925">
        <v>950</v>
      </c>
      <c r="T1925">
        <v>0</v>
      </c>
      <c r="U1925">
        <v>0</v>
      </c>
      <c r="V1925">
        <v>1</v>
      </c>
      <c r="W1925">
        <v>0</v>
      </c>
      <c r="X1925">
        <v>0.85</v>
      </c>
    </row>
    <row r="1926" spans="1:24" x14ac:dyDescent="0.3">
      <c r="A1926" t="s">
        <v>2672</v>
      </c>
      <c r="B1926" s="1">
        <v>45903</v>
      </c>
      <c r="C1926" t="s">
        <v>49</v>
      </c>
      <c r="D1926" t="s">
        <v>57</v>
      </c>
      <c r="E1926" t="s">
        <v>83</v>
      </c>
      <c r="F1926" t="s">
        <v>41</v>
      </c>
      <c r="G1926" t="s">
        <v>42</v>
      </c>
      <c r="H1926" t="s">
        <v>111</v>
      </c>
      <c r="I1926" t="s">
        <v>1347</v>
      </c>
      <c r="J1926" t="s">
        <v>45</v>
      </c>
      <c r="K1926" t="s">
        <v>33</v>
      </c>
      <c r="L1926" t="s">
        <v>34</v>
      </c>
      <c r="M1926" t="s">
        <v>47</v>
      </c>
      <c r="N1926" t="s">
        <v>153</v>
      </c>
      <c r="O1926">
        <v>45</v>
      </c>
      <c r="P1926">
        <v>0</v>
      </c>
      <c r="Q1926">
        <v>58.5</v>
      </c>
      <c r="R1926">
        <v>1150</v>
      </c>
      <c r="S1926">
        <v>0</v>
      </c>
      <c r="T1926">
        <v>0</v>
      </c>
      <c r="U1926">
        <v>0</v>
      </c>
      <c r="V1926">
        <v>0</v>
      </c>
      <c r="W1926">
        <v>0</v>
      </c>
      <c r="X1926">
        <v>0.85</v>
      </c>
    </row>
    <row r="1927" spans="1:24" x14ac:dyDescent="0.3">
      <c r="A1927" t="s">
        <v>2673</v>
      </c>
      <c r="B1927" s="1">
        <v>45960</v>
      </c>
      <c r="C1927" t="s">
        <v>97</v>
      </c>
      <c r="D1927" t="s">
        <v>50</v>
      </c>
      <c r="E1927" t="s">
        <v>27</v>
      </c>
      <c r="F1927" t="s">
        <v>28</v>
      </c>
      <c r="G1927" t="s">
        <v>29</v>
      </c>
      <c r="H1927" t="s">
        <v>30</v>
      </c>
      <c r="I1927" t="s">
        <v>300</v>
      </c>
      <c r="J1927" t="s">
        <v>137</v>
      </c>
      <c r="K1927" t="s">
        <v>46</v>
      </c>
      <c r="L1927" t="s">
        <v>64</v>
      </c>
      <c r="M1927" t="s">
        <v>65</v>
      </c>
      <c r="N1927" t="s">
        <v>36</v>
      </c>
      <c r="O1927">
        <v>45</v>
      </c>
      <c r="P1927">
        <v>45</v>
      </c>
      <c r="Q1927">
        <v>50.4</v>
      </c>
      <c r="R1927">
        <v>950</v>
      </c>
      <c r="S1927">
        <v>950</v>
      </c>
      <c r="T1927">
        <v>0</v>
      </c>
      <c r="U1927">
        <v>0</v>
      </c>
      <c r="V1927">
        <v>1</v>
      </c>
      <c r="W1927">
        <v>0</v>
      </c>
      <c r="X1927">
        <v>0.85</v>
      </c>
    </row>
    <row r="1928" spans="1:24" x14ac:dyDescent="0.3">
      <c r="A1928" t="s">
        <v>2674</v>
      </c>
      <c r="B1928" s="1">
        <v>45706</v>
      </c>
      <c r="C1928" t="s">
        <v>76</v>
      </c>
      <c r="D1928" t="s">
        <v>26</v>
      </c>
      <c r="E1928" t="s">
        <v>83</v>
      </c>
      <c r="F1928" t="s">
        <v>58</v>
      </c>
      <c r="G1928" t="s">
        <v>59</v>
      </c>
      <c r="H1928" t="s">
        <v>73</v>
      </c>
      <c r="I1928" t="s">
        <v>822</v>
      </c>
      <c r="J1928" t="s">
        <v>32</v>
      </c>
      <c r="K1928" t="s">
        <v>104</v>
      </c>
      <c r="L1928" t="s">
        <v>64</v>
      </c>
      <c r="M1928" t="s">
        <v>65</v>
      </c>
      <c r="N1928" t="s">
        <v>36</v>
      </c>
      <c r="O1928">
        <v>75</v>
      </c>
      <c r="P1928">
        <v>75</v>
      </c>
      <c r="Q1928">
        <v>82.1</v>
      </c>
      <c r="R1928">
        <v>1900</v>
      </c>
      <c r="S1928">
        <v>1900</v>
      </c>
      <c r="T1928">
        <v>0</v>
      </c>
      <c r="U1928">
        <v>0</v>
      </c>
      <c r="V1928">
        <v>1</v>
      </c>
      <c r="W1928">
        <v>0</v>
      </c>
      <c r="X1928">
        <v>0.85</v>
      </c>
    </row>
    <row r="1929" spans="1:24" x14ac:dyDescent="0.3">
      <c r="A1929" t="s">
        <v>2675</v>
      </c>
      <c r="B1929" s="1">
        <v>45664</v>
      </c>
      <c r="C1929" t="s">
        <v>130</v>
      </c>
      <c r="D1929" t="s">
        <v>26</v>
      </c>
      <c r="E1929" t="s">
        <v>27</v>
      </c>
      <c r="F1929" t="s">
        <v>58</v>
      </c>
      <c r="G1929" t="s">
        <v>59</v>
      </c>
      <c r="H1929" t="s">
        <v>296</v>
      </c>
      <c r="I1929" t="s">
        <v>555</v>
      </c>
      <c r="J1929" t="s">
        <v>32</v>
      </c>
      <c r="K1929" t="s">
        <v>104</v>
      </c>
      <c r="L1929" t="s">
        <v>34</v>
      </c>
      <c r="M1929" t="s">
        <v>71</v>
      </c>
      <c r="N1929" t="s">
        <v>95</v>
      </c>
      <c r="O1929">
        <v>45</v>
      </c>
      <c r="P1929">
        <v>0</v>
      </c>
      <c r="Q1929">
        <v>57.2</v>
      </c>
      <c r="R1929">
        <v>1100</v>
      </c>
      <c r="S1929">
        <v>0</v>
      </c>
      <c r="T1929">
        <v>1100</v>
      </c>
      <c r="U1929">
        <v>1</v>
      </c>
      <c r="V1929">
        <v>0</v>
      </c>
      <c r="W1929">
        <v>0</v>
      </c>
      <c r="X1929">
        <v>0.85</v>
      </c>
    </row>
    <row r="1930" spans="1:24" x14ac:dyDescent="0.3">
      <c r="A1930" t="s">
        <v>2676</v>
      </c>
      <c r="B1930" s="1">
        <v>45878</v>
      </c>
      <c r="C1930" t="s">
        <v>110</v>
      </c>
      <c r="D1930" t="s">
        <v>88</v>
      </c>
      <c r="E1930" t="s">
        <v>83</v>
      </c>
      <c r="F1930" t="s">
        <v>58</v>
      </c>
      <c r="G1930" t="s">
        <v>59</v>
      </c>
      <c r="H1930" t="s">
        <v>73</v>
      </c>
      <c r="I1930" t="s">
        <v>1192</v>
      </c>
      <c r="J1930" t="s">
        <v>99</v>
      </c>
      <c r="K1930" t="s">
        <v>46</v>
      </c>
      <c r="L1930" t="s">
        <v>64</v>
      </c>
      <c r="M1930" t="s">
        <v>71</v>
      </c>
      <c r="N1930" t="s">
        <v>95</v>
      </c>
      <c r="O1930">
        <v>30</v>
      </c>
      <c r="P1930">
        <v>0</v>
      </c>
      <c r="Q1930">
        <v>32.6</v>
      </c>
      <c r="R1930">
        <v>750</v>
      </c>
      <c r="S1930">
        <v>0</v>
      </c>
      <c r="T1930">
        <v>750</v>
      </c>
      <c r="U1930">
        <v>1</v>
      </c>
      <c r="V1930">
        <v>0</v>
      </c>
      <c r="W1930">
        <v>0</v>
      </c>
      <c r="X1930">
        <v>0.85</v>
      </c>
    </row>
    <row r="1931" spans="1:24" x14ac:dyDescent="0.3">
      <c r="A1931" t="s">
        <v>2677</v>
      </c>
      <c r="B1931" s="1">
        <v>45778</v>
      </c>
      <c r="C1931" t="s">
        <v>128</v>
      </c>
      <c r="D1931" t="s">
        <v>50</v>
      </c>
      <c r="E1931" t="s">
        <v>27</v>
      </c>
      <c r="F1931" t="s">
        <v>58</v>
      </c>
      <c r="G1931" t="s">
        <v>59</v>
      </c>
      <c r="H1931" t="s">
        <v>73</v>
      </c>
      <c r="I1931" t="s">
        <v>2230</v>
      </c>
      <c r="J1931" t="s">
        <v>32</v>
      </c>
      <c r="K1931" t="s">
        <v>70</v>
      </c>
      <c r="L1931" t="s">
        <v>64</v>
      </c>
      <c r="M1931" t="s">
        <v>65</v>
      </c>
      <c r="N1931" t="s">
        <v>36</v>
      </c>
      <c r="O1931">
        <v>60</v>
      </c>
      <c r="P1931">
        <v>60</v>
      </c>
      <c r="Q1931">
        <v>77.7</v>
      </c>
      <c r="R1931">
        <v>1500</v>
      </c>
      <c r="S1931">
        <v>1500</v>
      </c>
      <c r="T1931">
        <v>0</v>
      </c>
      <c r="U1931">
        <v>0</v>
      </c>
      <c r="V1931">
        <v>1</v>
      </c>
      <c r="W1931">
        <v>0</v>
      </c>
      <c r="X1931">
        <v>0.85</v>
      </c>
    </row>
    <row r="1932" spans="1:24" x14ac:dyDescent="0.3">
      <c r="A1932" t="s">
        <v>2678</v>
      </c>
      <c r="B1932" s="1">
        <v>45782</v>
      </c>
      <c r="C1932" t="s">
        <v>128</v>
      </c>
      <c r="D1932" t="s">
        <v>39</v>
      </c>
      <c r="E1932" t="s">
        <v>83</v>
      </c>
      <c r="F1932" t="s">
        <v>58</v>
      </c>
      <c r="G1932" t="s">
        <v>59</v>
      </c>
      <c r="H1932" t="s">
        <v>296</v>
      </c>
      <c r="I1932" t="s">
        <v>2138</v>
      </c>
      <c r="J1932" t="s">
        <v>62</v>
      </c>
      <c r="K1932" t="s">
        <v>85</v>
      </c>
      <c r="L1932" t="s">
        <v>64</v>
      </c>
      <c r="M1932" t="s">
        <v>94</v>
      </c>
      <c r="N1932" t="s">
        <v>36</v>
      </c>
      <c r="O1932">
        <v>45</v>
      </c>
      <c r="P1932">
        <v>45</v>
      </c>
      <c r="Q1932">
        <v>56</v>
      </c>
      <c r="R1932">
        <v>1100</v>
      </c>
      <c r="S1932">
        <v>1100</v>
      </c>
      <c r="T1932">
        <v>0</v>
      </c>
      <c r="U1932">
        <v>0</v>
      </c>
      <c r="V1932">
        <v>1</v>
      </c>
      <c r="W1932">
        <v>0</v>
      </c>
      <c r="X1932">
        <v>0.85</v>
      </c>
    </row>
    <row r="1933" spans="1:24" x14ac:dyDescent="0.3">
      <c r="A1933" t="s">
        <v>2679</v>
      </c>
      <c r="B1933" s="1">
        <v>45947</v>
      </c>
      <c r="C1933" t="s">
        <v>97</v>
      </c>
      <c r="D1933" t="s">
        <v>82</v>
      </c>
      <c r="E1933" t="s">
        <v>40</v>
      </c>
      <c r="F1933" t="s">
        <v>58</v>
      </c>
      <c r="G1933" t="s">
        <v>59</v>
      </c>
      <c r="H1933" t="s">
        <v>296</v>
      </c>
      <c r="I1933" t="s">
        <v>1439</v>
      </c>
      <c r="J1933" t="s">
        <v>62</v>
      </c>
      <c r="K1933" t="s">
        <v>104</v>
      </c>
      <c r="L1933" t="s">
        <v>64</v>
      </c>
      <c r="M1933" t="s">
        <v>47</v>
      </c>
      <c r="N1933" t="s">
        <v>36</v>
      </c>
      <c r="O1933">
        <v>45</v>
      </c>
      <c r="P1933">
        <v>45</v>
      </c>
      <c r="Q1933">
        <v>57.2</v>
      </c>
      <c r="R1933">
        <v>1100</v>
      </c>
      <c r="S1933">
        <v>1100</v>
      </c>
      <c r="T1933">
        <v>0</v>
      </c>
      <c r="U1933">
        <v>0</v>
      </c>
      <c r="V1933">
        <v>1</v>
      </c>
      <c r="W1933">
        <v>0</v>
      </c>
      <c r="X1933">
        <v>0.85</v>
      </c>
    </row>
    <row r="1934" spans="1:24" x14ac:dyDescent="0.3">
      <c r="A1934" t="s">
        <v>2680</v>
      </c>
      <c r="B1934" s="1">
        <v>45691</v>
      </c>
      <c r="C1934" t="s">
        <v>76</v>
      </c>
      <c r="D1934" t="s">
        <v>39</v>
      </c>
      <c r="E1934" t="s">
        <v>27</v>
      </c>
      <c r="F1934" t="s">
        <v>41</v>
      </c>
      <c r="G1934" t="s">
        <v>42</v>
      </c>
      <c r="H1934" t="s">
        <v>125</v>
      </c>
      <c r="I1934" t="s">
        <v>442</v>
      </c>
      <c r="J1934" t="s">
        <v>45</v>
      </c>
      <c r="K1934" t="s">
        <v>85</v>
      </c>
      <c r="L1934" t="s">
        <v>78</v>
      </c>
      <c r="M1934" t="s">
        <v>94</v>
      </c>
      <c r="N1934" t="s">
        <v>36</v>
      </c>
      <c r="O1934">
        <v>45</v>
      </c>
      <c r="P1934">
        <v>45</v>
      </c>
      <c r="Q1934">
        <v>53</v>
      </c>
      <c r="R1934">
        <v>1050</v>
      </c>
      <c r="S1934">
        <v>1050</v>
      </c>
      <c r="T1934">
        <v>0</v>
      </c>
      <c r="U1934">
        <v>0</v>
      </c>
      <c r="V1934">
        <v>1</v>
      </c>
      <c r="W1934">
        <v>0</v>
      </c>
      <c r="X1934">
        <v>0.85</v>
      </c>
    </row>
    <row r="1935" spans="1:24" x14ac:dyDescent="0.3">
      <c r="A1935" t="s">
        <v>2681</v>
      </c>
      <c r="B1935" s="1">
        <v>45661</v>
      </c>
      <c r="C1935" t="s">
        <v>130</v>
      </c>
      <c r="D1935" t="s">
        <v>88</v>
      </c>
      <c r="E1935" t="s">
        <v>83</v>
      </c>
      <c r="F1935" t="s">
        <v>28</v>
      </c>
      <c r="G1935" t="s">
        <v>29</v>
      </c>
      <c r="H1935" t="s">
        <v>30</v>
      </c>
      <c r="I1935" t="s">
        <v>229</v>
      </c>
      <c r="J1935" t="s">
        <v>32</v>
      </c>
      <c r="K1935" t="s">
        <v>104</v>
      </c>
      <c r="L1935" t="s">
        <v>34</v>
      </c>
      <c r="M1935" t="s">
        <v>47</v>
      </c>
      <c r="N1935" t="s">
        <v>36</v>
      </c>
      <c r="O1935">
        <v>60</v>
      </c>
      <c r="P1935">
        <v>60</v>
      </c>
      <c r="Q1935">
        <v>75.400000000000006</v>
      </c>
      <c r="R1935">
        <v>1250</v>
      </c>
      <c r="S1935">
        <v>1250</v>
      </c>
      <c r="T1935">
        <v>0</v>
      </c>
      <c r="U1935">
        <v>0</v>
      </c>
      <c r="V1935">
        <v>1</v>
      </c>
      <c r="W1935">
        <v>0</v>
      </c>
      <c r="X1935">
        <v>0.85</v>
      </c>
    </row>
    <row r="1936" spans="1:24" x14ac:dyDescent="0.3">
      <c r="A1936" t="s">
        <v>2682</v>
      </c>
      <c r="B1936" s="1">
        <v>45988</v>
      </c>
      <c r="C1936" t="s">
        <v>38</v>
      </c>
      <c r="D1936" t="s">
        <v>50</v>
      </c>
      <c r="E1936" t="s">
        <v>83</v>
      </c>
      <c r="F1936" t="s">
        <v>41</v>
      </c>
      <c r="G1936" t="s">
        <v>42</v>
      </c>
      <c r="H1936" t="s">
        <v>89</v>
      </c>
      <c r="I1936" t="s">
        <v>752</v>
      </c>
      <c r="J1936" t="s">
        <v>62</v>
      </c>
      <c r="K1936" t="s">
        <v>46</v>
      </c>
      <c r="L1936" t="s">
        <v>64</v>
      </c>
      <c r="M1936" t="s">
        <v>65</v>
      </c>
      <c r="N1936" t="s">
        <v>36</v>
      </c>
      <c r="O1936">
        <v>45</v>
      </c>
      <c r="P1936">
        <v>45</v>
      </c>
      <c r="Q1936">
        <v>56.5</v>
      </c>
      <c r="R1936">
        <v>1000</v>
      </c>
      <c r="S1936">
        <v>1000</v>
      </c>
      <c r="T1936">
        <v>0</v>
      </c>
      <c r="U1936">
        <v>0</v>
      </c>
      <c r="V1936">
        <v>1</v>
      </c>
      <c r="W1936">
        <v>0</v>
      </c>
      <c r="X1936">
        <v>0.85</v>
      </c>
    </row>
    <row r="1937" spans="1:24" x14ac:dyDescent="0.3">
      <c r="A1937" t="s">
        <v>2683</v>
      </c>
      <c r="B1937" s="1">
        <v>45849</v>
      </c>
      <c r="C1937" t="s">
        <v>101</v>
      </c>
      <c r="D1937" t="s">
        <v>82</v>
      </c>
      <c r="E1937" t="s">
        <v>40</v>
      </c>
      <c r="F1937" t="s">
        <v>58</v>
      </c>
      <c r="G1937" t="s">
        <v>59</v>
      </c>
      <c r="H1937" t="s">
        <v>151</v>
      </c>
      <c r="I1937" t="s">
        <v>312</v>
      </c>
      <c r="J1937" t="s">
        <v>45</v>
      </c>
      <c r="K1937" t="s">
        <v>70</v>
      </c>
      <c r="L1937" t="s">
        <v>78</v>
      </c>
      <c r="M1937" t="s">
        <v>86</v>
      </c>
      <c r="N1937" t="s">
        <v>36</v>
      </c>
      <c r="O1937">
        <v>30</v>
      </c>
      <c r="P1937">
        <v>30</v>
      </c>
      <c r="Q1937">
        <v>38.299999999999997</v>
      </c>
      <c r="R1937">
        <v>800</v>
      </c>
      <c r="S1937">
        <v>800</v>
      </c>
      <c r="T1937">
        <v>0</v>
      </c>
      <c r="U1937">
        <v>0</v>
      </c>
      <c r="V1937">
        <v>1</v>
      </c>
      <c r="W1937">
        <v>0</v>
      </c>
      <c r="X1937">
        <v>0.85</v>
      </c>
    </row>
    <row r="1938" spans="1:24" x14ac:dyDescent="0.3">
      <c r="A1938" t="s">
        <v>2684</v>
      </c>
      <c r="B1938" s="1">
        <v>45784</v>
      </c>
      <c r="C1938" t="s">
        <v>128</v>
      </c>
      <c r="D1938" t="s">
        <v>57</v>
      </c>
      <c r="E1938" t="s">
        <v>27</v>
      </c>
      <c r="F1938" t="s">
        <v>58</v>
      </c>
      <c r="G1938" t="s">
        <v>59</v>
      </c>
      <c r="H1938" t="s">
        <v>117</v>
      </c>
      <c r="I1938" t="s">
        <v>673</v>
      </c>
      <c r="J1938" t="s">
        <v>137</v>
      </c>
      <c r="K1938" t="s">
        <v>63</v>
      </c>
      <c r="L1938" t="s">
        <v>78</v>
      </c>
      <c r="M1938" t="s">
        <v>94</v>
      </c>
      <c r="N1938" t="s">
        <v>36</v>
      </c>
      <c r="O1938">
        <v>45</v>
      </c>
      <c r="P1938">
        <v>45</v>
      </c>
      <c r="Q1938">
        <v>57.6</v>
      </c>
      <c r="R1938">
        <v>1050</v>
      </c>
      <c r="S1938">
        <v>1050</v>
      </c>
      <c r="T1938">
        <v>0</v>
      </c>
      <c r="U1938">
        <v>0</v>
      </c>
      <c r="V1938">
        <v>1</v>
      </c>
      <c r="W1938">
        <v>0</v>
      </c>
      <c r="X1938">
        <v>0.85</v>
      </c>
    </row>
    <row r="1939" spans="1:24" x14ac:dyDescent="0.3">
      <c r="A1939" t="s">
        <v>2685</v>
      </c>
      <c r="B1939" s="1">
        <v>45672</v>
      </c>
      <c r="C1939" t="s">
        <v>130</v>
      </c>
      <c r="D1939" t="s">
        <v>57</v>
      </c>
      <c r="E1939" t="s">
        <v>27</v>
      </c>
      <c r="F1939" t="s">
        <v>58</v>
      </c>
      <c r="G1939" t="s">
        <v>59</v>
      </c>
      <c r="H1939" t="s">
        <v>296</v>
      </c>
      <c r="I1939" t="s">
        <v>139</v>
      </c>
      <c r="J1939" t="s">
        <v>99</v>
      </c>
      <c r="K1939" t="s">
        <v>104</v>
      </c>
      <c r="L1939" t="s">
        <v>64</v>
      </c>
      <c r="M1939" t="s">
        <v>65</v>
      </c>
      <c r="N1939" t="s">
        <v>95</v>
      </c>
      <c r="O1939">
        <v>45</v>
      </c>
      <c r="P1939">
        <v>0</v>
      </c>
      <c r="Q1939">
        <v>57.2</v>
      </c>
      <c r="R1939">
        <v>1100</v>
      </c>
      <c r="S1939">
        <v>0</v>
      </c>
      <c r="T1939">
        <v>1100</v>
      </c>
      <c r="U1939">
        <v>1</v>
      </c>
      <c r="V1939">
        <v>0</v>
      </c>
      <c r="W1939">
        <v>0</v>
      </c>
      <c r="X1939">
        <v>0.85</v>
      </c>
    </row>
    <row r="1940" spans="1:24" x14ac:dyDescent="0.3">
      <c r="A1940" t="s">
        <v>2686</v>
      </c>
      <c r="B1940" s="1">
        <v>46021</v>
      </c>
      <c r="C1940" t="s">
        <v>25</v>
      </c>
      <c r="D1940" t="s">
        <v>26</v>
      </c>
      <c r="E1940" t="s">
        <v>27</v>
      </c>
      <c r="F1940" t="s">
        <v>41</v>
      </c>
      <c r="G1940" t="s">
        <v>42</v>
      </c>
      <c r="H1940" t="s">
        <v>51</v>
      </c>
      <c r="I1940" t="s">
        <v>1368</v>
      </c>
      <c r="J1940" t="s">
        <v>62</v>
      </c>
      <c r="K1940" t="s">
        <v>104</v>
      </c>
      <c r="L1940" t="s">
        <v>34</v>
      </c>
      <c r="M1940" t="s">
        <v>35</v>
      </c>
      <c r="N1940" t="s">
        <v>95</v>
      </c>
      <c r="O1940">
        <v>45</v>
      </c>
      <c r="P1940">
        <v>0</v>
      </c>
      <c r="Q1940">
        <v>53.7</v>
      </c>
      <c r="R1940">
        <v>1000</v>
      </c>
      <c r="S1940">
        <v>0</v>
      </c>
      <c r="T1940">
        <v>1000</v>
      </c>
      <c r="U1940">
        <v>1</v>
      </c>
      <c r="V1940">
        <v>0</v>
      </c>
      <c r="W1940">
        <v>0</v>
      </c>
      <c r="X1940">
        <v>0.85</v>
      </c>
    </row>
    <row r="1941" spans="1:24" x14ac:dyDescent="0.3">
      <c r="A1941" t="s">
        <v>2687</v>
      </c>
      <c r="B1941" s="1">
        <v>45703</v>
      </c>
      <c r="C1941" t="s">
        <v>76</v>
      </c>
      <c r="D1941" t="s">
        <v>88</v>
      </c>
      <c r="E1941" t="s">
        <v>83</v>
      </c>
      <c r="F1941" t="s">
        <v>41</v>
      </c>
      <c r="G1941" t="s">
        <v>42</v>
      </c>
      <c r="H1941" t="s">
        <v>43</v>
      </c>
      <c r="I1941" t="s">
        <v>2087</v>
      </c>
      <c r="J1941" t="s">
        <v>45</v>
      </c>
      <c r="K1941" t="s">
        <v>85</v>
      </c>
      <c r="L1941" t="s">
        <v>64</v>
      </c>
      <c r="M1941" t="s">
        <v>94</v>
      </c>
      <c r="N1941" t="s">
        <v>36</v>
      </c>
      <c r="O1941">
        <v>75</v>
      </c>
      <c r="P1941">
        <v>75</v>
      </c>
      <c r="Q1941">
        <v>84</v>
      </c>
      <c r="R1941">
        <v>1950</v>
      </c>
      <c r="S1941">
        <v>1950</v>
      </c>
      <c r="T1941">
        <v>0</v>
      </c>
      <c r="U1941">
        <v>0</v>
      </c>
      <c r="V1941">
        <v>1</v>
      </c>
      <c r="W1941">
        <v>0</v>
      </c>
      <c r="X1941">
        <v>0.85</v>
      </c>
    </row>
    <row r="1942" spans="1:24" x14ac:dyDescent="0.3">
      <c r="A1942" t="s">
        <v>2688</v>
      </c>
      <c r="B1942" s="1">
        <v>45751</v>
      </c>
      <c r="C1942" t="s">
        <v>92</v>
      </c>
      <c r="D1942" t="s">
        <v>82</v>
      </c>
      <c r="E1942" t="s">
        <v>40</v>
      </c>
      <c r="F1942" t="s">
        <v>41</v>
      </c>
      <c r="G1942" t="s">
        <v>42</v>
      </c>
      <c r="H1942" t="s">
        <v>89</v>
      </c>
      <c r="I1942" t="s">
        <v>2689</v>
      </c>
      <c r="J1942" t="s">
        <v>45</v>
      </c>
      <c r="K1942" t="s">
        <v>85</v>
      </c>
      <c r="L1942" t="s">
        <v>34</v>
      </c>
      <c r="M1942" t="s">
        <v>71</v>
      </c>
      <c r="N1942" t="s">
        <v>36</v>
      </c>
      <c r="O1942">
        <v>60</v>
      </c>
      <c r="P1942">
        <v>60</v>
      </c>
      <c r="Q1942">
        <v>71.8</v>
      </c>
      <c r="R1942">
        <v>1550</v>
      </c>
      <c r="S1942">
        <v>1550</v>
      </c>
      <c r="T1942">
        <v>0</v>
      </c>
      <c r="U1942">
        <v>0</v>
      </c>
      <c r="V1942">
        <v>1</v>
      </c>
      <c r="W1942">
        <v>0</v>
      </c>
      <c r="X1942">
        <v>0.85</v>
      </c>
    </row>
    <row r="1943" spans="1:24" x14ac:dyDescent="0.3">
      <c r="A1943" t="s">
        <v>2690</v>
      </c>
      <c r="B1943" s="1">
        <v>45901</v>
      </c>
      <c r="C1943" t="s">
        <v>49</v>
      </c>
      <c r="D1943" t="s">
        <v>39</v>
      </c>
      <c r="E1943" t="s">
        <v>68</v>
      </c>
      <c r="F1943" t="s">
        <v>28</v>
      </c>
      <c r="G1943" t="s">
        <v>29</v>
      </c>
      <c r="H1943" t="s">
        <v>30</v>
      </c>
      <c r="I1943" t="s">
        <v>2522</v>
      </c>
      <c r="J1943" t="s">
        <v>45</v>
      </c>
      <c r="K1943" t="s">
        <v>70</v>
      </c>
      <c r="L1943" t="s">
        <v>78</v>
      </c>
      <c r="M1943" t="s">
        <v>47</v>
      </c>
      <c r="N1943" t="s">
        <v>36</v>
      </c>
      <c r="O1943">
        <v>75</v>
      </c>
      <c r="P1943">
        <v>75</v>
      </c>
      <c r="Q1943">
        <v>96.3</v>
      </c>
      <c r="R1943">
        <v>1650</v>
      </c>
      <c r="S1943">
        <v>1650</v>
      </c>
      <c r="T1943">
        <v>0</v>
      </c>
      <c r="U1943">
        <v>0</v>
      </c>
      <c r="V1943">
        <v>1</v>
      </c>
      <c r="W1943">
        <v>0</v>
      </c>
      <c r="X1943">
        <v>0.85</v>
      </c>
    </row>
    <row r="1944" spans="1:24" x14ac:dyDescent="0.3">
      <c r="A1944" t="s">
        <v>2691</v>
      </c>
      <c r="B1944" s="1">
        <v>45888</v>
      </c>
      <c r="C1944" t="s">
        <v>110</v>
      </c>
      <c r="D1944" t="s">
        <v>26</v>
      </c>
      <c r="E1944" t="s">
        <v>27</v>
      </c>
      <c r="F1944" t="s">
        <v>41</v>
      </c>
      <c r="G1944" t="s">
        <v>42</v>
      </c>
      <c r="H1944" t="s">
        <v>125</v>
      </c>
      <c r="I1944" t="s">
        <v>115</v>
      </c>
      <c r="J1944" t="s">
        <v>53</v>
      </c>
      <c r="K1944" t="s">
        <v>63</v>
      </c>
      <c r="L1944" t="s">
        <v>64</v>
      </c>
      <c r="M1944" t="s">
        <v>65</v>
      </c>
      <c r="N1944" t="s">
        <v>36</v>
      </c>
      <c r="O1944">
        <v>30</v>
      </c>
      <c r="P1944">
        <v>30</v>
      </c>
      <c r="Q1944">
        <v>37.9</v>
      </c>
      <c r="R1944">
        <v>800</v>
      </c>
      <c r="S1944">
        <v>800</v>
      </c>
      <c r="T1944">
        <v>0</v>
      </c>
      <c r="U1944">
        <v>0</v>
      </c>
      <c r="V1944">
        <v>1</v>
      </c>
      <c r="W1944">
        <v>0</v>
      </c>
      <c r="X1944">
        <v>0.85</v>
      </c>
    </row>
    <row r="1945" spans="1:24" x14ac:dyDescent="0.3">
      <c r="A1945" t="s">
        <v>2692</v>
      </c>
      <c r="B1945" s="1">
        <v>45672</v>
      </c>
      <c r="C1945" t="s">
        <v>130</v>
      </c>
      <c r="D1945" t="s">
        <v>57</v>
      </c>
      <c r="E1945" t="s">
        <v>83</v>
      </c>
      <c r="F1945" t="s">
        <v>28</v>
      </c>
      <c r="G1945" t="s">
        <v>29</v>
      </c>
      <c r="H1945" t="s">
        <v>102</v>
      </c>
      <c r="I1945" t="s">
        <v>752</v>
      </c>
      <c r="J1945" t="s">
        <v>62</v>
      </c>
      <c r="K1945" t="s">
        <v>46</v>
      </c>
      <c r="L1945" t="s">
        <v>34</v>
      </c>
      <c r="M1945" t="s">
        <v>35</v>
      </c>
      <c r="N1945" t="s">
        <v>36</v>
      </c>
      <c r="O1945">
        <v>45</v>
      </c>
      <c r="P1945">
        <v>45</v>
      </c>
      <c r="Q1945">
        <v>59.2</v>
      </c>
      <c r="R1945">
        <v>950</v>
      </c>
      <c r="S1945">
        <v>950</v>
      </c>
      <c r="T1945">
        <v>0</v>
      </c>
      <c r="U1945">
        <v>0</v>
      </c>
      <c r="V1945">
        <v>1</v>
      </c>
      <c r="W1945">
        <v>0</v>
      </c>
      <c r="X1945">
        <v>0.85</v>
      </c>
    </row>
    <row r="1946" spans="1:24" x14ac:dyDescent="0.3">
      <c r="A1946" t="s">
        <v>2693</v>
      </c>
      <c r="B1946" s="1">
        <v>45917</v>
      </c>
      <c r="C1946" t="s">
        <v>49</v>
      </c>
      <c r="D1946" t="s">
        <v>57</v>
      </c>
      <c r="E1946" t="s">
        <v>27</v>
      </c>
      <c r="F1946" t="s">
        <v>41</v>
      </c>
      <c r="G1946" t="s">
        <v>42</v>
      </c>
      <c r="H1946" t="s">
        <v>51</v>
      </c>
      <c r="I1946" t="s">
        <v>460</v>
      </c>
      <c r="J1946" t="s">
        <v>32</v>
      </c>
      <c r="K1946" t="s">
        <v>85</v>
      </c>
      <c r="L1946" t="s">
        <v>64</v>
      </c>
      <c r="M1946" t="s">
        <v>86</v>
      </c>
      <c r="N1946" t="s">
        <v>36</v>
      </c>
      <c r="O1946">
        <v>60</v>
      </c>
      <c r="P1946">
        <v>60</v>
      </c>
      <c r="Q1946">
        <v>77.900000000000006</v>
      </c>
      <c r="R1946">
        <v>1350</v>
      </c>
      <c r="S1946">
        <v>1350</v>
      </c>
      <c r="T1946">
        <v>0</v>
      </c>
      <c r="U1946">
        <v>0</v>
      </c>
      <c r="V1946">
        <v>1</v>
      </c>
      <c r="W1946">
        <v>0</v>
      </c>
      <c r="X1946">
        <v>0.85</v>
      </c>
    </row>
    <row r="1947" spans="1:24" x14ac:dyDescent="0.3">
      <c r="A1947" t="s">
        <v>2694</v>
      </c>
      <c r="B1947" s="1">
        <v>45867</v>
      </c>
      <c r="C1947" t="s">
        <v>101</v>
      </c>
      <c r="D1947" t="s">
        <v>26</v>
      </c>
      <c r="E1947" t="s">
        <v>83</v>
      </c>
      <c r="F1947" t="s">
        <v>41</v>
      </c>
      <c r="G1947" t="s">
        <v>42</v>
      </c>
      <c r="H1947" t="s">
        <v>111</v>
      </c>
      <c r="I1947" t="s">
        <v>1368</v>
      </c>
      <c r="J1947" t="s">
        <v>62</v>
      </c>
      <c r="K1947" t="s">
        <v>85</v>
      </c>
      <c r="L1947" t="s">
        <v>54</v>
      </c>
      <c r="M1947" t="s">
        <v>65</v>
      </c>
      <c r="N1947" t="s">
        <v>36</v>
      </c>
      <c r="O1947">
        <v>45</v>
      </c>
      <c r="P1947">
        <v>45</v>
      </c>
      <c r="Q1947">
        <v>60.3</v>
      </c>
      <c r="R1947">
        <v>850</v>
      </c>
      <c r="S1947">
        <v>850</v>
      </c>
      <c r="T1947">
        <v>0</v>
      </c>
      <c r="U1947">
        <v>0</v>
      </c>
      <c r="V1947">
        <v>1</v>
      </c>
      <c r="W1947">
        <v>0</v>
      </c>
      <c r="X1947">
        <v>0.85</v>
      </c>
    </row>
    <row r="1948" spans="1:24" x14ac:dyDescent="0.3">
      <c r="A1948" t="s">
        <v>2695</v>
      </c>
      <c r="B1948" s="1">
        <v>45818</v>
      </c>
      <c r="C1948" t="s">
        <v>67</v>
      </c>
      <c r="D1948" t="s">
        <v>26</v>
      </c>
      <c r="E1948" t="s">
        <v>68</v>
      </c>
      <c r="F1948" t="s">
        <v>41</v>
      </c>
      <c r="G1948" t="s">
        <v>42</v>
      </c>
      <c r="H1948" t="s">
        <v>89</v>
      </c>
      <c r="I1948" t="s">
        <v>1090</v>
      </c>
      <c r="J1948" t="s">
        <v>62</v>
      </c>
      <c r="K1948" t="s">
        <v>70</v>
      </c>
      <c r="L1948" t="s">
        <v>78</v>
      </c>
      <c r="M1948" t="s">
        <v>71</v>
      </c>
      <c r="N1948" t="s">
        <v>113</v>
      </c>
      <c r="O1948">
        <v>90</v>
      </c>
      <c r="P1948">
        <v>0</v>
      </c>
      <c r="Q1948">
        <v>100.8</v>
      </c>
      <c r="R1948">
        <v>1850</v>
      </c>
      <c r="S1948">
        <v>0</v>
      </c>
      <c r="T1948">
        <v>1850</v>
      </c>
      <c r="U1948">
        <v>0</v>
      </c>
      <c r="V1948">
        <v>0</v>
      </c>
      <c r="W1948">
        <v>1</v>
      </c>
      <c r="X1948">
        <v>0.85</v>
      </c>
    </row>
    <row r="1949" spans="1:24" x14ac:dyDescent="0.3">
      <c r="A1949" t="s">
        <v>2696</v>
      </c>
      <c r="B1949" s="1">
        <v>45728</v>
      </c>
      <c r="C1949" t="s">
        <v>56</v>
      </c>
      <c r="D1949" t="s">
        <v>57</v>
      </c>
      <c r="E1949" t="s">
        <v>27</v>
      </c>
      <c r="F1949" t="s">
        <v>58</v>
      </c>
      <c r="G1949" t="s">
        <v>59</v>
      </c>
      <c r="H1949" t="s">
        <v>73</v>
      </c>
      <c r="I1949" t="s">
        <v>1341</v>
      </c>
      <c r="J1949" t="s">
        <v>32</v>
      </c>
      <c r="K1949" t="s">
        <v>33</v>
      </c>
      <c r="L1949" t="s">
        <v>34</v>
      </c>
      <c r="M1949" t="s">
        <v>65</v>
      </c>
      <c r="N1949" t="s">
        <v>36</v>
      </c>
      <c r="O1949">
        <v>60</v>
      </c>
      <c r="P1949">
        <v>60</v>
      </c>
      <c r="Q1949">
        <v>70.7</v>
      </c>
      <c r="R1949">
        <v>1500</v>
      </c>
      <c r="S1949">
        <v>1500</v>
      </c>
      <c r="T1949">
        <v>0</v>
      </c>
      <c r="U1949">
        <v>0</v>
      </c>
      <c r="V1949">
        <v>1</v>
      </c>
      <c r="W1949">
        <v>0</v>
      </c>
      <c r="X1949">
        <v>0.85</v>
      </c>
    </row>
    <row r="1950" spans="1:24" x14ac:dyDescent="0.3">
      <c r="A1950" t="s">
        <v>2697</v>
      </c>
      <c r="B1950" s="1">
        <v>46017</v>
      </c>
      <c r="C1950" t="s">
        <v>25</v>
      </c>
      <c r="D1950" t="s">
        <v>82</v>
      </c>
      <c r="E1950" t="s">
        <v>68</v>
      </c>
      <c r="F1950" t="s">
        <v>58</v>
      </c>
      <c r="G1950" t="s">
        <v>59</v>
      </c>
      <c r="H1950" t="s">
        <v>151</v>
      </c>
      <c r="I1950" t="s">
        <v>354</v>
      </c>
      <c r="J1950" t="s">
        <v>53</v>
      </c>
      <c r="K1950" t="s">
        <v>70</v>
      </c>
      <c r="L1950" t="s">
        <v>64</v>
      </c>
      <c r="M1950" t="s">
        <v>71</v>
      </c>
      <c r="N1950" t="s">
        <v>36</v>
      </c>
      <c r="O1950">
        <v>60</v>
      </c>
      <c r="P1950">
        <v>60</v>
      </c>
      <c r="Q1950">
        <v>65.3</v>
      </c>
      <c r="R1950">
        <v>1800</v>
      </c>
      <c r="S1950">
        <v>1800</v>
      </c>
      <c r="T1950">
        <v>0</v>
      </c>
      <c r="U1950">
        <v>0</v>
      </c>
      <c r="V1950">
        <v>1</v>
      </c>
      <c r="W1950">
        <v>0</v>
      </c>
      <c r="X1950">
        <v>0.85</v>
      </c>
    </row>
    <row r="1951" spans="1:24" x14ac:dyDescent="0.3">
      <c r="A1951" t="s">
        <v>2698</v>
      </c>
      <c r="B1951" s="1">
        <v>45972</v>
      </c>
      <c r="C1951" t="s">
        <v>38</v>
      </c>
      <c r="D1951" t="s">
        <v>26</v>
      </c>
      <c r="E1951" t="s">
        <v>68</v>
      </c>
      <c r="F1951" t="s">
        <v>28</v>
      </c>
      <c r="G1951" t="s">
        <v>29</v>
      </c>
      <c r="H1951" t="s">
        <v>135</v>
      </c>
      <c r="I1951" t="s">
        <v>669</v>
      </c>
      <c r="J1951" t="s">
        <v>45</v>
      </c>
      <c r="K1951" t="s">
        <v>104</v>
      </c>
      <c r="L1951" t="s">
        <v>34</v>
      </c>
      <c r="M1951" t="s">
        <v>86</v>
      </c>
      <c r="N1951" t="s">
        <v>95</v>
      </c>
      <c r="O1951">
        <v>45</v>
      </c>
      <c r="P1951">
        <v>0</v>
      </c>
      <c r="Q1951">
        <v>54.5</v>
      </c>
      <c r="R1951">
        <v>1100</v>
      </c>
      <c r="S1951">
        <v>0</v>
      </c>
      <c r="T1951">
        <v>1100</v>
      </c>
      <c r="U1951">
        <v>1</v>
      </c>
      <c r="V1951">
        <v>0</v>
      </c>
      <c r="W1951">
        <v>0</v>
      </c>
      <c r="X1951">
        <v>0.85</v>
      </c>
    </row>
    <row r="1952" spans="1:24" x14ac:dyDescent="0.3">
      <c r="A1952" t="s">
        <v>2699</v>
      </c>
      <c r="B1952" s="1">
        <v>45716</v>
      </c>
      <c r="C1952" t="s">
        <v>76</v>
      </c>
      <c r="D1952" t="s">
        <v>82</v>
      </c>
      <c r="E1952" t="s">
        <v>27</v>
      </c>
      <c r="F1952" t="s">
        <v>28</v>
      </c>
      <c r="G1952" t="s">
        <v>29</v>
      </c>
      <c r="H1952" t="s">
        <v>120</v>
      </c>
      <c r="I1952" t="s">
        <v>123</v>
      </c>
      <c r="J1952" t="s">
        <v>32</v>
      </c>
      <c r="K1952" t="s">
        <v>33</v>
      </c>
      <c r="L1952" t="s">
        <v>34</v>
      </c>
      <c r="M1952" t="s">
        <v>86</v>
      </c>
      <c r="N1952" t="s">
        <v>36</v>
      </c>
      <c r="O1952">
        <v>45</v>
      </c>
      <c r="P1952">
        <v>45</v>
      </c>
      <c r="Q1952">
        <v>59.8</v>
      </c>
      <c r="R1952">
        <v>950</v>
      </c>
      <c r="S1952">
        <v>950</v>
      </c>
      <c r="T1952">
        <v>0</v>
      </c>
      <c r="U1952">
        <v>0</v>
      </c>
      <c r="V1952">
        <v>1</v>
      </c>
      <c r="W1952">
        <v>0</v>
      </c>
      <c r="X1952">
        <v>0.85</v>
      </c>
    </row>
    <row r="1953" spans="1:24" x14ac:dyDescent="0.3">
      <c r="A1953" t="s">
        <v>2700</v>
      </c>
      <c r="B1953" s="1">
        <v>45936</v>
      </c>
      <c r="C1953" t="s">
        <v>97</v>
      </c>
      <c r="D1953" t="s">
        <v>39</v>
      </c>
      <c r="E1953" t="s">
        <v>27</v>
      </c>
      <c r="F1953" t="s">
        <v>41</v>
      </c>
      <c r="G1953" t="s">
        <v>42</v>
      </c>
      <c r="H1953" t="s">
        <v>43</v>
      </c>
      <c r="I1953" t="s">
        <v>290</v>
      </c>
      <c r="J1953" t="s">
        <v>53</v>
      </c>
      <c r="K1953" t="s">
        <v>70</v>
      </c>
      <c r="L1953" t="s">
        <v>64</v>
      </c>
      <c r="M1953" t="s">
        <v>47</v>
      </c>
      <c r="N1953" t="s">
        <v>36</v>
      </c>
      <c r="O1953">
        <v>75</v>
      </c>
      <c r="P1953">
        <v>75</v>
      </c>
      <c r="Q1953">
        <v>92.9</v>
      </c>
      <c r="R1953">
        <v>2000</v>
      </c>
      <c r="S1953">
        <v>2000</v>
      </c>
      <c r="T1953">
        <v>0</v>
      </c>
      <c r="U1953">
        <v>0</v>
      </c>
      <c r="V1953">
        <v>1</v>
      </c>
      <c r="W1953">
        <v>0</v>
      </c>
      <c r="X1953">
        <v>0.85</v>
      </c>
    </row>
    <row r="1954" spans="1:24" x14ac:dyDescent="0.3">
      <c r="A1954" t="s">
        <v>2701</v>
      </c>
      <c r="B1954" s="1">
        <v>45956</v>
      </c>
      <c r="C1954" t="s">
        <v>97</v>
      </c>
      <c r="D1954" t="s">
        <v>287</v>
      </c>
      <c r="E1954" t="s">
        <v>68</v>
      </c>
      <c r="F1954" t="s">
        <v>58</v>
      </c>
      <c r="G1954" t="s">
        <v>59</v>
      </c>
      <c r="H1954" t="s">
        <v>60</v>
      </c>
      <c r="I1954" t="s">
        <v>724</v>
      </c>
      <c r="J1954" t="s">
        <v>45</v>
      </c>
      <c r="K1954" t="s">
        <v>70</v>
      </c>
      <c r="L1954" t="s">
        <v>54</v>
      </c>
      <c r="M1954" t="s">
        <v>65</v>
      </c>
      <c r="N1954" t="s">
        <v>36</v>
      </c>
      <c r="O1954">
        <v>75</v>
      </c>
      <c r="P1954">
        <v>75</v>
      </c>
      <c r="Q1954">
        <v>81.900000000000006</v>
      </c>
      <c r="R1954">
        <v>1850</v>
      </c>
      <c r="S1954">
        <v>1850</v>
      </c>
      <c r="T1954">
        <v>0</v>
      </c>
      <c r="U1954">
        <v>0</v>
      </c>
      <c r="V1954">
        <v>1</v>
      </c>
      <c r="W1954">
        <v>0</v>
      </c>
      <c r="X1954">
        <v>0.85</v>
      </c>
    </row>
    <row r="1955" spans="1:24" x14ac:dyDescent="0.3">
      <c r="A1955" t="s">
        <v>2702</v>
      </c>
      <c r="B1955" s="1">
        <v>45807</v>
      </c>
      <c r="C1955" t="s">
        <v>128</v>
      </c>
      <c r="D1955" t="s">
        <v>82</v>
      </c>
      <c r="E1955" t="s">
        <v>68</v>
      </c>
      <c r="F1955" t="s">
        <v>28</v>
      </c>
      <c r="G1955" t="s">
        <v>29</v>
      </c>
      <c r="H1955" t="s">
        <v>210</v>
      </c>
      <c r="I1955" t="s">
        <v>1056</v>
      </c>
      <c r="J1955" t="s">
        <v>53</v>
      </c>
      <c r="K1955" t="s">
        <v>46</v>
      </c>
      <c r="L1955" t="s">
        <v>54</v>
      </c>
      <c r="M1955" t="s">
        <v>47</v>
      </c>
      <c r="N1955" t="s">
        <v>36</v>
      </c>
      <c r="O1955">
        <v>60</v>
      </c>
      <c r="P1955">
        <v>60</v>
      </c>
      <c r="Q1955">
        <v>79.3</v>
      </c>
      <c r="R1955">
        <v>1300</v>
      </c>
      <c r="S1955">
        <v>1300</v>
      </c>
      <c r="T1955">
        <v>0</v>
      </c>
      <c r="U1955">
        <v>0</v>
      </c>
      <c r="V1955">
        <v>1</v>
      </c>
      <c r="W1955">
        <v>0</v>
      </c>
      <c r="X1955">
        <v>0.85</v>
      </c>
    </row>
    <row r="1956" spans="1:24" x14ac:dyDescent="0.3">
      <c r="A1956" t="s">
        <v>2703</v>
      </c>
      <c r="B1956" s="1">
        <v>45841</v>
      </c>
      <c r="C1956" t="s">
        <v>101</v>
      </c>
      <c r="D1956" t="s">
        <v>50</v>
      </c>
      <c r="E1956" t="s">
        <v>68</v>
      </c>
      <c r="F1956" t="s">
        <v>28</v>
      </c>
      <c r="G1956" t="s">
        <v>29</v>
      </c>
      <c r="H1956" t="s">
        <v>102</v>
      </c>
      <c r="I1956" t="s">
        <v>184</v>
      </c>
      <c r="J1956" t="s">
        <v>137</v>
      </c>
      <c r="K1956" t="s">
        <v>63</v>
      </c>
      <c r="L1956" t="s">
        <v>64</v>
      </c>
      <c r="M1956" t="s">
        <v>94</v>
      </c>
      <c r="N1956" t="s">
        <v>36</v>
      </c>
      <c r="O1956">
        <v>45</v>
      </c>
      <c r="P1956">
        <v>45</v>
      </c>
      <c r="Q1956">
        <v>55.7</v>
      </c>
      <c r="R1956">
        <v>950</v>
      </c>
      <c r="S1956">
        <v>950</v>
      </c>
      <c r="T1956">
        <v>0</v>
      </c>
      <c r="U1956">
        <v>0</v>
      </c>
      <c r="V1956">
        <v>1</v>
      </c>
      <c r="W1956">
        <v>0</v>
      </c>
      <c r="X1956">
        <v>0.85</v>
      </c>
    </row>
    <row r="1957" spans="1:24" x14ac:dyDescent="0.3">
      <c r="A1957" t="s">
        <v>2704</v>
      </c>
      <c r="B1957" s="1">
        <v>45833</v>
      </c>
      <c r="C1957" t="s">
        <v>67</v>
      </c>
      <c r="D1957" t="s">
        <v>57</v>
      </c>
      <c r="E1957" t="s">
        <v>83</v>
      </c>
      <c r="F1957" t="s">
        <v>41</v>
      </c>
      <c r="G1957" t="s">
        <v>42</v>
      </c>
      <c r="H1957" t="s">
        <v>43</v>
      </c>
      <c r="I1957" t="s">
        <v>1660</v>
      </c>
      <c r="J1957" t="s">
        <v>45</v>
      </c>
      <c r="K1957" t="s">
        <v>63</v>
      </c>
      <c r="L1957" t="s">
        <v>34</v>
      </c>
      <c r="M1957" t="s">
        <v>71</v>
      </c>
      <c r="N1957" t="s">
        <v>95</v>
      </c>
      <c r="O1957">
        <v>60</v>
      </c>
      <c r="P1957">
        <v>0</v>
      </c>
      <c r="Q1957">
        <v>67.2</v>
      </c>
      <c r="R1957">
        <v>1550</v>
      </c>
      <c r="S1957">
        <v>0</v>
      </c>
      <c r="T1957">
        <v>1550</v>
      </c>
      <c r="U1957">
        <v>1</v>
      </c>
      <c r="V1957">
        <v>0</v>
      </c>
      <c r="W1957">
        <v>0</v>
      </c>
      <c r="X1957">
        <v>0.85</v>
      </c>
    </row>
    <row r="1958" spans="1:24" x14ac:dyDescent="0.3">
      <c r="A1958" t="s">
        <v>2705</v>
      </c>
      <c r="B1958" s="1">
        <v>45745</v>
      </c>
      <c r="C1958" t="s">
        <v>56</v>
      </c>
      <c r="D1958" t="s">
        <v>88</v>
      </c>
      <c r="E1958" t="s">
        <v>68</v>
      </c>
      <c r="F1958" t="s">
        <v>41</v>
      </c>
      <c r="G1958" t="s">
        <v>42</v>
      </c>
      <c r="H1958" t="s">
        <v>111</v>
      </c>
      <c r="I1958" t="s">
        <v>2313</v>
      </c>
      <c r="J1958" t="s">
        <v>32</v>
      </c>
      <c r="K1958" t="s">
        <v>63</v>
      </c>
      <c r="L1958" t="s">
        <v>64</v>
      </c>
      <c r="M1958" t="s">
        <v>35</v>
      </c>
      <c r="N1958" t="s">
        <v>153</v>
      </c>
      <c r="O1958">
        <v>60</v>
      </c>
      <c r="P1958">
        <v>0</v>
      </c>
      <c r="Q1958">
        <v>80.7</v>
      </c>
      <c r="R1958">
        <v>1350</v>
      </c>
      <c r="S1958">
        <v>0</v>
      </c>
      <c r="T1958">
        <v>0</v>
      </c>
      <c r="U1958">
        <v>0</v>
      </c>
      <c r="V1958">
        <v>0</v>
      </c>
      <c r="W1958">
        <v>0</v>
      </c>
      <c r="X1958">
        <v>0.85</v>
      </c>
    </row>
    <row r="1959" spans="1:24" x14ac:dyDescent="0.3">
      <c r="A1959" t="s">
        <v>2706</v>
      </c>
      <c r="B1959" s="1">
        <v>45790</v>
      </c>
      <c r="C1959" t="s">
        <v>128</v>
      </c>
      <c r="D1959" t="s">
        <v>26</v>
      </c>
      <c r="E1959" t="s">
        <v>27</v>
      </c>
      <c r="F1959" t="s">
        <v>58</v>
      </c>
      <c r="G1959" t="s">
        <v>59</v>
      </c>
      <c r="H1959" t="s">
        <v>73</v>
      </c>
      <c r="I1959" t="s">
        <v>344</v>
      </c>
      <c r="J1959" t="s">
        <v>45</v>
      </c>
      <c r="K1959" t="s">
        <v>63</v>
      </c>
      <c r="L1959" t="s">
        <v>64</v>
      </c>
      <c r="M1959" t="s">
        <v>86</v>
      </c>
      <c r="N1959" t="s">
        <v>36</v>
      </c>
      <c r="O1959">
        <v>45</v>
      </c>
      <c r="P1959">
        <v>45</v>
      </c>
      <c r="Q1959">
        <v>57.9</v>
      </c>
      <c r="R1959">
        <v>1300</v>
      </c>
      <c r="S1959">
        <v>1300</v>
      </c>
      <c r="T1959">
        <v>0</v>
      </c>
      <c r="U1959">
        <v>0</v>
      </c>
      <c r="V1959">
        <v>1</v>
      </c>
      <c r="W1959">
        <v>0</v>
      </c>
      <c r="X1959">
        <v>0.85</v>
      </c>
    </row>
    <row r="1960" spans="1:24" x14ac:dyDescent="0.3">
      <c r="A1960" t="s">
        <v>2707</v>
      </c>
      <c r="B1960" s="1">
        <v>45834</v>
      </c>
      <c r="C1960" t="s">
        <v>67</v>
      </c>
      <c r="D1960" t="s">
        <v>50</v>
      </c>
      <c r="E1960" t="s">
        <v>83</v>
      </c>
      <c r="F1960" t="s">
        <v>58</v>
      </c>
      <c r="G1960" t="s">
        <v>59</v>
      </c>
      <c r="H1960" t="s">
        <v>296</v>
      </c>
      <c r="I1960" t="s">
        <v>606</v>
      </c>
      <c r="J1960" t="s">
        <v>45</v>
      </c>
      <c r="K1960" t="s">
        <v>104</v>
      </c>
      <c r="L1960" t="s">
        <v>64</v>
      </c>
      <c r="M1960" t="s">
        <v>47</v>
      </c>
      <c r="N1960" t="s">
        <v>36</v>
      </c>
      <c r="O1960">
        <v>60</v>
      </c>
      <c r="P1960">
        <v>60</v>
      </c>
      <c r="Q1960">
        <v>74</v>
      </c>
      <c r="R1960">
        <v>1700</v>
      </c>
      <c r="S1960">
        <v>1700</v>
      </c>
      <c r="T1960">
        <v>0</v>
      </c>
      <c r="U1960">
        <v>0</v>
      </c>
      <c r="V1960">
        <v>1</v>
      </c>
      <c r="W1960">
        <v>0</v>
      </c>
      <c r="X1960">
        <v>0.85</v>
      </c>
    </row>
    <row r="1961" spans="1:24" x14ac:dyDescent="0.3">
      <c r="A1961" t="s">
        <v>2708</v>
      </c>
      <c r="B1961" s="1">
        <v>45817</v>
      </c>
      <c r="C1961" t="s">
        <v>67</v>
      </c>
      <c r="D1961" t="s">
        <v>39</v>
      </c>
      <c r="E1961" t="s">
        <v>40</v>
      </c>
      <c r="F1961" t="s">
        <v>28</v>
      </c>
      <c r="G1961" t="s">
        <v>29</v>
      </c>
      <c r="H1961" t="s">
        <v>210</v>
      </c>
      <c r="I1961" t="s">
        <v>2709</v>
      </c>
      <c r="J1961" t="s">
        <v>32</v>
      </c>
      <c r="K1961" t="s">
        <v>104</v>
      </c>
      <c r="L1961" t="s">
        <v>34</v>
      </c>
      <c r="M1961" t="s">
        <v>47</v>
      </c>
      <c r="N1961" t="s">
        <v>95</v>
      </c>
      <c r="O1961">
        <v>75</v>
      </c>
      <c r="P1961">
        <v>0</v>
      </c>
      <c r="Q1961">
        <v>83.8</v>
      </c>
      <c r="R1961">
        <v>1550</v>
      </c>
      <c r="S1961">
        <v>0</v>
      </c>
      <c r="T1961">
        <v>1550</v>
      </c>
      <c r="U1961">
        <v>1</v>
      </c>
      <c r="V1961">
        <v>0</v>
      </c>
      <c r="W1961">
        <v>0</v>
      </c>
      <c r="X1961">
        <v>0.85</v>
      </c>
    </row>
    <row r="1962" spans="1:24" x14ac:dyDescent="0.3">
      <c r="A1962" t="s">
        <v>2710</v>
      </c>
      <c r="B1962" s="1">
        <v>45989</v>
      </c>
      <c r="C1962" t="s">
        <v>38</v>
      </c>
      <c r="D1962" t="s">
        <v>82</v>
      </c>
      <c r="E1962" t="s">
        <v>68</v>
      </c>
      <c r="F1962" t="s">
        <v>28</v>
      </c>
      <c r="G1962" t="s">
        <v>29</v>
      </c>
      <c r="H1962" t="s">
        <v>30</v>
      </c>
      <c r="I1962" t="s">
        <v>2385</v>
      </c>
      <c r="J1962" t="s">
        <v>32</v>
      </c>
      <c r="K1962" t="s">
        <v>104</v>
      </c>
      <c r="L1962" t="s">
        <v>34</v>
      </c>
      <c r="M1962" t="s">
        <v>35</v>
      </c>
      <c r="N1962" t="s">
        <v>113</v>
      </c>
      <c r="O1962">
        <v>90</v>
      </c>
      <c r="P1962">
        <v>0</v>
      </c>
      <c r="Q1962">
        <v>109.4</v>
      </c>
      <c r="R1962">
        <v>1900</v>
      </c>
      <c r="S1962">
        <v>0</v>
      </c>
      <c r="T1962">
        <v>1900</v>
      </c>
      <c r="U1962">
        <v>0</v>
      </c>
      <c r="V1962">
        <v>0</v>
      </c>
      <c r="W1962">
        <v>1</v>
      </c>
      <c r="X1962">
        <v>0.85</v>
      </c>
    </row>
    <row r="1963" spans="1:24" x14ac:dyDescent="0.3">
      <c r="A1963" t="s">
        <v>2711</v>
      </c>
      <c r="B1963" s="1">
        <v>45920</v>
      </c>
      <c r="C1963" t="s">
        <v>49</v>
      </c>
      <c r="D1963" t="s">
        <v>88</v>
      </c>
      <c r="E1963" t="s">
        <v>83</v>
      </c>
      <c r="F1963" t="s">
        <v>41</v>
      </c>
      <c r="G1963" t="s">
        <v>42</v>
      </c>
      <c r="H1963" t="s">
        <v>89</v>
      </c>
      <c r="I1963" t="s">
        <v>356</v>
      </c>
      <c r="J1963" t="s">
        <v>99</v>
      </c>
      <c r="K1963" t="s">
        <v>63</v>
      </c>
      <c r="L1963" t="s">
        <v>34</v>
      </c>
      <c r="M1963" t="s">
        <v>35</v>
      </c>
      <c r="N1963" t="s">
        <v>36</v>
      </c>
      <c r="O1963">
        <v>90</v>
      </c>
      <c r="P1963">
        <v>90</v>
      </c>
      <c r="Q1963">
        <v>99.4</v>
      </c>
      <c r="R1963">
        <v>2000</v>
      </c>
      <c r="S1963">
        <v>2000</v>
      </c>
      <c r="T1963">
        <v>0</v>
      </c>
      <c r="U1963">
        <v>0</v>
      </c>
      <c r="V1963">
        <v>1</v>
      </c>
      <c r="W1963">
        <v>0</v>
      </c>
      <c r="X1963">
        <v>0.85</v>
      </c>
    </row>
    <row r="1964" spans="1:24" x14ac:dyDescent="0.3">
      <c r="A1964" t="s">
        <v>2712</v>
      </c>
      <c r="B1964" s="1">
        <v>45953</v>
      </c>
      <c r="C1964" t="s">
        <v>97</v>
      </c>
      <c r="D1964" t="s">
        <v>50</v>
      </c>
      <c r="E1964" t="s">
        <v>83</v>
      </c>
      <c r="F1964" t="s">
        <v>28</v>
      </c>
      <c r="G1964" t="s">
        <v>29</v>
      </c>
      <c r="H1964" t="s">
        <v>135</v>
      </c>
      <c r="I1964" t="s">
        <v>1373</v>
      </c>
      <c r="J1964" t="s">
        <v>32</v>
      </c>
      <c r="K1964" t="s">
        <v>46</v>
      </c>
      <c r="L1964" t="s">
        <v>34</v>
      </c>
      <c r="M1964" t="s">
        <v>65</v>
      </c>
      <c r="N1964" t="s">
        <v>36</v>
      </c>
      <c r="O1964">
        <v>60</v>
      </c>
      <c r="P1964">
        <v>60</v>
      </c>
      <c r="Q1964">
        <v>69.3</v>
      </c>
      <c r="R1964">
        <v>1250</v>
      </c>
      <c r="S1964">
        <v>1250</v>
      </c>
      <c r="T1964">
        <v>0</v>
      </c>
      <c r="U1964">
        <v>0</v>
      </c>
      <c r="V1964">
        <v>1</v>
      </c>
      <c r="W1964">
        <v>0</v>
      </c>
      <c r="X1964">
        <v>0.85</v>
      </c>
    </row>
    <row r="1965" spans="1:24" x14ac:dyDescent="0.3">
      <c r="A1965" t="s">
        <v>2713</v>
      </c>
      <c r="B1965" s="1">
        <v>45995</v>
      </c>
      <c r="C1965" t="s">
        <v>25</v>
      </c>
      <c r="D1965" t="s">
        <v>50</v>
      </c>
      <c r="E1965" t="s">
        <v>40</v>
      </c>
      <c r="F1965" t="s">
        <v>41</v>
      </c>
      <c r="G1965" t="s">
        <v>42</v>
      </c>
      <c r="H1965" t="s">
        <v>125</v>
      </c>
      <c r="I1965" t="s">
        <v>846</v>
      </c>
      <c r="J1965" t="s">
        <v>62</v>
      </c>
      <c r="K1965" t="s">
        <v>70</v>
      </c>
      <c r="L1965" t="s">
        <v>34</v>
      </c>
      <c r="M1965" t="s">
        <v>86</v>
      </c>
      <c r="N1965" t="s">
        <v>36</v>
      </c>
      <c r="O1965">
        <v>75</v>
      </c>
      <c r="P1965">
        <v>75</v>
      </c>
      <c r="Q1965">
        <v>100</v>
      </c>
      <c r="R1965">
        <v>1700</v>
      </c>
      <c r="S1965">
        <v>1700</v>
      </c>
      <c r="T1965">
        <v>0</v>
      </c>
      <c r="U1965">
        <v>0</v>
      </c>
      <c r="V1965">
        <v>1</v>
      </c>
      <c r="W1965">
        <v>0</v>
      </c>
      <c r="X1965">
        <v>0.85</v>
      </c>
    </row>
    <row r="1966" spans="1:24" x14ac:dyDescent="0.3">
      <c r="A1966" t="s">
        <v>2714</v>
      </c>
      <c r="B1966" s="1">
        <v>46010</v>
      </c>
      <c r="C1966" t="s">
        <v>25</v>
      </c>
      <c r="D1966" t="s">
        <v>82</v>
      </c>
      <c r="E1966" t="s">
        <v>40</v>
      </c>
      <c r="F1966" t="s">
        <v>58</v>
      </c>
      <c r="G1966" t="s">
        <v>59</v>
      </c>
      <c r="H1966" t="s">
        <v>117</v>
      </c>
      <c r="I1966" t="s">
        <v>211</v>
      </c>
      <c r="J1966" t="s">
        <v>45</v>
      </c>
      <c r="K1966" t="s">
        <v>46</v>
      </c>
      <c r="L1966" t="s">
        <v>64</v>
      </c>
      <c r="M1966" t="s">
        <v>71</v>
      </c>
      <c r="N1966" t="s">
        <v>36</v>
      </c>
      <c r="O1966">
        <v>60</v>
      </c>
      <c r="P1966">
        <v>60</v>
      </c>
      <c r="Q1966">
        <v>74.599999999999994</v>
      </c>
      <c r="R1966">
        <v>1700</v>
      </c>
      <c r="S1966">
        <v>1700</v>
      </c>
      <c r="T1966">
        <v>0</v>
      </c>
      <c r="U1966">
        <v>0</v>
      </c>
      <c r="V1966">
        <v>1</v>
      </c>
      <c r="W1966">
        <v>0</v>
      </c>
      <c r="X1966">
        <v>0.85</v>
      </c>
    </row>
    <row r="1967" spans="1:24" x14ac:dyDescent="0.3">
      <c r="A1967" t="s">
        <v>2715</v>
      </c>
      <c r="B1967" s="1">
        <v>45944</v>
      </c>
      <c r="C1967" t="s">
        <v>97</v>
      </c>
      <c r="D1967" t="s">
        <v>26</v>
      </c>
      <c r="E1967" t="s">
        <v>83</v>
      </c>
      <c r="F1967" t="s">
        <v>28</v>
      </c>
      <c r="G1967" t="s">
        <v>29</v>
      </c>
      <c r="H1967" t="s">
        <v>210</v>
      </c>
      <c r="I1967" t="s">
        <v>1441</v>
      </c>
      <c r="J1967" t="s">
        <v>62</v>
      </c>
      <c r="K1967" t="s">
        <v>33</v>
      </c>
      <c r="L1967" t="s">
        <v>78</v>
      </c>
      <c r="M1967" t="s">
        <v>47</v>
      </c>
      <c r="N1967" t="s">
        <v>36</v>
      </c>
      <c r="O1967">
        <v>60</v>
      </c>
      <c r="P1967">
        <v>60</v>
      </c>
      <c r="Q1967">
        <v>66.5</v>
      </c>
      <c r="R1967">
        <v>1150</v>
      </c>
      <c r="S1967">
        <v>1150</v>
      </c>
      <c r="T1967">
        <v>0</v>
      </c>
      <c r="U1967">
        <v>0</v>
      </c>
      <c r="V1967">
        <v>1</v>
      </c>
      <c r="W1967">
        <v>0</v>
      </c>
      <c r="X1967">
        <v>0.85</v>
      </c>
    </row>
    <row r="1968" spans="1:24" x14ac:dyDescent="0.3">
      <c r="A1968" t="s">
        <v>2716</v>
      </c>
      <c r="B1968" s="1">
        <v>45957</v>
      </c>
      <c r="C1968" t="s">
        <v>97</v>
      </c>
      <c r="D1968" t="s">
        <v>39</v>
      </c>
      <c r="E1968" t="s">
        <v>27</v>
      </c>
      <c r="F1968" t="s">
        <v>41</v>
      </c>
      <c r="G1968" t="s">
        <v>42</v>
      </c>
      <c r="H1968" t="s">
        <v>111</v>
      </c>
      <c r="I1968" t="s">
        <v>2717</v>
      </c>
      <c r="J1968" t="s">
        <v>45</v>
      </c>
      <c r="K1968" t="s">
        <v>63</v>
      </c>
      <c r="L1968" t="s">
        <v>64</v>
      </c>
      <c r="M1968" t="s">
        <v>86</v>
      </c>
      <c r="N1968" t="s">
        <v>113</v>
      </c>
      <c r="O1968">
        <v>60</v>
      </c>
      <c r="P1968">
        <v>0</v>
      </c>
      <c r="Q1968">
        <v>65.599999999999994</v>
      </c>
      <c r="R1968">
        <v>1550</v>
      </c>
      <c r="S1968">
        <v>0</v>
      </c>
      <c r="T1968">
        <v>1550</v>
      </c>
      <c r="U1968">
        <v>0</v>
      </c>
      <c r="V1968">
        <v>0</v>
      </c>
      <c r="W1968">
        <v>1</v>
      </c>
      <c r="X1968">
        <v>0.85</v>
      </c>
    </row>
    <row r="1969" spans="1:24" x14ac:dyDescent="0.3">
      <c r="A1969" t="s">
        <v>2718</v>
      </c>
      <c r="B1969" s="1">
        <v>45840</v>
      </c>
      <c r="C1969" t="s">
        <v>101</v>
      </c>
      <c r="D1969" t="s">
        <v>57</v>
      </c>
      <c r="E1969" t="s">
        <v>40</v>
      </c>
      <c r="F1969" t="s">
        <v>58</v>
      </c>
      <c r="G1969" t="s">
        <v>59</v>
      </c>
      <c r="H1969" t="s">
        <v>117</v>
      </c>
      <c r="I1969" t="s">
        <v>1175</v>
      </c>
      <c r="J1969" t="s">
        <v>62</v>
      </c>
      <c r="K1969" t="s">
        <v>63</v>
      </c>
      <c r="L1969" t="s">
        <v>64</v>
      </c>
      <c r="M1969" t="s">
        <v>47</v>
      </c>
      <c r="N1969" t="s">
        <v>36</v>
      </c>
      <c r="O1969">
        <v>75</v>
      </c>
      <c r="P1969">
        <v>75</v>
      </c>
      <c r="Q1969">
        <v>84</v>
      </c>
      <c r="R1969">
        <v>1900</v>
      </c>
      <c r="S1969">
        <v>1900</v>
      </c>
      <c r="T1969">
        <v>0</v>
      </c>
      <c r="U1969">
        <v>0</v>
      </c>
      <c r="V1969">
        <v>1</v>
      </c>
      <c r="W1969">
        <v>0</v>
      </c>
      <c r="X1969">
        <v>0.85</v>
      </c>
    </row>
    <row r="1970" spans="1:24" x14ac:dyDescent="0.3">
      <c r="A1970" t="s">
        <v>2719</v>
      </c>
      <c r="B1970" s="1">
        <v>45658</v>
      </c>
      <c r="C1970" t="s">
        <v>130</v>
      </c>
      <c r="D1970" t="s">
        <v>57</v>
      </c>
      <c r="E1970" t="s">
        <v>83</v>
      </c>
      <c r="F1970" t="s">
        <v>41</v>
      </c>
      <c r="G1970" t="s">
        <v>42</v>
      </c>
      <c r="H1970" t="s">
        <v>125</v>
      </c>
      <c r="I1970" t="s">
        <v>1711</v>
      </c>
      <c r="J1970" t="s">
        <v>53</v>
      </c>
      <c r="K1970" t="s">
        <v>85</v>
      </c>
      <c r="L1970" t="s">
        <v>64</v>
      </c>
      <c r="M1970" t="s">
        <v>86</v>
      </c>
      <c r="N1970" t="s">
        <v>36</v>
      </c>
      <c r="O1970">
        <v>75</v>
      </c>
      <c r="P1970">
        <v>75</v>
      </c>
      <c r="Q1970">
        <v>90.2</v>
      </c>
      <c r="R1970">
        <v>2000</v>
      </c>
      <c r="S1970">
        <v>2000</v>
      </c>
      <c r="T1970">
        <v>0</v>
      </c>
      <c r="U1970">
        <v>0</v>
      </c>
      <c r="V1970">
        <v>1</v>
      </c>
      <c r="W1970">
        <v>0</v>
      </c>
      <c r="X1970">
        <v>0.85</v>
      </c>
    </row>
    <row r="1971" spans="1:24" x14ac:dyDescent="0.3">
      <c r="A1971" t="s">
        <v>2720</v>
      </c>
      <c r="B1971" s="1">
        <v>45929</v>
      </c>
      <c r="C1971" t="s">
        <v>49</v>
      </c>
      <c r="D1971" t="s">
        <v>39</v>
      </c>
      <c r="E1971" t="s">
        <v>68</v>
      </c>
      <c r="F1971" t="s">
        <v>41</v>
      </c>
      <c r="G1971" t="s">
        <v>42</v>
      </c>
      <c r="H1971" t="s">
        <v>51</v>
      </c>
      <c r="I1971" t="s">
        <v>1034</v>
      </c>
      <c r="J1971" t="s">
        <v>53</v>
      </c>
      <c r="K1971" t="s">
        <v>46</v>
      </c>
      <c r="L1971" t="s">
        <v>34</v>
      </c>
      <c r="M1971" t="s">
        <v>35</v>
      </c>
      <c r="N1971" t="s">
        <v>153</v>
      </c>
      <c r="O1971">
        <v>45</v>
      </c>
      <c r="P1971">
        <v>0</v>
      </c>
      <c r="Q1971">
        <v>58.6</v>
      </c>
      <c r="R1971">
        <v>1200</v>
      </c>
      <c r="S1971">
        <v>0</v>
      </c>
      <c r="T1971">
        <v>0</v>
      </c>
      <c r="U1971">
        <v>0</v>
      </c>
      <c r="V1971">
        <v>0</v>
      </c>
      <c r="W1971">
        <v>0</v>
      </c>
      <c r="X1971">
        <v>0.85</v>
      </c>
    </row>
    <row r="1972" spans="1:24" x14ac:dyDescent="0.3">
      <c r="A1972" t="s">
        <v>2721</v>
      </c>
      <c r="B1972" s="1">
        <v>45847</v>
      </c>
      <c r="C1972" t="s">
        <v>101</v>
      </c>
      <c r="D1972" t="s">
        <v>57</v>
      </c>
      <c r="E1972" t="s">
        <v>40</v>
      </c>
      <c r="F1972" t="s">
        <v>41</v>
      </c>
      <c r="G1972" t="s">
        <v>42</v>
      </c>
      <c r="H1972" t="s">
        <v>43</v>
      </c>
      <c r="I1972" t="s">
        <v>805</v>
      </c>
      <c r="J1972" t="s">
        <v>53</v>
      </c>
      <c r="K1972" t="s">
        <v>85</v>
      </c>
      <c r="L1972" t="s">
        <v>64</v>
      </c>
      <c r="M1972" t="s">
        <v>86</v>
      </c>
      <c r="N1972" t="s">
        <v>36</v>
      </c>
      <c r="O1972">
        <v>90</v>
      </c>
      <c r="P1972">
        <v>90</v>
      </c>
      <c r="Q1972">
        <v>109.4</v>
      </c>
      <c r="R1972">
        <v>2450</v>
      </c>
      <c r="S1972">
        <v>2450</v>
      </c>
      <c r="T1972">
        <v>0</v>
      </c>
      <c r="U1972">
        <v>0</v>
      </c>
      <c r="V1972">
        <v>1</v>
      </c>
      <c r="W1972">
        <v>0</v>
      </c>
      <c r="X1972">
        <v>0.85</v>
      </c>
    </row>
    <row r="1973" spans="1:24" x14ac:dyDescent="0.3">
      <c r="A1973" t="s">
        <v>2722</v>
      </c>
      <c r="B1973" s="1">
        <v>45826</v>
      </c>
      <c r="C1973" t="s">
        <v>67</v>
      </c>
      <c r="D1973" t="s">
        <v>57</v>
      </c>
      <c r="E1973" t="s">
        <v>27</v>
      </c>
      <c r="F1973" t="s">
        <v>41</v>
      </c>
      <c r="G1973" t="s">
        <v>42</v>
      </c>
      <c r="H1973" t="s">
        <v>51</v>
      </c>
      <c r="I1973" t="s">
        <v>426</v>
      </c>
      <c r="J1973" t="s">
        <v>62</v>
      </c>
      <c r="K1973" t="s">
        <v>46</v>
      </c>
      <c r="L1973" t="s">
        <v>78</v>
      </c>
      <c r="M1973" t="s">
        <v>86</v>
      </c>
      <c r="N1973" t="s">
        <v>36</v>
      </c>
      <c r="O1973">
        <v>90</v>
      </c>
      <c r="P1973">
        <v>90</v>
      </c>
      <c r="Q1973">
        <v>116.5</v>
      </c>
      <c r="R1973">
        <v>1850</v>
      </c>
      <c r="S1973">
        <v>1850</v>
      </c>
      <c r="T1973">
        <v>0</v>
      </c>
      <c r="U1973">
        <v>0</v>
      </c>
      <c r="V1973">
        <v>1</v>
      </c>
      <c r="W1973">
        <v>0</v>
      </c>
      <c r="X1973">
        <v>0.85</v>
      </c>
    </row>
    <row r="1974" spans="1:24" x14ac:dyDescent="0.3">
      <c r="A1974" t="s">
        <v>2723</v>
      </c>
      <c r="B1974" s="1">
        <v>45894</v>
      </c>
      <c r="C1974" t="s">
        <v>110</v>
      </c>
      <c r="D1974" t="s">
        <v>39</v>
      </c>
      <c r="E1974" t="s">
        <v>27</v>
      </c>
      <c r="F1974" t="s">
        <v>58</v>
      </c>
      <c r="G1974" t="s">
        <v>59</v>
      </c>
      <c r="H1974" t="s">
        <v>296</v>
      </c>
      <c r="I1974" t="s">
        <v>1999</v>
      </c>
      <c r="J1974" t="s">
        <v>62</v>
      </c>
      <c r="K1974" t="s">
        <v>85</v>
      </c>
      <c r="L1974" t="s">
        <v>78</v>
      </c>
      <c r="M1974" t="s">
        <v>86</v>
      </c>
      <c r="N1974" t="s">
        <v>113</v>
      </c>
      <c r="O1974">
        <v>90</v>
      </c>
      <c r="P1974">
        <v>0</v>
      </c>
      <c r="Q1974">
        <v>103.4</v>
      </c>
      <c r="R1974">
        <v>2050</v>
      </c>
      <c r="S1974">
        <v>0</v>
      </c>
      <c r="T1974">
        <v>2050</v>
      </c>
      <c r="U1974">
        <v>0</v>
      </c>
      <c r="V1974">
        <v>0</v>
      </c>
      <c r="W1974">
        <v>1</v>
      </c>
      <c r="X1974">
        <v>0.85</v>
      </c>
    </row>
    <row r="1975" spans="1:24" x14ac:dyDescent="0.3">
      <c r="A1975" t="s">
        <v>2724</v>
      </c>
      <c r="B1975" s="1">
        <v>45689</v>
      </c>
      <c r="C1975" t="s">
        <v>76</v>
      </c>
      <c r="D1975" t="s">
        <v>88</v>
      </c>
      <c r="E1975" t="s">
        <v>83</v>
      </c>
      <c r="F1975" t="s">
        <v>58</v>
      </c>
      <c r="G1975" t="s">
        <v>59</v>
      </c>
      <c r="H1975" t="s">
        <v>73</v>
      </c>
      <c r="I1975" t="s">
        <v>1813</v>
      </c>
      <c r="J1975" t="s">
        <v>99</v>
      </c>
      <c r="K1975" t="s">
        <v>46</v>
      </c>
      <c r="L1975" t="s">
        <v>78</v>
      </c>
      <c r="M1975" t="s">
        <v>65</v>
      </c>
      <c r="N1975" t="s">
        <v>36</v>
      </c>
      <c r="O1975">
        <v>30</v>
      </c>
      <c r="P1975">
        <v>30</v>
      </c>
      <c r="Q1975">
        <v>37.700000000000003</v>
      </c>
      <c r="R1975">
        <v>700</v>
      </c>
      <c r="S1975">
        <v>700</v>
      </c>
      <c r="T1975">
        <v>0</v>
      </c>
      <c r="U1975">
        <v>0</v>
      </c>
      <c r="V1975">
        <v>1</v>
      </c>
      <c r="W1975">
        <v>0</v>
      </c>
      <c r="X1975">
        <v>0.85</v>
      </c>
    </row>
    <row r="1976" spans="1:24" x14ac:dyDescent="0.3">
      <c r="A1976" t="s">
        <v>2725</v>
      </c>
      <c r="B1976" s="1">
        <v>45919</v>
      </c>
      <c r="C1976" t="s">
        <v>49</v>
      </c>
      <c r="D1976" t="s">
        <v>82</v>
      </c>
      <c r="E1976" t="s">
        <v>68</v>
      </c>
      <c r="F1976" t="s">
        <v>58</v>
      </c>
      <c r="G1976" t="s">
        <v>59</v>
      </c>
      <c r="H1976" t="s">
        <v>60</v>
      </c>
      <c r="I1976" t="s">
        <v>865</v>
      </c>
      <c r="J1976" t="s">
        <v>62</v>
      </c>
      <c r="K1976" t="s">
        <v>33</v>
      </c>
      <c r="L1976" t="s">
        <v>54</v>
      </c>
      <c r="M1976" t="s">
        <v>86</v>
      </c>
      <c r="N1976" t="s">
        <v>36</v>
      </c>
      <c r="O1976">
        <v>60</v>
      </c>
      <c r="P1976">
        <v>60</v>
      </c>
      <c r="Q1976">
        <v>71.099999999999994</v>
      </c>
      <c r="R1976">
        <v>1300</v>
      </c>
      <c r="S1976">
        <v>1300</v>
      </c>
      <c r="T1976">
        <v>0</v>
      </c>
      <c r="U1976">
        <v>0</v>
      </c>
      <c r="V1976">
        <v>1</v>
      </c>
      <c r="W1976">
        <v>0</v>
      </c>
      <c r="X1976">
        <v>0.85</v>
      </c>
    </row>
    <row r="1977" spans="1:24" x14ac:dyDescent="0.3">
      <c r="A1977" t="s">
        <v>2726</v>
      </c>
      <c r="B1977" s="1">
        <v>45674</v>
      </c>
      <c r="C1977" t="s">
        <v>130</v>
      </c>
      <c r="D1977" t="s">
        <v>82</v>
      </c>
      <c r="E1977" t="s">
        <v>83</v>
      </c>
      <c r="F1977" t="s">
        <v>58</v>
      </c>
      <c r="G1977" t="s">
        <v>59</v>
      </c>
      <c r="H1977" t="s">
        <v>73</v>
      </c>
      <c r="I1977" t="s">
        <v>2214</v>
      </c>
      <c r="J1977" t="s">
        <v>32</v>
      </c>
      <c r="K1977" t="s">
        <v>33</v>
      </c>
      <c r="L1977" t="s">
        <v>34</v>
      </c>
      <c r="M1977" t="s">
        <v>47</v>
      </c>
      <c r="N1977" t="s">
        <v>36</v>
      </c>
      <c r="O1977">
        <v>30</v>
      </c>
      <c r="P1977">
        <v>30</v>
      </c>
      <c r="Q1977">
        <v>35.799999999999997</v>
      </c>
      <c r="R1977">
        <v>750</v>
      </c>
      <c r="S1977">
        <v>750</v>
      </c>
      <c r="T1977">
        <v>0</v>
      </c>
      <c r="U1977">
        <v>0</v>
      </c>
      <c r="V1977">
        <v>1</v>
      </c>
      <c r="W1977">
        <v>0</v>
      </c>
      <c r="X1977">
        <v>0.85</v>
      </c>
    </row>
    <row r="1978" spans="1:24" x14ac:dyDescent="0.3">
      <c r="A1978" t="s">
        <v>2727</v>
      </c>
      <c r="B1978" s="1">
        <v>45852</v>
      </c>
      <c r="C1978" t="s">
        <v>101</v>
      </c>
      <c r="D1978" t="s">
        <v>39</v>
      </c>
      <c r="E1978" t="s">
        <v>40</v>
      </c>
      <c r="F1978" t="s">
        <v>58</v>
      </c>
      <c r="G1978" t="s">
        <v>59</v>
      </c>
      <c r="H1978" t="s">
        <v>60</v>
      </c>
      <c r="I1978" t="s">
        <v>1773</v>
      </c>
      <c r="J1978" t="s">
        <v>137</v>
      </c>
      <c r="K1978" t="s">
        <v>85</v>
      </c>
      <c r="L1978" t="s">
        <v>78</v>
      </c>
      <c r="M1978" t="s">
        <v>65</v>
      </c>
      <c r="N1978" t="s">
        <v>36</v>
      </c>
      <c r="O1978">
        <v>60</v>
      </c>
      <c r="P1978">
        <v>60</v>
      </c>
      <c r="Q1978">
        <v>65.5</v>
      </c>
      <c r="R1978">
        <v>1400</v>
      </c>
      <c r="S1978">
        <v>1400</v>
      </c>
      <c r="T1978">
        <v>0</v>
      </c>
      <c r="U1978">
        <v>0</v>
      </c>
      <c r="V1978">
        <v>1</v>
      </c>
      <c r="W1978">
        <v>0</v>
      </c>
      <c r="X1978">
        <v>0.85</v>
      </c>
    </row>
    <row r="1979" spans="1:24" x14ac:dyDescent="0.3">
      <c r="A1979" t="s">
        <v>2728</v>
      </c>
      <c r="B1979" s="1">
        <v>45801</v>
      </c>
      <c r="C1979" t="s">
        <v>128</v>
      </c>
      <c r="D1979" t="s">
        <v>88</v>
      </c>
      <c r="E1979" t="s">
        <v>27</v>
      </c>
      <c r="F1979" t="s">
        <v>41</v>
      </c>
      <c r="G1979" t="s">
        <v>42</v>
      </c>
      <c r="H1979" t="s">
        <v>89</v>
      </c>
      <c r="I1979" t="s">
        <v>1263</v>
      </c>
      <c r="J1979" t="s">
        <v>45</v>
      </c>
      <c r="K1979" t="s">
        <v>85</v>
      </c>
      <c r="L1979" t="s">
        <v>34</v>
      </c>
      <c r="M1979" t="s">
        <v>86</v>
      </c>
      <c r="N1979" t="s">
        <v>36</v>
      </c>
      <c r="O1979">
        <v>75</v>
      </c>
      <c r="P1979">
        <v>75</v>
      </c>
      <c r="Q1979">
        <v>83</v>
      </c>
      <c r="R1979">
        <v>1950</v>
      </c>
      <c r="S1979">
        <v>1950</v>
      </c>
      <c r="T1979">
        <v>0</v>
      </c>
      <c r="U1979">
        <v>0</v>
      </c>
      <c r="V1979">
        <v>1</v>
      </c>
      <c r="W1979">
        <v>0</v>
      </c>
      <c r="X1979">
        <v>0.85</v>
      </c>
    </row>
    <row r="1980" spans="1:24" x14ac:dyDescent="0.3">
      <c r="A1980" t="s">
        <v>2729</v>
      </c>
      <c r="B1980" s="1">
        <v>45800</v>
      </c>
      <c r="C1980" t="s">
        <v>128</v>
      </c>
      <c r="D1980" t="s">
        <v>82</v>
      </c>
      <c r="E1980" t="s">
        <v>27</v>
      </c>
      <c r="F1980" t="s">
        <v>58</v>
      </c>
      <c r="G1980" t="s">
        <v>59</v>
      </c>
      <c r="H1980" t="s">
        <v>117</v>
      </c>
      <c r="I1980" t="s">
        <v>1450</v>
      </c>
      <c r="J1980" t="s">
        <v>45</v>
      </c>
      <c r="K1980" t="s">
        <v>63</v>
      </c>
      <c r="L1980" t="s">
        <v>64</v>
      </c>
      <c r="M1980" t="s">
        <v>47</v>
      </c>
      <c r="N1980" t="s">
        <v>36</v>
      </c>
      <c r="O1980">
        <v>60</v>
      </c>
      <c r="P1980">
        <v>60</v>
      </c>
      <c r="Q1980">
        <v>80.599999999999994</v>
      </c>
      <c r="R1980">
        <v>1700</v>
      </c>
      <c r="S1980">
        <v>1700</v>
      </c>
      <c r="T1980">
        <v>0</v>
      </c>
      <c r="U1980">
        <v>0</v>
      </c>
      <c r="V1980">
        <v>1</v>
      </c>
      <c r="W1980">
        <v>0</v>
      </c>
      <c r="X1980">
        <v>0.85</v>
      </c>
    </row>
    <row r="1981" spans="1:24" x14ac:dyDescent="0.3">
      <c r="A1981" t="s">
        <v>2730</v>
      </c>
      <c r="B1981" s="1">
        <v>46006</v>
      </c>
      <c r="C1981" t="s">
        <v>25</v>
      </c>
      <c r="D1981" t="s">
        <v>39</v>
      </c>
      <c r="E1981" t="s">
        <v>27</v>
      </c>
      <c r="F1981" t="s">
        <v>58</v>
      </c>
      <c r="G1981" t="s">
        <v>59</v>
      </c>
      <c r="H1981" t="s">
        <v>60</v>
      </c>
      <c r="I1981" t="s">
        <v>1181</v>
      </c>
      <c r="J1981" t="s">
        <v>32</v>
      </c>
      <c r="K1981" t="s">
        <v>63</v>
      </c>
      <c r="L1981" t="s">
        <v>34</v>
      </c>
      <c r="M1981" t="s">
        <v>47</v>
      </c>
      <c r="N1981" t="s">
        <v>36</v>
      </c>
      <c r="O1981">
        <v>60</v>
      </c>
      <c r="P1981">
        <v>60</v>
      </c>
      <c r="Q1981">
        <v>67.3</v>
      </c>
      <c r="R1981">
        <v>1500</v>
      </c>
      <c r="S1981">
        <v>1500</v>
      </c>
      <c r="T1981">
        <v>0</v>
      </c>
      <c r="U1981">
        <v>0</v>
      </c>
      <c r="V1981">
        <v>1</v>
      </c>
      <c r="W1981">
        <v>0</v>
      </c>
      <c r="X1981">
        <v>0.85</v>
      </c>
    </row>
    <row r="1982" spans="1:24" x14ac:dyDescent="0.3">
      <c r="A1982" t="s">
        <v>2731</v>
      </c>
      <c r="B1982" s="1">
        <v>45866</v>
      </c>
      <c r="C1982" t="s">
        <v>101</v>
      </c>
      <c r="D1982" t="s">
        <v>39</v>
      </c>
      <c r="E1982" t="s">
        <v>68</v>
      </c>
      <c r="F1982" t="s">
        <v>28</v>
      </c>
      <c r="G1982" t="s">
        <v>29</v>
      </c>
      <c r="H1982" t="s">
        <v>120</v>
      </c>
      <c r="I1982" t="s">
        <v>754</v>
      </c>
      <c r="J1982" t="s">
        <v>62</v>
      </c>
      <c r="K1982" t="s">
        <v>104</v>
      </c>
      <c r="L1982" t="s">
        <v>64</v>
      </c>
      <c r="M1982" t="s">
        <v>71</v>
      </c>
      <c r="N1982" t="s">
        <v>95</v>
      </c>
      <c r="O1982">
        <v>45</v>
      </c>
      <c r="P1982">
        <v>0</v>
      </c>
      <c r="Q1982">
        <v>53.6</v>
      </c>
      <c r="R1982">
        <v>950</v>
      </c>
      <c r="S1982">
        <v>0</v>
      </c>
      <c r="T1982">
        <v>950</v>
      </c>
      <c r="U1982">
        <v>1</v>
      </c>
      <c r="V1982">
        <v>0</v>
      </c>
      <c r="W1982">
        <v>0</v>
      </c>
      <c r="X1982">
        <v>0.85</v>
      </c>
    </row>
    <row r="1983" spans="1:24" x14ac:dyDescent="0.3">
      <c r="A1983" t="s">
        <v>2732</v>
      </c>
      <c r="B1983" s="1">
        <v>45887</v>
      </c>
      <c r="C1983" t="s">
        <v>110</v>
      </c>
      <c r="D1983" t="s">
        <v>39</v>
      </c>
      <c r="E1983" t="s">
        <v>27</v>
      </c>
      <c r="F1983" t="s">
        <v>28</v>
      </c>
      <c r="G1983" t="s">
        <v>29</v>
      </c>
      <c r="H1983" t="s">
        <v>30</v>
      </c>
      <c r="I1983" t="s">
        <v>275</v>
      </c>
      <c r="J1983" t="s">
        <v>53</v>
      </c>
      <c r="K1983" t="s">
        <v>85</v>
      </c>
      <c r="L1983" t="s">
        <v>34</v>
      </c>
      <c r="M1983" t="s">
        <v>65</v>
      </c>
      <c r="N1983" t="s">
        <v>36</v>
      </c>
      <c r="O1983">
        <v>45</v>
      </c>
      <c r="P1983">
        <v>45</v>
      </c>
      <c r="Q1983">
        <v>49.3</v>
      </c>
      <c r="R1983">
        <v>1100</v>
      </c>
      <c r="S1983">
        <v>1100</v>
      </c>
      <c r="T1983">
        <v>0</v>
      </c>
      <c r="U1983">
        <v>0</v>
      </c>
      <c r="V1983">
        <v>1</v>
      </c>
      <c r="W1983">
        <v>0</v>
      </c>
      <c r="X1983">
        <v>0.85</v>
      </c>
    </row>
    <row r="1984" spans="1:24" x14ac:dyDescent="0.3">
      <c r="A1984" t="s">
        <v>2733</v>
      </c>
      <c r="B1984" s="1">
        <v>45896</v>
      </c>
      <c r="C1984" t="s">
        <v>110</v>
      </c>
      <c r="D1984" t="s">
        <v>57</v>
      </c>
      <c r="E1984" t="s">
        <v>83</v>
      </c>
      <c r="F1984" t="s">
        <v>58</v>
      </c>
      <c r="G1984" t="s">
        <v>59</v>
      </c>
      <c r="H1984" t="s">
        <v>60</v>
      </c>
      <c r="I1984" t="s">
        <v>1448</v>
      </c>
      <c r="J1984" t="s">
        <v>137</v>
      </c>
      <c r="K1984" t="s">
        <v>33</v>
      </c>
      <c r="L1984" t="s">
        <v>34</v>
      </c>
      <c r="M1984" t="s">
        <v>94</v>
      </c>
      <c r="N1984" t="s">
        <v>36</v>
      </c>
      <c r="O1984">
        <v>45</v>
      </c>
      <c r="P1984">
        <v>45</v>
      </c>
      <c r="Q1984">
        <v>50.9</v>
      </c>
      <c r="R1984">
        <v>1100</v>
      </c>
      <c r="S1984">
        <v>1100</v>
      </c>
      <c r="T1984">
        <v>0</v>
      </c>
      <c r="U1984">
        <v>0</v>
      </c>
      <c r="V1984">
        <v>1</v>
      </c>
      <c r="W1984">
        <v>0</v>
      </c>
      <c r="X1984">
        <v>0.85</v>
      </c>
    </row>
    <row r="1985" spans="1:24" x14ac:dyDescent="0.3">
      <c r="A1985" t="s">
        <v>2734</v>
      </c>
      <c r="B1985" s="1">
        <v>45968</v>
      </c>
      <c r="C1985" t="s">
        <v>38</v>
      </c>
      <c r="D1985" t="s">
        <v>82</v>
      </c>
      <c r="E1985" t="s">
        <v>83</v>
      </c>
      <c r="F1985" t="s">
        <v>58</v>
      </c>
      <c r="G1985" t="s">
        <v>59</v>
      </c>
      <c r="H1985" t="s">
        <v>151</v>
      </c>
      <c r="I1985" t="s">
        <v>2735</v>
      </c>
      <c r="J1985" t="s">
        <v>53</v>
      </c>
      <c r="K1985" t="s">
        <v>46</v>
      </c>
      <c r="L1985" t="s">
        <v>34</v>
      </c>
      <c r="M1985" t="s">
        <v>86</v>
      </c>
      <c r="N1985" t="s">
        <v>95</v>
      </c>
      <c r="O1985">
        <v>60</v>
      </c>
      <c r="P1985">
        <v>0</v>
      </c>
      <c r="Q1985">
        <v>70.900000000000006</v>
      </c>
      <c r="R1985">
        <v>1800</v>
      </c>
      <c r="S1985">
        <v>0</v>
      </c>
      <c r="T1985">
        <v>1800</v>
      </c>
      <c r="U1985">
        <v>1</v>
      </c>
      <c r="V1985">
        <v>0</v>
      </c>
      <c r="W1985">
        <v>0</v>
      </c>
      <c r="X1985">
        <v>0.85</v>
      </c>
    </row>
    <row r="1986" spans="1:24" x14ac:dyDescent="0.3">
      <c r="A1986" t="s">
        <v>2736</v>
      </c>
      <c r="B1986" s="1">
        <v>45745</v>
      </c>
      <c r="C1986" t="s">
        <v>56</v>
      </c>
      <c r="D1986" t="s">
        <v>88</v>
      </c>
      <c r="E1986" t="s">
        <v>27</v>
      </c>
      <c r="F1986" t="s">
        <v>58</v>
      </c>
      <c r="G1986" t="s">
        <v>59</v>
      </c>
      <c r="H1986" t="s">
        <v>60</v>
      </c>
      <c r="I1986" t="s">
        <v>1217</v>
      </c>
      <c r="J1986" t="s">
        <v>99</v>
      </c>
      <c r="K1986" t="s">
        <v>104</v>
      </c>
      <c r="L1986" t="s">
        <v>34</v>
      </c>
      <c r="M1986" t="s">
        <v>71</v>
      </c>
      <c r="N1986" t="s">
        <v>36</v>
      </c>
      <c r="O1986">
        <v>30</v>
      </c>
      <c r="P1986">
        <v>30</v>
      </c>
      <c r="Q1986">
        <v>33</v>
      </c>
      <c r="R1986">
        <v>750</v>
      </c>
      <c r="S1986">
        <v>750</v>
      </c>
      <c r="T1986">
        <v>0</v>
      </c>
      <c r="U1986">
        <v>0</v>
      </c>
      <c r="V1986">
        <v>1</v>
      </c>
      <c r="W1986">
        <v>0</v>
      </c>
      <c r="X1986">
        <v>0.85</v>
      </c>
    </row>
    <row r="1987" spans="1:24" x14ac:dyDescent="0.3">
      <c r="A1987" t="s">
        <v>2737</v>
      </c>
      <c r="B1987" s="1">
        <v>45684</v>
      </c>
      <c r="C1987" t="s">
        <v>130</v>
      </c>
      <c r="D1987" t="s">
        <v>39</v>
      </c>
      <c r="E1987" t="s">
        <v>83</v>
      </c>
      <c r="F1987" t="s">
        <v>41</v>
      </c>
      <c r="G1987" t="s">
        <v>42</v>
      </c>
      <c r="H1987" t="s">
        <v>43</v>
      </c>
      <c r="I1987" t="s">
        <v>2454</v>
      </c>
      <c r="J1987" t="s">
        <v>53</v>
      </c>
      <c r="K1987" t="s">
        <v>85</v>
      </c>
      <c r="L1987" t="s">
        <v>78</v>
      </c>
      <c r="M1987" t="s">
        <v>86</v>
      </c>
      <c r="N1987" t="s">
        <v>36</v>
      </c>
      <c r="O1987">
        <v>45</v>
      </c>
      <c r="P1987">
        <v>45</v>
      </c>
      <c r="Q1987">
        <v>60</v>
      </c>
      <c r="R1987">
        <v>1100</v>
      </c>
      <c r="S1987">
        <v>1100</v>
      </c>
      <c r="T1987">
        <v>0</v>
      </c>
      <c r="U1987">
        <v>0</v>
      </c>
      <c r="V1987">
        <v>1</v>
      </c>
      <c r="W1987">
        <v>0</v>
      </c>
      <c r="X1987">
        <v>0.85</v>
      </c>
    </row>
    <row r="1988" spans="1:24" x14ac:dyDescent="0.3">
      <c r="A1988" t="s">
        <v>2738</v>
      </c>
      <c r="B1988" s="1">
        <v>45912</v>
      </c>
      <c r="C1988" t="s">
        <v>49</v>
      </c>
      <c r="D1988" t="s">
        <v>82</v>
      </c>
      <c r="E1988" t="s">
        <v>27</v>
      </c>
      <c r="F1988" t="s">
        <v>58</v>
      </c>
      <c r="G1988" t="s">
        <v>59</v>
      </c>
      <c r="H1988" t="s">
        <v>117</v>
      </c>
      <c r="I1988" t="s">
        <v>126</v>
      </c>
      <c r="J1988" t="s">
        <v>62</v>
      </c>
      <c r="K1988" t="s">
        <v>33</v>
      </c>
      <c r="L1988" t="s">
        <v>34</v>
      </c>
      <c r="M1988" t="s">
        <v>86</v>
      </c>
      <c r="N1988" t="s">
        <v>36</v>
      </c>
      <c r="O1988">
        <v>30</v>
      </c>
      <c r="P1988">
        <v>30</v>
      </c>
      <c r="Q1988">
        <v>39.200000000000003</v>
      </c>
      <c r="R1988">
        <v>750</v>
      </c>
      <c r="S1988">
        <v>750</v>
      </c>
      <c r="T1988">
        <v>0</v>
      </c>
      <c r="U1988">
        <v>0</v>
      </c>
      <c r="V1988">
        <v>1</v>
      </c>
      <c r="W1988">
        <v>0</v>
      </c>
      <c r="X1988">
        <v>0.85</v>
      </c>
    </row>
    <row r="1989" spans="1:24" x14ac:dyDescent="0.3">
      <c r="A1989" t="s">
        <v>2739</v>
      </c>
      <c r="B1989" s="1">
        <v>45955</v>
      </c>
      <c r="C1989" t="s">
        <v>97</v>
      </c>
      <c r="D1989" t="s">
        <v>88</v>
      </c>
      <c r="E1989" t="s">
        <v>27</v>
      </c>
      <c r="F1989" t="s">
        <v>41</v>
      </c>
      <c r="G1989" t="s">
        <v>42</v>
      </c>
      <c r="H1989" t="s">
        <v>111</v>
      </c>
      <c r="I1989" t="s">
        <v>1373</v>
      </c>
      <c r="J1989" t="s">
        <v>45</v>
      </c>
      <c r="K1989" t="s">
        <v>46</v>
      </c>
      <c r="L1989" t="s">
        <v>34</v>
      </c>
      <c r="M1989" t="s">
        <v>47</v>
      </c>
      <c r="N1989" t="s">
        <v>95</v>
      </c>
      <c r="O1989">
        <v>60</v>
      </c>
      <c r="P1989">
        <v>0</v>
      </c>
      <c r="Q1989">
        <v>72.8</v>
      </c>
      <c r="R1989">
        <v>1550</v>
      </c>
      <c r="S1989">
        <v>0</v>
      </c>
      <c r="T1989">
        <v>1550</v>
      </c>
      <c r="U1989">
        <v>1</v>
      </c>
      <c r="V1989">
        <v>0</v>
      </c>
      <c r="W1989">
        <v>0</v>
      </c>
      <c r="X1989">
        <v>0.85</v>
      </c>
    </row>
    <row r="1990" spans="1:24" x14ac:dyDescent="0.3">
      <c r="A1990" t="s">
        <v>2740</v>
      </c>
      <c r="B1990" s="1">
        <v>45968</v>
      </c>
      <c r="C1990" t="s">
        <v>38</v>
      </c>
      <c r="D1990" t="s">
        <v>82</v>
      </c>
      <c r="E1990" t="s">
        <v>27</v>
      </c>
      <c r="F1990" t="s">
        <v>41</v>
      </c>
      <c r="G1990" t="s">
        <v>42</v>
      </c>
      <c r="H1990" t="s">
        <v>89</v>
      </c>
      <c r="I1990" t="s">
        <v>2741</v>
      </c>
      <c r="J1990" t="s">
        <v>62</v>
      </c>
      <c r="K1990" t="s">
        <v>63</v>
      </c>
      <c r="L1990" t="s">
        <v>78</v>
      </c>
      <c r="M1990" t="s">
        <v>94</v>
      </c>
      <c r="N1990" t="s">
        <v>36</v>
      </c>
      <c r="O1990">
        <v>30</v>
      </c>
      <c r="P1990">
        <v>30</v>
      </c>
      <c r="Q1990">
        <v>34.9</v>
      </c>
      <c r="R1990">
        <v>600</v>
      </c>
      <c r="S1990">
        <v>600</v>
      </c>
      <c r="T1990">
        <v>0</v>
      </c>
      <c r="U1990">
        <v>0</v>
      </c>
      <c r="V1990">
        <v>1</v>
      </c>
      <c r="W1990">
        <v>0</v>
      </c>
      <c r="X1990">
        <v>0.85</v>
      </c>
    </row>
    <row r="1991" spans="1:24" x14ac:dyDescent="0.3">
      <c r="A1991" t="s">
        <v>2742</v>
      </c>
      <c r="B1991" s="1">
        <v>45800</v>
      </c>
      <c r="C1991" t="s">
        <v>128</v>
      </c>
      <c r="D1991" t="s">
        <v>82</v>
      </c>
      <c r="E1991" t="s">
        <v>83</v>
      </c>
      <c r="F1991" t="s">
        <v>28</v>
      </c>
      <c r="G1991" t="s">
        <v>29</v>
      </c>
      <c r="H1991" t="s">
        <v>120</v>
      </c>
      <c r="I1991" t="s">
        <v>141</v>
      </c>
      <c r="J1991" t="s">
        <v>62</v>
      </c>
      <c r="K1991" t="s">
        <v>63</v>
      </c>
      <c r="L1991" t="s">
        <v>64</v>
      </c>
      <c r="M1991" t="s">
        <v>47</v>
      </c>
      <c r="N1991" t="s">
        <v>36</v>
      </c>
      <c r="O1991">
        <v>45</v>
      </c>
      <c r="P1991">
        <v>45</v>
      </c>
      <c r="Q1991">
        <v>50.7</v>
      </c>
      <c r="R1991">
        <v>950</v>
      </c>
      <c r="S1991">
        <v>950</v>
      </c>
      <c r="T1991">
        <v>0</v>
      </c>
      <c r="U1991">
        <v>0</v>
      </c>
      <c r="V1991">
        <v>1</v>
      </c>
      <c r="W1991">
        <v>0</v>
      </c>
      <c r="X1991">
        <v>0.85</v>
      </c>
    </row>
    <row r="1992" spans="1:24" x14ac:dyDescent="0.3">
      <c r="A1992" t="s">
        <v>2743</v>
      </c>
      <c r="B1992" s="1">
        <v>45661</v>
      </c>
      <c r="C1992" t="s">
        <v>130</v>
      </c>
      <c r="D1992" t="s">
        <v>88</v>
      </c>
      <c r="E1992" t="s">
        <v>68</v>
      </c>
      <c r="F1992" t="s">
        <v>41</v>
      </c>
      <c r="G1992" t="s">
        <v>42</v>
      </c>
      <c r="H1992" t="s">
        <v>89</v>
      </c>
      <c r="I1992" t="s">
        <v>999</v>
      </c>
      <c r="J1992" t="s">
        <v>53</v>
      </c>
      <c r="K1992" t="s">
        <v>85</v>
      </c>
      <c r="L1992" t="s">
        <v>34</v>
      </c>
      <c r="M1992" t="s">
        <v>47</v>
      </c>
      <c r="N1992" t="s">
        <v>36</v>
      </c>
      <c r="O1992">
        <v>45</v>
      </c>
      <c r="P1992">
        <v>45</v>
      </c>
      <c r="Q1992">
        <v>53.6</v>
      </c>
      <c r="R1992">
        <v>1200</v>
      </c>
      <c r="S1992">
        <v>1200</v>
      </c>
      <c r="T1992">
        <v>0</v>
      </c>
      <c r="U1992">
        <v>0</v>
      </c>
      <c r="V1992">
        <v>1</v>
      </c>
      <c r="W1992">
        <v>0</v>
      </c>
      <c r="X1992">
        <v>0.85</v>
      </c>
    </row>
    <row r="1993" spans="1:24" x14ac:dyDescent="0.3">
      <c r="A1993" t="s">
        <v>2744</v>
      </c>
      <c r="B1993" s="1">
        <v>45850</v>
      </c>
      <c r="C1993" t="s">
        <v>101</v>
      </c>
      <c r="D1993" t="s">
        <v>88</v>
      </c>
      <c r="E1993" t="s">
        <v>27</v>
      </c>
      <c r="F1993" t="s">
        <v>58</v>
      </c>
      <c r="G1993" t="s">
        <v>59</v>
      </c>
      <c r="H1993" t="s">
        <v>117</v>
      </c>
      <c r="I1993" t="s">
        <v>2321</v>
      </c>
      <c r="J1993" t="s">
        <v>62</v>
      </c>
      <c r="K1993" t="s">
        <v>63</v>
      </c>
      <c r="L1993" t="s">
        <v>64</v>
      </c>
      <c r="M1993" t="s">
        <v>47</v>
      </c>
      <c r="N1993" t="s">
        <v>113</v>
      </c>
      <c r="O1993">
        <v>30</v>
      </c>
      <c r="P1993">
        <v>0</v>
      </c>
      <c r="Q1993">
        <v>36.9</v>
      </c>
      <c r="R1993">
        <v>750</v>
      </c>
      <c r="S1993">
        <v>0</v>
      </c>
      <c r="T1993">
        <v>750</v>
      </c>
      <c r="U1993">
        <v>0</v>
      </c>
      <c r="V1993">
        <v>0</v>
      </c>
      <c r="W1993">
        <v>1</v>
      </c>
      <c r="X1993">
        <v>0.85</v>
      </c>
    </row>
    <row r="1994" spans="1:24" x14ac:dyDescent="0.3">
      <c r="A1994" t="s">
        <v>2745</v>
      </c>
      <c r="B1994" s="1">
        <v>45764</v>
      </c>
      <c r="C1994" t="s">
        <v>92</v>
      </c>
      <c r="D1994" t="s">
        <v>50</v>
      </c>
      <c r="E1994" t="s">
        <v>40</v>
      </c>
      <c r="F1994" t="s">
        <v>58</v>
      </c>
      <c r="G1994" t="s">
        <v>59</v>
      </c>
      <c r="H1994" t="s">
        <v>73</v>
      </c>
      <c r="I1994" t="s">
        <v>1253</v>
      </c>
      <c r="J1994" t="s">
        <v>62</v>
      </c>
      <c r="K1994" t="s">
        <v>85</v>
      </c>
      <c r="L1994" t="s">
        <v>64</v>
      </c>
      <c r="M1994" t="s">
        <v>65</v>
      </c>
      <c r="N1994" t="s">
        <v>36</v>
      </c>
      <c r="O1994">
        <v>30</v>
      </c>
      <c r="P1994">
        <v>30</v>
      </c>
      <c r="Q1994">
        <v>39.200000000000003</v>
      </c>
      <c r="R1994">
        <v>750</v>
      </c>
      <c r="S1994">
        <v>750</v>
      </c>
      <c r="T1994">
        <v>0</v>
      </c>
      <c r="U1994">
        <v>0</v>
      </c>
      <c r="V1994">
        <v>1</v>
      </c>
      <c r="W1994">
        <v>0</v>
      </c>
      <c r="X1994">
        <v>0.85</v>
      </c>
    </row>
    <row r="1995" spans="1:24" x14ac:dyDescent="0.3">
      <c r="A1995" t="s">
        <v>2746</v>
      </c>
      <c r="B1995" s="1">
        <v>45834</v>
      </c>
      <c r="C1995" t="s">
        <v>67</v>
      </c>
      <c r="D1995" t="s">
        <v>50</v>
      </c>
      <c r="E1995" t="s">
        <v>68</v>
      </c>
      <c r="F1995" t="s">
        <v>41</v>
      </c>
      <c r="G1995" t="s">
        <v>42</v>
      </c>
      <c r="H1995" t="s">
        <v>125</v>
      </c>
      <c r="I1995" t="s">
        <v>2747</v>
      </c>
      <c r="J1995" t="s">
        <v>32</v>
      </c>
      <c r="K1995" t="s">
        <v>33</v>
      </c>
      <c r="L1995" t="s">
        <v>34</v>
      </c>
      <c r="M1995" t="s">
        <v>47</v>
      </c>
      <c r="N1995" t="s">
        <v>36</v>
      </c>
      <c r="O1995">
        <v>60</v>
      </c>
      <c r="P1995">
        <v>60</v>
      </c>
      <c r="Q1995">
        <v>74.2</v>
      </c>
      <c r="R1995">
        <v>1350</v>
      </c>
      <c r="S1995">
        <v>1350</v>
      </c>
      <c r="T1995">
        <v>0</v>
      </c>
      <c r="U1995">
        <v>0</v>
      </c>
      <c r="V1995">
        <v>1</v>
      </c>
      <c r="W1995">
        <v>0</v>
      </c>
      <c r="X1995">
        <v>0.85</v>
      </c>
    </row>
    <row r="1996" spans="1:24" x14ac:dyDescent="0.3">
      <c r="A1996" t="s">
        <v>2748</v>
      </c>
      <c r="B1996" s="1">
        <v>45911</v>
      </c>
      <c r="C1996" t="s">
        <v>49</v>
      </c>
      <c r="D1996" t="s">
        <v>50</v>
      </c>
      <c r="E1996" t="s">
        <v>40</v>
      </c>
      <c r="F1996" t="s">
        <v>58</v>
      </c>
      <c r="G1996" t="s">
        <v>59</v>
      </c>
      <c r="H1996" t="s">
        <v>151</v>
      </c>
      <c r="I1996" t="s">
        <v>61</v>
      </c>
      <c r="J1996" t="s">
        <v>45</v>
      </c>
      <c r="K1996" t="s">
        <v>85</v>
      </c>
      <c r="L1996" t="s">
        <v>34</v>
      </c>
      <c r="M1996" t="s">
        <v>65</v>
      </c>
      <c r="N1996" t="s">
        <v>36</v>
      </c>
      <c r="O1996">
        <v>30</v>
      </c>
      <c r="P1996">
        <v>30</v>
      </c>
      <c r="Q1996">
        <v>37.700000000000003</v>
      </c>
      <c r="R1996">
        <v>850</v>
      </c>
      <c r="S1996">
        <v>850</v>
      </c>
      <c r="T1996">
        <v>0</v>
      </c>
      <c r="U1996">
        <v>0</v>
      </c>
      <c r="V1996">
        <v>1</v>
      </c>
      <c r="W1996">
        <v>0</v>
      </c>
      <c r="X1996">
        <v>0.85</v>
      </c>
    </row>
    <row r="1997" spans="1:24" x14ac:dyDescent="0.3">
      <c r="A1997" t="s">
        <v>2749</v>
      </c>
      <c r="B1997" s="1">
        <v>45684</v>
      </c>
      <c r="C1997" t="s">
        <v>130</v>
      </c>
      <c r="D1997" t="s">
        <v>39</v>
      </c>
      <c r="E1997" t="s">
        <v>68</v>
      </c>
      <c r="F1997" t="s">
        <v>58</v>
      </c>
      <c r="G1997" t="s">
        <v>59</v>
      </c>
      <c r="H1997" t="s">
        <v>60</v>
      </c>
      <c r="I1997" t="s">
        <v>2035</v>
      </c>
      <c r="J1997" t="s">
        <v>62</v>
      </c>
      <c r="K1997" t="s">
        <v>104</v>
      </c>
      <c r="L1997" t="s">
        <v>64</v>
      </c>
      <c r="M1997" t="s">
        <v>47</v>
      </c>
      <c r="N1997" t="s">
        <v>36</v>
      </c>
      <c r="O1997">
        <v>90</v>
      </c>
      <c r="P1997">
        <v>90</v>
      </c>
      <c r="Q1997">
        <v>119.7</v>
      </c>
      <c r="R1997">
        <v>2250</v>
      </c>
      <c r="S1997">
        <v>2250</v>
      </c>
      <c r="T1997">
        <v>0</v>
      </c>
      <c r="U1997">
        <v>0</v>
      </c>
      <c r="V1997">
        <v>1</v>
      </c>
      <c r="W1997">
        <v>0</v>
      </c>
      <c r="X1997">
        <v>0.85</v>
      </c>
    </row>
    <row r="1998" spans="1:24" x14ac:dyDescent="0.3">
      <c r="A1998" t="s">
        <v>2750</v>
      </c>
      <c r="B1998" s="1">
        <v>45884</v>
      </c>
      <c r="C1998" t="s">
        <v>110</v>
      </c>
      <c r="D1998" t="s">
        <v>82</v>
      </c>
      <c r="E1998" t="s">
        <v>40</v>
      </c>
      <c r="F1998" t="s">
        <v>58</v>
      </c>
      <c r="G1998" t="s">
        <v>59</v>
      </c>
      <c r="H1998" t="s">
        <v>296</v>
      </c>
      <c r="I1998" t="s">
        <v>2751</v>
      </c>
      <c r="J1998" t="s">
        <v>62</v>
      </c>
      <c r="K1998" t="s">
        <v>63</v>
      </c>
      <c r="L1998" t="s">
        <v>64</v>
      </c>
      <c r="M1998" t="s">
        <v>65</v>
      </c>
      <c r="N1998" t="s">
        <v>36</v>
      </c>
      <c r="O1998">
        <v>60</v>
      </c>
      <c r="P1998">
        <v>60</v>
      </c>
      <c r="Q1998">
        <v>78.900000000000006</v>
      </c>
      <c r="R1998">
        <v>1500</v>
      </c>
      <c r="S1998">
        <v>1500</v>
      </c>
      <c r="T1998">
        <v>0</v>
      </c>
      <c r="U1998">
        <v>0</v>
      </c>
      <c r="V1998">
        <v>1</v>
      </c>
      <c r="W1998">
        <v>0</v>
      </c>
      <c r="X1998">
        <v>0.85</v>
      </c>
    </row>
    <row r="1999" spans="1:24" x14ac:dyDescent="0.3">
      <c r="A1999" t="s">
        <v>2752</v>
      </c>
      <c r="B1999" s="1">
        <v>45713</v>
      </c>
      <c r="C1999" t="s">
        <v>76</v>
      </c>
      <c r="D1999" t="s">
        <v>26</v>
      </c>
      <c r="E1999" t="s">
        <v>40</v>
      </c>
      <c r="F1999" t="s">
        <v>28</v>
      </c>
      <c r="G1999" t="s">
        <v>29</v>
      </c>
      <c r="H1999" t="s">
        <v>120</v>
      </c>
      <c r="I1999" t="s">
        <v>574</v>
      </c>
      <c r="J1999" t="s">
        <v>32</v>
      </c>
      <c r="K1999" t="s">
        <v>104</v>
      </c>
      <c r="L1999" t="s">
        <v>78</v>
      </c>
      <c r="M1999" t="s">
        <v>47</v>
      </c>
      <c r="N1999" t="s">
        <v>36</v>
      </c>
      <c r="O1999">
        <v>45</v>
      </c>
      <c r="P1999">
        <v>45</v>
      </c>
      <c r="Q1999">
        <v>50.5</v>
      </c>
      <c r="R1999">
        <v>850</v>
      </c>
      <c r="S1999">
        <v>850</v>
      </c>
      <c r="T1999">
        <v>0</v>
      </c>
      <c r="U1999">
        <v>0</v>
      </c>
      <c r="V1999">
        <v>1</v>
      </c>
      <c r="W1999">
        <v>0</v>
      </c>
      <c r="X1999">
        <v>0.85</v>
      </c>
    </row>
    <row r="2000" spans="1:24" x14ac:dyDescent="0.3">
      <c r="A2000" t="s">
        <v>2753</v>
      </c>
      <c r="B2000" s="1">
        <v>45675</v>
      </c>
      <c r="C2000" t="s">
        <v>130</v>
      </c>
      <c r="D2000" t="s">
        <v>88</v>
      </c>
      <c r="E2000" t="s">
        <v>40</v>
      </c>
      <c r="F2000" t="s">
        <v>58</v>
      </c>
      <c r="G2000" t="s">
        <v>59</v>
      </c>
      <c r="H2000" t="s">
        <v>151</v>
      </c>
      <c r="I2000" t="s">
        <v>1327</v>
      </c>
      <c r="J2000" t="s">
        <v>62</v>
      </c>
      <c r="K2000" t="s">
        <v>33</v>
      </c>
      <c r="L2000" t="s">
        <v>64</v>
      </c>
      <c r="M2000" t="s">
        <v>47</v>
      </c>
      <c r="N2000" t="s">
        <v>36</v>
      </c>
      <c r="O2000">
        <v>45</v>
      </c>
      <c r="P2000">
        <v>45</v>
      </c>
      <c r="Q2000">
        <v>52.3</v>
      </c>
      <c r="R2000">
        <v>1100</v>
      </c>
      <c r="S2000">
        <v>1100</v>
      </c>
      <c r="T2000">
        <v>0</v>
      </c>
      <c r="U2000">
        <v>0</v>
      </c>
      <c r="V2000">
        <v>1</v>
      </c>
      <c r="W2000">
        <v>0</v>
      </c>
      <c r="X2000">
        <v>0.85</v>
      </c>
    </row>
    <row r="2001" spans="1:24" x14ac:dyDescent="0.3">
      <c r="A2001" t="s">
        <v>2754</v>
      </c>
      <c r="B2001" s="1">
        <v>45727</v>
      </c>
      <c r="C2001" t="s">
        <v>56</v>
      </c>
      <c r="D2001" t="s">
        <v>26</v>
      </c>
      <c r="E2001" t="s">
        <v>40</v>
      </c>
      <c r="F2001" t="s">
        <v>41</v>
      </c>
      <c r="G2001" t="s">
        <v>42</v>
      </c>
      <c r="H2001" t="s">
        <v>89</v>
      </c>
      <c r="I2001" t="s">
        <v>190</v>
      </c>
      <c r="J2001" t="s">
        <v>32</v>
      </c>
      <c r="K2001" t="s">
        <v>104</v>
      </c>
      <c r="L2001" t="s">
        <v>34</v>
      </c>
      <c r="M2001" t="s">
        <v>35</v>
      </c>
      <c r="N2001" t="s">
        <v>36</v>
      </c>
      <c r="O2001">
        <v>30</v>
      </c>
      <c r="P2001">
        <v>30</v>
      </c>
      <c r="Q2001">
        <v>35.799999999999997</v>
      </c>
      <c r="R2001">
        <v>700</v>
      </c>
      <c r="S2001">
        <v>700</v>
      </c>
      <c r="T2001">
        <v>0</v>
      </c>
      <c r="U2001">
        <v>0</v>
      </c>
      <c r="V2001">
        <v>1</v>
      </c>
      <c r="W2001">
        <v>0</v>
      </c>
      <c r="X2001">
        <v>0.85</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6"/>
  <sheetViews>
    <sheetView workbookViewId="0">
      <pane ySplit="1" topLeftCell="A2" activePane="bottomLeft" state="frozen"/>
      <selection pane="bottomLeft"/>
    </sheetView>
  </sheetViews>
  <sheetFormatPr defaultRowHeight="14.4" x14ac:dyDescent="0.3"/>
  <cols>
    <col min="1" max="2" width="14" customWidth="1"/>
  </cols>
  <sheetData>
    <row r="1" spans="1:2" x14ac:dyDescent="0.3">
      <c r="A1" s="2" t="s">
        <v>2755</v>
      </c>
      <c r="B1" s="2" t="s">
        <v>2756</v>
      </c>
    </row>
    <row r="2" spans="1:2" x14ac:dyDescent="0.3">
      <c r="A2" t="s">
        <v>2757</v>
      </c>
      <c r="B2">
        <v>2000</v>
      </c>
    </row>
    <row r="3" spans="1:2" x14ac:dyDescent="0.3">
      <c r="A3" t="s">
        <v>2758</v>
      </c>
      <c r="B3">
        <v>1990900</v>
      </c>
    </row>
    <row r="4" spans="1:2" x14ac:dyDescent="0.3">
      <c r="A4" t="s">
        <v>2759</v>
      </c>
      <c r="B4">
        <v>0.151</v>
      </c>
    </row>
    <row r="5" spans="1:2" x14ac:dyDescent="0.3">
      <c r="A5" t="s">
        <v>2760</v>
      </c>
      <c r="B5">
        <v>0.62495010157102437</v>
      </c>
    </row>
    <row r="6" spans="1:2" x14ac:dyDescent="0.3">
      <c r="A6" t="s">
        <v>2761</v>
      </c>
      <c r="B6">
        <v>543350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2"/>
  <sheetViews>
    <sheetView workbookViewId="0">
      <pane ySplit="1" topLeftCell="A2" activePane="bottomLeft" state="frozen"/>
      <selection pane="bottomLeft" activeCell="B3" sqref="B3"/>
    </sheetView>
  </sheetViews>
  <sheetFormatPr defaultRowHeight="14.4" x14ac:dyDescent="0.3"/>
  <cols>
    <col min="1" max="1" width="23" customWidth="1"/>
    <col min="2" max="2" width="34" customWidth="1"/>
    <col min="3" max="3" width="30" customWidth="1"/>
  </cols>
  <sheetData>
    <row r="1" spans="1:3" x14ac:dyDescent="0.3">
      <c r="A1" s="2" t="s">
        <v>2762</v>
      </c>
      <c r="B1" s="2" t="s">
        <v>2763</v>
      </c>
      <c r="C1" s="2" t="s">
        <v>2764</v>
      </c>
    </row>
    <row r="2" spans="1:3" x14ac:dyDescent="0.3">
      <c r="A2">
        <v>0</v>
      </c>
      <c r="B2">
        <v>0</v>
      </c>
      <c r="C2">
        <v>403000</v>
      </c>
    </row>
    <row r="3" spans="1:3" x14ac:dyDescent="0.3">
      <c r="A3">
        <v>5</v>
      </c>
      <c r="B3">
        <v>20150</v>
      </c>
      <c r="C3">
        <v>382850</v>
      </c>
    </row>
    <row r="4" spans="1:3" x14ac:dyDescent="0.3">
      <c r="A4">
        <v>10</v>
      </c>
      <c r="B4">
        <v>40300</v>
      </c>
      <c r="C4">
        <v>362700</v>
      </c>
    </row>
    <row r="5" spans="1:3" x14ac:dyDescent="0.3">
      <c r="A5">
        <v>15</v>
      </c>
      <c r="B5">
        <v>60450</v>
      </c>
      <c r="C5">
        <v>342550</v>
      </c>
    </row>
    <row r="6" spans="1:3" x14ac:dyDescent="0.3">
      <c r="A6">
        <v>20</v>
      </c>
      <c r="B6">
        <v>80600</v>
      </c>
      <c r="C6">
        <v>322400</v>
      </c>
    </row>
    <row r="7" spans="1:3" x14ac:dyDescent="0.3">
      <c r="A7">
        <v>25</v>
      </c>
      <c r="B7">
        <v>100750</v>
      </c>
      <c r="C7">
        <v>302250</v>
      </c>
    </row>
    <row r="8" spans="1:3" x14ac:dyDescent="0.3">
      <c r="A8">
        <v>30</v>
      </c>
      <c r="B8">
        <v>120900</v>
      </c>
      <c r="C8">
        <v>282100</v>
      </c>
    </row>
    <row r="9" spans="1:3" x14ac:dyDescent="0.3">
      <c r="A9">
        <v>35</v>
      </c>
      <c r="B9">
        <v>141050</v>
      </c>
      <c r="C9">
        <v>261950</v>
      </c>
    </row>
    <row r="10" spans="1:3" x14ac:dyDescent="0.3">
      <c r="A10">
        <v>40</v>
      </c>
      <c r="B10">
        <v>161200</v>
      </c>
      <c r="C10">
        <v>241800</v>
      </c>
    </row>
    <row r="11" spans="1:3" x14ac:dyDescent="0.3">
      <c r="A11">
        <v>45</v>
      </c>
      <c r="B11">
        <v>181350</v>
      </c>
      <c r="C11">
        <v>221650</v>
      </c>
    </row>
    <row r="12" spans="1:3" x14ac:dyDescent="0.3">
      <c r="A12">
        <v>50</v>
      </c>
      <c r="B12">
        <v>201500</v>
      </c>
      <c r="C12">
        <v>201500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
  <sheetViews>
    <sheetView workbookViewId="0">
      <pane ySplit="1" topLeftCell="A2" activePane="bottomLeft" state="frozen"/>
      <selection pane="bottomLeft" activeCell="T15" sqref="T15"/>
    </sheetView>
  </sheetViews>
  <sheetFormatPr defaultRowHeight="14.4" x14ac:dyDescent="0.3"/>
  <cols>
    <col min="1" max="1" width="14" customWidth="1"/>
    <col min="2" max="2" width="17" customWidth="1"/>
  </cols>
  <sheetData>
    <row r="1" spans="1:2" x14ac:dyDescent="0.3">
      <c r="A1" s="2" t="s">
        <v>2765</v>
      </c>
      <c r="B1" s="2" t="s">
        <v>2766</v>
      </c>
    </row>
    <row r="2" spans="1:2" x14ac:dyDescent="0.3">
      <c r="A2" t="s">
        <v>0</v>
      </c>
      <c r="B2" t="s">
        <v>2767</v>
      </c>
    </row>
    <row r="3" spans="1:2" x14ac:dyDescent="0.3">
      <c r="A3" t="s">
        <v>1</v>
      </c>
      <c r="B3" t="s">
        <v>2768</v>
      </c>
    </row>
    <row r="4" spans="1:2" x14ac:dyDescent="0.3">
      <c r="A4" t="s">
        <v>2769</v>
      </c>
      <c r="B4" t="s">
        <v>2770</v>
      </c>
    </row>
    <row r="5" spans="1:2" x14ac:dyDescent="0.3">
      <c r="A5" t="s">
        <v>13</v>
      </c>
      <c r="B5" t="s">
        <v>2771</v>
      </c>
    </row>
    <row r="6" spans="1:2" x14ac:dyDescent="0.3">
      <c r="A6" t="s">
        <v>18</v>
      </c>
      <c r="B6" t="s">
        <v>2772</v>
      </c>
    </row>
    <row r="7" spans="1:2" x14ac:dyDescent="0.3">
      <c r="A7" t="s">
        <v>19</v>
      </c>
      <c r="B7" t="s">
        <v>2773</v>
      </c>
    </row>
    <row r="8" spans="1:2" x14ac:dyDescent="0.3">
      <c r="A8" t="s">
        <v>20</v>
      </c>
      <c r="B8" t="s">
        <v>2774</v>
      </c>
    </row>
    <row r="9" spans="1:2" x14ac:dyDescent="0.3">
      <c r="A9" t="s">
        <v>16</v>
      </c>
      <c r="B9" t="s">
        <v>2775</v>
      </c>
    </row>
    <row r="10" spans="1:2" x14ac:dyDescent="0.3">
      <c r="A10" t="s">
        <v>23</v>
      </c>
      <c r="B10" t="s">
        <v>2776</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7E2743-EFE2-4E86-8C5C-45115A97131B}">
  <dimension ref="A1:AC101"/>
  <sheetViews>
    <sheetView showGridLines="0" zoomScale="112" zoomScaleNormal="112" workbookViewId="0">
      <selection sqref="A1:I2"/>
    </sheetView>
  </sheetViews>
  <sheetFormatPr defaultColWidth="9.109375" defaultRowHeight="14.4" outlineLevelCol="1" x14ac:dyDescent="0.3"/>
  <cols>
    <col min="1" max="1" width="14.88671875" customWidth="1"/>
    <col min="2" max="2" width="16.44140625" customWidth="1"/>
    <col min="3" max="3" width="13.6640625" customWidth="1"/>
    <col min="4" max="4" width="16.6640625" customWidth="1"/>
    <col min="5" max="5" width="15.6640625" customWidth="1"/>
    <col min="6" max="6" width="14.88671875" customWidth="1"/>
    <col min="7" max="12" width="13.6640625" customWidth="1"/>
    <col min="14" max="14" width="25" style="12" customWidth="1" outlineLevel="1"/>
    <col min="15" max="15" width="13.6640625" style="12" customWidth="1" outlineLevel="1"/>
    <col min="16" max="16" width="9.109375" style="12" customWidth="1" outlineLevel="1"/>
    <col min="17" max="17" width="15.88671875" style="12" customWidth="1" outlineLevel="1"/>
    <col min="18" max="18" width="12.109375" style="12" customWidth="1" outlineLevel="1"/>
    <col min="19" max="19" width="10.5546875" style="12" customWidth="1" outlineLevel="1"/>
    <col min="20" max="20" width="10.109375" style="12" customWidth="1" outlineLevel="1"/>
    <col min="21" max="21" width="17.88671875" style="12" customWidth="1" outlineLevel="1"/>
    <col min="22" max="22" width="17.88671875" style="12" bestFit="1" customWidth="1" outlineLevel="1"/>
    <col min="23" max="23" width="19.88671875" style="12" bestFit="1" customWidth="1" outlineLevel="1"/>
    <col min="24" max="24" width="24.5546875" style="12" bestFit="1" customWidth="1" outlineLevel="1"/>
    <col min="25" max="25" width="15.44140625" style="12" bestFit="1" customWidth="1" outlineLevel="1"/>
    <col min="26" max="26" width="12.5546875" style="12" bestFit="1" customWidth="1" outlineLevel="1"/>
    <col min="27" max="27" width="17.88671875" style="12" bestFit="1" customWidth="1"/>
    <col min="28" max="28" width="19.109375" bestFit="1" customWidth="1"/>
    <col min="29" max="29" width="12.88671875" bestFit="1" customWidth="1"/>
    <col min="30" max="33" width="24.5546875" bestFit="1" customWidth="1"/>
    <col min="34" max="34" width="24.88671875" bestFit="1" customWidth="1"/>
    <col min="35" max="35" width="29.6640625" bestFit="1" customWidth="1"/>
  </cols>
  <sheetData>
    <row r="1" spans="1:29" ht="24" customHeight="1" x14ac:dyDescent="0.3">
      <c r="A1" s="101" t="s">
        <v>2777</v>
      </c>
      <c r="B1" s="101"/>
      <c r="C1" s="101"/>
      <c r="D1" s="101"/>
      <c r="E1" s="101"/>
      <c r="F1" s="101"/>
      <c r="G1" s="101"/>
      <c r="H1" s="101"/>
      <c r="I1" s="101"/>
      <c r="J1" s="115" t="s">
        <v>2778</v>
      </c>
      <c r="K1" s="115"/>
      <c r="L1" s="115"/>
      <c r="N1" s="18" t="s">
        <v>2779</v>
      </c>
      <c r="O1" s="18" t="s">
        <v>2780</v>
      </c>
      <c r="Q1" s="18" t="s">
        <v>7</v>
      </c>
      <c r="R1" s="18" t="s">
        <v>2781</v>
      </c>
      <c r="S1" s="18" t="s">
        <v>2782</v>
      </c>
      <c r="U1" s="18" t="s">
        <v>10</v>
      </c>
      <c r="V1" s="18" t="s">
        <v>36</v>
      </c>
      <c r="W1" s="18" t="s">
        <v>153</v>
      </c>
      <c r="X1" s="18" t="s">
        <v>95</v>
      </c>
      <c r="Y1" s="18" t="s">
        <v>113</v>
      </c>
      <c r="AA1" s="18" t="s">
        <v>2806</v>
      </c>
      <c r="AB1" s="18" t="s">
        <v>2807</v>
      </c>
      <c r="AC1" s="18" t="s">
        <v>2808</v>
      </c>
    </row>
    <row r="2" spans="1:29" ht="24" customHeight="1" x14ac:dyDescent="0.3">
      <c r="A2" s="102"/>
      <c r="B2" s="102"/>
      <c r="C2" s="102"/>
      <c r="D2" s="102"/>
      <c r="E2" s="102"/>
      <c r="F2" s="102"/>
      <c r="G2" s="102"/>
      <c r="H2" s="102"/>
      <c r="I2" s="102"/>
      <c r="J2" s="116"/>
      <c r="K2" s="116"/>
      <c r="L2" s="116"/>
      <c r="N2" s="19" t="s">
        <v>39</v>
      </c>
      <c r="O2" s="13" cm="1">
        <f t="array" aca="1" ref="O2" ca="1">IFERROR(SUMPRODUCT((Appointments_Tbl[Day_of_Week]=N2)*(SUBTOTAL(103,OFFSET(INDEX(Appointments_Tbl[Appointment_ID],1),ROW(Appointments_Tbl[Appointment_ID])-ROW(INDEX(Appointments_Tbl[Appointment_ID],1)),0,1)))*(Appointments_Tbl[No_Show_Flag]))/SUMPRODUCT((Appointments_Tbl[Day_of_Week]=N2)*(SUBTOTAL(103,OFFSET(INDEX(Appointments_Tbl[Appointment_ID],1),ROW(Appointments_Tbl[Appointment_ID])-ROW(INDEX(Appointments_Tbl[Appointment_ID],1)),0,1)))),0)</f>
        <v>0.19085487077534791</v>
      </c>
      <c r="Q2" s="19" t="s">
        <v>89</v>
      </c>
      <c r="R2" s="13" cm="1">
        <f t="array" aca="1" ref="R2" ca="1">IFERROR(SUMPRODUCT((Appointments_Tbl[Therapist]=Q2)*(SUBTOTAL(103,OFFSET(INDEX(Appointments_Tbl[Appointment_ID],1),ROW(Appointments_Tbl[Appointment_ID])-ROW(INDEX(Appointments_Tbl[Appointment_ID],1)),0,1)))*Appointments_Tbl[Treated_Minutes])/SUMPRODUCT((Appointments_Tbl[Therapist]=Q2)*(SUBTOTAL(103,OFFSET(INDEX(Appointments_Tbl[Appointment_ID],1),ROW(Appointments_Tbl[Appointment_ID])-ROW(INDEX(Appointments_Tbl[Appointment_ID],1)),0,1)))*Appointments_Tbl[Allocated_Shift_Capacity_Minutes]),0)</f>
        <v>0.66660131359670638</v>
      </c>
      <c r="S2" s="13">
        <v>0.85</v>
      </c>
      <c r="U2" s="23" t="s">
        <v>63</v>
      </c>
      <c r="V2" s="24" cm="1">
        <f t="array" aca="1" ref="V2" ca="1">SUMPRODUCT((Appointments_Tbl[Therapy_Type]=$U2)*(Appointments_Tbl[Appointment_Status]=V$1)*(SUBTOTAL(103,OFFSET(INDEX(Appointments_Tbl[Appointment_ID],1),ROW(Appointments_Tbl[Appointment_ID])-ROW(INDEX(Appointments_Tbl[Appointment_ID],1)),0,1))))</f>
        <v>278</v>
      </c>
      <c r="W2" s="24" cm="1">
        <f t="array" aca="1" ref="W2" ca="1">SUMPRODUCT((Appointments_Tbl[Therapy_Type]=$U2)*(Appointments_Tbl[Appointment_Status]=W$1)*(SUBTOTAL(103,OFFSET(INDEX(Appointments_Tbl[Appointment_ID],1),ROW(Appointments_Tbl[Appointment_ID])-ROW(INDEX(Appointments_Tbl[Appointment_ID],1)),0,1))))</f>
        <v>8</v>
      </c>
      <c r="X2" s="24" cm="1">
        <f t="array" aca="1" ref="X2" ca="1">SUMPRODUCT((Appointments_Tbl[Therapy_Type]=$U2)*(Appointments_Tbl[Appointment_Status]=X$1)*(SUBTOTAL(103,OFFSET(INDEX(Appointments_Tbl[Appointment_ID],1),ROW(Appointments_Tbl[Appointment_ID])-ROW(INDEX(Appointments_Tbl[Appointment_ID],1)),0,1))))</f>
        <v>48</v>
      </c>
      <c r="Y2" s="24" cm="1">
        <f t="array" aca="1" ref="Y2" ca="1">SUMPRODUCT((Appointments_Tbl[Therapy_Type]=$U2)*(Appointments_Tbl[Appointment_Status]=Y$1)*(SUBTOTAL(103,OFFSET(INDEX(Appointments_Tbl[Appointment_ID],1),ROW(Appointments_Tbl[Appointment_ID])-ROW(INDEX(Appointments_Tbl[Appointment_ID],1)),0,1))))</f>
        <v>17</v>
      </c>
      <c r="AA2" s="19" t="s">
        <v>63</v>
      </c>
      <c r="AB2" s="20" cm="1">
        <f t="array" aca="1" ref="AB2" ca="1">SUMPRODUCT((Appointments_Tbl[Therapy_Type]=$AA2)*(SUBTOTAL(103,OFFSET(INDEX(Appointments_Tbl[Appointment_ID],1),ROW(Appointments_Tbl[Appointment_ID])-ROW(INDEX(Appointments_Tbl[Appointment_ID],1)),0,1)))*(Appointments_Tbl[Revenue_INR]))</f>
        <v>365500</v>
      </c>
      <c r="AC2" s="20" cm="1">
        <f t="array" aca="1" ref="AC2" ca="1">SUMPRODUCT((Appointments_Tbl[Therapy_Type]=$AA2)*(SUBTOTAL(103,OFFSET(INDEX(Appointments_Tbl[Appointment_ID],1),ROW(Appointments_Tbl[Appointment_ID])-ROW(INDEX(Appointments_Tbl[Appointment_ID],1)),0,1)))*(Appointments_Tbl[Lost_Revenue_INR]))</f>
        <v>87100</v>
      </c>
    </row>
    <row r="3" spans="1:29" ht="21.75" customHeight="1" x14ac:dyDescent="0.3">
      <c r="A3" s="88" t="s">
        <v>2783</v>
      </c>
      <c r="B3" s="89"/>
      <c r="C3" s="89"/>
      <c r="D3" s="88" t="s">
        <v>2784</v>
      </c>
      <c r="E3" s="89"/>
      <c r="F3" s="89"/>
      <c r="G3" s="88" t="s">
        <v>2785</v>
      </c>
      <c r="H3" s="89"/>
      <c r="I3" s="89"/>
      <c r="J3" s="88" t="s">
        <v>2786</v>
      </c>
      <c r="K3" s="89"/>
      <c r="L3" s="90"/>
      <c r="N3" s="19" t="s">
        <v>26</v>
      </c>
      <c r="O3" s="13" cm="1">
        <f t="array" aca="1" ref="O3" ca="1">IFERROR(SUMPRODUCT((Appointments_Tbl[Day_of_Week]=N3)*(SUBTOTAL(103,OFFSET(INDEX(Appointments_Tbl[Appointment_ID],1),ROW(Appointments_Tbl[Appointment_ID])-ROW(INDEX(Appointments_Tbl[Appointment_ID],1)),0,1)))*(Appointments_Tbl[No_Show_Flag]))/SUMPRODUCT((Appointments_Tbl[Day_of_Week]=N3)*(SUBTOTAL(103,OFFSET(INDEX(Appointments_Tbl[Appointment_ID],1),ROW(Appointments_Tbl[Appointment_ID])-ROW(INDEX(Appointments_Tbl[Appointment_ID],1)),0,1)))),0)</f>
        <v>0.14331210191082802</v>
      </c>
      <c r="Q3" s="19" t="s">
        <v>117</v>
      </c>
      <c r="R3" s="13" cm="1">
        <f t="array" aca="1" ref="R3" ca="1">IFERROR(SUMPRODUCT((Appointments_Tbl[Therapist]=Q3)*(SUBTOTAL(103,OFFSET(INDEX(Appointments_Tbl[Appointment_ID],1),ROW(Appointments_Tbl[Appointment_ID])-ROW(INDEX(Appointments_Tbl[Appointment_ID],1)),0,1)))*Appointments_Tbl[Treated_Minutes])/SUMPRODUCT((Appointments_Tbl[Therapist]=Q3)*(SUBTOTAL(103,OFFSET(INDEX(Appointments_Tbl[Appointment_ID],1),ROW(Appointments_Tbl[Appointment_ID])-ROW(INDEX(Appointments_Tbl[Appointment_ID],1)),0,1)))*Appointments_Tbl[Allocated_Shift_Capacity_Minutes]),0)</f>
        <v>0.66237376602745879</v>
      </c>
      <c r="S3" s="13">
        <v>0.85</v>
      </c>
      <c r="U3" s="23" t="s">
        <v>46</v>
      </c>
      <c r="V3" s="24" cm="1">
        <f t="array" aca="1" ref="V3" ca="1">SUMPRODUCT((Appointments_Tbl[Therapy_Type]=$U3)*(Appointments_Tbl[Appointment_Status]=V$1)*(SUBTOTAL(103,OFFSET(INDEX(Appointments_Tbl[Appointment_ID],1),ROW(Appointments_Tbl[Appointment_ID])-ROW(INDEX(Appointments_Tbl[Appointment_ID],1)),0,1))))</f>
        <v>255</v>
      </c>
      <c r="W3" s="24" cm="1">
        <f t="array" aca="1" ref="W3" ca="1">SUMPRODUCT((Appointments_Tbl[Therapy_Type]=$U3)*(Appointments_Tbl[Appointment_Status]=W$1)*(SUBTOTAL(103,OFFSET(INDEX(Appointments_Tbl[Appointment_ID],1),ROW(Appointments_Tbl[Appointment_ID])-ROW(INDEX(Appointments_Tbl[Appointment_ID],1)),0,1))))</f>
        <v>18</v>
      </c>
      <c r="X3" s="24" cm="1">
        <f t="array" aca="1" ref="X3" ca="1">SUMPRODUCT((Appointments_Tbl[Therapy_Type]=$U3)*(Appointments_Tbl[Appointment_Status]=X$1)*(SUBTOTAL(103,OFFSET(INDEX(Appointments_Tbl[Appointment_ID],1),ROW(Appointments_Tbl[Appointment_ID])-ROW(INDEX(Appointments_Tbl[Appointment_ID],1)),0,1))))</f>
        <v>56</v>
      </c>
      <c r="Y3" s="24" cm="1">
        <f t="array" aca="1" ref="Y3" ca="1">SUMPRODUCT((Appointments_Tbl[Therapy_Type]=$U3)*(Appointments_Tbl[Appointment_Status]=Y$1)*(SUBTOTAL(103,OFFSET(INDEX(Appointments_Tbl[Appointment_ID],1),ROW(Appointments_Tbl[Appointment_ID])-ROW(INDEX(Appointments_Tbl[Appointment_ID],1)),0,1))))</f>
        <v>18</v>
      </c>
      <c r="AA3" s="19" t="s">
        <v>46</v>
      </c>
      <c r="AB3" s="20" cm="1">
        <f t="array" aca="1" ref="AB3" ca="1">SUMPRODUCT((Appointments_Tbl[Therapy_Type]=$AA3)*(SUBTOTAL(103,OFFSET(INDEX(Appointments_Tbl[Appointment_ID],1),ROW(Appointments_Tbl[Appointment_ID])-ROW(INDEX(Appointments_Tbl[Appointment_ID],1)),0,1)))*(Appointments_Tbl[Revenue_INR]))</f>
        <v>328950</v>
      </c>
      <c r="AC3" s="20" cm="1">
        <f t="array" aca="1" ref="AC3" ca="1">SUMPRODUCT((Appointments_Tbl[Therapy_Type]=$AA3)*(SUBTOTAL(103,OFFSET(INDEX(Appointments_Tbl[Appointment_ID],1),ROW(Appointments_Tbl[Appointment_ID])-ROW(INDEX(Appointments_Tbl[Appointment_ID],1)),0,1)))*(Appointments_Tbl[Lost_Revenue_INR]))</f>
        <v>96150</v>
      </c>
    </row>
    <row r="4" spans="1:29" ht="21.75" customHeight="1" x14ac:dyDescent="0.3">
      <c r="A4" s="106"/>
      <c r="B4" s="107"/>
      <c r="C4" s="108"/>
      <c r="D4" s="103"/>
      <c r="E4" s="104"/>
      <c r="F4" s="105"/>
      <c r="G4" s="109"/>
      <c r="H4" s="110"/>
      <c r="I4" s="111"/>
      <c r="J4" s="112"/>
      <c r="K4" s="113"/>
      <c r="L4" s="114"/>
      <c r="N4" s="19" t="s">
        <v>57</v>
      </c>
      <c r="O4" s="13" cm="1">
        <f t="array" aca="1" ref="O4" ca="1">IFERROR(SUMPRODUCT((Appointments_Tbl[Day_of_Week]=N4)*(SUBTOTAL(103,OFFSET(INDEX(Appointments_Tbl[Appointment_ID],1),ROW(Appointments_Tbl[Appointment_ID])-ROW(INDEX(Appointments_Tbl[Appointment_ID],1)),0,1)))*(Appointments_Tbl[No_Show_Flag]))/SUMPRODUCT((Appointments_Tbl[Day_of_Week]=N4)*(SUBTOTAL(103,OFFSET(INDEX(Appointments_Tbl[Appointment_ID],1),ROW(Appointments_Tbl[Appointment_ID])-ROW(INDEX(Appointments_Tbl[Appointment_ID],1)),0,1)))),0)</f>
        <v>0.14576271186440679</v>
      </c>
      <c r="Q4" s="19" t="s">
        <v>73</v>
      </c>
      <c r="R4" s="13" cm="1">
        <f t="array" aca="1" ref="R4" ca="1">IFERROR(SUMPRODUCT((Appointments_Tbl[Therapist]=Q4)*(SUBTOTAL(103,OFFSET(INDEX(Appointments_Tbl[Appointment_ID],1),ROW(Appointments_Tbl[Appointment_ID])-ROW(INDEX(Appointments_Tbl[Appointment_ID],1)),0,1)))*Appointments_Tbl[Treated_Minutes])/SUMPRODUCT((Appointments_Tbl[Therapist]=Q4)*(SUBTOTAL(103,OFFSET(INDEX(Appointments_Tbl[Appointment_ID],1),ROW(Appointments_Tbl[Appointment_ID])-ROW(INDEX(Appointments_Tbl[Appointment_ID],1)),0,1)))*Appointments_Tbl[Allocated_Shift_Capacity_Minutes]),0)</f>
        <v>0.66186793840394009</v>
      </c>
      <c r="S4" s="13">
        <v>0.85</v>
      </c>
      <c r="U4" s="23" t="s">
        <v>33</v>
      </c>
      <c r="V4" s="24" cm="1">
        <f t="array" aca="1" ref="V4" ca="1">SUMPRODUCT((Appointments_Tbl[Therapy_Type]=$U4)*(Appointments_Tbl[Appointment_Status]=V$1)*(SUBTOTAL(103,OFFSET(INDEX(Appointments_Tbl[Appointment_ID],1),ROW(Appointments_Tbl[Appointment_ID])-ROW(INDEX(Appointments_Tbl[Appointment_ID],1)),0,1))))</f>
        <v>252</v>
      </c>
      <c r="W4" s="24" cm="1">
        <f t="array" aca="1" ref="W4" ca="1">SUMPRODUCT((Appointments_Tbl[Therapy_Type]=$U4)*(Appointments_Tbl[Appointment_Status]=W$1)*(SUBTOTAL(103,OFFSET(INDEX(Appointments_Tbl[Appointment_ID],1),ROW(Appointments_Tbl[Appointment_ID])-ROW(INDEX(Appointments_Tbl[Appointment_ID],1)),0,1))))</f>
        <v>11</v>
      </c>
      <c r="X4" s="24" cm="1">
        <f t="array" aca="1" ref="X4" ca="1">SUMPRODUCT((Appointments_Tbl[Therapy_Type]=$U4)*(Appointments_Tbl[Appointment_Status]=X$1)*(SUBTOTAL(103,OFFSET(INDEX(Appointments_Tbl[Appointment_ID],1),ROW(Appointments_Tbl[Appointment_ID])-ROW(INDEX(Appointments_Tbl[Appointment_ID],1)),0,1))))</f>
        <v>53</v>
      </c>
      <c r="Y4" s="24" cm="1">
        <f t="array" aca="1" ref="Y4" ca="1">SUMPRODUCT((Appointments_Tbl[Therapy_Type]=$U4)*(Appointments_Tbl[Appointment_Status]=Y$1)*(SUBTOTAL(103,OFFSET(INDEX(Appointments_Tbl[Appointment_ID],1),ROW(Appointments_Tbl[Appointment_ID])-ROW(INDEX(Appointments_Tbl[Appointment_ID],1)),0,1))))</f>
        <v>21</v>
      </c>
      <c r="AA4" s="19" t="s">
        <v>33</v>
      </c>
      <c r="AB4" s="20" cm="1">
        <f t="array" aca="1" ref="AB4" ca="1">SUMPRODUCT((Appointments_Tbl[Therapy_Type]=$AA4)*(SUBTOTAL(103,OFFSET(INDEX(Appointments_Tbl[Appointment_ID],1),ROW(Appointments_Tbl[Appointment_ID])-ROW(INDEX(Appointments_Tbl[Appointment_ID],1)),0,1)))*(Appointments_Tbl[Revenue_INR]))</f>
        <v>330500</v>
      </c>
      <c r="AC4" s="20" cm="1">
        <f t="array" aca="1" ref="AC4" ca="1">SUMPRODUCT((Appointments_Tbl[Therapy_Type]=$AA4)*(SUBTOTAL(103,OFFSET(INDEX(Appointments_Tbl[Appointment_ID],1),ROW(Appointments_Tbl[Appointment_ID])-ROW(INDEX(Appointments_Tbl[Appointment_ID],1)),0,1)))*(Appointments_Tbl[Lost_Revenue_INR]))</f>
        <v>95750</v>
      </c>
    </row>
    <row r="5" spans="1:29" ht="21.75" customHeight="1" x14ac:dyDescent="0.3">
      <c r="A5" s="97">
        <f>SUM(Appointments_Tbl[Revenue_INR])</f>
        <v>1990900</v>
      </c>
      <c r="B5" s="98"/>
      <c r="C5" s="98"/>
      <c r="D5" s="99">
        <f>AVERAGE(Appointments_Tbl[No_Show_Flag])</f>
        <v>0.151</v>
      </c>
      <c r="E5" s="100"/>
      <c r="F5" s="100"/>
      <c r="G5" s="99">
        <f>SUM(Appointments_Tbl[Treated_Minutes])/SUM(Appointments_Tbl[Allocated_Shift_Capacity_Minutes])</f>
        <v>0.62495010157102504</v>
      </c>
      <c r="H5" s="100"/>
      <c r="I5" s="100"/>
      <c r="J5" s="91">
        <f>SUM(Appointments_Tbl[Lost_Revenue_INR])</f>
        <v>543350</v>
      </c>
      <c r="K5" s="92"/>
      <c r="L5" s="93"/>
      <c r="N5" s="19" t="s">
        <v>50</v>
      </c>
      <c r="O5" s="13" cm="1">
        <f t="array" aca="1" ref="O5" ca="1">IFERROR(SUMPRODUCT((Appointments_Tbl[Day_of_Week]=N5)*(SUBTOTAL(103,OFFSET(INDEX(Appointments_Tbl[Appointment_ID],1),ROW(Appointments_Tbl[Appointment_ID])-ROW(INDEX(Appointments_Tbl[Appointment_ID],1)),0,1)))*(Appointments_Tbl[No_Show_Flag]))/SUMPRODUCT((Appointments_Tbl[Day_of_Week]=N5)*(SUBTOTAL(103,OFFSET(INDEX(Appointments_Tbl[Appointment_ID],1),ROW(Appointments_Tbl[Appointment_ID])-ROW(INDEX(Appointments_Tbl[Appointment_ID],1)),0,1)))),0)</f>
        <v>0.11481481481481481</v>
      </c>
      <c r="Q5" s="19" t="s">
        <v>151</v>
      </c>
      <c r="R5" s="13" cm="1">
        <f t="array" aca="1" ref="R5" ca="1">IFERROR(SUMPRODUCT((Appointments_Tbl[Therapist]=Q5)*(SUBTOTAL(103,OFFSET(INDEX(Appointments_Tbl[Appointment_ID],1),ROW(Appointments_Tbl[Appointment_ID])-ROW(INDEX(Appointments_Tbl[Appointment_ID],1)),0,1)))*Appointments_Tbl[Treated_Minutes])/SUMPRODUCT((Appointments_Tbl[Therapist]=Q5)*(SUBTOTAL(103,OFFSET(INDEX(Appointments_Tbl[Appointment_ID],1),ROW(Appointments_Tbl[Appointment_ID])-ROW(INDEX(Appointments_Tbl[Appointment_ID],1)),0,1)))*Appointments_Tbl[Allocated_Shift_Capacity_Minutes]),0)</f>
        <v>0.64746520708874311</v>
      </c>
      <c r="S5" s="13">
        <v>0.85</v>
      </c>
      <c r="U5" s="23" t="s">
        <v>104</v>
      </c>
      <c r="V5" s="24" cm="1">
        <f t="array" aca="1" ref="V5" ca="1">SUMPRODUCT((Appointments_Tbl[Therapy_Type]=$U5)*(Appointments_Tbl[Appointment_Status]=V$1)*(SUBTOTAL(103,OFFSET(INDEX(Appointments_Tbl[Appointment_ID],1),ROW(Appointments_Tbl[Appointment_ID])-ROW(INDEX(Appointments_Tbl[Appointment_ID],1)),0,1))))</f>
        <v>248</v>
      </c>
      <c r="W5" s="24" cm="1">
        <f t="array" aca="1" ref="W5" ca="1">SUMPRODUCT((Appointments_Tbl[Therapy_Type]=$U5)*(Appointments_Tbl[Appointment_Status]=W$1)*(SUBTOTAL(103,OFFSET(INDEX(Appointments_Tbl[Appointment_ID],1),ROW(Appointments_Tbl[Appointment_ID])-ROW(INDEX(Appointments_Tbl[Appointment_ID],1)),0,1))))</f>
        <v>10</v>
      </c>
      <c r="X5" s="24" cm="1">
        <f t="array" aca="1" ref="X5" ca="1">SUMPRODUCT((Appointments_Tbl[Therapy_Type]=$U5)*(Appointments_Tbl[Appointment_Status]=X$1)*(SUBTOTAL(103,OFFSET(INDEX(Appointments_Tbl[Appointment_ID],1),ROW(Appointments_Tbl[Appointment_ID])-ROW(INDEX(Appointments_Tbl[Appointment_ID],1)),0,1))))</f>
        <v>56</v>
      </c>
      <c r="Y5" s="24" cm="1">
        <f t="array" aca="1" ref="Y5" ca="1">SUMPRODUCT((Appointments_Tbl[Therapy_Type]=$U5)*(Appointments_Tbl[Appointment_Status]=Y$1)*(SUBTOTAL(103,OFFSET(INDEX(Appointments_Tbl[Appointment_ID],1),ROW(Appointments_Tbl[Appointment_ID])-ROW(INDEX(Appointments_Tbl[Appointment_ID],1)),0,1))))</f>
        <v>17</v>
      </c>
      <c r="AA5" s="19" t="s">
        <v>104</v>
      </c>
      <c r="AB5" s="20" cm="1">
        <f t="array" aca="1" ref="AB5" ca="1">SUMPRODUCT((Appointments_Tbl[Therapy_Type]=$AA5)*(SUBTOTAL(103,OFFSET(INDEX(Appointments_Tbl[Appointment_ID],1),ROW(Appointments_Tbl[Appointment_ID])-ROW(INDEX(Appointments_Tbl[Appointment_ID],1)),0,1)))*(Appointments_Tbl[Revenue_INR]))</f>
        <v>319300</v>
      </c>
      <c r="AC5" s="20" cm="1">
        <f t="array" aca="1" ref="AC5" ca="1">SUMPRODUCT((Appointments_Tbl[Therapy_Type]=$AA5)*(SUBTOTAL(103,OFFSET(INDEX(Appointments_Tbl[Appointment_ID],1),ROW(Appointments_Tbl[Appointment_ID])-ROW(INDEX(Appointments_Tbl[Appointment_ID],1)),0,1)))*(Appointments_Tbl[Lost_Revenue_INR]))</f>
        <v>95600</v>
      </c>
    </row>
    <row r="6" spans="1:29" ht="21.75" customHeight="1" x14ac:dyDescent="0.3">
      <c r="A6" s="94" t="s">
        <v>2787</v>
      </c>
      <c r="B6" s="95"/>
      <c r="C6" s="95"/>
      <c r="D6" s="94" t="s">
        <v>2788</v>
      </c>
      <c r="E6" s="95"/>
      <c r="F6" s="95"/>
      <c r="G6" s="94" t="s">
        <v>2789</v>
      </c>
      <c r="H6" s="95"/>
      <c r="I6" s="95"/>
      <c r="J6" s="94" t="s">
        <v>2790</v>
      </c>
      <c r="K6" s="95"/>
      <c r="L6" s="96"/>
      <c r="N6" s="19" t="s">
        <v>82</v>
      </c>
      <c r="O6" s="13" cm="1">
        <f t="array" aca="1" ref="O6" ca="1">IFERROR(SUMPRODUCT((Appointments_Tbl[Day_of_Week]=N6)*(SUBTOTAL(103,OFFSET(INDEX(Appointments_Tbl[Appointment_ID],1),ROW(Appointments_Tbl[Appointment_ID])-ROW(INDEX(Appointments_Tbl[Appointment_ID],1)),0,1)))*(Appointments_Tbl[No_Show_Flag]))/SUMPRODUCT((Appointments_Tbl[Day_of_Week]=N6)*(SUBTOTAL(103,OFFSET(INDEX(Appointments_Tbl[Appointment_ID],1),ROW(Appointments_Tbl[Appointment_ID])-ROW(INDEX(Appointments_Tbl[Appointment_ID],1)),0,1)))),0)</f>
        <v>0.1118421052631579</v>
      </c>
      <c r="Q6" s="19" t="s">
        <v>296</v>
      </c>
      <c r="R6" s="13" cm="1">
        <f t="array" aca="1" ref="R6" ca="1">IFERROR(SUMPRODUCT((Appointments_Tbl[Therapist]=Q6)*(SUBTOTAL(103,OFFSET(INDEX(Appointments_Tbl[Appointment_ID],1),ROW(Appointments_Tbl[Appointment_ID])-ROW(INDEX(Appointments_Tbl[Appointment_ID],1)),0,1)))*Appointments_Tbl[Treated_Minutes])/SUMPRODUCT((Appointments_Tbl[Therapist]=Q6)*(SUBTOTAL(103,OFFSET(INDEX(Appointments_Tbl[Appointment_ID],1),ROW(Appointments_Tbl[Appointment_ID])-ROW(INDEX(Appointments_Tbl[Appointment_ID],1)),0,1)))*Appointments_Tbl[Allocated_Shift_Capacity_Minutes]),0)</f>
        <v>0.64746000815697657</v>
      </c>
      <c r="S6" s="13">
        <v>0.85</v>
      </c>
      <c r="U6" s="23" t="s">
        <v>85</v>
      </c>
      <c r="V6" s="24" cm="1">
        <f t="array" aca="1" ref="V6" ca="1">SUMPRODUCT((Appointments_Tbl[Therapy_Type]=$U6)*(Appointments_Tbl[Appointment_Status]=V$1)*(SUBTOTAL(103,OFFSET(INDEX(Appointments_Tbl[Appointment_ID],1),ROW(Appointments_Tbl[Appointment_ID])-ROW(INDEX(Appointments_Tbl[Appointment_ID],1)),0,1))))</f>
        <v>236</v>
      </c>
      <c r="W6" s="24" cm="1">
        <f t="array" aca="1" ref="W6" ca="1">SUMPRODUCT((Appointments_Tbl[Therapy_Type]=$U6)*(Appointments_Tbl[Appointment_Status]=W$1)*(SUBTOTAL(103,OFFSET(INDEX(Appointments_Tbl[Appointment_ID],1),ROW(Appointments_Tbl[Appointment_ID])-ROW(INDEX(Appointments_Tbl[Appointment_ID],1)),0,1))))</f>
        <v>14</v>
      </c>
      <c r="X6" s="24" cm="1">
        <f t="array" aca="1" ref="X6" ca="1">SUMPRODUCT((Appointments_Tbl[Therapy_Type]=$U6)*(Appointments_Tbl[Appointment_Status]=X$1)*(SUBTOTAL(103,OFFSET(INDEX(Appointments_Tbl[Appointment_ID],1),ROW(Appointments_Tbl[Appointment_ID])-ROW(INDEX(Appointments_Tbl[Appointment_ID],1)),0,1))))</f>
        <v>49</v>
      </c>
      <c r="Y6" s="24" cm="1">
        <f t="array" aca="1" ref="Y6" ca="1">SUMPRODUCT((Appointments_Tbl[Therapy_Type]=$U6)*(Appointments_Tbl[Appointment_Status]=Y$1)*(SUBTOTAL(103,OFFSET(INDEX(Appointments_Tbl[Appointment_ID],1),ROW(Appointments_Tbl[Appointment_ID])-ROW(INDEX(Appointments_Tbl[Appointment_ID],1)),0,1))))</f>
        <v>22</v>
      </c>
      <c r="AA6" s="19" t="s">
        <v>85</v>
      </c>
      <c r="AB6" s="20" cm="1">
        <f t="array" aca="1" ref="AB6" ca="1">SUMPRODUCT((Appointments_Tbl[Therapy_Type]=$AA6)*(SUBTOTAL(103,OFFSET(INDEX(Appointments_Tbl[Appointment_ID],1),ROW(Appointments_Tbl[Appointment_ID])-ROW(INDEX(Appointments_Tbl[Appointment_ID],1)),0,1)))*(Appointments_Tbl[Revenue_INR]))</f>
        <v>318550</v>
      </c>
      <c r="AC6" s="20" cm="1">
        <f t="array" aca="1" ref="AC6" ca="1">SUMPRODUCT((Appointments_Tbl[Therapy_Type]=$AA6)*(SUBTOTAL(103,OFFSET(INDEX(Appointments_Tbl[Appointment_ID],1),ROW(Appointments_Tbl[Appointment_ID])-ROW(INDEX(Appointments_Tbl[Appointment_ID],1)),0,1)))*(Appointments_Tbl[Lost_Revenue_INR]))</f>
        <v>94600</v>
      </c>
    </row>
    <row r="7" spans="1:29" ht="21.75" customHeight="1" x14ac:dyDescent="0.3">
      <c r="A7" s="127"/>
      <c r="B7" s="128"/>
      <c r="C7" s="129"/>
      <c r="D7" s="117"/>
      <c r="E7" s="118"/>
      <c r="F7" s="119"/>
      <c r="G7" s="109"/>
      <c r="H7" s="110"/>
      <c r="I7" s="111"/>
      <c r="J7" s="120"/>
      <c r="K7" s="121"/>
      <c r="L7" s="122"/>
      <c r="N7" s="19" t="s">
        <v>88</v>
      </c>
      <c r="O7" s="13">
        <f>SUMIFS(Appointments_Tbl[No_Show_Flag],Appointments_Tbl[Day_of_Week],N7)/COUNTIF(Appointments_Tbl[Day_of_Week],N7)</f>
        <v>0.18021201413427562</v>
      </c>
      <c r="Q7" s="19" t="s">
        <v>60</v>
      </c>
      <c r="R7" s="13" cm="1">
        <f t="array" aca="1" ref="R7" ca="1">IFERROR(SUMPRODUCT((Appointments_Tbl[Therapist]=Q7)*(SUBTOTAL(103,OFFSET(INDEX(Appointments_Tbl[Appointment_ID],1),ROW(Appointments_Tbl[Appointment_ID])-ROW(INDEX(Appointments_Tbl[Appointment_ID],1)),0,1)))*Appointments_Tbl[Treated_Minutes])/SUMPRODUCT((Appointments_Tbl[Therapist]=Q7)*(SUBTOTAL(103,OFFSET(INDEX(Appointments_Tbl[Appointment_ID],1),ROW(Appointments_Tbl[Appointment_ID])-ROW(INDEX(Appointments_Tbl[Appointment_ID],1)),0,1)))*Appointments_Tbl[Allocated_Shift_Capacity_Minutes]),0)</f>
        <v>0.6410119441892268</v>
      </c>
      <c r="S7" s="13">
        <v>0.85</v>
      </c>
      <c r="U7" s="23" t="s">
        <v>70</v>
      </c>
      <c r="V7" s="24" cm="1">
        <f t="array" aca="1" ref="V7" ca="1">SUMPRODUCT((Appointments_Tbl[Therapy_Type]=$U7)*(Appointments_Tbl[Appointment_Status]=V$1)*(SUBTOTAL(103,OFFSET(INDEX(Appointments_Tbl[Appointment_ID],1),ROW(Appointments_Tbl[Appointment_ID])-ROW(INDEX(Appointments_Tbl[Appointment_ID],1)),0,1))))</f>
        <v>248</v>
      </c>
      <c r="W7" s="24" cm="1">
        <f t="array" aca="1" ref="W7" ca="1">SUMPRODUCT((Appointments_Tbl[Therapy_Type]=$U7)*(Appointments_Tbl[Appointment_Status]=W$1)*(SUBTOTAL(103,OFFSET(INDEX(Appointments_Tbl[Appointment_ID],1),ROW(Appointments_Tbl[Appointment_ID])-ROW(INDEX(Appointments_Tbl[Appointment_ID],1)),0,1))))</f>
        <v>10</v>
      </c>
      <c r="X7" s="24" cm="1">
        <f t="array" aca="1" ref="X7" ca="1">SUMPRODUCT((Appointments_Tbl[Therapy_Type]=$U7)*(Appointments_Tbl[Appointment_Status]=X$1)*(SUBTOTAL(103,OFFSET(INDEX(Appointments_Tbl[Appointment_ID],1),ROW(Appointments_Tbl[Appointment_ID])-ROW(INDEX(Appointments_Tbl[Appointment_ID],1)),0,1))))</f>
        <v>40</v>
      </c>
      <c r="Y7" s="24" cm="1">
        <f t="array" aca="1" ref="Y7" ca="1">SUMPRODUCT((Appointments_Tbl[Therapy_Type]=$U7)*(Appointments_Tbl[Appointment_Status]=Y$1)*(SUBTOTAL(103,OFFSET(INDEX(Appointments_Tbl[Appointment_ID],1),ROW(Appointments_Tbl[Appointment_ID])-ROW(INDEX(Appointments_Tbl[Appointment_ID],1)),0,1))))</f>
        <v>15</v>
      </c>
      <c r="AA7" s="19" t="s">
        <v>70</v>
      </c>
      <c r="AB7" s="20" cm="1">
        <f t="array" aca="1" ref="AB7" ca="1">SUMPRODUCT((Appointments_Tbl[Therapy_Type]=$AA7)*(SUBTOTAL(103,OFFSET(INDEX(Appointments_Tbl[Appointment_ID],1),ROW(Appointments_Tbl[Appointment_ID])-ROW(INDEX(Appointments_Tbl[Appointment_ID],1)),0,1)))*(Appointments_Tbl[Revenue_INR]))</f>
        <v>328100</v>
      </c>
      <c r="AC7" s="20" cm="1">
        <f t="array" aca="1" ref="AC7" ca="1">SUMPRODUCT((Appointments_Tbl[Therapy_Type]=$AA7)*(SUBTOTAL(103,OFFSET(INDEX(Appointments_Tbl[Appointment_ID],1),ROW(Appointments_Tbl[Appointment_ID])-ROW(INDEX(Appointments_Tbl[Appointment_ID],1)),0,1)))*(Appointments_Tbl[Lost_Revenue_INR]))</f>
        <v>74150</v>
      </c>
    </row>
    <row r="8" spans="1:29" ht="21" customHeight="1" x14ac:dyDescent="0.3">
      <c r="A8" s="7"/>
      <c r="B8" s="7"/>
      <c r="C8" s="7"/>
      <c r="D8" s="7"/>
      <c r="E8" s="7"/>
      <c r="F8" s="7"/>
      <c r="G8" s="7"/>
      <c r="H8" s="7"/>
      <c r="I8" s="7"/>
      <c r="J8" s="7"/>
      <c r="K8" s="7"/>
      <c r="L8" s="7"/>
      <c r="M8" s="11"/>
      <c r="N8" s="19" t="s">
        <v>287</v>
      </c>
      <c r="O8" s="13">
        <f>SUMIFS(Appointments_Tbl[No_Show_Flag],Appointments_Tbl[Day_of_Week],N8)/COUNTIF(Appointments_Tbl[Day_of_Week],N8)</f>
        <v>6.4516129032258063E-2</v>
      </c>
      <c r="Q8" s="19" t="s">
        <v>210</v>
      </c>
      <c r="R8" s="13" cm="1">
        <f t="array" aca="1" ref="R8" ca="1">IFERROR(SUMPRODUCT((Appointments_Tbl[Therapist]=Q8)*(SUBTOTAL(103,OFFSET(INDEX(Appointments_Tbl[Appointment_ID],1),ROW(Appointments_Tbl[Appointment_ID])-ROW(INDEX(Appointments_Tbl[Appointment_ID],1)),0,1)))*Appointments_Tbl[Treated_Minutes])/SUMPRODUCT((Appointments_Tbl[Therapist]=Q8)*(SUBTOTAL(103,OFFSET(INDEX(Appointments_Tbl[Appointment_ID],1),ROW(Appointments_Tbl[Appointment_ID])-ROW(INDEX(Appointments_Tbl[Appointment_ID],1)),0,1)))*Appointments_Tbl[Allocated_Shift_Capacity_Minutes]),0)</f>
        <v>0.63237148579482227</v>
      </c>
      <c r="S8" s="13">
        <v>0.85</v>
      </c>
      <c r="AA8" s="21" t="s">
        <v>2809</v>
      </c>
      <c r="AB8" s="22">
        <f ca="1">SUM(AB2:AB7)</f>
        <v>1990900</v>
      </c>
      <c r="AC8" s="22">
        <f ca="1">SUM(AC2:AC7)</f>
        <v>543350</v>
      </c>
    </row>
    <row r="9" spans="1:29" ht="24" customHeight="1" x14ac:dyDescent="0.3">
      <c r="C9" s="123" t="s">
        <v>2791</v>
      </c>
      <c r="D9" s="124"/>
      <c r="E9" s="124"/>
      <c r="F9" s="125"/>
      <c r="G9" s="123" t="s">
        <v>2792</v>
      </c>
      <c r="H9" s="124"/>
      <c r="I9" s="124"/>
      <c r="J9" s="124"/>
      <c r="K9" s="124"/>
      <c r="L9" s="125"/>
      <c r="Q9" s="19" t="s">
        <v>125</v>
      </c>
      <c r="R9" s="13" cm="1">
        <f t="array" aca="1" ref="R9" ca="1">IFERROR(SUMPRODUCT((Appointments_Tbl[Therapist]=Q9)*(SUBTOTAL(103,OFFSET(INDEX(Appointments_Tbl[Appointment_ID],1),ROW(Appointments_Tbl[Appointment_ID])-ROW(INDEX(Appointments_Tbl[Appointment_ID],1)),0,1)))*Appointments_Tbl[Treated_Minutes])/SUMPRODUCT((Appointments_Tbl[Therapist]=Q9)*(SUBTOTAL(103,OFFSET(INDEX(Appointments_Tbl[Appointment_ID],1),ROW(Appointments_Tbl[Appointment_ID])-ROW(INDEX(Appointments_Tbl[Appointment_ID],1)),0,1)))*Appointments_Tbl[Allocated_Shift_Capacity_Minutes]),0)</f>
        <v>0.62809716068233545</v>
      </c>
      <c r="S9" s="13">
        <v>0.85</v>
      </c>
    </row>
    <row r="10" spans="1:29" ht="21" customHeight="1" x14ac:dyDescent="0.3">
      <c r="C10" s="5"/>
      <c r="D10" s="5"/>
      <c r="E10" s="5"/>
      <c r="F10" s="5"/>
      <c r="G10" s="5"/>
      <c r="H10" s="5"/>
      <c r="I10" s="5"/>
      <c r="J10" s="5"/>
      <c r="K10" s="5"/>
      <c r="L10" s="5"/>
      <c r="Q10" s="19" t="s">
        <v>111</v>
      </c>
      <c r="R10" s="13" cm="1">
        <f t="array" aca="1" ref="R10" ca="1">IFERROR(SUMPRODUCT((Appointments_Tbl[Therapist]=Q10)*(SUBTOTAL(103,OFFSET(INDEX(Appointments_Tbl[Appointment_ID],1),ROW(Appointments_Tbl[Appointment_ID])-ROW(INDEX(Appointments_Tbl[Appointment_ID],1)),0,1)))*Appointments_Tbl[Treated_Minutes])/SUMPRODUCT((Appointments_Tbl[Therapist]=Q10)*(SUBTOTAL(103,OFFSET(INDEX(Appointments_Tbl[Appointment_ID],1),ROW(Appointments_Tbl[Appointment_ID])-ROW(INDEX(Appointments_Tbl[Appointment_ID],1)),0,1)))*Appointments_Tbl[Allocated_Shift_Capacity_Minutes]),0)</f>
        <v>0.6186574963757121</v>
      </c>
      <c r="S10" s="13">
        <v>0.85</v>
      </c>
    </row>
    <row r="11" spans="1:29" ht="21" customHeight="1" x14ac:dyDescent="0.3">
      <c r="C11" s="5"/>
      <c r="D11" s="5"/>
      <c r="E11" s="5"/>
      <c r="F11" s="5"/>
      <c r="G11" s="5"/>
      <c r="H11" s="5"/>
      <c r="I11" s="5"/>
      <c r="J11" s="5"/>
      <c r="K11" s="5"/>
      <c r="L11" s="5"/>
      <c r="Q11" s="19" t="s">
        <v>102</v>
      </c>
      <c r="R11" s="13" cm="1">
        <f t="array" aca="1" ref="R11" ca="1">IFERROR(SUMPRODUCT((Appointments_Tbl[Therapist]=Q11)*(SUBTOTAL(103,OFFSET(INDEX(Appointments_Tbl[Appointment_ID],1),ROW(Appointments_Tbl[Appointment_ID])-ROW(INDEX(Appointments_Tbl[Appointment_ID],1)),0,1)))*Appointments_Tbl[Treated_Minutes])/SUMPRODUCT((Appointments_Tbl[Therapist]=Q11)*(SUBTOTAL(103,OFFSET(INDEX(Appointments_Tbl[Appointment_ID],1),ROW(Appointments_Tbl[Appointment_ID])-ROW(INDEX(Appointments_Tbl[Appointment_ID],1)),0,1)))*Appointments_Tbl[Allocated_Shift_Capacity_Minutes]),0)</f>
        <v>0.6159373796997305</v>
      </c>
      <c r="S11" s="13">
        <v>0.85</v>
      </c>
    </row>
    <row r="12" spans="1:29" ht="21" customHeight="1" x14ac:dyDescent="0.3">
      <c r="C12" s="5"/>
      <c r="D12" s="5"/>
      <c r="E12" s="5"/>
      <c r="F12" s="5"/>
      <c r="G12" s="5"/>
      <c r="H12" s="5"/>
      <c r="I12" s="5"/>
      <c r="J12" s="5"/>
      <c r="K12" s="5"/>
      <c r="L12" s="5"/>
      <c r="Q12" s="19" t="s">
        <v>135</v>
      </c>
      <c r="R12" s="13" cm="1">
        <f t="array" aca="1" ref="R12" ca="1">IFERROR(SUMPRODUCT((Appointments_Tbl[Therapist]=Q12)*(SUBTOTAL(103,OFFSET(INDEX(Appointments_Tbl[Appointment_ID],1),ROW(Appointments_Tbl[Appointment_ID])-ROW(INDEX(Appointments_Tbl[Appointment_ID],1)),0,1)))*Appointments_Tbl[Treated_Minutes])/SUMPRODUCT((Appointments_Tbl[Therapist]=Q12)*(SUBTOTAL(103,OFFSET(INDEX(Appointments_Tbl[Appointment_ID],1),ROW(Appointments_Tbl[Appointment_ID])-ROW(INDEX(Appointments_Tbl[Appointment_ID],1)),0,1)))*Appointments_Tbl[Allocated_Shift_Capacity_Minutes]),0)</f>
        <v>0.61320978291781214</v>
      </c>
      <c r="S12" s="13">
        <v>0.85</v>
      </c>
      <c r="U12" t="s">
        <v>2813</v>
      </c>
      <c r="V12" t="s">
        <v>2814</v>
      </c>
    </row>
    <row r="13" spans="1:29" ht="21" customHeight="1" x14ac:dyDescent="0.3">
      <c r="C13" s="5"/>
      <c r="D13" s="5"/>
      <c r="E13" s="5"/>
      <c r="F13" s="5"/>
      <c r="G13" s="5"/>
      <c r="H13" s="5"/>
      <c r="I13" s="5"/>
      <c r="J13" s="5"/>
      <c r="K13" s="5"/>
      <c r="L13" s="5"/>
      <c r="Q13" s="19" t="s">
        <v>43</v>
      </c>
      <c r="R13" s="13" cm="1">
        <f t="array" aca="1" ref="R13" ca="1">IFERROR(SUMPRODUCT((Appointments_Tbl[Therapist]=Q13)*(SUBTOTAL(103,OFFSET(INDEX(Appointments_Tbl[Appointment_ID],1),ROW(Appointments_Tbl[Appointment_ID])-ROW(INDEX(Appointments_Tbl[Appointment_ID],1)),0,1)))*Appointments_Tbl[Treated_Minutes])/SUMPRODUCT((Appointments_Tbl[Therapist]=Q13)*(SUBTOTAL(103,OFFSET(INDEX(Appointments_Tbl[Appointment_ID],1),ROW(Appointments_Tbl[Appointment_ID])-ROW(INDEX(Appointments_Tbl[Appointment_ID],1)),0,1)))*Appointments_Tbl[Allocated_Shift_Capacity_Minutes]),0)</f>
        <v>0.60706596548194713</v>
      </c>
      <c r="S13" s="13">
        <v>0.85</v>
      </c>
      <c r="U13" t="s">
        <v>130</v>
      </c>
      <c r="V13" s="26">
        <f>COUNTIFS(Appointments_Tbl[Month],U13)</f>
        <v>159</v>
      </c>
    </row>
    <row r="14" spans="1:29" ht="21" customHeight="1" x14ac:dyDescent="0.3">
      <c r="C14" s="5"/>
      <c r="D14" s="5"/>
      <c r="E14" s="5"/>
      <c r="F14" s="5"/>
      <c r="G14" s="5"/>
      <c r="H14" s="5"/>
      <c r="I14" s="5"/>
      <c r="J14" s="5"/>
      <c r="K14" s="5"/>
      <c r="L14" s="5"/>
      <c r="Q14" s="19" t="s">
        <v>30</v>
      </c>
      <c r="R14" s="13" cm="1">
        <f t="array" aca="1" ref="R14" ca="1">IFERROR(SUMPRODUCT((Appointments_Tbl[Therapist]=Q14)*(SUBTOTAL(103,OFFSET(INDEX(Appointments_Tbl[Appointment_ID],1),ROW(Appointments_Tbl[Appointment_ID])-ROW(INDEX(Appointments_Tbl[Appointment_ID],1)),0,1)))*Appointments_Tbl[Treated_Minutes])/SUMPRODUCT((Appointments_Tbl[Therapist]=Q14)*(SUBTOTAL(103,OFFSET(INDEX(Appointments_Tbl[Appointment_ID],1),ROW(Appointments_Tbl[Appointment_ID])-ROW(INDEX(Appointments_Tbl[Appointment_ID],1)),0,1)))*Appointments_Tbl[Allocated_Shift_Capacity_Minutes]),0)</f>
        <v>0.58411353225940077</v>
      </c>
      <c r="S14" s="13">
        <v>0.85</v>
      </c>
      <c r="U14" t="s">
        <v>76</v>
      </c>
      <c r="V14" s="26">
        <f>COUNTIFS(Appointments_Tbl[Month],U14)</f>
        <v>165</v>
      </c>
    </row>
    <row r="15" spans="1:29" ht="21" customHeight="1" x14ac:dyDescent="0.3">
      <c r="C15" s="5"/>
      <c r="D15" s="5"/>
      <c r="E15" s="5"/>
      <c r="F15" s="5"/>
      <c r="G15" s="5"/>
      <c r="H15" s="5"/>
      <c r="I15" s="5"/>
      <c r="J15" s="5"/>
      <c r="K15" s="5"/>
      <c r="L15" s="5"/>
      <c r="Q15" s="19" t="s">
        <v>51</v>
      </c>
      <c r="R15" s="13" cm="1">
        <f t="array" aca="1" ref="R15" ca="1">IFERROR(SUMPRODUCT((Appointments_Tbl[Therapist]=Q15)*(SUBTOTAL(103,OFFSET(INDEX(Appointments_Tbl[Appointment_ID],1),ROW(Appointments_Tbl[Appointment_ID])-ROW(INDEX(Appointments_Tbl[Appointment_ID],1)),0,1)))*Appointments_Tbl[Treated_Minutes])/SUMPRODUCT((Appointments_Tbl[Therapist]=Q15)*(SUBTOTAL(103,OFFSET(INDEX(Appointments_Tbl[Appointment_ID],1),ROW(Appointments_Tbl[Appointment_ID])-ROW(INDEX(Appointments_Tbl[Appointment_ID],1)),0,1)))*Appointments_Tbl[Allocated_Shift_Capacity_Minutes]),0)</f>
        <v>0.58284635987338695</v>
      </c>
      <c r="S15" s="13">
        <v>0.85</v>
      </c>
      <c r="U15" t="s">
        <v>56</v>
      </c>
      <c r="V15" s="26">
        <f>COUNTIFS(Appointments_Tbl[Month],U15)</f>
        <v>174</v>
      </c>
    </row>
    <row r="16" spans="1:29" ht="21" customHeight="1" x14ac:dyDescent="0.3">
      <c r="B16" s="5"/>
      <c r="C16" s="5"/>
      <c r="D16" s="5"/>
      <c r="E16" s="5"/>
      <c r="F16" s="5"/>
      <c r="G16" s="5"/>
      <c r="H16" s="5"/>
      <c r="I16" s="5"/>
      <c r="J16" s="5"/>
      <c r="K16" s="5"/>
      <c r="L16" s="5"/>
      <c r="Q16" s="19" t="s">
        <v>120</v>
      </c>
      <c r="R16" s="13" cm="1">
        <f t="array" aca="1" ref="R16" ca="1">IFERROR(SUMPRODUCT((Appointments_Tbl[Therapist]=Q16)*(SUBTOTAL(103,OFFSET(INDEX(Appointments_Tbl[Appointment_ID],1),ROW(Appointments_Tbl[Appointment_ID])-ROW(INDEX(Appointments_Tbl[Appointment_ID],1)),0,1)))*Appointments_Tbl[Treated_Minutes])/SUMPRODUCT((Appointments_Tbl[Therapist]=Q16)*(SUBTOTAL(103,OFFSET(INDEX(Appointments_Tbl[Appointment_ID],1),ROW(Appointments_Tbl[Appointment_ID])-ROW(INDEX(Appointments_Tbl[Appointment_ID],1)),0,1)))*Appointments_Tbl[Allocated_Shift_Capacity_Minutes]),0)</f>
        <v>0.55374818301377471</v>
      </c>
      <c r="S16" s="13">
        <v>0.85</v>
      </c>
      <c r="U16" t="s">
        <v>92</v>
      </c>
      <c r="V16" s="26">
        <f>COUNTIFS(Appointments_Tbl[Month],U16)</f>
        <v>152</v>
      </c>
    </row>
    <row r="17" spans="1:27" x14ac:dyDescent="0.3">
      <c r="A17" s="7"/>
      <c r="B17" s="7"/>
      <c r="C17" s="5"/>
      <c r="D17" s="5"/>
      <c r="E17" s="5"/>
      <c r="F17" s="5"/>
      <c r="G17" s="5"/>
      <c r="H17" s="5"/>
      <c r="I17" s="5"/>
      <c r="J17" s="5"/>
      <c r="K17" s="5"/>
      <c r="L17" s="5"/>
      <c r="U17" t="s">
        <v>128</v>
      </c>
      <c r="V17" s="26">
        <f>COUNTIFS(Appointments_Tbl[Month],U17)</f>
        <v>170</v>
      </c>
      <c r="W17"/>
    </row>
    <row r="18" spans="1:27" ht="21" customHeight="1" x14ac:dyDescent="0.3">
      <c r="A18" s="25"/>
      <c r="B18" s="25"/>
      <c r="C18" s="5"/>
      <c r="D18" s="5"/>
      <c r="E18" s="5"/>
      <c r="F18" s="5"/>
      <c r="G18" s="5"/>
      <c r="H18" s="5"/>
      <c r="I18" s="5"/>
      <c r="J18" s="5"/>
      <c r="K18" s="5"/>
      <c r="L18" s="5"/>
      <c r="U18" t="s">
        <v>67</v>
      </c>
      <c r="V18" s="26">
        <f>COUNTIFS(Appointments_Tbl[Month],U18)</f>
        <v>175</v>
      </c>
    </row>
    <row r="19" spans="1:27" x14ac:dyDescent="0.3">
      <c r="C19" s="5"/>
      <c r="D19" s="5"/>
      <c r="E19" s="5"/>
      <c r="F19" s="5"/>
      <c r="G19" s="5"/>
      <c r="H19" s="5"/>
      <c r="I19" s="5"/>
      <c r="J19" s="5"/>
      <c r="K19" s="5"/>
      <c r="L19" s="5"/>
      <c r="N19" s="82" t="s">
        <v>2811</v>
      </c>
      <c r="O19" s="83"/>
      <c r="P19" s="83"/>
      <c r="Q19" s="83"/>
      <c r="R19" s="83"/>
      <c r="U19" t="s">
        <v>101</v>
      </c>
      <c r="V19" s="26">
        <f>COUNTIFS(Appointments_Tbl[Month],U19)</f>
        <v>171</v>
      </c>
      <c r="W19"/>
      <c r="X19"/>
      <c r="Y19"/>
      <c r="Z19"/>
      <c r="AA19"/>
    </row>
    <row r="20" spans="1:27" x14ac:dyDescent="0.3">
      <c r="C20" s="5"/>
      <c r="D20" s="5"/>
      <c r="E20" s="5"/>
      <c r="F20" s="5"/>
      <c r="G20" s="5"/>
      <c r="H20" s="5"/>
      <c r="I20" s="5"/>
      <c r="J20" s="5"/>
      <c r="K20" s="5"/>
      <c r="L20" s="5"/>
      <c r="N20" s="28" t="s">
        <v>2801</v>
      </c>
      <c r="O20" s="17" t="s">
        <v>210</v>
      </c>
      <c r="U20" t="s">
        <v>110</v>
      </c>
      <c r="V20" s="26">
        <f>COUNTIFS(Appointments_Tbl[Month],U20)</f>
        <v>175</v>
      </c>
      <c r="W20"/>
      <c r="X20"/>
      <c r="Y20"/>
      <c r="Z20"/>
      <c r="AA20"/>
    </row>
    <row r="21" spans="1:27" x14ac:dyDescent="0.3">
      <c r="C21" s="5"/>
      <c r="D21" s="5"/>
      <c r="E21" s="5"/>
      <c r="F21" s="5"/>
      <c r="G21" s="5"/>
      <c r="H21" s="5"/>
      <c r="I21" s="5"/>
      <c r="J21" s="5"/>
      <c r="K21" s="5"/>
      <c r="L21" s="5"/>
      <c r="N21" s="28" t="s">
        <v>2802</v>
      </c>
      <c r="O21" s="14">
        <f ca="1">IFERROR(INDEX($R$2:$R$16,MATCH($O$20,$Q$2:$Q$16,0)),"n/a")</f>
        <v>0.63237148579482227</v>
      </c>
      <c r="U21" t="s">
        <v>49</v>
      </c>
      <c r="V21" s="26">
        <f>COUNTIFS(Appointments_Tbl[Month],U21)</f>
        <v>166</v>
      </c>
      <c r="W21"/>
      <c r="X21"/>
      <c r="Y21"/>
      <c r="Z21"/>
      <c r="AA21"/>
    </row>
    <row r="22" spans="1:27" x14ac:dyDescent="0.3">
      <c r="C22" s="5"/>
      <c r="D22" s="5"/>
      <c r="E22" s="5"/>
      <c r="F22" s="5"/>
      <c r="G22" s="5"/>
      <c r="H22" s="5"/>
      <c r="I22" s="5"/>
      <c r="J22" s="5"/>
      <c r="K22" s="5"/>
      <c r="L22" s="5"/>
      <c r="N22" s="28" t="s">
        <v>2803</v>
      </c>
      <c r="O22" s="15">
        <f>COUNTIFS(Appointments_Tbl[Therapist],$O$20)</f>
        <v>118</v>
      </c>
      <c r="U22" t="s">
        <v>97</v>
      </c>
      <c r="V22" s="26">
        <f>COUNTIFS(Appointments_Tbl[Month],U22)</f>
        <v>166</v>
      </c>
      <c r="W22"/>
      <c r="X22"/>
      <c r="Y22"/>
      <c r="Z22"/>
      <c r="AA22"/>
    </row>
    <row r="23" spans="1:27" ht="11.25" customHeight="1" x14ac:dyDescent="0.3">
      <c r="C23" s="7"/>
      <c r="D23" s="7"/>
      <c r="E23" s="7"/>
      <c r="F23" s="7"/>
      <c r="G23" s="7"/>
      <c r="H23" s="7"/>
      <c r="I23" s="7"/>
      <c r="J23" s="7"/>
      <c r="K23" s="7"/>
      <c r="L23" s="7"/>
      <c r="M23" s="11"/>
      <c r="N23" s="28" t="s">
        <v>2804</v>
      </c>
      <c r="O23" s="15">
        <f>SUMIFS(Appointments_Tbl[No_Show_Flag],Appointments_Tbl[Therapist],$O$20)</f>
        <v>19</v>
      </c>
      <c r="U23" t="s">
        <v>38</v>
      </c>
      <c r="V23" s="26">
        <f>COUNTIFS(Appointments_Tbl[Month],U23)</f>
        <v>148</v>
      </c>
      <c r="W23"/>
      <c r="X23"/>
    </row>
    <row r="24" spans="1:27" ht="19.5" customHeight="1" x14ac:dyDescent="0.3">
      <c r="A24" s="7"/>
      <c r="B24" s="7"/>
      <c r="C24" s="84" t="s">
        <v>2793</v>
      </c>
      <c r="D24" s="85"/>
      <c r="E24" s="85"/>
      <c r="F24" s="85"/>
      <c r="G24" s="85"/>
      <c r="H24" s="85"/>
      <c r="I24" s="85"/>
      <c r="J24" s="85"/>
      <c r="K24" s="85"/>
      <c r="L24" s="86"/>
      <c r="N24" s="29" t="s">
        <v>2805</v>
      </c>
      <c r="O24" s="16">
        <f>SUMIFS(Appointments_Tbl[Revenue_INR],Appointments_Tbl[Therapist],$O$20)</f>
        <v>108600</v>
      </c>
      <c r="U24" t="s">
        <v>25</v>
      </c>
      <c r="V24" s="26">
        <f>COUNTIFS(Appointments_Tbl[Month],U24)</f>
        <v>179</v>
      </c>
      <c r="W24"/>
      <c r="X24"/>
    </row>
    <row r="25" spans="1:27" x14ac:dyDescent="0.3">
      <c r="A25" s="126"/>
      <c r="B25" s="126"/>
      <c r="C25" s="8"/>
      <c r="D25" s="5"/>
      <c r="E25" s="5"/>
      <c r="F25" s="5"/>
      <c r="G25" s="5"/>
      <c r="H25" s="5"/>
      <c r="I25" s="5"/>
      <c r="J25" s="5"/>
      <c r="K25" s="5"/>
      <c r="L25" s="5"/>
      <c r="V25"/>
      <c r="W25"/>
      <c r="X25"/>
    </row>
    <row r="26" spans="1:27" x14ac:dyDescent="0.3">
      <c r="C26" s="8"/>
      <c r="D26" s="5"/>
      <c r="E26" s="5"/>
      <c r="F26" s="5"/>
      <c r="G26" s="5"/>
      <c r="H26" s="5"/>
      <c r="I26" s="5"/>
      <c r="J26" s="5"/>
      <c r="K26" s="5"/>
      <c r="L26" s="5"/>
      <c r="V26"/>
      <c r="W26"/>
      <c r="X26"/>
    </row>
    <row r="27" spans="1:27" x14ac:dyDescent="0.3">
      <c r="C27" s="8"/>
      <c r="D27" s="5"/>
      <c r="E27" s="5"/>
      <c r="F27" s="5"/>
      <c r="G27" s="5"/>
      <c r="H27" s="5"/>
      <c r="I27" s="5"/>
      <c r="J27" s="5"/>
      <c r="K27" s="5"/>
      <c r="L27" s="5"/>
      <c r="V27"/>
      <c r="W27"/>
      <c r="X27"/>
    </row>
    <row r="28" spans="1:27" x14ac:dyDescent="0.3">
      <c r="C28" s="8"/>
      <c r="D28" s="5"/>
      <c r="E28" s="5"/>
      <c r="F28" s="5"/>
      <c r="G28" s="5"/>
      <c r="H28" s="5"/>
      <c r="I28" s="5"/>
      <c r="J28" s="5"/>
      <c r="K28" s="5"/>
      <c r="L28" s="5"/>
      <c r="V28"/>
      <c r="W28"/>
      <c r="X28"/>
    </row>
    <row r="29" spans="1:27" x14ac:dyDescent="0.3">
      <c r="C29" s="8"/>
      <c r="D29" s="5"/>
      <c r="E29" s="5"/>
      <c r="F29" s="5"/>
      <c r="G29" s="5"/>
      <c r="H29" s="5"/>
      <c r="I29" s="5"/>
      <c r="J29" s="5"/>
      <c r="K29" s="5"/>
      <c r="L29" s="5"/>
      <c r="V29"/>
      <c r="W29"/>
      <c r="X29"/>
    </row>
    <row r="30" spans="1:27" x14ac:dyDescent="0.3">
      <c r="C30" s="8"/>
      <c r="D30" s="5"/>
      <c r="E30" s="5"/>
      <c r="F30" s="5"/>
      <c r="G30" s="5"/>
      <c r="H30" s="5"/>
      <c r="I30" s="5"/>
      <c r="J30" s="5"/>
      <c r="K30" s="5"/>
      <c r="L30" s="5"/>
      <c r="V30"/>
      <c r="W30"/>
      <c r="X30"/>
    </row>
    <row r="31" spans="1:27" x14ac:dyDescent="0.3">
      <c r="C31" s="8"/>
      <c r="D31" s="5"/>
      <c r="E31" s="5"/>
      <c r="F31" s="5"/>
      <c r="G31" s="5"/>
      <c r="H31" s="5"/>
      <c r="I31" s="5"/>
      <c r="J31" s="5"/>
      <c r="K31" s="5"/>
      <c r="L31" s="5"/>
      <c r="V31"/>
      <c r="W31"/>
      <c r="X31"/>
    </row>
    <row r="32" spans="1:27" x14ac:dyDescent="0.3">
      <c r="C32" s="8"/>
      <c r="D32" s="5"/>
      <c r="E32" s="5"/>
      <c r="F32" s="5"/>
      <c r="G32" s="5"/>
      <c r="H32" s="5"/>
      <c r="I32" s="5"/>
      <c r="J32" s="5"/>
      <c r="K32" s="5"/>
      <c r="L32" s="5"/>
      <c r="V32"/>
      <c r="W32"/>
      <c r="X32"/>
    </row>
    <row r="33" spans="1:24" x14ac:dyDescent="0.3">
      <c r="C33" s="8"/>
      <c r="D33" s="5"/>
      <c r="E33" s="5"/>
      <c r="F33" s="5"/>
      <c r="G33" s="5"/>
      <c r="H33" s="5"/>
      <c r="I33" s="5"/>
      <c r="J33" s="5"/>
      <c r="K33" s="5"/>
      <c r="L33" s="5"/>
      <c r="V33"/>
      <c r="W33"/>
      <c r="X33"/>
    </row>
    <row r="34" spans="1:24" x14ac:dyDescent="0.3">
      <c r="A34" s="7"/>
      <c r="B34" s="7"/>
      <c r="C34" s="8"/>
      <c r="D34" s="5"/>
      <c r="E34" s="5"/>
      <c r="F34" s="5"/>
      <c r="G34" s="5"/>
      <c r="H34" s="5"/>
      <c r="I34" s="5"/>
      <c r="J34" s="5"/>
      <c r="K34" s="5"/>
      <c r="L34" s="5"/>
      <c r="V34"/>
      <c r="W34"/>
      <c r="X34"/>
    </row>
    <row r="35" spans="1:24" x14ac:dyDescent="0.3">
      <c r="A35" s="7"/>
      <c r="B35" s="7"/>
      <c r="C35" s="8"/>
      <c r="D35" s="6"/>
      <c r="E35" s="6"/>
      <c r="F35" s="6"/>
      <c r="G35" s="6"/>
      <c r="H35" s="6"/>
      <c r="I35" s="6"/>
      <c r="J35" s="6"/>
      <c r="K35" s="6"/>
      <c r="L35" s="5"/>
      <c r="V35"/>
      <c r="W35"/>
      <c r="X35"/>
    </row>
    <row r="36" spans="1:24" x14ac:dyDescent="0.3">
      <c r="A36" s="7"/>
      <c r="B36" s="7"/>
      <c r="C36" s="8"/>
      <c r="D36" s="4"/>
      <c r="E36" s="4"/>
      <c r="F36" s="4"/>
      <c r="G36" s="4"/>
      <c r="H36" s="4"/>
      <c r="I36" s="4"/>
      <c r="J36" s="4"/>
      <c r="K36" s="4"/>
      <c r="L36" s="5"/>
      <c r="V36"/>
      <c r="W36"/>
      <c r="X36"/>
    </row>
    <row r="37" spans="1:24" ht="21" customHeight="1" x14ac:dyDescent="0.3">
      <c r="A37" s="11"/>
      <c r="B37" s="11"/>
      <c r="C37" s="8"/>
      <c r="L37" s="5"/>
    </row>
    <row r="38" spans="1:24" ht="21" customHeight="1" x14ac:dyDescent="0.3">
      <c r="A38" s="11"/>
      <c r="B38" s="11"/>
      <c r="C38" s="8"/>
      <c r="D38" s="8"/>
      <c r="E38" s="8"/>
      <c r="F38" s="8"/>
      <c r="G38" s="8"/>
      <c r="H38" s="8"/>
      <c r="I38" s="8"/>
      <c r="J38" s="8"/>
      <c r="K38" s="8"/>
      <c r="L38" s="5"/>
    </row>
    <row r="39" spans="1:24" ht="21" customHeight="1" x14ac:dyDescent="0.3">
      <c r="C39" s="8"/>
      <c r="D39" s="8"/>
      <c r="E39" s="8"/>
      <c r="F39" s="8"/>
      <c r="G39" s="8"/>
      <c r="H39" s="8"/>
      <c r="I39" s="8"/>
      <c r="J39" s="8"/>
      <c r="K39" s="8"/>
      <c r="L39" s="5"/>
    </row>
    <row r="40" spans="1:24" ht="21" customHeight="1" x14ac:dyDescent="0.3">
      <c r="C40" s="8"/>
      <c r="D40" s="8"/>
      <c r="E40" s="8"/>
      <c r="F40" s="8"/>
      <c r="G40" s="8"/>
      <c r="H40" s="8"/>
      <c r="I40" s="8"/>
      <c r="J40" s="8"/>
      <c r="K40" s="8"/>
      <c r="L40" s="5"/>
    </row>
    <row r="41" spans="1:24" ht="21" customHeight="1" x14ac:dyDescent="0.3">
      <c r="C41" s="8"/>
      <c r="D41" s="8"/>
      <c r="E41" s="8"/>
      <c r="F41" s="8"/>
      <c r="G41" s="8"/>
      <c r="H41" s="8"/>
      <c r="I41" s="8"/>
      <c r="J41" s="8"/>
      <c r="K41" s="8"/>
      <c r="L41" s="5"/>
    </row>
    <row r="42" spans="1:24" ht="21" customHeight="1" x14ac:dyDescent="0.3">
      <c r="C42" s="8"/>
      <c r="D42" s="8"/>
      <c r="E42" s="8"/>
      <c r="F42" s="8"/>
      <c r="G42" s="8"/>
      <c r="H42" s="8"/>
      <c r="I42" s="8"/>
      <c r="J42" s="8"/>
      <c r="K42" s="8"/>
      <c r="L42" s="5"/>
    </row>
    <row r="43" spans="1:24" ht="21" customHeight="1" x14ac:dyDescent="0.3">
      <c r="C43" s="8"/>
      <c r="D43" s="8"/>
      <c r="E43" s="8"/>
      <c r="F43" s="8"/>
      <c r="G43" s="8"/>
      <c r="H43" s="8"/>
      <c r="I43" s="8"/>
      <c r="J43" s="8"/>
      <c r="K43" s="8"/>
      <c r="L43" s="5"/>
    </row>
    <row r="44" spans="1:24" ht="21" customHeight="1" x14ac:dyDescent="0.3">
      <c r="C44" s="8"/>
      <c r="D44" s="8"/>
      <c r="E44" s="8"/>
      <c r="F44" s="8"/>
      <c r="G44" s="8"/>
      <c r="H44" s="8"/>
      <c r="I44" s="8"/>
      <c r="J44" s="8"/>
      <c r="K44" s="8"/>
      <c r="L44" s="5"/>
    </row>
    <row r="45" spans="1:24" ht="21" customHeight="1" x14ac:dyDescent="0.3">
      <c r="C45" s="8"/>
      <c r="D45" s="8"/>
      <c r="E45" s="8"/>
      <c r="F45" s="8"/>
      <c r="G45" s="8"/>
      <c r="H45" s="8"/>
      <c r="I45" s="8"/>
      <c r="J45" s="8"/>
      <c r="K45" s="8"/>
      <c r="L45" s="5"/>
    </row>
    <row r="46" spans="1:24" ht="21" customHeight="1" x14ac:dyDescent="0.3">
      <c r="C46" s="84" t="s">
        <v>2810</v>
      </c>
      <c r="D46" s="85"/>
      <c r="E46" s="85"/>
      <c r="F46" s="85"/>
      <c r="G46" s="85"/>
      <c r="H46" s="85"/>
      <c r="I46" s="85"/>
      <c r="J46" s="85"/>
      <c r="K46" s="85"/>
      <c r="L46" s="86"/>
    </row>
    <row r="47" spans="1:24" ht="21" customHeight="1" x14ac:dyDescent="0.3">
      <c r="C47" s="8"/>
      <c r="D47" s="8"/>
      <c r="E47" s="8"/>
      <c r="F47" s="8"/>
      <c r="G47" s="8"/>
      <c r="H47" s="8"/>
      <c r="I47" s="8"/>
      <c r="J47" s="8"/>
      <c r="K47" s="8"/>
      <c r="L47" s="5"/>
    </row>
    <row r="48" spans="1:24" ht="21" customHeight="1" x14ac:dyDescent="0.3">
      <c r="C48" s="8"/>
      <c r="D48" s="8"/>
      <c r="E48" s="8"/>
      <c r="F48" s="8"/>
      <c r="G48" s="8"/>
      <c r="H48" s="8"/>
      <c r="I48" s="8"/>
      <c r="J48" s="8"/>
      <c r="K48" s="8"/>
      <c r="L48" s="5"/>
    </row>
    <row r="49" spans="3:12" ht="21" customHeight="1" x14ac:dyDescent="0.3">
      <c r="C49" s="8"/>
      <c r="D49" s="8"/>
      <c r="E49" s="8"/>
      <c r="F49" s="8"/>
      <c r="G49" s="8"/>
      <c r="H49" s="8"/>
      <c r="I49" s="8"/>
      <c r="J49" s="8"/>
      <c r="K49" s="8"/>
      <c r="L49" s="5"/>
    </row>
    <row r="50" spans="3:12" ht="21" customHeight="1" x14ac:dyDescent="0.3">
      <c r="C50" s="8"/>
      <c r="D50" s="8"/>
      <c r="E50" s="8"/>
      <c r="F50" s="8"/>
      <c r="G50" s="8"/>
      <c r="H50" s="8"/>
      <c r="I50" s="8"/>
      <c r="J50" s="8"/>
      <c r="K50" s="8"/>
      <c r="L50" s="5"/>
    </row>
    <row r="51" spans="3:12" ht="21" customHeight="1" x14ac:dyDescent="0.3">
      <c r="C51" s="8"/>
      <c r="D51" s="8"/>
      <c r="E51" s="8"/>
      <c r="F51" s="8"/>
      <c r="G51" s="8"/>
      <c r="H51" s="8"/>
      <c r="I51" s="8"/>
      <c r="J51" s="8"/>
      <c r="K51" s="8"/>
      <c r="L51" s="5"/>
    </row>
    <row r="52" spans="3:12" ht="21" customHeight="1" x14ac:dyDescent="0.3">
      <c r="C52" s="8"/>
      <c r="D52" s="8"/>
      <c r="E52" s="8"/>
      <c r="F52" s="8"/>
      <c r="G52" s="8"/>
      <c r="H52" s="8"/>
      <c r="I52" s="8"/>
      <c r="J52" s="8"/>
      <c r="K52" s="8"/>
      <c r="L52" s="5"/>
    </row>
    <row r="53" spans="3:12" ht="21" customHeight="1" x14ac:dyDescent="0.3">
      <c r="C53" s="8"/>
      <c r="D53" s="8"/>
      <c r="E53" s="8"/>
      <c r="F53" s="8"/>
      <c r="G53" s="8"/>
      <c r="H53" s="8"/>
      <c r="I53" s="8"/>
      <c r="J53" s="8"/>
      <c r="K53" s="8"/>
      <c r="L53" s="5"/>
    </row>
    <row r="54" spans="3:12" ht="21" customHeight="1" x14ac:dyDescent="0.3">
      <c r="C54" s="8"/>
      <c r="D54" s="8"/>
      <c r="E54" s="8"/>
      <c r="F54" s="8"/>
      <c r="G54" s="8"/>
      <c r="H54" s="8"/>
      <c r="I54" s="8"/>
      <c r="J54" s="8"/>
      <c r="K54" s="8"/>
      <c r="L54" s="5"/>
    </row>
    <row r="55" spans="3:12" ht="21" customHeight="1" x14ac:dyDescent="0.3">
      <c r="C55" s="8"/>
      <c r="D55" s="8"/>
      <c r="E55" s="8"/>
      <c r="F55" s="8"/>
      <c r="G55" s="8"/>
      <c r="H55" s="8"/>
      <c r="I55" s="8"/>
      <c r="J55" s="8"/>
      <c r="K55" s="8"/>
      <c r="L55" s="5"/>
    </row>
    <row r="56" spans="3:12" ht="21" customHeight="1" x14ac:dyDescent="0.3">
      <c r="C56" s="8"/>
      <c r="D56" s="8"/>
      <c r="E56" s="8"/>
      <c r="F56" s="8"/>
      <c r="G56" s="8"/>
      <c r="H56" s="8"/>
      <c r="I56" s="8"/>
      <c r="J56" s="8"/>
      <c r="K56" s="8"/>
      <c r="L56" s="5"/>
    </row>
    <row r="57" spans="3:12" ht="21" customHeight="1" x14ac:dyDescent="0.3">
      <c r="C57" s="8"/>
      <c r="D57" s="8"/>
      <c r="E57" s="8"/>
      <c r="F57" s="8"/>
      <c r="G57" s="8"/>
      <c r="H57" s="8"/>
      <c r="I57" s="8"/>
      <c r="J57" s="8"/>
      <c r="K57" s="8"/>
      <c r="L57" s="5"/>
    </row>
    <row r="58" spans="3:12" ht="21" customHeight="1" x14ac:dyDescent="0.3">
      <c r="C58" s="8"/>
      <c r="D58" s="8"/>
      <c r="E58" s="8"/>
      <c r="F58" s="8"/>
      <c r="G58" s="8"/>
      <c r="H58" s="8"/>
      <c r="I58" s="8"/>
      <c r="J58" s="8"/>
      <c r="K58" s="8"/>
      <c r="L58" s="5"/>
    </row>
    <row r="59" spans="3:12" ht="21" customHeight="1" x14ac:dyDescent="0.3">
      <c r="C59" s="8"/>
      <c r="D59" s="8"/>
      <c r="E59" s="8"/>
      <c r="F59" s="8"/>
      <c r="G59" s="8"/>
      <c r="H59" s="8"/>
      <c r="I59" s="8"/>
      <c r="J59" s="8"/>
      <c r="K59" s="8"/>
      <c r="L59" s="5"/>
    </row>
    <row r="60" spans="3:12" ht="21" customHeight="1" x14ac:dyDescent="0.3">
      <c r="C60" s="8"/>
      <c r="D60" s="8"/>
      <c r="E60" s="8"/>
      <c r="F60" s="8"/>
      <c r="G60" s="8"/>
      <c r="H60" s="8"/>
      <c r="I60" s="8"/>
      <c r="J60" s="8"/>
      <c r="K60" s="8"/>
      <c r="L60" s="5"/>
    </row>
    <row r="61" spans="3:12" ht="21" customHeight="1" x14ac:dyDescent="0.3">
      <c r="C61" s="8"/>
      <c r="D61" s="8"/>
      <c r="E61" s="8"/>
      <c r="F61" s="8"/>
      <c r="G61" s="8"/>
      <c r="H61" s="8"/>
      <c r="I61" s="8"/>
      <c r="J61" s="8"/>
      <c r="K61" s="8"/>
      <c r="L61" s="5"/>
    </row>
    <row r="62" spans="3:12" ht="21" customHeight="1" x14ac:dyDescent="0.3">
      <c r="C62" s="8"/>
      <c r="D62" s="8"/>
      <c r="E62" s="8"/>
      <c r="F62" s="8"/>
      <c r="G62" s="8"/>
      <c r="H62" s="8"/>
      <c r="I62" s="8"/>
      <c r="J62" s="8"/>
      <c r="K62" s="8"/>
      <c r="L62" s="5"/>
    </row>
    <row r="63" spans="3:12" ht="21" customHeight="1" x14ac:dyDescent="0.3">
      <c r="C63" s="8"/>
      <c r="D63" s="8"/>
      <c r="E63" s="8"/>
      <c r="F63" s="8"/>
      <c r="G63" s="8"/>
      <c r="H63" s="8"/>
      <c r="I63" s="8"/>
      <c r="J63" s="8"/>
      <c r="K63" s="8"/>
      <c r="L63" s="5"/>
    </row>
    <row r="64" spans="3:12" ht="21" customHeight="1" x14ac:dyDescent="0.3">
      <c r="C64" s="8"/>
      <c r="D64" s="8"/>
      <c r="E64" s="8"/>
      <c r="F64" s="8"/>
      <c r="G64" s="8"/>
      <c r="H64" s="8"/>
      <c r="I64" s="8"/>
      <c r="J64" s="8"/>
      <c r="K64" s="8"/>
      <c r="L64" s="5"/>
    </row>
    <row r="65" spans="1:12" ht="21" customHeight="1" x14ac:dyDescent="0.3">
      <c r="C65" s="8"/>
      <c r="D65" s="8"/>
      <c r="E65" s="8"/>
      <c r="F65" s="8"/>
      <c r="G65" s="8"/>
      <c r="H65" s="8"/>
      <c r="I65" s="8"/>
      <c r="J65" s="8"/>
      <c r="K65" s="8"/>
      <c r="L65" s="5"/>
    </row>
    <row r="66" spans="1:12" ht="21" customHeight="1" x14ac:dyDescent="0.3">
      <c r="A66" s="27"/>
      <c r="B66" s="27"/>
      <c r="C66" s="87" t="s">
        <v>2812</v>
      </c>
      <c r="D66" s="87"/>
      <c r="E66" s="87"/>
      <c r="F66" s="87"/>
      <c r="G66" s="87"/>
      <c r="H66" s="87"/>
      <c r="I66" s="87"/>
      <c r="J66" s="87"/>
      <c r="K66" s="87"/>
      <c r="L66" s="87"/>
    </row>
    <row r="67" spans="1:12" ht="21" customHeight="1" x14ac:dyDescent="0.3">
      <c r="C67" s="8"/>
      <c r="D67" s="8"/>
      <c r="E67" s="8"/>
      <c r="F67" s="8"/>
      <c r="G67" s="8"/>
      <c r="H67" s="8"/>
      <c r="I67" s="8"/>
      <c r="J67" s="8"/>
      <c r="K67" s="8"/>
      <c r="L67" s="5"/>
    </row>
    <row r="68" spans="1:12" ht="21" customHeight="1" x14ac:dyDescent="0.3">
      <c r="C68" s="8"/>
      <c r="D68" s="8"/>
      <c r="E68" s="8"/>
      <c r="F68" s="8"/>
      <c r="G68" s="8"/>
      <c r="H68" s="8"/>
      <c r="I68" s="8"/>
      <c r="J68" s="8"/>
      <c r="K68" s="8"/>
      <c r="L68" s="5"/>
    </row>
    <row r="69" spans="1:12" ht="21" customHeight="1" x14ac:dyDescent="0.3">
      <c r="C69" s="8"/>
      <c r="D69" s="8"/>
      <c r="E69" s="8"/>
      <c r="F69" s="8"/>
      <c r="G69" s="8"/>
      <c r="H69" s="8"/>
      <c r="I69" s="8"/>
      <c r="J69" s="8"/>
      <c r="K69" s="8"/>
      <c r="L69" s="5"/>
    </row>
    <row r="70" spans="1:12" ht="21" customHeight="1" x14ac:dyDescent="0.3">
      <c r="C70" s="8"/>
      <c r="D70" s="8"/>
      <c r="E70" s="8"/>
      <c r="F70" s="8"/>
      <c r="G70" s="8"/>
      <c r="H70" s="8"/>
      <c r="I70" s="8"/>
      <c r="J70" s="8"/>
      <c r="K70" s="8"/>
      <c r="L70" s="5"/>
    </row>
    <row r="71" spans="1:12" ht="21" customHeight="1" x14ac:dyDescent="0.3">
      <c r="C71" s="8"/>
      <c r="D71" s="8"/>
      <c r="E71" s="8"/>
      <c r="F71" s="8"/>
      <c r="G71" s="8"/>
      <c r="H71" s="8"/>
      <c r="I71" s="8"/>
      <c r="J71" s="8"/>
      <c r="K71" s="8"/>
      <c r="L71" s="5"/>
    </row>
    <row r="72" spans="1:12" ht="21" customHeight="1" x14ac:dyDescent="0.3">
      <c r="C72" s="8"/>
      <c r="D72" s="8"/>
      <c r="E72" s="8"/>
      <c r="F72" s="8"/>
      <c r="G72" s="8"/>
      <c r="H72" s="8"/>
      <c r="I72" s="8"/>
      <c r="J72" s="8"/>
      <c r="K72" s="8"/>
      <c r="L72" s="5"/>
    </row>
    <row r="73" spans="1:12" ht="21" customHeight="1" x14ac:dyDescent="0.3">
      <c r="C73" s="8"/>
      <c r="D73" s="8"/>
      <c r="E73" s="8"/>
      <c r="F73" s="8"/>
      <c r="G73" s="8"/>
      <c r="H73" s="8"/>
      <c r="I73" s="8"/>
      <c r="J73" s="8"/>
      <c r="K73" s="8"/>
      <c r="L73" s="5"/>
    </row>
    <row r="74" spans="1:12" ht="21" customHeight="1" x14ac:dyDescent="0.3">
      <c r="C74" s="8"/>
      <c r="D74" s="8"/>
      <c r="E74" s="8"/>
      <c r="F74" s="8"/>
      <c r="G74" s="8"/>
      <c r="H74" s="8"/>
      <c r="I74" s="8"/>
      <c r="J74" s="8"/>
      <c r="K74" s="8"/>
      <c r="L74" s="5"/>
    </row>
    <row r="75" spans="1:12" ht="21" customHeight="1" x14ac:dyDescent="0.3">
      <c r="C75" s="8"/>
      <c r="D75" s="8"/>
      <c r="E75" s="8"/>
      <c r="F75" s="8"/>
      <c r="G75" s="8"/>
      <c r="H75" s="8"/>
      <c r="I75" s="8"/>
      <c r="J75" s="8"/>
      <c r="K75" s="8"/>
      <c r="L75" s="5"/>
    </row>
    <row r="76" spans="1:12" ht="21" customHeight="1" x14ac:dyDescent="0.3">
      <c r="C76" s="8"/>
      <c r="D76" s="8"/>
      <c r="E76" s="8"/>
      <c r="F76" s="8"/>
      <c r="G76" s="8"/>
      <c r="H76" s="8"/>
      <c r="I76" s="8"/>
      <c r="J76" s="8"/>
      <c r="K76" s="8"/>
      <c r="L76" s="5"/>
    </row>
    <row r="77" spans="1:12" ht="21" customHeight="1" x14ac:dyDescent="0.3">
      <c r="C77" s="8"/>
      <c r="D77" s="8"/>
      <c r="E77" s="8"/>
      <c r="F77" s="8"/>
      <c r="G77" s="8"/>
      <c r="H77" s="8"/>
      <c r="I77" s="8"/>
      <c r="J77" s="8"/>
      <c r="K77" s="8"/>
      <c r="L77" s="5"/>
    </row>
    <row r="78" spans="1:12" ht="21" customHeight="1" x14ac:dyDescent="0.3">
      <c r="C78" s="8"/>
      <c r="D78" s="8"/>
      <c r="E78" s="8"/>
      <c r="F78" s="8"/>
      <c r="G78" s="8"/>
      <c r="H78" s="8"/>
      <c r="I78" s="8"/>
      <c r="J78" s="8"/>
      <c r="K78" s="8"/>
      <c r="L78" s="5"/>
    </row>
    <row r="79" spans="1:12" ht="21" customHeight="1" x14ac:dyDescent="0.3">
      <c r="C79" s="8"/>
      <c r="D79" s="8"/>
      <c r="E79" s="8"/>
      <c r="F79" s="8"/>
      <c r="G79" s="8"/>
      <c r="H79" s="8"/>
      <c r="I79" s="8"/>
      <c r="J79" s="8"/>
      <c r="K79" s="8"/>
      <c r="L79" s="5"/>
    </row>
    <row r="80" spans="1:12" ht="21" customHeight="1" x14ac:dyDescent="0.3">
      <c r="C80" s="8"/>
      <c r="D80" s="8"/>
      <c r="E80" s="8"/>
      <c r="F80" s="8"/>
      <c r="G80" s="8"/>
      <c r="H80" s="8"/>
      <c r="I80" s="8"/>
      <c r="J80" s="8"/>
      <c r="K80" s="8"/>
      <c r="L80" s="8"/>
    </row>
    <row r="81" spans="3:12" ht="21" customHeight="1" x14ac:dyDescent="0.3">
      <c r="C81" s="84" t="s">
        <v>2794</v>
      </c>
      <c r="D81" s="85"/>
      <c r="E81" s="85"/>
      <c r="F81" s="85"/>
      <c r="G81" s="85"/>
      <c r="H81" s="85"/>
      <c r="I81" s="85"/>
      <c r="J81" s="85"/>
      <c r="K81" s="85"/>
      <c r="L81" s="86"/>
    </row>
    <row r="82" spans="3:12" ht="21" customHeight="1" x14ac:dyDescent="0.3">
      <c r="C82" s="9"/>
      <c r="D82" s="8"/>
      <c r="E82" s="8"/>
      <c r="F82" s="8"/>
      <c r="G82" s="8"/>
      <c r="H82" s="8"/>
      <c r="I82" s="8"/>
      <c r="J82" s="8"/>
      <c r="K82" s="8"/>
      <c r="L82" s="10"/>
    </row>
    <row r="83" spans="3:12" ht="21" customHeight="1" x14ac:dyDescent="0.3">
      <c r="C83" s="130" t="s">
        <v>2795</v>
      </c>
      <c r="D83" s="131"/>
      <c r="E83" s="131" t="s">
        <v>2796</v>
      </c>
      <c r="F83" s="131"/>
      <c r="G83" s="131" t="s">
        <v>2797</v>
      </c>
      <c r="H83" s="131"/>
      <c r="I83" s="131" t="s">
        <v>2798</v>
      </c>
      <c r="J83" s="131"/>
      <c r="K83" s="131" t="s">
        <v>2799</v>
      </c>
      <c r="L83" s="132"/>
    </row>
    <row r="84" spans="3:12" ht="21" customHeight="1" x14ac:dyDescent="0.3">
      <c r="C84" s="139">
        <v>0.02</v>
      </c>
      <c r="D84" s="140"/>
      <c r="E84" s="141" cm="1">
        <f t="array" aca="1" ref="E84" ca="1">SUMPRODUCT((SUBTOTAL(103,OFFSET(INDEX(Appointments_Tbl[Appointment_ID],1),ROW(Appointments_Tbl[Appointment_ID])-ROW(INDEX(Appointments_Tbl[Appointment_ID],1)),0,1)))*(Appointments_Tbl[No_Show_Flag]))</f>
        <v>302</v>
      </c>
      <c r="F84" s="141"/>
      <c r="G84" s="142">
        <f ca="1">E84*C84</f>
        <v>6.04</v>
      </c>
      <c r="H84" s="142"/>
      <c r="I84" s="143" cm="1">
        <f t="array" aca="1" ref="I84" ca="1">IFERROR(SUMPRODUCT((SUBTOTAL(103,OFFSET(INDEX(Appointments_Tbl[Appointment_ID],1),ROW(Appointments_Tbl[Appointment_ID])-ROW(INDEX(Appointments_Tbl[Appointment_ID],1)),0,1)))*(Appointments_Tbl[No_Show_Flag])*(Appointments_Tbl[Session_Fee_INR]))/E84,0)</f>
        <v>1334.4370860927152</v>
      </c>
      <c r="J84" s="143"/>
      <c r="K84" s="143">
        <f ca="1">G84*I84</f>
        <v>8060</v>
      </c>
      <c r="L84" s="144"/>
    </row>
    <row r="85" spans="3:12" ht="21" customHeight="1" x14ac:dyDescent="0.3">
      <c r="C85" s="139"/>
      <c r="D85" s="140"/>
      <c r="E85" s="141"/>
      <c r="F85" s="141"/>
      <c r="G85" s="142"/>
      <c r="H85" s="142"/>
      <c r="I85" s="143"/>
      <c r="J85" s="143"/>
      <c r="K85" s="143"/>
      <c r="L85" s="144"/>
    </row>
    <row r="86" spans="3:12" ht="21" customHeight="1" x14ac:dyDescent="0.3">
      <c r="C86" s="139"/>
      <c r="D86" s="140"/>
      <c r="E86" s="141"/>
      <c r="F86" s="141"/>
      <c r="G86" s="142"/>
      <c r="H86" s="142"/>
      <c r="I86" s="143"/>
      <c r="J86" s="143"/>
      <c r="K86" s="143"/>
      <c r="L86" s="144"/>
    </row>
    <row r="87" spans="3:12" ht="21" customHeight="1" x14ac:dyDescent="0.3">
      <c r="C87" s="133" t="s">
        <v>2800</v>
      </c>
      <c r="D87" s="134"/>
      <c r="E87" s="134"/>
      <c r="F87" s="134"/>
      <c r="G87" s="134"/>
      <c r="H87" s="134"/>
      <c r="I87" s="134"/>
      <c r="J87" s="134"/>
      <c r="K87" s="134"/>
      <c r="L87" s="135"/>
    </row>
    <row r="88" spans="3:12" ht="21" customHeight="1" x14ac:dyDescent="0.3">
      <c r="C88" s="136"/>
      <c r="D88" s="137"/>
      <c r="E88" s="137"/>
      <c r="F88" s="137"/>
      <c r="G88" s="137"/>
      <c r="H88" s="137"/>
      <c r="I88" s="137"/>
      <c r="J88" s="137"/>
      <c r="K88" s="137"/>
      <c r="L88" s="138"/>
    </row>
    <row r="89" spans="3:12" ht="21" customHeight="1" x14ac:dyDescent="0.3">
      <c r="C89" s="8"/>
      <c r="D89" s="8"/>
      <c r="E89" s="8"/>
      <c r="F89" s="8"/>
      <c r="G89" s="8"/>
      <c r="H89" s="8"/>
      <c r="I89" s="8"/>
      <c r="J89" s="8"/>
      <c r="K89" s="8"/>
      <c r="L89" s="8"/>
    </row>
    <row r="90" spans="3:12" ht="21" customHeight="1" x14ac:dyDescent="0.3">
      <c r="C90" s="8"/>
      <c r="D90" s="8"/>
      <c r="E90" s="8"/>
      <c r="F90" s="8"/>
      <c r="G90" s="8"/>
      <c r="H90" s="8"/>
      <c r="I90" s="8"/>
      <c r="J90" s="8"/>
      <c r="K90" s="8"/>
      <c r="L90" s="8"/>
    </row>
    <row r="91" spans="3:12" ht="21" customHeight="1" x14ac:dyDescent="0.3">
      <c r="C91" s="8"/>
      <c r="D91" s="8"/>
      <c r="E91" s="8"/>
      <c r="F91" s="8"/>
      <c r="G91" s="8"/>
      <c r="H91" s="8"/>
      <c r="I91" s="8"/>
      <c r="J91" s="8"/>
      <c r="K91" s="8"/>
      <c r="L91" s="8"/>
    </row>
    <row r="92" spans="3:12" ht="21" customHeight="1" x14ac:dyDescent="0.3">
      <c r="C92" s="8"/>
      <c r="D92" s="8"/>
      <c r="E92" s="8"/>
      <c r="F92" s="8"/>
      <c r="G92" s="8"/>
      <c r="H92" s="8"/>
      <c r="I92" s="8"/>
      <c r="J92" s="8"/>
      <c r="K92" s="8"/>
      <c r="L92" s="8"/>
    </row>
    <row r="94" spans="3:12" ht="21.75" customHeight="1" x14ac:dyDescent="0.3"/>
    <row r="95" spans="3:12" ht="21.75" customHeight="1" x14ac:dyDescent="0.3"/>
    <row r="96" spans="3:12" ht="21.75" customHeight="1" x14ac:dyDescent="0.3"/>
    <row r="97" ht="21.75" customHeight="1" x14ac:dyDescent="0.3"/>
    <row r="98" ht="21.75" customHeight="1" x14ac:dyDescent="0.3"/>
    <row r="99" ht="21.75" customHeight="1" x14ac:dyDescent="0.3"/>
    <row r="100" ht="21.75" customHeight="1" x14ac:dyDescent="0.3"/>
    <row r="101" ht="21.75" customHeight="1" x14ac:dyDescent="0.3"/>
  </sheetData>
  <mergeCells count="41">
    <mergeCell ref="C87:L88"/>
    <mergeCell ref="C84:D86"/>
    <mergeCell ref="E84:F86"/>
    <mergeCell ref="G84:H86"/>
    <mergeCell ref="I84:J86"/>
    <mergeCell ref="K84:L86"/>
    <mergeCell ref="C83:D83"/>
    <mergeCell ref="E83:F83"/>
    <mergeCell ref="G83:H83"/>
    <mergeCell ref="I83:J83"/>
    <mergeCell ref="K83:L83"/>
    <mergeCell ref="C81:L81"/>
    <mergeCell ref="A1:I2"/>
    <mergeCell ref="D4:F4"/>
    <mergeCell ref="A4:C4"/>
    <mergeCell ref="G4:I4"/>
    <mergeCell ref="J4:L4"/>
    <mergeCell ref="J1:L2"/>
    <mergeCell ref="D7:F7"/>
    <mergeCell ref="G7:I7"/>
    <mergeCell ref="J7:L7"/>
    <mergeCell ref="C9:F9"/>
    <mergeCell ref="G9:L9"/>
    <mergeCell ref="A25:B25"/>
    <mergeCell ref="G6:I6"/>
    <mergeCell ref="A7:C7"/>
    <mergeCell ref="N19:R19"/>
    <mergeCell ref="C46:L46"/>
    <mergeCell ref="C66:L66"/>
    <mergeCell ref="J3:L3"/>
    <mergeCell ref="J5:L5"/>
    <mergeCell ref="J6:L6"/>
    <mergeCell ref="A3:C3"/>
    <mergeCell ref="A5:C5"/>
    <mergeCell ref="A6:C6"/>
    <mergeCell ref="D3:F3"/>
    <mergeCell ref="D5:F5"/>
    <mergeCell ref="D6:F6"/>
    <mergeCell ref="G3:I3"/>
    <mergeCell ref="G5:I5"/>
    <mergeCell ref="C24:L24"/>
  </mergeCells>
  <conditionalFormatting sqref="O2:O8">
    <cfRule type="colorScale" priority="5">
      <colorScale>
        <cfvo type="min"/>
        <cfvo type="percentile" val="50"/>
        <cfvo type="max"/>
        <color rgb="FF63BE7B"/>
        <color rgb="FFFFEB84"/>
        <color rgb="FFF8696B"/>
      </colorScale>
    </cfRule>
  </conditionalFormatting>
  <conditionalFormatting sqref="R2:R16">
    <cfRule type="dataBar" priority="3">
      <dataBar>
        <cfvo type="num" val="0"/>
        <cfvo type="num" val="1"/>
        <color rgb="FF638EC6"/>
      </dataBar>
      <extLst>
        <ext xmlns:x14="http://schemas.microsoft.com/office/spreadsheetml/2009/9/main" uri="{B025F937-C7B1-47D3-B67F-A62EFF666E3E}">
          <x14:id>{77CFD19E-C3ED-4D14-B4F5-7906CC988271}</x14:id>
        </ext>
      </extLst>
    </cfRule>
  </conditionalFormatting>
  <conditionalFormatting sqref="V2:Y2">
    <cfRule type="colorScale" priority="2">
      <colorScale>
        <cfvo type="min"/>
        <cfvo type="max"/>
        <color rgb="FFF8696B"/>
        <color theme="0"/>
      </colorScale>
    </cfRule>
  </conditionalFormatting>
  <conditionalFormatting sqref="V3:Y7">
    <cfRule type="colorScale" priority="1">
      <colorScale>
        <cfvo type="min"/>
        <cfvo type="max"/>
        <color rgb="FFF8696B"/>
        <color theme="0"/>
      </colorScale>
    </cfRule>
  </conditionalFormatting>
  <dataValidations count="3">
    <dataValidation type="list" allowBlank="1" showInputMessage="1" showErrorMessage="1" promptTitle="Financial Year" prompt="Select a financial year." sqref="J1" xr:uid="{CF5BD92A-0728-46A0-8AB7-E4ACF28D9719}">
      <formula1>$T$1:$T$2</formula1>
    </dataValidation>
    <dataValidation type="decimal" allowBlank="1" showInputMessage="1" showErrorMessage="1" promptTitle="Target No-Show Reduction Goal" prompt="Enter a percentage, e.g., 5%." sqref="C84" xr:uid="{0BEE45E2-7864-4ADB-B4F2-FB02098F8363}">
      <formula1>0</formula1>
      <formula2>1</formula2>
    </dataValidation>
    <dataValidation type="list" promptTitle="Therapist" prompt="Choose a therapist from the utilization table" sqref="O20" xr:uid="{07909C21-D746-41B6-80A4-46BDA7FBFDCA}">
      <formula1>$Q$2:$Q$16</formula1>
    </dataValidation>
  </dataValidations>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dataBar" id="{77CFD19E-C3ED-4D14-B4F5-7906CC988271}">
            <x14:dataBar minLength="0" maxLength="100">
              <x14:cfvo type="num">
                <xm:f>0</xm:f>
              </x14:cfvo>
              <x14:cfvo type="num">
                <xm:f>1</xm:f>
              </x14:cfvo>
              <x14:negativeFillColor rgb="FFFF0000"/>
              <x14:axisColor rgb="FF000000"/>
            </x14:dataBar>
          </x14:cfRule>
          <xm:sqref>R2:R16</xm:sqref>
        </x14:conditionalFormatting>
      </x14:conditionalFormattings>
    </ext>
    <ext xmlns:x15="http://schemas.microsoft.com/office/spreadsheetml/2010/11/main" uri="{3A4CF648-6AED-40f4-86FF-DC5316D8AED3}">
      <x14:slicerList xmlns:x14="http://schemas.microsoft.com/office/spreadsheetml/2009/9/main">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8C2F274-C0CB-4A76-A250-215A0D2109D2}">
  <ds:schemaRefs>
    <ds:schemaRef ds:uri="http://schemas.microsoft.com/DataMashup"/>
  </ds:schemaRefs>
</ds:datastoreItem>
</file>

<file path=docMetadata/LabelInfo.xml><?xml version="1.0" encoding="utf-8"?>
<clbl:labelList xmlns:clbl="http://schemas.microsoft.com/office/2020/mipLabelMetadata">
  <clbl:label id="{0bfa236d-8472-42aa-9a40-ab46036c5596}" enabled="1" method="Privileged" siteId="{e0793d39-0939-496d-b129-198edd916feb}"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Dashboard_Review</vt:lpstr>
      <vt:lpstr>Dashboard_Final</vt:lpstr>
      <vt:lpstr>Pivot_Data</vt:lpstr>
      <vt:lpstr>Appointments</vt:lpstr>
      <vt:lpstr>KPI_Summary</vt:lpstr>
      <vt:lpstr>What_If_Model</vt:lpstr>
      <vt:lpstr>Data_Dictionary</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 S, Sibeesh</dc:creator>
  <cp:keywords/>
  <dc:description/>
  <cp:lastModifiedBy>ASWANI TJ</cp:lastModifiedBy>
  <cp:revision/>
  <dcterms:created xsi:type="dcterms:W3CDTF">2026-07-06T16:22:47Z</dcterms:created>
  <dcterms:modified xsi:type="dcterms:W3CDTF">2026-07-16T18:09:49Z</dcterms:modified>
  <cp:category/>
  <cp:contentStatus/>
</cp:coreProperties>
</file>